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Monthly" sheetId="3" state="visible" r:id="rId5"/>
    <sheet name="Breakdown" sheetId="4" state="visible" r:id="rId6"/>
    <sheet name="Trades" sheetId="5" state="visible" r:id="rId7"/>
    <sheet name="Set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Arial"/>
            <family val="2"/>
          </rPr>
          <t xml:space="preserve">Profit + commission + swap, copied from the MT5 deals list (blue = source data).</t>
        </r>
      </text>
    </comment>
    <comment ref="X1" authorId="0">
      <text>
        <r>
          <rPr>
            <sz val="10"/>
            <rFont val="Arial"/>
            <family val="2"/>
          </rPr>
          <t xml:space="preserve">Profit divided by planned risk. -1R = lost exactly what was planned; -1.5R = lost 50% more (slippage).</t>
        </r>
      </text>
    </comment>
  </commentList>
</comments>
</file>

<file path=xl/sharedStrings.xml><?xml version="1.0" encoding="utf-8"?>
<sst xmlns="http://schemas.openxmlformats.org/spreadsheetml/2006/main" count="11478" uniqueCount="2187">
  <si>
    <t xml:space="preserve">How to read this workbook</t>
  </si>
  <si>
    <t xml:space="preserve">Summary</t>
  </si>
  <si>
    <t xml:space="preserve">Key numbers with a verdict and a plain-language meaning, the balance curve, and the diagnosis.</t>
  </si>
  <si>
    <t xml:space="preserve">Monthly</t>
  </si>
  <si>
    <t xml:space="preserve">One row per month: trades, win rate, net profit, profit factor, start/end balance, return.</t>
  </si>
  <si>
    <t xml:space="preserve">Breakdown</t>
  </si>
  <si>
    <t xml:space="preserve">Results split by side, exit reason, hold time, weekday and entry hour.</t>
  </si>
  <si>
    <t xml:space="preserve">Trades</t>
  </si>
  <si>
    <t xml:space="preserve">Every trade on one row: the MT5 entry deal matched to its exit deal, plus a sentence explaining what happened. Use the filter arrows in the header row.</t>
  </si>
  <si>
    <t xml:space="preserve">Settings</t>
  </si>
  <si>
    <t xml:space="preserve">The EA inputs used in this test, with the important ones explained.</t>
  </si>
  <si>
    <t xml:space="preserve">R multiple</t>
  </si>
  <si>
    <t xml:space="preserve">Profit divided by the planned risk. +2R = won twice the risk, -1R = lost the planned risk.</t>
  </si>
  <si>
    <t xml:space="preserve">Planned risk $</t>
  </si>
  <si>
    <t xml:space="preserve">Distance from order price to initial SL x lots x 100 oz.</t>
  </si>
  <si>
    <t xml:space="preserve">Entry slippage $</t>
  </si>
  <si>
    <t xml:space="preserve">How much worse than the order price the trade filled. Positive = worse.</t>
  </si>
  <si>
    <t xml:space="preserve">Exit reason</t>
  </si>
  <si>
    <t xml:space="preserve">Initial stop loss = full loss. Breakeven/trailing stop = stop had been moved to the order price or beyond (can still be a small loss because of slippage). Closed by EA = closed without an SL comment (account guard, blackout, instant close).</t>
  </si>
  <si>
    <t xml:space="preserve">Win / Loss / Flat</t>
  </si>
  <si>
    <t xml:space="preserve">Flat = closed at exactly $0.00. MT5 counts those as profit trades, so its win count can be a little higher than here.</t>
  </si>
  <si>
    <t xml:space="preserve">Times</t>
  </si>
  <si>
    <t xml:space="preserve">All times are the broker SERVER time used by the tester.</t>
  </si>
  <si>
    <t xml:space="preserve">Colours</t>
  </si>
  <si>
    <t xml:space="preserve">Blue numbers = source data from the MT5 report. Black = formulas. Yellow = the settings that matter most.</t>
  </si>
  <si>
    <t xml:space="preserve">Source</t>
  </si>
  <si>
    <t xml:space="preserve">Built from the MT5 Strategy Tester report (1845 trades). All totals match the report's Total Net Profit.</t>
  </si>
  <si>
    <t xml:space="preserve">Backtest summary: plain-language version</t>
  </si>
  <si>
    <t xml:space="preserve">XAUUSD_Simple_Breakout_v7 | XAUUSD.T | H1 (2022.04.01 - 2026.10.01)</t>
  </si>
  <si>
    <t xml:space="preserve">Inputs (blue): change them and every number recalculates.</t>
  </si>
  <si>
    <t xml:space="preserve">Starting balance</t>
  </si>
  <si>
    <t xml:space="preserve">From the report (Initial Deposit).</t>
  </si>
  <si>
    <t xml:space="preserve">Contract size (oz per 1.00 lot)</t>
  </si>
  <si>
    <t xml:space="preserve">Assumption: standard XAUUSD contract (1 lot = 100 oz). Used for planned risk $.</t>
  </si>
  <si>
    <t xml:space="preserve">Metric</t>
  </si>
  <si>
    <t xml:space="preserve">Value</t>
  </si>
  <si>
    <t xml:space="preserve">Verdict</t>
  </si>
  <si>
    <t xml:space="preserve">What it means</t>
  </si>
  <si>
    <t xml:space="preserve">RESULT</t>
  </si>
  <si>
    <t xml:space="preserve">Net profit</t>
  </si>
  <si>
    <t xml:space="preserve">Total money made or lost over the whole test.</t>
  </si>
  <si>
    <t xml:space="preserve">Final balance</t>
  </si>
  <si>
    <t xml:space="preserve">Starting balance + net profit.</t>
  </si>
  <si>
    <t xml:space="preserve">Return on starting balance</t>
  </si>
  <si>
    <t xml:space="preserve">Net profit as % of the deposit.</t>
  </si>
  <si>
    <t xml:space="preserve">Max drawdown $</t>
  </si>
  <si>
    <t xml:space="preserve">Biggest drop from a balance peak to a later low (closed trades).</t>
  </si>
  <si>
    <t xml:space="preserve">Max drawdown %</t>
  </si>
  <si>
    <t xml:space="preserve">Same drop as % of the peak. Prop firms usually fail you at 8-10%.</t>
  </si>
  <si>
    <t xml:space="preserve">TRADES</t>
  </si>
  <si>
    <t xml:space="preserve">Total trades</t>
  </si>
  <si>
    <t xml:space="preserve">Each row of the Trades sheet = one entry + its exit.</t>
  </si>
  <si>
    <t xml:space="preserve">Winning trades</t>
  </si>
  <si>
    <t xml:space="preserve">Losing trades</t>
  </si>
  <si>
    <t xml:space="preserve">Win rate</t>
  </si>
  <si>
    <t xml:space="preserve">Share of trades that made money.</t>
  </si>
  <si>
    <t xml:space="preserve">Average win</t>
  </si>
  <si>
    <t xml:space="preserve">Typical size of a winner.</t>
  </si>
  <si>
    <t xml:space="preserve">Average loss</t>
  </si>
  <si>
    <t xml:space="preserve">Typical size of a loser.</t>
  </si>
  <si>
    <t xml:space="preserve">Win/loss size ratio</t>
  </si>
  <si>
    <t xml:space="preserve">Average win divided by average loss. Above 1 = winners bigger than losers.</t>
  </si>
  <si>
    <t xml:space="preserve">Break-even win rate needed</t>
  </si>
  <si>
    <t xml:space="preserve">With these win/loss sizes you need at least this win rate just to break even.</t>
  </si>
  <si>
    <t xml:space="preserve">Profit factor</t>
  </si>
  <si>
    <t xml:space="preserve">Gross profit / gross loss. Below 1 = losing system. Aim for 1.3+.</t>
  </si>
  <si>
    <t xml:space="preserve">Expectancy per trade</t>
  </si>
  <si>
    <t xml:space="preserve">What one trade earns on average, after slippage.</t>
  </si>
  <si>
    <t xml:space="preserve">RISK vs REALITY</t>
  </si>
  <si>
    <t xml:space="preserve">Average planned risk per trade</t>
  </si>
  <si>
    <t xml:space="preserve">SL distance x lots x 100 oz: what the EA meant to risk (about 1%).</t>
  </si>
  <si>
    <t xml:space="preserve">Average SL distance $</t>
  </si>
  <si>
    <t xml:space="preserve">How far the stop loss was from the order price, in gold dollars.</t>
  </si>
  <si>
    <t xml:space="preserve">Average entry slippage $</t>
  </si>
  <si>
    <t xml:space="preserve">How much worse than the order price the stop order filled (spread + slippage).</t>
  </si>
  <si>
    <t xml:space="preserve">Slippage as % of the stop</t>
  </si>
  <si>
    <t xml:space="preserve">Share of the stop eaten up before the trade even starts.</t>
  </si>
  <si>
    <t xml:space="preserve">Average R on losing trades</t>
  </si>
  <si>
    <t xml:space="preserve">-1.00R = lost exactly the planned risk. Below -1R = slippage made losses bigger than planned.</t>
  </si>
  <si>
    <t xml:space="preserve">Losing trades that lost more than 1R</t>
  </si>
  <si>
    <t xml:space="preserve">Losses at least 5% bigger than planned.</t>
  </si>
  <si>
    <t xml:space="preserve">Average R on winning trades</t>
  </si>
  <si>
    <t xml:space="preserve">Typical winner measured in planned risk.</t>
  </si>
  <si>
    <t xml:space="preserve">HOLD TIME</t>
  </si>
  <si>
    <t xml:space="preserve">Median hold (seconds)</t>
  </si>
  <si>
    <t xml:space="preserve">Half of all trades were closed faster than this.</t>
  </si>
  <si>
    <t xml:space="preserve">Trades closed within 10 seconds</t>
  </si>
  <si>
    <t xml:space="preserve">In seconds-long trades the result is mostly spread, slippage and tick noise.</t>
  </si>
  <si>
    <t xml:space="preserve">Trades closed within 60 seconds</t>
  </si>
  <si>
    <t xml:space="preserve">EXITS</t>
  </si>
  <si>
    <t xml:space="preserve">Exits: take profit</t>
  </si>
  <si>
    <t xml:space="preserve">Full wins at the TP.</t>
  </si>
  <si>
    <t xml:space="preserve">Exits: initial stop loss</t>
  </si>
  <si>
    <t xml:space="preserve">Full losses.</t>
  </si>
  <si>
    <t xml:space="preserve">Net $ from initial-SL exits</t>
  </si>
  <si>
    <t xml:space="preserve">Exits: trailing/breakeven stop</t>
  </si>
  <si>
    <t xml:space="preserve">Stop had been moved to the order price or beyond. Can still lose a little because of entry/exit slippage.</t>
  </si>
  <si>
    <t xml:space="preserve">Net $ from trailing/BE exits</t>
  </si>
  <si>
    <t xml:space="preserve">Exits: closed by EA</t>
  </si>
  <si>
    <t xml:space="preserve">Closed without an SL comment: account guard, blackout flatten, or an instant close.</t>
  </si>
  <si>
    <t xml:space="preserve">Net $ from EA closes</t>
  </si>
  <si>
    <t xml:space="preserve">DIAGNOSIS (analyst notes for this report)</t>
  </si>
  <si>
    <t xml:space="preserve">1. Result: 1845 trades, net $-188, profit factor 0.99, typical stop $6.00, median hold 42 min.</t>
  </si>
  <si>
    <t xml:space="preserve">2. Exits: take profit 62 (3%), net $11,121 | full stop loss 496 (27%), net $-19,025 | breakeven/trailing stop 1204 (65%), net $2,955 | close time / EA 83 (4%), net $4,762.</t>
  </si>
  <si>
    <t xml:space="preserve">3. Breakeven is hit very often (65% of trades, average +0.07R). That raises the win rate but those 'wins' are worth almost nothing, and they stop trades that would have gone on to the TP. Move breakeven later (e.g. 1R).</t>
  </si>
  <si>
    <t xml:space="preserve">4. Full losses average -1.05R (worst -2.49R); entry slippage averages $0.19 = 3% of the stop.</t>
  </si>
  <si>
    <t xml:space="preserve">5. Best setup PDH_B ($3,029), worst RANGE_S ($-2,527) - see Breakdown &gt; By setup.</t>
  </si>
  <si>
    <t xml:space="preserve">6. Worst entry hours (server): 09:00 ($-1,474), 14:00 ($-350), 12:00 ($-309) - candidates for a no-trade window.</t>
  </si>
  <si>
    <t xml:space="preserve">Month</t>
  </si>
  <si>
    <t xml:space="preserve">Wins</t>
  </si>
  <si>
    <t xml:space="preserve">Losses</t>
  </si>
  <si>
    <t xml:space="preserve">Gross profit</t>
  </si>
  <si>
    <t xml:space="preserve">Gross loss</t>
  </si>
  <si>
    <t xml:space="preserve">Best trade</t>
  </si>
  <si>
    <t xml:space="preserve">Worst trade</t>
  </si>
  <si>
    <t xml:space="preserve">Avg R</t>
  </si>
  <si>
    <t xml:space="preserve">Start balance</t>
  </si>
  <si>
    <t xml:space="preserve">End balance</t>
  </si>
  <si>
    <t xml:space="preserve">Return %</t>
  </si>
  <si>
    <t xml:space="preserve">Comment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</si>
  <si>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</si>
  <si>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</si>
  <si>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</si>
  <si>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</si>
  <si>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</si>
  <si>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</si>
  <si>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</si>
  <si>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</si>
  <si>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</si>
  <si>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</si>
  <si>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</si>
  <si>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</si>
  <si>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</si>
  <si>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</si>
  <si>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</si>
  <si>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</si>
  <si>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</si>
  <si>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</si>
  <si>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</si>
  <si>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</si>
  <si>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</si>
  <si>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</si>
  <si>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</si>
  <si>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</si>
  <si>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</si>
  <si>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</si>
  <si>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</si>
  <si>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</si>
  <si>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</si>
  <si>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</si>
  <si>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</si>
  <si>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</si>
  <si>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</si>
  <si>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</si>
  <si>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</si>
  <si>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</si>
  <si>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</si>
  <si>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</si>
  <si>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</si>
  <si>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</si>
  <si>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</si>
  <si>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</si>
  <si>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</si>
  <si>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</si>
  <si>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</si>
  <si>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</si>
  <si>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</si>
  <si>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</si>
  <si>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</si>
  <si>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</si>
  <si>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</si>
  <si>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</si>
  <si>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</si>
  <si>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</si>
  <si>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</si>
  <si>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Blue = up month, orange = down month.</t>
  </si>
  <si>
    <t xml:space="preserve">Where the money is made and lost</t>
  </si>
  <si>
    <t xml:space="preserve">By side</t>
  </si>
  <si>
    <t xml:space="preserve">Is one direction worse than the other?</t>
  </si>
  <si>
    <t xml:space="preserve">side</t>
  </si>
  <si>
    <t xml:space="preserve">Avg per trade</t>
  </si>
  <si>
    <t xml:space="preserve">BUY</t>
  </si>
  <si>
    <t xml:space="preserve">SELL</t>
  </si>
  <si>
    <t xml:space="preserve">Total</t>
  </si>
  <si>
    <t xml:space="preserve">By exit reason</t>
  </si>
  <si>
    <t xml:space="preserve">Avg R on 'Initial stop loss' below -1R means the stop filled worse than planned (slippage).</t>
  </si>
  <si>
    <t xml:space="preserve">exit reason</t>
  </si>
  <si>
    <t xml:space="preserve">Take profit</t>
  </si>
  <si>
    <t xml:space="preserve">Initial stop loss</t>
  </si>
  <si>
    <t xml:space="preserve">Breakeven/trailing stop</t>
  </si>
  <si>
    <t xml:space="preserve">Moved stop (below entry)</t>
  </si>
  <si>
    <t xml:space="preserve">Closed by EA (no SL)</t>
  </si>
  <si>
    <t xml:space="preserve">By hold time</t>
  </si>
  <si>
    <t xml:space="preserve">Trades lasting seconds are decided by spread and tick noise, not by the strategy idea.</t>
  </si>
  <si>
    <t xml:space="preserve">hold time</t>
  </si>
  <si>
    <t xml:space="preserve">a) &lt;10s</t>
  </si>
  <si>
    <t xml:space="preserve">b) 10-60s</t>
  </si>
  <si>
    <t xml:space="preserve">c) 1-10min</t>
  </si>
  <si>
    <t xml:space="preserve">d) &gt;10min</t>
  </si>
  <si>
    <t xml:space="preserve">By weekday (entry)</t>
  </si>
  <si>
    <t xml:space="preserve">Day of the week the trade was entered (server time).</t>
  </si>
  <si>
    <t xml:space="preserve">weekday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</si>
  <si>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</si>
  <si>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</si>
  <si>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</si>
  <si>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</si>
  <si>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</si>
  <si>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By entry hour (server time)</t>
  </si>
  <si>
    <t xml:space="preserve">Server hour of entry. On a UTC+2/+3 broker: 01-09 = Asian session, 10-18 = London, 15-23 = New York.</t>
  </si>
  <si>
    <t xml:space="preserve">entry hour</t>
  </si>
  <si>
    <t xml:space="preserve">#</t>
  </si>
  <si>
    <t xml:space="preserve">Entry time (server)</t>
  </si>
  <si>
    <t xml:space="preserve">Weekday</t>
  </si>
  <si>
    <t xml:space="preserve">Entry hour</t>
  </si>
  <si>
    <t xml:space="preserve">Side</t>
  </si>
  <si>
    <t xml:space="preserve">Setup</t>
  </si>
  <si>
    <t xml:space="preserve">Lots</t>
  </si>
  <si>
    <t xml:space="preserve">Order price (planned entry)</t>
  </si>
  <si>
    <t xml:space="preserve">Filled entry</t>
  </si>
  <si>
    <t xml:space="preserve">Initial SL</t>
  </si>
  <si>
    <t xml:space="preserve">SL distance $</t>
  </si>
  <si>
    <t xml:space="preserve">Exit time</t>
  </si>
  <si>
    <t xml:space="preserve">Hold (sec)</t>
  </si>
  <si>
    <t xml:space="preserve">Hold bucket</t>
  </si>
  <si>
    <t xml:space="preserve">Stop level hit</t>
  </si>
  <si>
    <t xml:space="preserve">Exit price</t>
  </si>
  <si>
    <t xml:space="preserve">Exit slippage $</t>
  </si>
  <si>
    <t xml:space="preserve">Price move $</t>
  </si>
  <si>
    <t xml:space="preserve">Profit $</t>
  </si>
  <si>
    <t xml:space="preserve">Result</t>
  </si>
  <si>
    <t xml:space="preserve">Balance after</t>
  </si>
  <si>
    <t xml:space="preserve">Peak balance</t>
  </si>
  <si>
    <t xml:space="preserve">Drawdown $</t>
  </si>
  <si>
    <t xml:space="preserve">Drawdown %</t>
  </si>
  <si>
    <t xml:space="preserve">What happened</t>
  </si>
  <si>
    <t xml:space="preserve">RANGE_B</t>
  </si>
  <si>
    <t xml:space="preserve">BUY STOP at 1939.36 filled at 1939.360 ($0.00 better). SL $6.00 away = $48 risk. Price went against it; stopped at 1933.340 after 34m38s: -$48.16 (-1.00R).</t>
  </si>
  <si>
    <t xml:space="preserve">PDH_S</t>
  </si>
  <si>
    <t xml:space="preserve">SELL STOP at 1918.99 filled at 1918.890 ($0.10 worse). SL $6.00 away = $48 risk. Price went against it; stopped at 1925.090 after 10m11s: -$49.60 (-1.03R).</t>
  </si>
  <si>
    <t xml:space="preserve">SELL STOP at 1917.91 filled at 1917.880 ($0.03 worse). SL $6.00 away = $48 risk. Closed by the EA itself (account guard / blackout / instant close) at 1917.400 after 15m00s: +$3.84 (+0.08R).</t>
  </si>
  <si>
    <t xml:space="preserve">BUY STOP at 1921.11 filled at 1921.110 ($0.00 better). SL $6.00 away = $48 risk. Closed by the EA itself (account guard / blackout / instant close) at 1931.710 after 12h53m: +$84.80 (+1.77R).</t>
  </si>
  <si>
    <t xml:space="preserve">RANGE_S</t>
  </si>
  <si>
    <t xml:space="preserve">SELL STOP at 1926.41 filled at 1926.410 ($0.00 better). SL $6.00 away = $48 risk. Price went against it; stopped at 1932.410 after 1h03m: -$48.00 (-1.00R).</t>
  </si>
  <si>
    <t xml:space="preserve">PDH_B</t>
  </si>
  <si>
    <t xml:space="preserve">BUY STOP at 1936.88 filled at 1936.880 ($0.00 better). SL $6.00 away = $48 risk. Closed by the EA itself (account guard / blackout / instant close) at 1937.360 after 23m23s: +$3.84 (+0.08R).</t>
  </si>
  <si>
    <t xml:space="preserve">SELL STOP at 1917.84 filled at 1917.580 ($0.26 worse). SL $6.00 away = $48 risk. Price went against it; stopped at 1923.850 after 29m26s: -$50.16 (-1.04R).</t>
  </si>
  <si>
    <t xml:space="preserve">SELL STOP at 1920.41 filled at 1920.410 ($0.00 better). SL $6.00 away = $48 risk. Closed by the EA itself (account guard / blackout / instant close) at 1919.950 after 58m29s: +$3.68 (+0.08R).</t>
  </si>
  <si>
    <t xml:space="preserve">BUY STOP at 1923.82 filled at 1923.820 ($0.00 better). SL $6.00 away = $48 risk. Closed by the EA itself (account guard / blackout / instant close) at 1924.220 after 1h39m: +$3.20 (+0.07R).</t>
  </si>
  <si>
    <t xml:space="preserve">BUY STOP at 1933.35 filled at 1933.910 ($0.56 worse). SL $6.00 away = $48 risk. Price went against it; stopped at 1927.150 after 22m05s: -$54.08 (-1.13R).</t>
  </si>
  <si>
    <t xml:space="preserve">BUY STOP at 1932.27 filled at 1932.280 ($0.01 worse). SL $6.00 away = $48 risk. Closed by the EA itself (account guard / blackout / instant close) at 1932.770 after 5h01m: +$3.92 (+0.08R).</t>
  </si>
  <si>
    <t xml:space="preserve">BUY STOP at 1937.71 filled at 1938.010 ($0.30 worse). SL $6.00 away = $48 risk. Price went against it; stopped at 1931.630 after 20m23s: -$51.04 (-1.06R).</t>
  </si>
  <si>
    <t xml:space="preserve">SELL STOP at 1955.61 filled at 1955.610 ($0.00 better). SL $6.00 away = $48 risk. Closed by the EA itself (account guard / blackout / instant close) at 1955.110 after 57m06s: +$4.00 (+0.08R).</t>
  </si>
  <si>
    <t xml:space="preserve">BUY STOP at 1969.56 filled at 1969.720 ($0.16 worse). SL $6.00 away = $48 risk. Closed by the EA itself (account guard / blackout / instant close) at 1970.200 after 1m29s: +$3.84 (+0.08R).</t>
  </si>
  <si>
    <t xml:space="preserve">SELL STOP at 1967.61 filled at 1967.610 ($0.00 better). SL $6.00 away = $48 risk. Price went against it; stopped at 1973.620 after 1h49m: -$48.08 (-1.00R).</t>
  </si>
  <si>
    <t xml:space="preserve">BUY STOP at 1978.51 filled at 1978.860 ($0.35 worse). SL $6.00 away = $42 risk. Price went against it; stopped at 1972.410 after 2h39m: -$45.15 (-1.07R).</t>
  </si>
  <si>
    <t xml:space="preserve">SELL STOP at 1972.10 filled at 1972.090 ($0.01 worse). SL $6.00 away = $42 risk. Price went against it; stopped at 1978.260 after 1h40m: -$43.19 (-1.03R).</t>
  </si>
  <si>
    <t xml:space="preserve">SELL STOP at 1962.72 filled at 1962.640 ($0.08 worse). SL $6.00 away = $42 risk. Price went against it; stopped at 1968.730 after 23m42s: -$42.63 (-1.01R).</t>
  </si>
  <si>
    <t xml:space="preserve">BUY STOP at 1980.25 filled at 1980.360 ($0.11 worse). SL $6.00 away = $42 risk. Closed by the EA itself (account guard / blackout / instant close) at 1980.830 after 18h45m: +$3.29 (+0.08R).</t>
  </si>
  <si>
    <t xml:space="preserve">BUY STOP at 1978.65 filled at 1978.730 ($0.08 worse). SL $6.00 away = $42 risk. Closed by the EA itself (account guard / blackout / instant close) at 1979.210 after 1h14m: +$3.36 (+0.08R).</t>
  </si>
  <si>
    <t xml:space="preserve">SELL STOP at 1970.84 filled at 1970.790 ($0.05 worse). SL $6.00 away = $42 risk. Closed by the EA itself (account guard / blackout / instant close) at 1950.180 after 6h31m: +$144.27 (+3.43R).</t>
  </si>
  <si>
    <t xml:space="preserve">SELL STOP at 1943.59 filled at 1943.360 ($0.23 worse). SL $6.00 away = $42 risk. Closed by the EA itself (account guard / blackout / instant close) at 1942.890 after 2h42m: +$3.29 (+0.08R).</t>
  </si>
  <si>
    <t xml:space="preserve">SELL STOP at 1940.42 filled at 1940.410 ($0.01 worse). SL $6.00 away = $42 risk. Price went against it; stopped at 1946.450 after 2h45m: -$42.28 (-1.01R).</t>
  </si>
  <si>
    <t xml:space="preserve">BUY STOP at 1953.87 filled at 1953.950 ($0.08 worse). SL $6.00 away = $42 risk. Price went against it; stopped at 1947.870 after 2h05m: -$42.56 (-1.01R).</t>
  </si>
  <si>
    <t xml:space="preserve">SELL STOP at 1939.16 filled at 1939.160 ($0.00 better). SL $6.00 away = $42 risk. Closed by the EA itself (account guard / blackout / instant close) at 1938.740 after 1m41s: +$2.94 (+0.07R).</t>
  </si>
  <si>
    <t xml:space="preserve">SELL STOP at 1949.57 filled at 1949.560 ($0.01 worse). SL $6.00 away = $42 risk. Closed by the EA itself (account guard / blackout / instant close) at 1932.470 after 11h13m: +$119.63 (+2.85R).</t>
  </si>
  <si>
    <t xml:space="preserve">SELL STOP at 1926.46 filled at 1926.450 ($0.01 worse). SL $6.00 away = $48 risk. Closed by the EA itself (account guard / blackout / instant close) at 1926.060 after 1h53m: +$3.12 (+0.07R).</t>
  </si>
  <si>
    <t xml:space="preserve">SELL STOP at 1913.14 filled at 1913.110 ($0.03 worse). SL $6.00 away = $48 risk. Price went against it; stopped at 1919.220 after 35m44s: -$48.88 (-1.02R).</t>
  </si>
  <si>
    <t xml:space="preserve">SELL STOP at 1901.38 filled at 1901.360 ($0.02 worse). SL $6.00 away = $42 risk. Closed by the EA itself (account guard / blackout / instant close) at 1900.970 after 1h35m: +$2.73 (+0.06R).</t>
  </si>
  <si>
    <t xml:space="preserve">BUY STOP at 1900.66 filled at 1900.740 ($0.08 worse). SL $6.00 away = $42 risk. Closed by the EA itself (account guard / blackout / instant close) at 1901.220 after 1h08m: +$3.36 (+0.08R).</t>
  </si>
  <si>
    <t xml:space="preserve">SELL STOP at 1895.61 filled at 1895.530 ($0.08 worse). SL $6.00 away = $42 risk. Closed by the EA itself (account guard / blackout / instant close) at 1895.120 after 24m30s: +$2.87 (+0.07R).</t>
  </si>
  <si>
    <t xml:space="preserve">SELL STOP at 1881.25 filled at 1880.790 ($0.46 worse). SL $6.00 away = $42 risk. Closed by the EA itself (account guard / blackout / instant close) at 1880.310 after 1h07m: +$3.36 (+0.08R).</t>
  </si>
  <si>
    <t xml:space="preserve">BUY STOP at 1879.19 filled at 1879.210 ($0.02 worse). SL $6.00 away = $42 risk. Closed by the EA itself (account guard / blackout / instant close) at 1894.830 after 12h26m: +$109.34 (+2.60R).</t>
  </si>
  <si>
    <t xml:space="preserve">BUY STOP at 1896.61 filled at 1896.630 ($0.02 worse). SL $6.00 away = $48 risk. Closed by the EA itself (account guard / blackout / instant close) at 1902.910 after 19h05m: +$50.24 (+1.05R).</t>
  </si>
  <si>
    <t xml:space="preserve">SELL STOP at 1892.47 filled at 1892.460 ($0.01 worse). SL $6.00 away = $48 risk. Closed by the EA itself (account guard / blackout / instant close) at 1891.970 after 2m33s: +$3.92 (+0.08R).</t>
  </si>
  <si>
    <t xml:space="preserve">SELL STOP at 1882.62 filled at 1882.620 ($0.00 better). SL $6.00 away = $48 risk. Closed by the EA itself (account guard / blackout / instant close) at 1882.140 after 2h30m: +$3.84 (+0.08R).</t>
  </si>
  <si>
    <t xml:space="preserve">SELL STOP at 1857.33 filled at 1857.320 ($0.01 worse). SL $6.00 away = $48 risk. Closed by the EA itself (account guard / blackout / instant close) at 1856.820 after 51m25s: +$4.00 (+0.08R).</t>
  </si>
  <si>
    <t xml:space="preserve">SELL STOP at 1862.33 filled at 1862.260 ($0.07 worse). SL $6.00 away = $48 risk. Price went against it; stopped at 1868.360 after 1h02m: -$48.80 (-1.02R).</t>
  </si>
  <si>
    <t xml:space="preserve">BUY STOP at 1878.00 filled at 1878.150 ($0.15 worse). SL $6.00 away = $48 risk. Closed by the EA itself (account guard / blackout / instant close) at 1878.650 after 38s: +$4.00 (+0.08R).</t>
  </si>
  <si>
    <t xml:space="preserve">BUY STOP at 1889.66 filled at 1889.690 ($0.03 worse). SL $6.00 away = $48 risk. Closed by the EA itself (account guard / blackout / instant close) at 1890.170 after 9h03m: +$3.84 (+0.08R).</t>
  </si>
  <si>
    <t xml:space="preserve">SELL STOP at 1872.36 filled at 1872.350 ($0.01 worse). SL $6.00 away = $48 risk. Closed by the EA itself (account guard / blackout / instant close) at 1871.870 after 19m24s: +$3.84 (+0.08R).</t>
  </si>
  <si>
    <t xml:space="preserve">BUY STOP at 1877.79 filled at 1877.880 ($0.09 worse). SL $6.00 away = $48 risk. Closed by the EA itself (account guard / blackout / instant close) at 1878.310 after 4h27m: +$3.44 (+0.07R).</t>
  </si>
  <si>
    <t xml:space="preserve">SELL STOP at 1870.53 filled at 1870.440 ($0.09 worse). SL $6.00 away = $48 risk. Closed by the EA itself (account guard / blackout / instant close) at 1870.060 after 1h21m: +$3.04 (+0.06R).</t>
  </si>
  <si>
    <t xml:space="preserve">SELL STOP at 1866.00 filled at 1865.550 ($0.45 worse). SL $6.00 away = $48 risk. Closed by the EA itself (account guard / blackout / instant close) at 1865.050 after 52m22s: +$4.00 (+0.08R).</t>
  </si>
  <si>
    <t xml:space="preserve">BUY STOP at 1865.21 filled at 1865.280 ($0.07 worse). SL $6.00 away = $48 risk. Price went against it; stopped at 1859.210 after 1h57m: -$48.56 (-1.01R).</t>
  </si>
  <si>
    <t xml:space="preserve">SELL STOP at 1851.56 filled at 1850.010 ($1.55 worse). SL $6.00 away = $48 risk. Closed by the EA itself (account guard / blackout / instant close) at 1849.560 after 9m47s: +$3.60 (+0.07R).</t>
  </si>
  <si>
    <t xml:space="preserve">SELL STOP at 1835.39 filled at 1835.310 ($0.08 worse). SL $6.00 away = $48 risk. Closed by the EA itself (account guard / blackout / instant close) at 1834.810 after 1h56m: +$4.00 (+0.08R).</t>
  </si>
  <si>
    <t xml:space="preserve">BUY STOP at 1839.37 filled at 1839.460 ($0.09 worse). SL $6.00 away = $48 risk. Closed by the EA itself (account guard / blackout / instant close) at 1839.850 after 6h25m: +$3.12 (+0.07R).</t>
  </si>
  <si>
    <t xml:space="preserve">BUY STOP at 1858.02 filled at 1858.040 ($0.02 worse). SL $6.00 away = $48 risk. Price went against it; stopped at 1852.000 after 2h24m: -$48.32 (-1.01R).</t>
  </si>
  <si>
    <t xml:space="preserve">BUY STOP at 1853.53 filled at 1853.530 ($0.00 better). SL $6.00 away = $48 risk. Price went against it; stopped at 1847.520 after 34m05s: -$48.08 (-1.00R).</t>
  </si>
  <si>
    <t xml:space="preserve">SELL STOP at 1821.22 filled at 1821.080 ($0.14 worse). SL $6.00 away = $42 risk. Closed by the EA itself (account guard / blackout / instant close) at 1820.620 after 37m08s: +$3.22 (+0.08R).</t>
  </si>
  <si>
    <t xml:space="preserve">SELL STOP at 1824.62 filled at 1824.530 ($0.09 worse). SL $6.00 away = $48 risk. Closed by the EA itself (account guard / blackout / instant close) at 1824.090 after 29m48s: +$3.52 (+0.07R).</t>
  </si>
  <si>
    <t xml:space="preserve">SELL STOP at 1806.46 filled at 1806.450 ($0.01 worse). SL $6.00 away = $48 risk. Closed by the EA itself (account guard / blackout / instant close) at 1806.020 after 3h22m: +$3.44 (+0.07R).</t>
  </si>
  <si>
    <t xml:space="preserve">BUY STOP at 1826.83 filled at 1826.850 ($0.02 worse). SL $6.00 away = $48 risk. Closed by the EA itself (account guard / blackout / instant close) at 1827.350 after 23m18s: +$4.00 (+0.08R).</t>
  </si>
  <si>
    <t xml:space="preserve">BUY STOP at 1828.76 filled at 1828.770 ($0.01 worse). SL $6.00 away = $48 risk. Closed by the EA itself (account guard / blackout / instant close) at 1829.220 after 6h30m: +$3.60 (+0.07R).</t>
  </si>
  <si>
    <t xml:space="preserve">SELL STOP at 1812.78 filled at 1812.780 ($0.00 better). SL $6.00 away = $48 risk. Closed by the EA itself (account guard / blackout / instant close) at 1812.280 after 43m14s: +$4.00 (+0.08R).</t>
  </si>
  <si>
    <t xml:space="preserve">SELL STOP at 1807.78 filled at 1807.780 ($0.00 better). SL $6.00 away = $48 risk. Price went against it; stopped at 1813.780 after 40m37s: -$48.00 (-1.00R).</t>
  </si>
  <si>
    <t xml:space="preserve">SELL STOP at 1813.01 filled at 1812.950 ($0.06 worse). SL $6.00 away = $42 risk. Price went against it; stopped at 1819.340 after 2h44m: -$44.73 (-1.06R).</t>
  </si>
  <si>
    <t xml:space="preserve">BUY STOP at 1824.61 filled at 1824.860 ($0.25 worse). SL $6.00 away = $42 risk. Closed by the EA itself (account guard / blackout / instant close) at 1825.360 after 9m25s: +$3.50 (+0.08R).</t>
  </si>
  <si>
    <t xml:space="preserve">BUY STOP at 1846.65 filled at 1846.760 ($0.11 worse). SL $6.00 away = $42 risk. Closed by the EA itself (account guard / blackout / instant close) at 1847.260 after 1h07m: +$3.50 (+0.08R).</t>
  </si>
  <si>
    <t xml:space="preserve">SELL STOP at 1853.67 filled at 1853.430 ($0.24 worse). SL $6.00 away = $42 risk. Price went against it; stopped at 1859.740 after 2h18m: -$44.17 (-1.05R).</t>
  </si>
  <si>
    <t xml:space="preserve">SELL STOP at 1854.52 filled at 1854.340 ($0.18 worse). SL $6.00 away = $42 risk. Closed by the EA itself (account guard / blackout / instant close) at 1853.850 after 1h00m: +$3.43 (+0.08R).</t>
  </si>
  <si>
    <t xml:space="preserve">BUY STOP at 1865.33 filled at 1865.640 ($0.31 worse). SL $6.00 away = $42 risk. Closed by the EA itself (account guard / blackout / instant close) at 1865.870 after 20m26s: +$1.61 (+0.04R).</t>
  </si>
  <si>
    <t xml:space="preserve">SELL STOP at 1858.73 filled at 1858.700 ($0.03 worse). SL $6.00 away = $42 risk. Closed by the EA itself (account guard / blackout / instant close) at 1858.280 after 27m53s: +$2.94 (+0.07R).</t>
  </si>
  <si>
    <t xml:space="preserve">SELL STOP at 1849.21 filled at 1848.680 ($0.53 worse). SL $6.00 away = $42 risk. Closed by the EA itself (account guard / blackout / instant close) at 1848.250 after 4h28m: +$3.01 (+0.07R).</t>
  </si>
  <si>
    <t xml:space="preserve">SELL STOP at 1842.75 filled at 1842.710 ($0.04 worse). SL $6.00 away = $42 risk. Price went against it; stopped at 1848.780 after 2h25m: -$42.49 (-1.01R).</t>
  </si>
  <si>
    <t xml:space="preserve">BUY STOP at 1854.22 filled at 1854.280 ($0.06 worse). SL $6.00 away = $42 risk. Closed by the EA itself (account guard / blackout / instant close) at 1854.760 after 13m26s: +$3.36 (+0.08R).</t>
  </si>
  <si>
    <t xml:space="preserve">BUY STOP at 1855.67 filled at 1855.680 ($0.01 worse). SL $6.00 away = $42 risk. Closed by the EA itself (account guard / blackout / instant close) at 1856.180 after 1h12m: +$3.50 (+0.08R).</t>
  </si>
  <si>
    <t xml:space="preserve">BUY STOP at 1861.84 filled at 1861.900 ($0.06 worse). SL $6.00 away = $42 risk. Price went against it; stopped at 1855.810 after 6h21m: -$42.63 (-1.01R).</t>
  </si>
  <si>
    <t xml:space="preserve">SELL STOP at 1848.01 filled at 1847.900 ($0.11 worse). SL $6.00 away = $42 risk. Price went against it; stopped at 1854.020 after 5h04m: -$42.84 (-1.02R).</t>
  </si>
  <si>
    <t xml:space="preserve">BUY STOP at 1854.37 filled at 1854.420 ($0.05 worse). SL $6.00 away = $42 risk. Closed by the EA itself (account guard / blackout / instant close) at 1854.880 after 2h39m: +$3.22 (+0.08R).</t>
  </si>
  <si>
    <t xml:space="preserve">SELL STOP at 1834.86 filled at 1834.690 ($0.17 worse). SL $6.00 away = $42 risk. Closed by the EA itself (account guard / blackout / instant close) at 1834.240 after 6h12m: +$3.15 (+0.07R).</t>
  </si>
  <si>
    <t xml:space="preserve">BUY STOP at 1836.62 filled at 1836.650 ($0.03 worse). SL $6.00 away = $42 risk. Price went against it; stopped at 1830.620 after 1h53m: -$42.21 (-1.00R).</t>
  </si>
  <si>
    <t xml:space="preserve">BUY STOP at 1848.91 filled at 1848.910 ($0.00 better). SL $6.00 away = $42 risk. Closed by the EA itself (account guard / blackout / instant close) at 1869.640 after 13h14m: +$145.11 (+3.45R).</t>
  </si>
  <si>
    <t xml:space="preserve">BUY STOP at 1870.34 filled at 1870.340 ($0.00 better). SL $6.00 away = $42 risk. Closed by the EA itself (account guard / blackout / instant close) at 1870.810 after 1h31m: +$3.29 (+0.08R).</t>
  </si>
  <si>
    <t xml:space="preserve">BUY STOP at 1869.07 filled at 1869.120 ($0.05 worse). SL $6.00 away = $42 risk. Price went against it; stopped at 1863.030 after 6h23m: -$42.63 (-1.01R).</t>
  </si>
  <si>
    <t xml:space="preserve">SELL STOP at 1853.77 filled at 1853.720 ($0.05 worse). SL $6.00 away = $42 risk. Closed by the EA itself (account guard / blackout / instant close) at 1853.230 after 1h41m: +$3.43 (+0.08R).</t>
  </si>
  <si>
    <t xml:space="preserve">SELL STOP at 1847.27 filled at 1847.090 ($0.18 worse). SL $6.00 away = $42 risk. Closed by the EA itself (account guard / blackout / instant close) at 1842.330 after 5h13m: +$33.32 (+0.79R).</t>
  </si>
  <si>
    <t xml:space="preserve">SELL STOP at 1838.68 filled at 1838.670 ($0.01 worse). SL $6.00 away = $42 risk. Price went against it; stopped at 1844.700 after 1h08m: -$42.21 (-1.00R).</t>
  </si>
  <si>
    <t xml:space="preserve">SELL STOP at 1845.66 filled at 1845.660 ($0.00 better). SL $6.00 away = $42 risk. Price went against it; stopped at 1851.690 after 13m09s: -$42.21 (-1.00R).</t>
  </si>
  <si>
    <t xml:space="preserve">BUY STOP at 1855.46 filled at 1855.820 ($0.36 worse). SL $6.00 away = $42 risk. Closed by the EA itself (account guard / blackout / instant close) at 1856.310 after 2h52m: +$3.43 (+0.08R).</t>
  </si>
  <si>
    <t xml:space="preserve">SELL STOP at 1850.76 filled at 1850.750 ($0.01 worse). SL $6.00 away = $42 risk. Closed by the EA itself (account guard / blackout / instant close) at 1850.250 after 2h22m: +$3.50 (+0.08R).</t>
  </si>
  <si>
    <t xml:space="preserve">SELL STOP at 1844.48 filled at 1844.410 ($0.07 worse). SL $6.00 away = $42 risk. Price went against it; stopped at 1850.480 after 21m10s: -$42.49 (-1.01R).</t>
  </si>
  <si>
    <t xml:space="preserve">BUY STOP at 1845.92 filled at 1845.940 ($0.02 worse). SL $6.00 away = $42 risk. Price went against it; stopped at 1839.670 after 5h17m: -$43.89 (-1.04R).</t>
  </si>
  <si>
    <t xml:space="preserve">BUY STOP at 1855.27 filled at 1855.400 ($0.13 worse). SL $6.00 away = $42 risk. Closed by the EA itself (account guard / blackout / instant close) at 1855.860 after 9m38s: +$3.22 (+0.08R).</t>
  </si>
  <si>
    <t xml:space="preserve">BUY STOP at 1866.09 filled at 1866.100 ($0.01 worse). SL $6.00 away = $42 risk. Price went against it; stopped at 1860.090 after 1h29m: -$42.07 (-1.00R).</t>
  </si>
  <si>
    <t xml:space="preserve">SELL STOP at 1824.95 filled at 1824.040 ($0.91 worse). SL $6.00 away = $42 risk. Price went against it; stopped at 1830.960 after 1h33m: -$48.44 (-1.15R).</t>
  </si>
  <si>
    <t xml:space="preserve">BUY STOP at 1828.16 filled at 1828.190 ($0.03 worse). SL $6.00 away = $42 risk. Closed by the EA itself (account guard / blackout / instant close) at 1828.650 after 1h10m: +$3.22 (+0.08R).</t>
  </si>
  <si>
    <t xml:space="preserve">BUY STOP at 1818.86 filled at 1818.880 ($0.02 worse). SL $6.00 away = $42 risk. Closed by the EA itself (account guard / blackout / instant close) at 1819.370 after 50m17s: +$3.43 (+0.08R).</t>
  </si>
  <si>
    <t xml:space="preserve">BUY STOP at 1831.54 filled at 1831.950 ($0.41 worse). SL $6.00 away = $42 risk. Closed by the EA itself (account guard / blackout / instant close) at 1832.440 after 33m37s: +$3.43 (+0.08R).</t>
  </si>
  <si>
    <t xml:space="preserve">SELL STOP at 1829.71 filled at 1829.680 ($0.03 worse). SL $6.00 away = $42 risk. Closed by the EA itself (account guard / blackout / instant close) at 1829.240 after 47m07s: +$3.08 (+0.07R).</t>
  </si>
  <si>
    <t xml:space="preserve">BUY STOP at 1841.84 filled at 1841.840 ($0.00 better). SL $6.00 away = $42 risk. Closed by the EA itself (account guard / blackout / instant close) at 1850.900 after 3h53m: +$63.42 (+1.51R).</t>
  </si>
  <si>
    <t xml:space="preserve">BUY STOP at 1847.18 filled at 1847.200 ($0.02 worse). SL $6.00 away = $42 risk. Closed by the EA itself (account guard / blackout / instant close) at 1847.660 after 3h51m: +$3.22 (+0.08R).</t>
  </si>
  <si>
    <t xml:space="preserve">SELL STOP at 1841.65 filled at 1841.650 ($0.00 better). SL $6.00 away = $42 risk. Closed by the EA itself (account guard / blackout / instant close) at 1841.150 after 2h21m: +$3.50 (+0.08R).</t>
  </si>
  <si>
    <t xml:space="preserve">SELL STOP at 1834.49 filled at 1833.800 ($0.69 worse). SL $6.00 away = $42 risk. Closed by the EA itself (account guard / blackout / instant close) at 1833.300 after 6h10m: +$3.50 (+0.08R).</t>
  </si>
  <si>
    <t xml:space="preserve">BUY STOP at 1840.74 filled at 1840.760 ($0.02 worse). SL $6.00 away = $42 risk. Closed by the EA itself (account guard / blackout / instant close) at 1841.200 after 41m35s: +$3.08 (+0.07R).</t>
  </si>
  <si>
    <t xml:space="preserve">SELL STOP at 1828.42 filled at 1827.970 ($0.45 worse). SL $6.00 away = $42 risk. Closed by the EA itself (account guard / blackout / instant close) at 1827.490 after 2h38m: +$3.36 (+0.08R).</t>
  </si>
  <si>
    <t xml:space="preserve">SELL STOP at 1824.35 filled at 1824.350 ($0.00 better). SL $6.00 away = $42 risk. Price went against it; stopped at 1830.530 after 1h27m: -$43.26 (-1.03R).</t>
  </si>
  <si>
    <t xml:space="preserve">SELL STOP at 1830.96 filled at 1830.940 ($0.02 worse). SL $6.00 away = $42 risk. Closed by the EA itself (account guard / blackout / instant close) at 1830.450 after 2h36m: +$3.43 (+0.08R).</t>
  </si>
  <si>
    <t xml:space="preserve">SELL STOP at 1823.29 filled at 1823.290 ($0.00 better). SL $6.00 away = $42 risk. Closed by the EA itself (account guard / blackout / instant close) at 1826.720 after 57m00s: -$24.01 (-0.57R).</t>
  </si>
  <si>
    <t xml:space="preserve">SELL STOP at 1822.39 filled at 1822.360 ($0.03 worse). SL $6.00 away = $42 risk. Price went against it; stopped at 1828.430 after 7h10m: -$42.49 (-1.01R).</t>
  </si>
  <si>
    <t xml:space="preserve">BUY STOP at 1836.78 filled at 1836.800 ($0.02 worse). SL $6.00 away = $42 risk. Closed by the EA itself (account guard / blackout / instant close) at 1837.270 after 55m22s: +$3.29 (+0.08R).</t>
  </si>
  <si>
    <t xml:space="preserve">BUY STOP at 1826.88 filled at 1826.890 ($0.01 worse). SL $6.00 away = $42 risk. Closed by the EA itself (account guard / blackout / instant close) at 1827.350 after 44m21s: +$3.22 (+0.08R).</t>
  </si>
  <si>
    <t xml:space="preserve">SELL STOP at 1820.68 filled at 1820.400 ($0.28 worse). SL $6.00 away = $42 risk. Price went against it; stopped at 1826.770 after 45m04s: -$44.59 (-1.06R).</t>
  </si>
  <si>
    <t xml:space="preserve">SELL STOP at 1818.27 filled at 1818.260 ($0.01 worse). SL $6.00 away = $42 risk. Closed by the EA itself (account guard / blackout / instant close) at 1817.780 after 7h18m: +$3.36 (+0.08R).</t>
  </si>
  <si>
    <t xml:space="preserve">BUY STOP at 1822.28 filled at 1822.540 ($0.26 worse). SL $6.00 away = $42 risk. Closed by the EA itself (account guard / blackout / instant close) at 1822.700 after 3h05m: +$1.12 (+0.03R).</t>
  </si>
  <si>
    <t xml:space="preserve">BUY STOP at 1817.25 filled at 1817.260 ($0.01 worse). SL $6.00 away = $42 risk. Price went against it; stopped at 1810.970 after 3h35m: -$44.03 (-1.05R).</t>
  </si>
  <si>
    <t xml:space="preserve">SELL STOP at 1802.62 filled at 1802.550 ($0.07 worse). SL $6.00 away = $42 risk. Closed by the EA itself (account guard / blackout / instant close) at 1802.120 after 10h32m: +$3.01 (+0.07R).</t>
  </si>
  <si>
    <t xml:space="preserve">BUY STOP at 1803.00 filled at 1803.000 ($0.00 better). SL $6.00 away = $42 risk. Closed by the EA itself (account guard / blackout / instant close) at 1803.460 after 1h59m: +$3.22 (+0.08R).</t>
  </si>
  <si>
    <t xml:space="preserve">SELL STOP at 1810.60 filled at 1810.510 ($0.09 worse). SL $6.00 away = $42 risk. Closed by the EA itself (account guard / blackout / instant close) at 1810.040 after 7h49m: +$3.29 (+0.08R).</t>
  </si>
  <si>
    <t xml:space="preserve">SELL STOP at 1810.10 filled at 1810.100 ($0.00 better). SL $6.00 away = $42 risk. Reached the take profit at 1778.430 after 7h40m: +$221.69 (+5.28R).</t>
  </si>
  <si>
    <t xml:space="preserve">SELL STOP at 1763.75 filled at 1763.690 ($0.06 worse). SL $6.00 away = $42 risk. Price went against it; stopped at 1769.770 after 1h09m: -$42.56 (-1.01R).</t>
  </si>
  <si>
    <t xml:space="preserve">SELL STOP at 1763.00 filled at 1763.000 ($0.00 better). SL $6.00 away = $42 risk. Closed by the EA itself (account guard / blackout / instant close) at 1762.520 after 21m12s: +$3.36 (+0.08R).</t>
  </si>
  <si>
    <t xml:space="preserve">SELL STOP at 1743.92 filled at 1743.900 ($0.02 worse). SL $6.00 away = $42 risk. Closed by the EA itself (account guard / blackout / instant close) at 1743.420 after 36m55s: +$3.36 (+0.08R).</t>
  </si>
  <si>
    <t xml:space="preserve">BUY STOP at 1743.36 filled at 1743.410 ($0.05 worse). SL $6.00 away = $42 risk. Price went against it; stopped at 1737.310 after 1h35m: -$42.70 (-1.02R).</t>
  </si>
  <si>
    <t xml:space="preserve">SELL STOP at 1736.36 filled at 1735.910 ($0.45 worse). SL $6.00 away = $42 risk. Closed by the EA itself (account guard / blackout / instant close) at 1735.440 after 8m15s: +$3.29 (+0.08R).</t>
  </si>
  <si>
    <t xml:space="preserve">SELL STOP at 1739.70 filled at 1739.700 ($0.00 better). SL $6.00 away = $42 risk. Closed by the EA itself (account guard / blackout / instant close) at 1739.200 after 2h46m: +$3.50 (+0.08R).</t>
  </si>
  <si>
    <t xml:space="preserve">SELL STOP at 1732.92 filled at 1732.900 ($0.02 worse). SL $6.00 away = $42 risk. Closed by the EA itself (account guard / blackout / instant close) at 1733.970 after 1h45m: -$7.49 (-0.18R).</t>
  </si>
  <si>
    <t xml:space="preserve">SELL STOP at 1731.13 filled at 1730.770 ($0.36 worse). SL $6.00 away = $42 risk. Closed by the EA itself (account guard / blackout / instant close) at 1730.270 after 2m11s: +$3.50 (+0.08R).</t>
  </si>
  <si>
    <t xml:space="preserve">BUY STOP at 1733.33 filled at 1733.350 ($0.02 worse). SL $6.00 away = $42 risk. Closed by the EA itself (account guard / blackout / instant close) at 1733.840 after 26m21s: +$3.43 (+0.08R).</t>
  </si>
  <si>
    <t xml:space="preserve">SELL STOP at 1723.05 filled at 1723.050 ($0.00 better). SL $6.00 away = $42 risk. Price went against it; stopped at 1729.060 after 2h04m: -$42.07 (-1.00R).</t>
  </si>
  <si>
    <t xml:space="preserve">SELL STOP at 1724.10 filled at 1724.090 ($0.01 worse). SL $6.00 away = $42 risk. Price went against it; stopped at 1730.130 after 2h56m: -$42.28 (-1.01R).</t>
  </si>
  <si>
    <t xml:space="preserve">SELL STOP at 1726.06 filled at 1726.060 ($0.00 better). SL $6.00 away = $42 risk. Closed by the EA itself (account guard / blackout / instant close) at 1725.660 after 14m00s: +$2.80 (+0.07R).</t>
  </si>
  <si>
    <t xml:space="preserve">SELL STOP at 1706.95 filled at 1706.880 ($0.07 worse). SL $6.00 away = $42 risk. Closed by the EA itself (account guard / blackout / instant close) at 1706.390 after 2m11s: +$3.43 (+0.08R).</t>
  </si>
  <si>
    <t xml:space="preserve">SELL STOP at 1707.38 filled at 1707.330 ($0.05 worse). SL $6.00 away = $42 risk. Closed by the EA itself (account guard / blackout / instant close) at 1706.830 after 4h51m: +$3.50 (+0.08R).</t>
  </si>
  <si>
    <t xml:space="preserve">BUY STOP at 1716.52 filled at 1716.540 ($0.02 worse). SL $6.00 away = $42 risk. Closed by the EA itself (account guard / blackout / instant close) at 1716.980 after 7h22m: +$3.08 (+0.07R).</t>
  </si>
  <si>
    <t xml:space="preserve">SELL STOP at 1705.76 filled at 1705.760 ($0.00 better). SL $6.00 away = $42 risk. Price went against it; stopped at 1711.760 after 7h42m: -$42.00 (-1.00R).</t>
  </si>
  <si>
    <t xml:space="preserve">SELL STOP at 1708.12 filled at 1708.030 ($0.09 worse). SL $6.00 away = $42 risk. Price went against it; stopped at 1714.190 after 3h34m: -$43.12 (-1.03R).</t>
  </si>
  <si>
    <t xml:space="preserve">SELL STOP at 1705.22 filled at 1705.180 ($0.04 worse). SL $6.00 away = $42 risk. Closed by the EA itself (account guard / blackout / instant close) at 1700.630 after 2h30m: +$31.85 (+0.76R).</t>
  </si>
  <si>
    <t xml:space="preserve">SELL STOP at 1692.34 filled at 1692.340 ($0.00 better). SL $6.00 away = $42 risk. Closed by the EA itself (account guard / blackout / instant close) at 1691.840 after 58m43s: +$3.50 (+0.08R).</t>
  </si>
  <si>
    <t xml:space="preserve">SELL STOP at 1690.80 filled at 1690.750 ($0.05 worse). SL $6.00 away = $42 risk. Closed by the EA itself (account guard / blackout / instant close) at 1690.320 after 57m41s: +$3.01 (+0.07R).</t>
  </si>
  <si>
    <t xml:space="preserve">BUY STOP at 1716.74 filled at 1716.800 ($0.06 worse). SL $6.00 away = $42 risk. Closed by the EA itself (account guard / blackout / instant close) at 1717.290 after 35m16s: +$3.43 (+0.08R).</t>
  </si>
  <si>
    <t xml:space="preserve">BUY STOP at 1720.24 filled at 1720.270 ($0.03 worse). SL $6.00 away = $42 risk. Closed by the EA itself (account guard / blackout / instant close) at 1720.770 after 10h53m: +$3.50 (+0.08R).</t>
  </si>
  <si>
    <t xml:space="preserve">BUY STOP at 1727.77 filled at 1727.790 ($0.02 worse). SL $6.00 away = $42 risk. Closed by the EA itself (account guard / blackout / instant close) at 1728.280 after 1h34m: +$3.43 (+0.08R).</t>
  </si>
  <si>
    <t xml:space="preserve">BUY STOP at 1724.13 filled at 1724.160 ($0.03 worse). SL $6.00 away = $42 risk. Closed by the EA itself (account guard / blackout / instant close) at 1724.640 after 22m07s: +$3.36 (+0.08R).</t>
  </si>
  <si>
    <t xml:space="preserve">SELL STOP at 1714.65 filled at 1714.620 ($0.03 worse). SL $6.00 away = $42 risk. Price went against it; stopped at 1720.950 after 13m25s: -$44.31 (-1.05R).</t>
  </si>
  <si>
    <t xml:space="preserve">BUY STOP at 1719.68 filled at 1719.710 ($0.03 worse). SL $6.00 away = $42 risk. Closed by the EA itself (account guard / blackout / instant close) at 1720.150 after 1h09m: +$3.08 (+0.07R).</t>
  </si>
  <si>
    <t xml:space="preserve">SELL STOP at 1713.53 filled at 1713.490 ($0.04 worse). SL $6.00 away = $42 risk. Price went against it; stopped at 1719.540 after 1h23m: -$42.35 (-1.01R).</t>
  </si>
  <si>
    <t xml:space="preserve">BUY STOP at 1740.14 filled at 1740.150 ($0.01 worse). SL $6.00 away = $42 risk. Price went against it; stopped at 1733.980 after 2h36m: -$43.19 (-1.03R).</t>
  </si>
  <si>
    <t xml:space="preserve">BUY STOP at 1757.00 filled at 1757.020 ($0.02 worse). SL $6.00 away = $42 risk. Closed by the EA itself (account guard / blackout / instant close) at 1757.330 after 6h42m: +$2.17 (+0.05R).</t>
  </si>
  <si>
    <t xml:space="preserve">BUY STOP at 1762.36 filled at 1762.360 ($0.00 better). SL $6.00 away = $42 risk. Closed by the EA itself (account guard / blackout / instant close) at 1762.850 after 41m27s: +$3.43 (+0.08R).</t>
  </si>
  <si>
    <t xml:space="preserve">BUY STOP at 1767.78 filled at 1769.460 ($1.68 worse). SL $6.00 away = $42 risk. Closed by the EA itself (account guard / blackout / instant close) at 1769.900 after 2h54m: +$3.08 (+0.07R).</t>
  </si>
  <si>
    <t xml:space="preserve">BUY STOP at 1775.31 filled at 1775.310 ($0.00 better). SL $6.00 away = $42 risk. Closed by the EA itself (account guard / blackout / instant close) at 1775.800 after 2h20m: +$3.43 (+0.08R).</t>
  </si>
  <si>
    <t xml:space="preserve">BUY STOP at 1774.76 filled at 1774.900 ($0.14 worse). SL $6.00 away = $42 risk. Closed by the EA itself (account guard / blackout / instant close) at 1775.380 after 7h22m: +$3.36 (+0.08R).</t>
  </si>
  <si>
    <t xml:space="preserve">SELL STOP at 1766.94 filled at 1766.940 ($0.00 better). SL $6.00 away = $42 risk. Closed by the EA itself (account guard / blackout / instant close) at 1766.470 after 2h28m: +$3.29 (+0.08R).</t>
  </si>
  <si>
    <t xml:space="preserve">BUY STOP at 1772.66 filled at 1773.360 ($0.70 worse). SL $6.00 away = $42 risk. Closed by the EA itself (account guard / blackout / instant close) at 1793.230 after 13h51m: +$139.09 (+3.31R).</t>
  </si>
  <si>
    <t xml:space="preserve">BUY STOP at 1794.90 filled at 1794.900 ($0.00 better). SL $6.00 away = $42 risk. Price went against it; stopped at 1788.870 after 59m24s: -$42.21 (-1.00R).</t>
  </si>
  <si>
    <t xml:space="preserve">SELL STOP at 1789.78 filled at 1789.780 ($0.00 better). SL $6.00 away = $42 risk. Closed by the EA itself (account guard / blackout / instant close) at 1789.280 after 6h08m: +$3.50 (+0.08R).</t>
  </si>
  <si>
    <t xml:space="preserve">BUY STOP at 1776.36 filled at 1776.390 ($0.03 worse). SL $6.00 away = $42 risk. Closed by the EA itself (account guard / blackout / instant close) at 1776.830 after 30m16s: +$3.08 (+0.07R).</t>
  </si>
  <si>
    <t xml:space="preserve">BUY STOP at 1789.92 filled at 1789.940 ($0.02 worse). SL $6.00 away = $42 risk. Price went against it; stopped at 1783.910 after 2h23m: -$42.21 (-1.00R).</t>
  </si>
  <si>
    <t xml:space="preserve">SELL STOP at 1785.21 filled at 1785.210 ($0.00 better). SL $6.00 away = $42 risk. Price went against it; stopped at 1791.280 after 1h44m: -$42.49 (-1.01R).</t>
  </si>
  <si>
    <t xml:space="preserve">SELL STOP at 1788.08 filled at 1788.080 ($0.00 better). SL $6.00 away = $42 risk. Price went against it; stopped at 1794.080 after 3h29m: -$42.00 (-1.00R).</t>
  </si>
  <si>
    <t xml:space="preserve">BUY STOP at 1800.36 filled at 1800.470 ($0.11 worse). SL $6.00 away = $42 risk. Closed by the EA itself (account guard / blackout / instant close) at 1800.820 after 4m45s: +$2.45 (+0.06R).</t>
  </si>
  <si>
    <t xml:space="preserve">SELL STOP at 1787.48 filled at 1787.470 ($0.01 worse). SL $6.00 away = $42 risk. Closed by the EA itself (account guard / blackout / instant close) at 1787.000 after 39m08s: +$3.29 (+0.08R).</t>
  </si>
  <si>
    <t xml:space="preserve">BUY STOP at 1786.98 filled at 1787.000 ($0.02 worse). SL $6.00 away = $42 risk. Closed by the EA itself (account guard / blackout / instant close) at 1787.280 after 9h14m: +$1.96 (+0.05R).</t>
  </si>
  <si>
    <t xml:space="preserve">BUY STOP at 1792.45 filled at 1792.460 ($0.01 worse). SL $6.00 away = $42 risk. Price went against it; stopped at 1786.450 after 2h35m: -$42.07 (-1.00R).</t>
  </si>
  <si>
    <t xml:space="preserve">BUY STOP at 1799.15 filled at 1799.310 ($0.16 worse). SL $6.00 away = $42 risk. Closed by the EA itself (account guard / blackout / instant close) at 1799.730 after 14m09s: +$2.94 (+0.07R).</t>
  </si>
  <si>
    <t xml:space="preserve">SELL STOP at 1791.97 filled at 1791.890 ($0.08 worse). SL $6.00 away = $42 risk. Closed by the EA itself (account guard / blackout / instant close) at 1779.450 after 13h04m: +$87.08 (+2.07R).</t>
  </si>
  <si>
    <t xml:space="preserve">BUY STOP at 1782.02 filled at 1782.020 ($0.00 better). SL $6.00 away = $42 risk. Price went against it; stopped at 1776.000 after 1h51m: -$42.14 (-1.00R).</t>
  </si>
  <si>
    <t xml:space="preserve">SELL STOP at 1772.82 filled at 1771.660 ($1.16 worse). SL $6.00 away = $42 risk. Closed by the EA itself (account guard / blackout / instant close) at 1777.230 after 6h42m: -$38.99 (-0.93R).</t>
  </si>
  <si>
    <t xml:space="preserve">SELL STOP at 1775.31 filled at 1775.290 ($0.02 worse). SL $6.00 away = $42 risk. Closed by the EA itself (account guard / blackout / instant close) at 1774.830 after 1h14m: +$3.22 (+0.08R).</t>
  </si>
  <si>
    <t xml:space="preserve">SELL STOP at 1771.37 filled at 1771.190 ($0.18 worse). SL $6.00 away = $42 risk. Closed by the EA itself (account guard / blackout / instant close) at 1770.720 after 1h40m: +$3.29 (+0.08R).</t>
  </si>
  <si>
    <t xml:space="preserve">SELL STOP at 1761.48 filled at 1761.440 ($0.04 worse). SL $6.00 away = $42 risk. Price went against it; stopped at 1767.490 after 3h02m: -$42.35 (-1.01R).</t>
  </si>
  <si>
    <t xml:space="preserve">SELL STOP at 1759.71 filled at 1759.700 ($0.01 worse). SL $6.00 away = $42 risk. Closed by the EA itself (account guard / blackout / instant close) at 1759.230 after 2h03m: +$3.29 (+0.08R).</t>
  </si>
  <si>
    <t xml:space="preserve">SELL STOP at 1755.22 filled at 1755.080 ($0.14 worse). SL $6.00 away = $42 risk. Closed by the EA itself (account guard / blackout / instant close) at 1754.580 after 5h29m: +$3.50 (+0.08R).</t>
  </si>
  <si>
    <t xml:space="preserve">BUY STOP at 1756.92 filled at 1756.920 ($0.00 better). SL $6.00 away = $42 risk. Price went against it; stopped at 1750.890 after 3h37m: -$42.21 (-1.00R).</t>
  </si>
  <si>
    <t xml:space="preserve">SELL STOP at 1742.72 filled at 1742.720 ($0.00 better). SL $6.00 away = $36 risk. Closed by the EA itself (account guard / blackout / instant close) at 1737.570 after 13h13m: +$30.90 (+0.86R).</t>
  </si>
  <si>
    <t xml:space="preserve">SELL STOP at 1735.65 filled at 1735.640 ($0.01 worse). SL $6.00 away = $42 risk. Price went against it; stopped at 1741.660 after 1h57m: -$42.14 (-1.00R).</t>
  </si>
  <si>
    <t xml:space="preserve">BUY STOP at 1748.96 filled at 1749.000 ($0.04 worse). SL $6.00 away = $36 risk. Closed by the EA itself (account guard / blackout / instant close) at 1749.440 after 11m43s: +$2.64 (+0.07R).</t>
  </si>
  <si>
    <t xml:space="preserve">SELL STOP at 1745.00 filled at 1744.960 ($0.04 worse). SL $6.00 away = $36 risk. Price went against it; stopped at 1751.020 after 2h32m: -$36.36 (-1.01R).</t>
  </si>
  <si>
    <t xml:space="preserve">BUY STOP at 1753.97 filled at 1753.970 ($0.00 better). SL $6.00 away = $36 risk. Price went against it; stopped at 1747.920 after 2h18m: -$36.30 (-1.01R).</t>
  </si>
  <si>
    <t xml:space="preserve">BUY STOP at 1755.80 filled at 1755.800 ($0.00 better). SL $6.00 away = $36 risk. Closed by the EA itself (account guard / blackout / instant close) at 1756.270 after 4h06m: +$2.82 (+0.08R).</t>
  </si>
  <si>
    <t xml:space="preserve">BUY STOP at 1758.65 filled at 1758.650 ($0.00 better). SL $6.00 away = $36 risk. Closed by the EA itself (account guard / blackout / instant close) at 1759.030 after 6h13m: +$2.28 (+0.06R).</t>
  </si>
  <si>
    <t xml:space="preserve">BUY STOP at 1757.29 filled at 1757.370 ($0.08 worse). SL $6.00 away = $36 risk. Price went against it; stopped at 1751.260 after 2h03m: -$36.66 (-1.02R).</t>
  </si>
  <si>
    <t xml:space="preserve">SELL STOP at 1749.83 filled at 1749.760 ($0.07 worse). SL $6.00 away = $36 risk. Closed by the EA itself (account guard / blackout / instant close) at 1749.340 after 2h38m: +$2.52 (+0.07R).</t>
  </si>
  <si>
    <t xml:space="preserve">SELL STOP at 1734.06 filled at 1733.970 ($0.09 worse). SL $6.00 away = $36 risk. Closed by the EA itself (account guard / blackout / instant close) at 1733.470 after 13h09m: +$3.00 (+0.08R).</t>
  </si>
  <si>
    <t xml:space="preserve">SELL STOP at 1733.51 filled at 1733.510 ($0.00 better). SL $6.00 away = $36 risk. Closed by the EA itself (account guard / blackout / instant close) at 1733.020 after 1h19m: +$2.94 (+0.08R).</t>
  </si>
  <si>
    <t xml:space="preserve">SELL STOP at 1721.10 filled at 1720.640 ($0.46 worse). SL $6.00 away = $36 risk. Closed by the EA itself (account guard / blackout / instant close) at 1720.140 after 12h50m: +$3.00 (+0.08R).</t>
  </si>
  <si>
    <t xml:space="preserve">SELL STOP at 1709.51 filled at 1709.510 ($0.00 better). SL $6.00 away = $36 risk. Closed by the EA itself (account guard / blackout / instant close) at 1709.190 after 3m26s: +$1.92 (+0.05R).</t>
  </si>
  <si>
    <t xml:space="preserve">SELL STOP at 1702.58 filled at 1702.580 ($0.00 better). SL $6.00 away = $36 risk. Price went against it; stopped at 1708.630 after 1h25m: -$36.30 (-1.01R).</t>
  </si>
  <si>
    <t xml:space="preserve">BUY STOP at 1711.31 filled at 1713.780 ($2.47 worse). SL $6.00 away = $36 risk. Price went against it; stopped at 1705.310 after 11s: -$50.82 (-1.41R).</t>
  </si>
  <si>
    <t xml:space="preserve">SELL STOP at 1710.89 filled at 1710.850 ($0.04 worse). SL $6.00 away = $36 risk. Closed by the EA itself (account guard / blackout / instant close) at 1710.370 after 1h05m: +$2.88 (+0.08R).</t>
  </si>
  <si>
    <t xml:space="preserve">BUY STOP at 1715.67 filled at 1715.700 ($0.03 worse). SL $6.00 away = $36 risk. Closed by the EA itself (account guard / blackout / instant close) at 1716.200 after 4h47m: +$3.00 (+0.08R).</t>
  </si>
  <si>
    <t xml:space="preserve">BUY STOP at 1719.01 filled at 1719.020 ($0.01 worse). SL $6.00 away = $36 risk. Price went against it; stopped at 1713.000 after 2h00m: -$36.12 (-1.00R).</t>
  </si>
  <si>
    <t xml:space="preserve">SELL STOP at 1699.71 filled at 1699.700 ($0.01 worse). SL $6.00 away = $36 risk. Closed by the EA itself (account guard / blackout / instant close) at 1699.200 after 6h28m: +$3.00 (+0.08R).</t>
  </si>
  <si>
    <t xml:space="preserve">BUY STOP at 1719.32 filled at 1719.340 ($0.02 worse). SL $6.00 away = $36 risk. Closed by the EA itself (account guard / blackout / instant close) at 1719.840 after 5h46m: +$3.00 (+0.08R).</t>
  </si>
  <si>
    <t xml:space="preserve">SELL STOP at 1713.77 filled at 1713.770 ($0.00 better). SL $6.00 away = $36 risk. Closed by the EA itself (account guard / blackout / instant close) at 1713.270 after 25m05s: +$3.00 (+0.08R).</t>
  </si>
  <si>
    <t xml:space="preserve">SELL STOP at 1718.78 filled at 1718.760 ($0.02 worse). SL $6.00 away = $36 risk. Price went against it; stopped at 1725.130 after 1h00m: -$38.22 (-1.06R).</t>
  </si>
  <si>
    <t xml:space="preserve">BUY STOP at 1728.10 filled at 1728.130 ($0.03 worse). SL $6.00 away = $36 risk. Price went against it; stopped at 1722.030 after 4h30m: -$36.60 (-1.02R).</t>
  </si>
  <si>
    <t xml:space="preserve">BUY STOP at 1715.70 filled at 1715.700 ($0.00 better). SL $6.00 away = $36 risk. Closed by the EA itself (account guard / blackout / instant close) at 1725.290 after 12h42m: +$57.54 (+1.60R).</t>
  </si>
  <si>
    <t xml:space="preserve">BUY STOP at 1722.76 filled at 1722.780 ($0.02 worse). SL $6.00 away = $36 risk. Closed by the EA itself (account guard / blackout / instant close) at 1723.230 after 40m41s: +$2.70 (+0.08R).</t>
  </si>
  <si>
    <t xml:space="preserve">SELL STOP at 1711.81 filled at 1711.800 ($0.01 worse). SL $6.00 away = $36 risk. Closed by the EA itself (account guard / blackout / instant close) at 1711.350 after 1m16s: +$2.70 (+0.08R).</t>
  </si>
  <si>
    <t xml:space="preserve">SELL STOP at 1699.12 filled at 1699.110 ($0.01 worse). SL $6.00 away = $36 risk. Price went against it; stopped at 1705.160 after 42m06s: -$36.30 (-1.01R).</t>
  </si>
  <si>
    <t xml:space="preserve">SELL STOP at 1696.93 filled at 1696.850 ($0.08 worse). SL $6.00 away = $36 risk. Closed by the EA itself (account guard / blackout / instant close) at 1694.750 after 1h02m: +$12.60 (+0.35R).</t>
  </si>
  <si>
    <t xml:space="preserve">SELL STOP at 1693.52 filled at 1693.290 ($0.23 worse). SL $6.00 away = $36 risk. Closed by the EA itself (account guard / blackout / instant close) at 1692.930 after 46m31s: +$2.16 (+0.06R).</t>
  </si>
  <si>
    <t xml:space="preserve">SELL STOP at 1685.94 filled at 1685.850 ($0.09 worse). SL $6.00 away = $36 risk. Closed by the EA itself (account guard / blackout / instant close) at 1685.350 after 5h20m: +$3.00 (+0.08R).</t>
  </si>
  <si>
    <t xml:space="preserve">SELL STOP at 1662.63 filled at 1662.600 ($0.03 worse). SL $6.00 away = $36 risk. Closed by the EA itself (account guard / blackout / instant close) at 1662.190 after 1h05m: +$2.46 (+0.07R).</t>
  </si>
  <si>
    <t xml:space="preserve">SELL STOP at 1666.67 filled at 1666.650 ($0.02 worse). SL $6.00 away = $36 risk. Closed by the EA itself (account guard / blackout / instant close) at 1666.300 after 2h34m: +$2.10 (+0.06R).</t>
  </si>
  <si>
    <t xml:space="preserve">SELL STOP at 1670.30 filled at 1670.290 ($0.01 worse). SL $6.00 away = $36 risk. Closed by the EA itself (account guard / blackout / instant close) at 1669.790 after 2h32m: +$3.00 (+0.08R).</t>
  </si>
  <si>
    <t xml:space="preserve">BUY STOP at 1666.24 filled at 1666.310 ($0.07 worse). SL $6.00 away = $36 risk. Closed by the EA itself (account guard / blackout / instant close) at 1666.730 after 8h35m: +$2.52 (+0.07R).</t>
  </si>
  <si>
    <t xml:space="preserve">SELL STOP at 1659.88 filled at 1659.700 ($0.18 worse). SL $6.00 away = $36 risk. Closed by the EA itself (account guard / blackout / instant close) at 1659.460 after 7m37s: +$1.44 (+0.04R).</t>
  </si>
  <si>
    <t xml:space="preserve">SELL STOP at 1659.19 filled at 1659.190 ($0.00 better). SL $6.00 away = $36 risk. Closed by the EA itself (account guard / blackout / instant close) at 1658.700 after 49m28s: +$2.94 (+0.08R).</t>
  </si>
  <si>
    <t xml:space="preserve">BUY STOP at 1672.41 filled at 1672.410 ($0.00 better). SL $6.00 away = $36 risk. Price went against it; stopped at 1666.410 after 1h39m: -$36.00 (-1.00R).</t>
  </si>
  <si>
    <t xml:space="preserve">SELL STOP at 1655.54 filled at 1654.740 ($0.80 worse). SL $6.00 away = $36 risk. Price went against it; stopped at 1661.610 after 5m36s: -$41.22 (-1.15R).</t>
  </si>
  <si>
    <t xml:space="preserve">SELL STOP at 1639.62 filled at 1639.000 ($0.62 worse). SL $6.00 away = $36 risk. Closed by the EA itself (account guard / blackout / instant close) at 1638.520 after 18m45s: +$2.88 (+0.08R).</t>
  </si>
  <si>
    <t xml:space="preserve">BUY STOP at 1640.21 filled at 1640.270 ($0.06 worse). SL $6.00 away = $36 risk. Closed by the EA itself (account guard / blackout / instant close) at 1640.760 after 1h10m: +$2.94 (+0.08R).</t>
  </si>
  <si>
    <t xml:space="preserve">SELL STOP at 1630.87 filled at 1630.870 ($0.00 better). SL $6.00 away = $36 risk. Closed by the EA itself (account guard / blackout / instant close) at 1630.380 after 44m50s: +$2.94 (+0.08R).</t>
  </si>
  <si>
    <t xml:space="preserve">SELL STOP at 1622.56 filled at 1622.530 ($0.03 worse). SL $6.00 away = $36 risk. Closed by the EA itself (account guard / blackout / instant close) at 1622.030 after 13m08s: +$3.00 (+0.08R).</t>
  </si>
  <si>
    <t xml:space="preserve">BUY STOP at 1642.34 filled at 1642.360 ($0.02 worse). SL $6.00 away = $36 risk. Closed by the EA itself (account guard / blackout / instant close) at 1642.840 after 14m40s: +$2.88 (+0.08R).</t>
  </si>
  <si>
    <t xml:space="preserve">SELL STOP at 1642.78 filled at 1642.770 ($0.01 worse). SL $6.00 away = $36 risk. Price went against it; stopped at 1648.800 after 3h12m: -$36.18 (-1.00R).</t>
  </si>
  <si>
    <t xml:space="preserve">BUY STOP at 1662.65 filled at 1662.650 ($0.00 better). SL $6.00 away = $36 risk. Closed by the EA itself (account guard / blackout / instant close) at 1663.120 after 10m14s: +$2.82 (+0.08R).</t>
  </si>
  <si>
    <t xml:space="preserve">BUY STOP at 1664.75 filled at 1664.750 ($0.00 better). SL $6.00 away = $36 risk. Closed by the EA itself (account guard / blackout / instant close) at 1665.220 after 6h27m: +$2.82 (+0.08R).</t>
  </si>
  <si>
    <t xml:space="preserve">SELL STOP at 1661.09 filled at 1661.070 ($0.02 worse). SL $6.00 away = $36 risk. Closed by the EA itself (account guard / blackout / instant close) at 1662.070 after 1h28m: -$6.00 (-0.17R).</t>
  </si>
  <si>
    <t xml:space="preserve">BUY STOP at 1667.41 filled at 1667.460 ($0.05 worse). SL $6.00 away = $36 risk. Price went against it; stopped at 1661.360 after 2h04m: -$36.60 (-1.02R).</t>
  </si>
  <si>
    <t xml:space="preserve">BUY STOP at 1675.27 filled at 1675.270 ($0.00 better). SL $6.00 away = $36 risk. Closed by the EA itself (account guard / blackout / instant close) at 1696.320 after 5h08m: +$126.30 (+3.51R).</t>
  </si>
  <si>
    <t xml:space="preserve">BUY STOP at 1701.39 filled at 1701.420 ($0.03 worse). SL $6.00 away = $36 risk. Price went against it; stopped at 1695.390 after 3h15m: -$36.18 (-1.00R).</t>
  </si>
  <si>
    <t xml:space="preserve">BUY STOP at 1704.01 filled at 1704.010 ($0.00 better). SL $6.00 away = $36 risk. Closed by the EA itself (account guard / blackout / instant close) at 1704.460 after 4h55m: +$2.70 (+0.08R).</t>
  </si>
  <si>
    <t xml:space="preserve">BUY STOP at 1722.34 filled at 1722.340 ($0.00 better). SL $6.00 away = $36 risk. Closed by the EA itself (account guard / blackout / instant close) at 1722.830 after 43m45s: +$2.94 (+0.08R).</t>
  </si>
  <si>
    <t xml:space="preserve">SELL STOP at 1721.08 filled at 1721.050 ($0.03 worse). SL $6.00 away = $36 risk. Closed by the EA itself (account guard / blackout / instant close) at 1714.300 after 12h15m: +$40.50 (+1.12R).</t>
  </si>
  <si>
    <t xml:space="preserve">BUY STOP at 1713.74 filled at 1713.740 ($0.00 better). SL $6.00 away = $36 risk. Price went against it; stopped at 1707.690 after 4h17m: -$36.30 (-1.01R).</t>
  </si>
  <si>
    <t xml:space="preserve">SELL STOP at 1706.81 filled at 1706.740 ($0.07 worse). SL $6.00 away = $36 risk. Closed by the EA itself (account guard / blackout / instant close) at 1706.460 after 2h02m: +$1.68 (+0.05R).</t>
  </si>
  <si>
    <t xml:space="preserve">SELL STOP at 1690.50 filled at 1690.470 ($0.03 worse). SL $6.00 away = $36 risk. Closed by the EA itself (account guard / blackout / instant close) at 1668.750 after 16h09m: +$130.32 (+3.62R).</t>
  </si>
  <si>
    <t xml:space="preserve">SELL STOP at 1665.48 filled at 1665.440 ($0.04 worse). SL $6.00 away = $36 risk. Closed by the EA itself (account guard / blackout / instant close) at 1664.950 after 11m54s: +$2.94 (+0.08R).</t>
  </si>
  <si>
    <t xml:space="preserve">SELL STOP at 1661.75 filled at 1661.740 ($0.01 worse). SL $6.00 away = $36 risk. Price went against it; stopped at 1667.750 after 55m36s: -$36.06 (-1.00R).</t>
  </si>
  <si>
    <t xml:space="preserve">BUY STOP at 1672.07 filled at 1672.080 ($0.01 worse). SL $6.00 away = $36 risk. Closed by the EA itself (account guard / blackout / instant close) at 1672.570 after 29m13s: +$2.94 (+0.08R).</t>
  </si>
  <si>
    <t xml:space="preserve">SELL STOP at 1668.91 filled at 1668.900 ($0.01 worse). SL $6.00 away = $36 risk. Price went against it; stopped at 1674.920 after 2h56m: -$36.12 (-1.00R).</t>
  </si>
  <si>
    <t xml:space="preserve">BUY STOP at 1678.22 filled at 1678.300 ($0.08 worse). SL $6.00 away = $36 risk. Closed by the EA itself (account guard / blackout / instant close) at 1678.770 after 4m42s: +$2.82 (+0.08R).</t>
  </si>
  <si>
    <t xml:space="preserve">BUY STOP at 1670.48 filled at 1670.490 ($0.01 worse). SL $6.00 away = $36 risk. Price went against it; stopped at 1664.460 after 1h17m: -$36.18 (-1.00R).</t>
  </si>
  <si>
    <t xml:space="preserve">SELL STOP at 1642.29 filled at 1642.290 ($0.00 better). SL $6.00 away = $36 risk. Closed by the EA itself (account guard / blackout / instant close) at 1641.170 after 3h05m: +$6.72 (+0.19R).</t>
  </si>
  <si>
    <t xml:space="preserve">SELL STOP at 1652.27 filled at 1652.260 ($0.01 worse). SL $6.00 away = $36 risk. Closed by the EA itself (account guard / blackout / instant close) at 1651.900 after 1h44m: +$2.16 (+0.06R).</t>
  </si>
  <si>
    <t xml:space="preserve">SELL STOP at 1645.65 filled at 1645.620 ($0.03 worse). SL $6.00 away = $36 risk. Closed by the EA itself (account guard / blackout / instant close) at 1645.130 after 2h54m: +$2.94 (+0.08R).</t>
  </si>
  <si>
    <t xml:space="preserve">SELL STOP at 1627.49 filled at 1627.450 ($0.04 worse). SL $6.00 away = $36 risk. Closed by the EA itself (account guard / blackout / instant close) at 1626.980 after 2h16m: +$2.82 (+0.08R).</t>
  </si>
  <si>
    <t xml:space="preserve">BUY STOP at 1634.84 filled at 1634.880 ($0.04 worse). SL $6.00 away = $36 risk. Closed by the EA itself (account guard / blackout / instant close) at 1635.320 after 2h04m: +$2.64 (+0.07R).</t>
  </si>
  <si>
    <t xml:space="preserve">SELL STOP at 1622.26 filled at 1622.210 ($0.05 worse). SL $6.00 away = $36 risk. Closed by the EA itself (account guard / blackout / instant close) at 1621.820 after 1h49m: +$2.34 (+0.07R).</t>
  </si>
  <si>
    <t xml:space="preserve">SELL STOP at 1619.68 filled at 1619.670 ($0.01 worse). SL $6.00 away = $36 risk. Closed by the EA itself (account guard / blackout / instant close) at 1619.270 after 55m37s: +$2.40 (+0.07R).</t>
  </si>
  <si>
    <t xml:space="preserve">SELL STOP at 1653.72 filled at 1653.560 ($0.16 worse). SL $6.00 away = $36 risk. Closed by the EA itself (account guard / blackout / instant close) at 1653.140 after 7h46m: +$2.52 (+0.07R).</t>
  </si>
  <si>
    <t xml:space="preserve">SELL STOP at 1647.13 filled at 1646.880 ($0.25 worse). SL $6.00 away = $36 risk. Closed by the EA itself (account guard / blackout / instant close) at 1646.390 after 24m17s: +$2.94 (+0.08R).</t>
  </si>
  <si>
    <t xml:space="preserve">SELL STOP at 1643.75 filled at 1643.540 ($0.21 worse). SL $6.00 away = $36 risk. Closed by the EA itself (account guard / blackout / instant close) at 1643.060 after 2h32m: +$2.88 (+0.08R).</t>
  </si>
  <si>
    <t xml:space="preserve">BUY STOP at 1660.13 filled at 1660.140 ($0.01 worse). SL $6.00 away = $36 risk. Closed by the EA itself (account guard / blackout / instant close) at 1660.630 after 6h46m: +$2.94 (+0.08R).</t>
  </si>
  <si>
    <t xml:space="preserve">SELL STOP at 1662.85 filled at 1662.840 ($0.01 worse). SL $6.00 away = $36 risk. Closed by the EA itself (account guard / blackout / instant close) at 1662.500 after 35m16s: +$2.04 (+0.06R).</t>
  </si>
  <si>
    <t xml:space="preserve">SELL STOP at 1659.27 filled at 1659.260 ($0.01 worse). SL $6.00 away = $36 risk. Closed by the EA itself (account guard / blackout / instant close) at 1643.650 after 13h02m: +$93.66 (+2.60R).</t>
  </si>
  <si>
    <t xml:space="preserve">SELL STOP at 1641.20 filled at 1641.180 ($0.02 worse). SL $6.00 away = $36 risk. Closed by the EA itself (account guard / blackout / instant close) at 1640.730 after 5h00m: +$2.70 (+0.08R).</t>
  </si>
  <si>
    <t xml:space="preserve">SELL STOP at 1631.58 filled at 1631.540 ($0.04 worse). SL $6.00 away = $36 risk. Price went against it; stopped at 1637.580 after 1h35m: -$36.24 (-1.01R).</t>
  </si>
  <si>
    <t xml:space="preserve">BUY STOP at 1652.62 filled at 1652.650 ($0.03 worse). SL $6.00 away = $36 risk. Closed by the EA itself (account guard / blackout / instant close) at 1653.150 after 1h47m: +$3.00 (+0.08R).</t>
  </si>
  <si>
    <t xml:space="preserve">BUY STOP at 1656.88 filled at 1656.880 ($0.00 better). SL $6.00 away = $36 risk. Price went against it; stopped at 1650.800 after 3h37m: -$36.48 (-1.01R).</t>
  </si>
  <si>
    <t xml:space="preserve">SELL STOP at 1636.17 filled at 1636.140 ($0.03 worse). SL $6.00 away = $36 risk. Closed by the EA itself (account guard / blackout / instant close) at 1631.770 after 13h14m: +$26.22 (+0.73R).</t>
  </si>
  <si>
    <t xml:space="preserve">BUY STOP at 1640.86 filled at 1640.970 ($0.11 worse). SL $6.00 away = $36 risk. Reached the take profit at 1670.900 after 10h01m: +$179.58 (+4.99R).</t>
  </si>
  <si>
    <t xml:space="preserve">SELL STOP at 1670.22 filled at 1670.200 ($0.02 worse). SL $6.00 away = $42 risk. Closed by the EA itself (account guard / blackout / instant close) at 1669.720 after 1h06m: +$3.36 (+0.08R).</t>
  </si>
  <si>
    <t xml:space="preserve">BUY STOP at 1681.72 filled at 1681.770 ($0.05 worse). SL $6.00 away = $42 risk. Price went against it; stopped at 1675.690 after 36m26s: -$42.56 (-1.01R).</t>
  </si>
  <si>
    <t xml:space="preserve">BUY STOP at 1671.44 filled at 1671.460 ($0.02 worse). SL $6.00 away = $36 risk. Price went against it; stopped at 1665.440 after 2h00m: -$36.12 (-1.00R).</t>
  </si>
  <si>
    <t xml:space="preserve">BUY STOP at 1681.76 filled at 1681.790 ($0.03 worse). SL $6.00 away = $36 risk. Reached the take profit at 1711.920 after 38m49s: +$180.78 (+5.02R).</t>
  </si>
  <si>
    <t xml:space="preserve">SELL STOP at 1707.33 filled at 1707.290 ($0.04 worse). SL $6.00 away = $42 risk. Closed by the EA itself (account guard / blackout / instant close) at 1706.800 after 36m43s: +$3.43 (+0.08R).</t>
  </si>
  <si>
    <t xml:space="preserve">BUY STOP at 1716.74 filled at 1716.740 ($0.00 better). SL $6.00 away = $42 risk. Closed by the EA itself (account guard / blackout / instant close) at 1717.240 after 2m44s: +$3.50 (+0.08R).</t>
  </si>
  <si>
    <t xml:space="preserve">SELL STOP at 1708.63 filled at 1708.550 ($0.08 worse). SL $6.00 away = $42 risk. Closed by the EA itself (account guard / blackout / instant close) at 1708.060 after 1h02m: +$3.43 (+0.08R).</t>
  </si>
  <si>
    <t xml:space="preserve">BUY STOP at 1722.17 filled at 1722.420 ($0.25 worse). SL $6.00 away = $42 risk. Reached the take profit at 1752.260 after 1h54m: +$208.88 (+4.97R).</t>
  </si>
  <si>
    <t xml:space="preserve">BUY STOP at 1757.00 filled at 1757.060 ($0.06 worse). SL $6.00 away = $42 risk. Closed by the EA itself (account guard / blackout / instant close) at 1757.510 after 1h01m: +$3.15 (+0.07R).</t>
  </si>
  <si>
    <t xml:space="preserve">BUY STOP at 1764.23 filled at 1764.240 ($0.01 worse). SL $6.00 away = $42 risk. Closed by the EA itself (account guard / blackout / instant close) at 1764.740 after 1h10m: +$3.50 (+0.08R).</t>
  </si>
  <si>
    <t xml:space="preserve">BUY STOP at 1763.46 filled at 1763.500 ($0.04 worse). SL $6.00 away = $42 risk. Closed by the EA itself (account guard / blackout / instant close) at 1763.970 after 47m38s: +$3.29 (+0.08R).</t>
  </si>
  <si>
    <t xml:space="preserve">BUY STOP at 1772.45 filled at 1772.520 ($0.07 worse). SL $6.00 away = $42 risk. Closed by the EA itself (account guard / blackout / instant close) at 1772.980 after 7m48s: +$3.22 (+0.08R).</t>
  </si>
  <si>
    <t xml:space="preserve">BUY STOP at 1773.60 filled at 1773.610 ($0.01 worse). SL $6.00 away = $42 risk. Closed by the EA itself (account guard / blackout / instant close) at 1774.060 after 1h16m: +$3.15 (+0.07R).</t>
  </si>
  <si>
    <t xml:space="preserve">BUY STOP at 1775.72 filled at 1775.760 ($0.04 worse). SL $6.00 away = $42 risk. Closed by the EA itself (account guard / blackout / instant close) at 1776.250 after 40m57s: +$3.43 (+0.08R).</t>
  </si>
  <si>
    <t xml:space="preserve">SELL STOP at 1770.17 filled at 1770.130 ($0.04 worse). SL $6.00 away = $42 risk. Closed by the EA itself (account guard / blackout / instant close) at 1769.650 after 6h28m: +$3.36 (+0.08R).</t>
  </si>
  <si>
    <t xml:space="preserve">SELL STOP at 1761.23 filled at 1761.030 ($0.20 worse). SL $6.00 away = $42 risk. Closed by the EA itself (account guard / blackout / instant close) at 1760.560 after 31m55s: +$3.29 (+0.08R).</t>
  </si>
  <si>
    <t xml:space="preserve">BUY STOP at 1764.46 filled at 1764.550 ($0.09 worse). SL $6.00 away = $42 risk. Closed by the EA itself (account guard / blackout / instant close) at 1764.980 after 59m25s: +$3.01 (+0.07R).</t>
  </si>
  <si>
    <t xml:space="preserve">SELL STOP at 1754.27 filled at 1754.080 ($0.19 worse). SL $6.00 away = $42 risk. Closed by the EA itself (account guard / blackout / instant close) at 1753.700 after 25m00s: +$2.66 (+0.06R).</t>
  </si>
  <si>
    <t xml:space="preserve">SELL STOP at 1747.32 filled at 1747.030 ($0.29 worse). SL $6.00 away = $42 risk. Closed by the EA itself (account guard / blackout / instant close) at 1746.530 after 20m52s: +$3.50 (+0.08R).</t>
  </si>
  <si>
    <t xml:space="preserve">BUY STOP at 1746.96 filled at 1746.970 ($0.01 worse). SL $6.00 away = $42 risk. Price went against it; stopped at 1740.950 after 1h07m: -$42.14 (-1.00R).</t>
  </si>
  <si>
    <t xml:space="preserve">SELL STOP at 1740.42 filled at 1740.390 ($0.03 worse). SL $6.00 away = $42 risk. Price went against it; stopped at 1746.490 after 1h26m: -$42.70 (-1.02R).</t>
  </si>
  <si>
    <t xml:space="preserve">SELL STOP at 1736.87 filled at 1736.790 ($0.08 worse). SL $6.00 away = $42 risk. Closed by the EA itself (account guard / blackout / instant close) at 1736.340 after 1h32m: +$3.15 (+0.07R).</t>
  </si>
  <si>
    <t xml:space="preserve">BUY STOP at 1740.00 filled at 1740.070 ($0.07 worse). SL $6.00 away = $42 risk. Closed by the EA itself (account guard / blackout / instant close) at 1740.500 after 1h29m: +$3.01 (+0.07R).</t>
  </si>
  <si>
    <t xml:space="preserve">BUY STOP at 1753.18 filled at 1753.180 ($0.00 better). SL $6.00 away = $42 risk. Closed by the EA itself (account guard / blackout / instant close) at 1753.680 after 5h42m: +$3.50 (+0.08R).</t>
  </si>
  <si>
    <t xml:space="preserve">BUY STOP at 1755.66 filled at 1755.690 ($0.03 worse). SL $6.00 away = $42 risk. Closed by the EA itself (account guard / blackout / instant close) at 1756.180 after 2h32m: +$3.43 (+0.08R).</t>
  </si>
  <si>
    <t xml:space="preserve">BUY STOP at 1758.47 filled at 1758.490 ($0.02 worse). SL $6.00 away = $42 risk. Closed by the EA itself (account guard / blackout / instant close) at 1758.950 after 2h17m: +$3.22 (+0.08R).</t>
  </si>
  <si>
    <t xml:space="preserve">SELL STOP at 1754.33 filled at 1754.230 ($0.10 worse). SL $6.00 away = $42 risk. Closed by the EA itself (account guard / blackout / instant close) at 1753.750 after 1h05m: +$3.36 (+0.08R).</t>
  </si>
  <si>
    <t xml:space="preserve">BUY STOP at 1752.96 filled at 1752.970 ($0.01 worse). SL $6.00 away = $42 risk. Closed by the EA itself (account guard / blackout / instant close) at 1753.440 after 6h05m: +$3.29 (+0.08R).</t>
  </si>
  <si>
    <t xml:space="preserve">SELL STOP at 1745.85 filled at 1745.690 ($0.16 worse). SL $6.00 away = $42 risk. Closed by the EA itself (account guard / blackout / instant close) at 1745.190 after 1h17m: +$3.50 (+0.08R).</t>
  </si>
  <si>
    <t xml:space="preserve">BUY STOP at 1754.91 filled at 1754.930 ($0.02 worse). SL $6.00 away = $42 risk. Closed by the EA itself (account guard / blackout / instant close) at 1755.410 after 1h21m: +$3.36 (+0.08R).</t>
  </si>
  <si>
    <t xml:space="preserve">SELL STOP at 1752.79 filled at 1752.770 ($0.02 worse). SL $6.00 away = $42 risk. Price went against it; stopped at 1758.870 after 1h47m: -$42.70 (-1.02R).</t>
  </si>
  <si>
    <t xml:space="preserve">BUY STOP at 1758.90 filled at 1758.950 ($0.05 worse). SL $6.00 away = $42 risk. Closed by the EA itself (account guard / blackout / instant close) at 1759.370 after 1h43m: +$2.94 (+0.07R).</t>
  </si>
  <si>
    <t xml:space="preserve">BUY STOP at 1783.58 filled at 1783.590 ($0.01 worse). SL $6.00 away = $42 risk. Price went against it; stopped at 1777.540 after 51m57s: -$42.35 (-1.01R).</t>
  </si>
  <si>
    <t xml:space="preserve">BUY STOP at 1800.37 filled at 1800.380 ($0.01 worse). SL $6.00 away = $42 risk. Closed by the EA itself (account guard / blackout / instant close) at 1800.850 after 1h00m: +$3.29 (+0.08R).</t>
  </si>
  <si>
    <t xml:space="preserve">BUY STOP at 1804.30 filled at 1804.350 ($0.05 worse). SL $6.00 away = $42 risk. Closed by the EA itself (account guard / blackout / instant close) at 1804.820 after 5h14m: +$3.29 (+0.08R).</t>
  </si>
  <si>
    <t xml:space="preserve">SELL STOP at 1802.43 filled at 1802.420 ($0.01 worse). SL $6.00 away = $42 risk. Closed by the EA itself (account guard / blackout / instant close) at 1801.980 after 33m15s: +$3.08 (+0.07R).</t>
  </si>
  <si>
    <t xml:space="preserve">BUY STOP at 1773.05 filled at 1773.050 ($0.00 better). SL $6.00 away = $42 risk. Closed by the EA itself (account guard / blackout / instant close) at 1773.530 after 6h56m: +$3.36 (+0.08R).</t>
  </si>
  <si>
    <t xml:space="preserve">BUY STOP at 1774.41 filled at 1774.410 ($0.00 better). SL $6.00 away = $42 risk. Closed by the EA itself (account guard / blackout / instant close) at 1789.250 after 13h07m: +$103.88 (+2.47R).</t>
  </si>
  <si>
    <t xml:space="preserve">BUY STOP at 1786.81 filled at 1786.880 ($0.07 worse). SL $6.00 away = $42 risk. Closed by the EA itself (account guard / blackout / instant close) at 1787.020 after 6h29m: +$0.98 (+0.02R).</t>
  </si>
  <si>
    <t xml:space="preserve">BUY STOP at 1790.36 filled at 1790.380 ($0.02 worse). SL $6.00 away = $42 risk. Price went against it; stopped at 1784.330 after 1h12m: -$42.35 (-1.01R).</t>
  </si>
  <si>
    <t xml:space="preserve">BUY STOP at 1794.73 filled at 1795.100 ($0.37 worse). SL $6.00 away = $42 risk. Closed by the EA itself (account guard / blackout / instant close) at 1795.550 after 4h43m: +$3.15 (+0.07R).</t>
  </si>
  <si>
    <t xml:space="preserve">SELL STOP at 1793.64 filled at 1793.330 ($0.31 worse). SL $6.00 away = $42 risk. Closed by the EA itself (account guard / blackout / instant close) at 1792.830 after 18m28s: +$3.50 (+0.08R).</t>
  </si>
  <si>
    <t xml:space="preserve">SELL STOP at 1788.30 filled at 1788.040 ($0.26 worse). SL $6.00 away = $42 risk. Closed by the EA itself (account guard / blackout / instant close) at 1787.620 after 3h14m: +$2.94 (+0.07R).</t>
  </si>
  <si>
    <t xml:space="preserve">BUY STOP at 1789.27 filled at 1789.300 ($0.03 worse). SL $6.00 away = $42 risk. Closed by the EA itself (account guard / blackout / instant close) at 1789.790 after 1h05m: +$3.43 (+0.08R).</t>
  </si>
  <si>
    <t xml:space="preserve">BUY STOP at 1786.60 filled at 1786.630 ($0.03 worse). SL $6.00 away = $42 risk. Closed by the EA itself (account guard / blackout / instant close) at 1787.110 after 6h06m: +$3.36 (+0.08R).</t>
  </si>
  <si>
    <t xml:space="preserve">BUY STOP at 1797.07 filled at 1800.340 ($3.27 worse). SL $6.00 away = $42 risk. Closed by the EA itself (account guard / blackout / instant close) at 1800.590 after 6s: +$1.75 (+0.04R).</t>
  </si>
  <si>
    <t xml:space="preserve">SELL STOP at 1808.64 filled at 1808.620 ($0.02 worse). SL $6.00 away = $42 risk. Closed by the EA itself (account guard / blackout / instant close) at 1808.160 after 5h37m: +$3.22 (+0.08R).</t>
  </si>
  <si>
    <t xml:space="preserve">SELL STOP at 1795.01 filled at 1794.840 ($0.17 worse). SL $6.00 away = $42 risk. Closed by the EA itself (account guard / blackout / instant close) at 1794.350 after 17m07s: +$3.43 (+0.08R).</t>
  </si>
  <si>
    <t xml:space="preserve">SELL STOP at 1790.57 filled at 1790.500 ($0.07 worse). SL $6.00 away = $42 risk. Closed by the EA itself (account guard / blackout / instant close) at 1790.070 after 16m04s: +$3.01 (+0.07R).</t>
  </si>
  <si>
    <t xml:space="preserve">BUY STOP at 1784.05 filled at 1784.070 ($0.02 worse). SL $6.00 away = $42 risk. Price went against it; stopped at 1778.010 after 45m26s: -$42.42 (-1.01R).</t>
  </si>
  <si>
    <t xml:space="preserve">BUY STOP at 1794.20 filled at 1794.230 ($0.03 worse). SL $6.00 away = $42 risk. Closed by the EA itself (account guard / blackout / instant close) at 1794.710 after 2h35m: +$3.36 (+0.08R).</t>
  </si>
  <si>
    <t xml:space="preserve">BUY STOP at 1793.56 filled at 1793.600 ($0.04 worse). SL $6.00 away = $42 risk. Closed by the EA itself (account guard / blackout / instant close) at 1794.100 after 4h17m: +$3.50 (+0.08R).</t>
  </si>
  <si>
    <t xml:space="preserve">BUY STOP at 1793.92 filled at 1794.030 ($0.11 worse). SL $6.00 away = $42 risk. Closed by the EA itself (account guard / blackout / instant close) at 1817.300 after 13h14m: +$162.89 (+3.88R).</t>
  </si>
  <si>
    <t xml:space="preserve">SELL STOP at 1812.40 filled at 1812.400 ($0.00 better). SL $6.00 away = $42 risk. Price went against it; stopped at 1818.400 after 6h15m: -$42.00 (-1.00R).</t>
  </si>
  <si>
    <t xml:space="preserve">BUY STOP at 1821.04 filled at 1821.060 ($0.02 worse). SL $6.00 away = $42 risk. Closed by the EA itself (account guard / blackout / instant close) at 1821.530 after 9m07s: +$3.29 (+0.08R).</t>
  </si>
  <si>
    <t xml:space="preserve">SELL STOP at 1814.05 filled at 1814.030 ($0.02 worse). SL $6.00 away = $42 risk. Price went against it; stopped at 1820.150 after 6h06m: -$42.84 (-1.02R).</t>
  </si>
  <si>
    <t xml:space="preserve">SELL STOP at 1811.71 filled at 1811.600 ($0.11 worse). SL $6.00 away = $42 risk. Closed by the EA itself (account guard / blackout / instant close) at 1789.170 after 6h38m: +$157.01 (+3.74R).</t>
  </si>
  <si>
    <t xml:space="preserve">BUY STOP at 1796.17 filled at 1796.250 ($0.08 worse). SL $6.00 away = $42 risk. Closed by the EA itself (account guard / blackout / instant close) at 1796.750 after 3h04m: +$3.50 (+0.08R).</t>
  </si>
  <si>
    <t xml:space="preserve">BUY STOP at 1803.10 filled at 1803.100 ($0.00 better). SL $6.00 away = $42 risk. Closed by the EA itself (account guard / blackout / instant close) at 1803.600 after 14h37m: +$3.50 (+0.08R).</t>
  </si>
  <si>
    <t xml:space="preserve">SELL STOP at 1809.39 filled at 1809.360 ($0.03 worse). SL $6.00 away = $42 risk. Closed by the EA itself (account guard / blackout / instant close) at 1808.880 after 7h47m: +$3.36 (+0.08R).</t>
  </si>
  <si>
    <t xml:space="preserve">SELL STOP at 1807.33 filled at 1807.330 ($0.00 better). SL $6.00 away = $42 risk. Closed by the EA itself (account guard / blackout / instant close) at 1806.850 after 48m50s: +$3.36 (+0.08R).</t>
  </si>
  <si>
    <t xml:space="preserve">BUY STOP at 1814.42 filled at 1814.570 ($0.15 worse). SL $6.00 away = $42 risk. Closed by the EA itself (account guard / blackout / instant close) at 1815.030 after 11m06s: +$3.22 (+0.08R).</t>
  </si>
  <si>
    <t xml:space="preserve">BUY STOP at 1820.02 filled at 1820.020 ($0.00 better). SL $6.00 away = $42 risk. Closed by the EA itself (account guard / blackout / instant close) at 1820.520 after 57m24s: +$3.50 (+0.08R).</t>
  </si>
  <si>
    <t xml:space="preserve">SELL STOP at 1815.73 filled at 1815.610 ($0.12 worse). SL $6.00 away = $42 risk. Closed by the EA itself (account guard / blackout / instant close) at 1815.120 after 2h45m: +$3.43 (+0.08R).</t>
  </si>
  <si>
    <t xml:space="preserve">BUY STOP at 1844.07 filled at 1844.110 ($0.04 worse). SL $6.00 away = $42 risk. Closed by the EA itself (account guard / blackout / instant close) at 1844.610 after 32m29s: +$3.50 (+0.08R).</t>
  </si>
  <si>
    <t xml:space="preserve">BUY STOP at 1848.89 filled at 1848.900 ($0.01 worse). SL $6.00 away = $42 risk. Closed by the EA itself (account guard / blackout / instant close) at 1849.390 after 8h12m: +$3.43 (+0.08R).</t>
  </si>
  <si>
    <t xml:space="preserve">SELL STOP at 1850.50 filled at 1850.370 ($0.13 worse). SL $6.00 away = $42 risk. Closed by the EA itself (account guard / blackout / instant close) at 1849.920 after 59m34s: +$3.15 (+0.07R).</t>
  </si>
  <si>
    <t xml:space="preserve">SELL STOP at 1836.05 filled at 1835.890 ($0.16 worse). SL $6.00 away = $42 risk. Closed by the EA itself (account guard / blackout / instant close) at 1835.390 after 14m12s: +$3.50 (+0.08R).</t>
  </si>
  <si>
    <t xml:space="preserve">BUY STOP at 1839.71 filled at 1839.730 ($0.02 worse). SL $6.00 away = $42 risk. Price went against it; stopped at 1833.670 after 2h21m: -$42.42 (-1.01R).</t>
  </si>
  <si>
    <t xml:space="preserve">BUY STOP at 1858.88 filled at 1858.940 ($0.06 worse). SL $6.00 away = $42 risk. Closed by the EA itself (account guard / blackout / instant close) at 1859.420 after 2m50s: +$3.36 (+0.08R).</t>
  </si>
  <si>
    <t xml:space="preserve">BUY STOP at 1869.77 filled at 1869.780 ($0.01 worse). SL $6.00 away = $42 risk. Closed by the EA itself (account guard / blackout / instant close) at 1870.270 after 17h40m: +$3.43 (+0.08R).</t>
  </si>
  <si>
    <t xml:space="preserve">SELL STOP at 1870.68 filled at 1870.680 ($0.00 better). SL $6.00 away = $42 risk. Price went against it; stopped at 1876.760 after 1h35m: -$42.56 (-1.01R).</t>
  </si>
  <si>
    <t xml:space="preserve">BUY STOP at 1880.64 filled at 1880.690 ($0.05 worse). SL $6.00 away = $42 risk. Closed by the EA itself (account guard / blackout / instant close) at 1880.860 after 1h42m: +$1.19 (+0.03R).</t>
  </si>
  <si>
    <t xml:space="preserve">BUY STOP at 1884.51 filled at 1884.520 ($0.01 worse). SL $6.00 away = $42 risk. Closed by the EA itself (account guard / blackout / instant close) at 1885.010 after 48m02s: +$3.43 (+0.08R).</t>
  </si>
  <si>
    <t xml:space="preserve">SELL STOP at 1882.00 filled at 1881.970 ($0.03 worse). SL $6.00 away = $42 risk. Price went against it; stopped at 1888.230 after 5h05m: -$43.82 (-1.04R).</t>
  </si>
  <si>
    <t xml:space="preserve">BUY STOP at 1897.13 filled at 1897.130 ($0.00 better). SL $6.00 away = $42 risk. Closed by the EA itself (account guard / blackout / instant close) at 1897.500 after 5h17m: +$2.59 (+0.06R).</t>
  </si>
  <si>
    <t xml:space="preserve">SELL STOP at 1913.20 filled at 1913.150 ($0.05 worse). SL $6.00 away = $42 risk. Closed by the EA itself (account guard / blackout / instant close) at 1912.670 after 48m53s: +$3.36 (+0.08R).</t>
  </si>
  <si>
    <t xml:space="preserve">SELL STOP at 1910.67 filled at 1910.670 ($0.00 better). SL $6.00 away = $42 risk. Closed by the EA itself (account guard / blackout / instant close) at 1910.170 after 1h47m: +$3.50 (+0.08R).</t>
  </si>
  <si>
    <t xml:space="preserve">SELL STOP at 1906.81 filled at 1906.810 ($0.00 better). SL $6.00 away = $42 risk. Closed by the EA itself (account guard / blackout / instant close) at 1906.390 after 1h08m: +$2.94 (+0.07R).</t>
  </si>
  <si>
    <t xml:space="preserve">SELL STOP at 1903.68 filled at 1903.560 ($0.12 worse). SL $6.00 away = $42 risk. Closed by the EA itself (account guard / blackout / instant close) at 1903.190 after 41s: +$2.59 (+0.06R).</t>
  </si>
  <si>
    <t xml:space="preserve">BUY STOP at 1904.14 filled at 1904.160 ($0.02 worse). SL $6.00 away = $42 risk. Closed by the EA itself (account guard / blackout / instant close) at 1904.550 after 10h19m: +$2.73 (+0.06R).</t>
  </si>
  <si>
    <t xml:space="preserve">SELL STOP at 1907.77 filled at 1907.770 ($0.00 better). SL $6.00 away = $42 risk. Price went against it; stopped at 1913.780 after 56m08s: -$42.07 (-1.00R).</t>
  </si>
  <si>
    <t xml:space="preserve">BUY STOP at 1925.80 filled at 1925.800 ($0.00 better). SL $6.00 away = $42 risk. Closed by the EA itself (account guard / blackout / instant close) at 1934.750 after 1h34m: +$62.65 (+1.49R).</t>
  </si>
  <si>
    <t xml:space="preserve">BUY STOP at 1935.05 filled at 1935.060 ($0.01 worse). SL $6.00 away = $42 risk. Price went against it; stopped at 1928.970 after 1h48m: -$42.63 (-1.01R).</t>
  </si>
  <si>
    <t xml:space="preserve">BUY STOP at 1929.20 filled at 1929.510 ($0.31 worse). SL $6.00 away = $42 risk. Closed by the EA itself (account guard / blackout / instant close) at 1929.950 after 1h15m: +$3.08 (+0.07R).</t>
  </si>
  <si>
    <t xml:space="preserve">SELL STOP at 1921.01 filled at 1921.010 ($0.00 better). SL $6.00 away = $42 risk. Price went against it; stopped at 1927.010 after 1h12m: -$42.00 (-1.00R).</t>
  </si>
  <si>
    <t xml:space="preserve">BUY STOP at 1935.45 filled at 1935.450 ($0.00 better). SL $6.00 away = $42 risk. Closed by the EA itself (account guard / blackout / instant close) at 1935.920 after 7h32m: +$3.29 (+0.08R).</t>
  </si>
  <si>
    <t xml:space="preserve">SELL STOP at 1932.41 filled at 1932.400 ($0.01 worse). SL $6.00 away = $42 risk. Closed by the EA itself (account guard / blackout / instant close) at 1931.930 after 1h52m: +$3.29 (+0.08R).</t>
  </si>
  <si>
    <t xml:space="preserve">SELL STOP at 1925.71 filled at 1925.710 ($0.00 better). SL $6.00 away = $42 risk. Closed by the EA itself (account guard / blackout / instant close) at 1925.220 after 12m46s: +$3.43 (+0.08R).</t>
  </si>
  <si>
    <t xml:space="preserve">BUY STOP at 1942.35 filled at 1942.350 ($0.00 better). SL $6.00 away = $42 risk. Closed by the EA itself (account guard / blackout / instant close) at 1944.550 after 1h45m: +$15.40 (+0.37R).</t>
  </si>
  <si>
    <t xml:space="preserve">SELL STOP at 1944.69 filled at 1944.680 ($0.01 worse). SL $6.00 away = $42 risk. Closed by the EA itself (account guard / blackout / instant close) at 1944.180 after 1h28m: +$3.50 (+0.08R).</t>
  </si>
  <si>
    <t xml:space="preserve">SELL STOP at 1919.70 filled at 1918.800 ($0.90 worse). SL $6.00 away = $42 risk. Price went against it; stopped at 1925.700 after 4m10s: -$48.30 (-1.15R).</t>
  </si>
  <si>
    <t xml:space="preserve">BUY STOP at 1925.64 filled at 1925.640 ($0.00 better). SL $6.00 away = $42 risk. Closed by the EA itself (account guard / blackout / instant close) at 1926.140 after 2h23m: +$3.50 (+0.08R).</t>
  </si>
  <si>
    <t xml:space="preserve">SELL STOP at 1918.63 filled at 1918.330 ($0.30 worse). SL $6.00 away = $42 risk. Price went against it; stopped at 1924.820 after 9m29s: -$45.43 (-1.08R).</t>
  </si>
  <si>
    <t xml:space="preserve">SELL STOP at 1929.22 filled at 1929.180 ($0.04 worse). SL $6.00 away = $42 risk. Closed by the EA itself (account guard / blackout / instant close) at 1928.680 after 4m08s: +$3.50 (+0.08R).</t>
  </si>
  <si>
    <t xml:space="preserve">SELL STOP at 1920.59 filled at 1920.570 ($0.02 worse). SL $6.00 away = $42 risk. Closed by the EA itself (account guard / blackout / instant close) at 1920.150 after 9h41m: +$2.94 (+0.07R).</t>
  </si>
  <si>
    <t xml:space="preserve">BUY STOP at 1921.16 filled at 1921.170 ($0.01 worse). SL $6.00 away = $42 risk. Closed by the EA itself (account guard / blackout / instant close) at 1921.660 after 32m27s: +$3.43 (+0.08R).</t>
  </si>
  <si>
    <t xml:space="preserve">BUY STOP at 1928.15 filled at 1928.190 ($0.04 worse). SL $6.00 away = $42 risk. Closed by the EA itself (account guard / blackout / instant close) at 1928.690 after 5h26m: +$3.50 (+0.08R).</t>
  </si>
  <si>
    <t xml:space="preserve">BUY STOP at 1954.35 filled at 1954.380 ($0.03 worse). SL $6.00 away = $42 risk. Closed by the EA itself (account guard / blackout / instant close) at 1954.870 after 43m08s: +$3.43 (+0.08R).</t>
  </si>
  <si>
    <t xml:space="preserve">SELL STOP at 1920.44 filled at 1920.130 ($0.31 worse). SL $6.00 away = $42 risk. Closed by the EA itself (account guard / blackout / instant close) at 1919.700 after 10m26s: +$3.01 (+0.07R).</t>
  </si>
  <si>
    <t xml:space="preserve">BUY STOP at 1916.62 filled at 1916.660 ($0.04 worse). SL $6.00 away = $42 risk. Price went against it; stopped at 1910.550 after 36m03s: -$42.77 (-1.02R).</t>
  </si>
  <si>
    <t xml:space="preserve">SELL STOP at 1875.11 filled at 1875.100 ($0.01 worse). SL $6.00 away = $42 risk. Price went against it; stopped at 1881.120 after 1h15m: -$42.14 (-1.00R).</t>
  </si>
  <si>
    <t xml:space="preserve">SELL STOP at 1872.69 filled at 1872.670 ($0.02 worse). SL $6.00 away = $42 risk. Closed by the EA itself (account guard / blackout / instant close) at 1872.170 after 5h07m: +$3.50 (+0.08R).</t>
  </si>
  <si>
    <t xml:space="preserve">BUY STOP at 1881.20 filled at 1881.250 ($0.05 worse). SL $6.00 away = $42 risk. Closed by the EA itself (account guard / blackout / instant close) at 1881.670 after 3m25s: +$2.94 (+0.07R).</t>
  </si>
  <si>
    <t xml:space="preserve">SELL STOP at 1874.93 filled at 1874.910 ($0.02 worse). SL $6.00 away = $42 risk. Price went against it; stopped at 1881.110 after 34m03s: -$43.40 (-1.03R).</t>
  </si>
  <si>
    <t xml:space="preserve">BUY STOP at 1884.35 filled at 1884.360 ($0.01 worse). SL $6.00 away = $42 risk. Price went against it; stopped at 1878.270 after 4h58m: -$42.63 (-1.01R).</t>
  </si>
  <si>
    <t xml:space="preserve">SELL STOP at 1877.62 filled at 1877.620 ($0.00 better). SL $6.00 away = $42 risk. Price went against it; stopped at 1883.630 after 1h01m: -$42.07 (-1.00R).</t>
  </si>
  <si>
    <t xml:space="preserve">BUY STOP at 1886.35 filled at 1886.350 ($0.00 better). SL $6.00 away = $42 risk. Price went against it; stopped at 1880.310 after 2h27m: -$42.28 (-1.01R).</t>
  </si>
  <si>
    <t xml:space="preserve">SELL STOP at 1858.86 filled at 1858.770 ($0.09 worse). SL $6.00 away = $42 risk. Closed by the EA itself (account guard / blackout / instant close) at 1858.420 after 2h27m: +$2.45 (+0.06R).</t>
  </si>
  <si>
    <t xml:space="preserve">BUY STOP at 1861.58 filled at 1862.220 ($0.64 worse). SL $6.00 away = $42 risk. Closed by the EA itself (account guard / blackout / instant close) at 1862.720 after 2h11m: +$3.50 (+0.08R).</t>
  </si>
  <si>
    <t xml:space="preserve">SELL STOP at 1856.85 filled at 1856.690 ($0.16 worse). SL $6.00 away = $42 risk. Closed by the EA itself (account guard / blackout / instant close) at 1856.190 after 44m06s: +$3.50 (+0.08R).</t>
  </si>
  <si>
    <t xml:space="preserve">SELL STOP at 1852.59 filled at 1852.510 ($0.08 worse). SL $6.00 away = $42 risk. Closed by the EA itself (account guard / blackout / instant close) at 1851.940 after 4h05m: +$3.99 (+0.09R).</t>
  </si>
  <si>
    <t xml:space="preserve">SELL STOP at 1857.69 filled at 1857.670 ($0.02 worse). SL $6.00 away = $42 risk. Closed by the EA itself (account guard / blackout / instant close) at 1857.170 after 25m46s: +$3.50 (+0.08R).</t>
  </si>
  <si>
    <t xml:space="preserve">SELL STOP at 1850.33 filled at 1850.250 ($0.08 worse). SL $6.00 away = $42 risk. Price went against it; stopped at 1856.470 after 18s: -$43.54 (-1.04R).</t>
  </si>
  <si>
    <t xml:space="preserve">SELL STOP at 1843.17 filled at 1843.040 ($0.13 worse). SL $6.00 away = $42 risk. Closed by the EA itself (account guard / blackout / instant close) at 1835.300 after 13h43m: +$54.18 (+1.29R).</t>
  </si>
  <si>
    <t xml:space="preserve">BUY STOP at 1841.65 filled at 1841.650 ($0.00 better). SL $6.00 away = $42 risk. Closed by the EA itself (account guard / blackout / instant close) at 1842.130 after 23m23s: +$3.36 (+0.08R).</t>
  </si>
  <si>
    <t xml:space="preserve">SELL STOP at 1830.48 filled at 1830.470 ($0.01 worse). SL $6.00 away = $42 risk. Closed by the EA itself (account guard / blackout / instant close) at 1830.000 after 2m13s: +$3.29 (+0.08R).</t>
  </si>
  <si>
    <t xml:space="preserve">SELL STOP at 1827.56 filled at 1827.550 ($0.01 worse). SL $6.00 away = $42 risk. Closed by the EA itself (account guard / blackout / instant close) at 1827.090 after 2h55m: +$3.22 (+0.08R).</t>
  </si>
  <si>
    <t xml:space="preserve">SELL STOP at 1823.10 filled at 1822.980 ($0.12 worse). SL $6.00 away = $42 risk. Closed by the EA itself (account guard / blackout / instant close) at 1822.480 after 1h54m: +$3.50 (+0.08R).</t>
  </si>
  <si>
    <t xml:space="preserve">BUY STOP at 1843.51 filled at 1843.520 ($0.01 worse). SL $6.00 away = $42 risk. Closed by the EA itself (account guard / blackout / instant close) at 1844.020 after 3h28m: +$3.50 (+0.08R).</t>
  </si>
  <si>
    <t xml:space="preserve">SELL STOP at 1841.05 filled at 1841.040 ($0.01 worse). SL $6.00 away = $42 risk. Price went against it; stopped at 1847.060 after 5h08m: -$42.14 (-1.00R).</t>
  </si>
  <si>
    <t xml:space="preserve">SELL STOP at 1837.15 filled at 1837.120 ($0.03 worse). SL $6.00 away = $42 risk. Closed by the EA itself (account guard / blackout / instant close) at 1836.750 after 3h43m: +$2.59 (+0.06R).</t>
  </si>
  <si>
    <t xml:space="preserve">BUY STOP at 1839.70 filled at 1839.710 ($0.01 worse). SL $6.00 away = $42 risk. Closed by the EA itself (account guard / blackout / instant close) at 1838.860 after 37m45s: -$5.95 (-0.14R).</t>
  </si>
  <si>
    <t xml:space="preserve">BUY STOP at 1837.17 filled at 1837.200 ($0.03 worse). SL $6.00 away = $42 risk. Closed by the EA itself (account guard / blackout / instant close) at 1837.680 after 44m21s: +$3.36 (+0.08R).</t>
  </si>
  <si>
    <t xml:space="preserve">BUY STOP at 1843.74 filled at 1843.810 ($0.07 worse). SL $6.00 away = $42 risk. Closed by the EA itself (account guard / blackout / instant close) at 1844.290 after 5m13s: +$3.36 (+0.08R).</t>
  </si>
  <si>
    <t xml:space="preserve">SELL STOP at 1823.43 filled at 1823.400 ($0.03 worse). SL $6.00 away = $42 risk. Price went against it; stopped at 1829.430 after 2h48m: -$42.21 (-1.00R).</t>
  </si>
  <si>
    <t xml:space="preserve">BUY STOP at 1833.69 filled at 1833.780 ($0.09 worse). SL $6.00 away = $42 risk. Price went against it; stopped at 1827.680 after 59m05s: -$42.70 (-1.02R).</t>
  </si>
  <si>
    <t xml:space="preserve">SELL STOP at 1823.22 filled at 1823.210 ($0.01 worse). SL $6.00 away = $42 risk. Closed by the EA itself (account guard / blackout / instant close) at 1822.720 after 1h23m: +$3.43 (+0.08R).</t>
  </si>
  <si>
    <t xml:space="preserve">SELL STOP at 1817.40 filled at 1817.360 ($0.04 worse). SL $6.00 away = $42 risk. Closed by the EA itself (account guard / blackout / instant close) at 1816.860 after 1h28m: +$3.50 (+0.08R).</t>
  </si>
  <si>
    <t xml:space="preserve">SELL STOP at 1808.87 filled at 1808.830 ($0.04 worse). SL $6.00 away = $42 risk. Price went against it; stopped at 1814.940 after 9h59m: -$42.77 (-1.02R).</t>
  </si>
  <si>
    <t xml:space="preserve">SELL STOP at 1812.06 filled at 1812.020 ($0.04 worse). SL $6.00 away = $42 risk. Closed by the EA itself (account guard / blackout / instant close) at 1811.530 after 1h33m: +$3.43 (+0.08R).</t>
  </si>
  <si>
    <t xml:space="preserve">BUY STOP at 1820.06 filled at 1821.900 ($1.84 worse). SL $6.00 away = $42 risk. Closed by the EA itself (account guard / blackout / instant close) at 1822.360 after 11m19s: +$3.22 (+0.08R).</t>
  </si>
  <si>
    <t xml:space="preserve">BUY STOP at 1831.05 filled at 1831.060 ($0.01 worse). SL $6.00 away = $42 risk. Closed by the EA itself (account guard / blackout / instant close) at 1831.540 after 4h07m: +$3.36 (+0.08R).</t>
  </si>
  <si>
    <t xml:space="preserve">BUY STOP at 1836.57 filled at 1836.600 ($0.03 worse). SL $6.00 away = $42 risk. Price went against it; stopped at 1830.560 after 20m43s: -$42.28 (-1.01R).</t>
  </si>
  <si>
    <t xml:space="preserve">SELL STOP at 1831.83 filled at 1831.710 ($0.12 worse). SL $6.00 away = $36 risk. Price went against it; stopped at 1837.830 after 5h01m: -$36.72 (-1.02R).</t>
  </si>
  <si>
    <t xml:space="preserve">BUY STOP at 1838.87 filled at 1838.880 ($0.01 worse). SL $6.00 away = $36 risk. Closed by the EA itself (account guard / blackout / instant close) at 1839.350 after 1h33m: +$2.82 (+0.08R).</t>
  </si>
  <si>
    <t xml:space="preserve">BUY STOP at 1844.33 filled at 1844.340 ($0.01 worse). SL $6.00 away = $36 risk. Closed by the EA itself (account guard / blackout / instant close) at 1844.840 after 2h49m: +$3.00 (+0.08R).</t>
  </si>
  <si>
    <t xml:space="preserve">SELL STOP at 1852.92 filled at 1852.800 ($0.12 worse). SL $6.00 away = $36 risk. Closed by the EA itself (account guard / blackout / instant close) at 1852.310 after 5h55m: +$2.94 (+0.08R).</t>
  </si>
  <si>
    <t xml:space="preserve">SELL STOP at 1845.02 filled at 1845.020 ($0.00 better). SL $6.00 away = $36 risk. Price went against it; stopped at 1851.020 after 7h15m: -$36.00 (-1.00R).</t>
  </si>
  <si>
    <t xml:space="preserve">SELL STOP at 1812.66 filled at 1812.610 ($0.05 worse). SL $6.00 away = $36 risk. Closed by the EA itself (account guard / blackout / instant close) at 1812.120 after 4h55m: +$2.94 (+0.08R).</t>
  </si>
  <si>
    <t xml:space="preserve">SELL STOP at 1812.91 filled at 1812.900 ($0.01 worse). SL $6.00 away = $36 risk. Price went against it; stopped at 1819.060 after 1h41m: -$36.96 (-1.03R).</t>
  </si>
  <si>
    <t xml:space="preserve">BUY STOP at 1824.19 filled at 1825.400 ($1.21 worse). SL $6.00 away = $36 risk. Closed by the EA itself (account guard / blackout / instant close) at 1825.880 after 26m44s: +$2.88 (+0.08R).</t>
  </si>
  <si>
    <t xml:space="preserve">BUY STOP at 1832.75 filled at 1832.800 ($0.05 worse). SL $6.00 away = $36 risk. Closed by the EA itself (account guard / blackout / instant close) at 1833.300 after 1h19m: +$3.00 (+0.08R).</t>
  </si>
  <si>
    <t xml:space="preserve">SELL STOP at 1877.02 filled at 1877.020 ($0.00 better). SL $6.00 away = $36 risk. Closed by the EA itself (account guard / blackout / instant close) at 1876.570 after 55m17s: +$2.70 (+0.08R).</t>
  </si>
  <si>
    <t xml:space="preserve">BUY STOP at 1904.36 filled at 1904.410 ($0.05 worse). SL $6.00 away = $36 risk. Closed by the EA itself (account guard / blackout / instant close) at 1904.900 after 2h37m: +$2.94 (+0.08R).</t>
  </si>
  <si>
    <t xml:space="preserve">SELL STOP at 1899.04 filled at 1899.000 ($0.04 worse). SL $6.00 away = $36 risk. Closed by the EA itself (account guard / blackout / instant close) at 1898.510 after 3h19m: +$2.94 (+0.08R).</t>
  </si>
  <si>
    <t xml:space="preserve">BUY STOP at 1913.98 filled at 1914.020 ($0.04 worse). SL $6.00 away = $36 risk. Closed by the EA itself (account guard / blackout / instant close) at 1914.500 after 16s: +$2.88 (+0.08R).</t>
  </si>
  <si>
    <t xml:space="preserve">BUY STOP at 1932.72 filled at 1932.760 ($0.04 worse). SL $6.00 away = $36 risk. Reached the take profit at 1962.720 after 8h10m: +$179.76 (+4.99R).</t>
  </si>
  <si>
    <t xml:space="preserve">BUY STOP at 1988.46 filled at 1988.470 ($0.01 worse). SL $6.00 away = $42 risk. Closed by the EA itself (account guard / blackout / instant close) at 1988.800 after 5m41s: +$2.31 (+0.05R).</t>
  </si>
  <si>
    <t xml:space="preserve">SELL STOP at 1979.91 filled at 1979.900 ($0.01 worse). SL $6.00 away = $42 risk. Closed by the EA itself (account guard / blackout / instant close) at 1979.470 after 6m08s: +$3.01 (+0.07R).</t>
  </si>
  <si>
    <t xml:space="preserve">SELL STOP at 1965.75 filled at 1964.780 ($0.97 worse). SL $6.00 away = $42 risk. Closed by the EA itself (account guard / blackout / instant close) at 1964.340 after 4h15m: +$3.08 (+0.07R).</t>
  </si>
  <si>
    <t xml:space="preserve">BUY STOP at 1941.15 filled at 1941.180 ($0.03 worse). SL $6.00 away = $42 risk. Closed by the EA itself (account guard / blackout / instant close) at 1941.630 after 22m56s: +$3.15 (+0.07R).</t>
  </si>
  <si>
    <t xml:space="preserve">SELL STOP at 1935.19 filled at 1935.190 ($0.00 better). SL $6.00 away = $42 risk. Price went against it; stopped at 1941.200 after 19m17s: -$42.07 (-1.00R).</t>
  </si>
  <si>
    <t xml:space="preserve">BUY STOP at 1978.71 filled at 1978.720 ($0.01 worse). SL $6.00 away = $42 risk. Closed by the EA itself (account guard / blackout / instant close) at 1979.210 after 9m05s: +$3.43 (+0.08R).</t>
  </si>
  <si>
    <t xml:space="preserve">BUY STOP at 1980.77 filled at 1980.960 ($0.19 worse). SL $6.00 away = $42 risk. Closed by the EA itself (account guard / blackout / instant close) at 1981.450 after 13m12s: +$3.43 (+0.08R).</t>
  </si>
  <si>
    <t xml:space="preserve">SELL STOP at 1989.25 filled at 1989.180 ($0.07 worse). SL $6.00 away = $42 risk. Closed by the EA itself (account guard / blackout / instant close) at 1988.690 after 20m46s: +$3.43 (+0.08R).</t>
  </si>
  <si>
    <t xml:space="preserve">BUY STOP at 2003.19 filled at 2003.280 ($0.09 worse). SL $6.00 away = $42 risk. Price went against it; stopped at 1997.140 after 3m20s: -$42.98 (-1.02R).</t>
  </si>
  <si>
    <t xml:space="preserve">SELL STOP at 1969.24 filled at 1969.240 ($0.00 better). SL $6.00 away = $42 risk. Closed by the EA itself (account guard / blackout / instant close) at 1968.740 after 29m18s: +$3.50 (+0.08R).</t>
  </si>
  <si>
    <t xml:space="preserve">SELL STOP at 1956.62 filled at 1956.620 ($0.00 better). SL $6.00 away = $42 risk. Closed by the EA itself (account guard / blackout / instant close) at 1956.180 after 4m39s: +$3.08 (+0.07R).</t>
  </si>
  <si>
    <t xml:space="preserve">BUY STOP at 1968.82 filled at 1968.850 ($0.03 worse). SL $6.00 away = $42 risk. Price went against it; stopped at 1962.820 after 1h57m: -$42.21 (-1.00R).</t>
  </si>
  <si>
    <t xml:space="preserve">SELL STOP at 1958.58 filled at 1957.010 ($1.57 worse). SL $6.00 away = $36 risk. Price went against it; stopped at 1964.610 after 4h25m: -$45.60 (-1.27R).</t>
  </si>
  <si>
    <t xml:space="preserve">BUY STOP at 1965.38 filled at 1965.440 ($0.06 worse). SL $6.00 away = $36 risk. Closed by the EA itself (account guard / blackout / instant close) at 1965.920 after 17m49s: +$2.88 (+0.08R).</t>
  </si>
  <si>
    <t xml:space="preserve">BUY STOP at 1981.95 filled at 1981.950 ($0.00 better). SL $6.00 away = $36 risk. Closed by the EA itself (account guard / blackout / instant close) at 1982.450 after 45m04s: +$3.00 (+0.08R).</t>
  </si>
  <si>
    <t xml:space="preserve">BUY STOP at 1987.49 filled at 1987.550 ($0.06 worse). SL $6.00 away = $36 risk. Closed by the EA itself (account guard / blackout / instant close) at 1988.050 after 8m47s: +$3.00 (+0.08R).</t>
  </si>
  <si>
    <t xml:space="preserve">SELL STOP at 1977.76 filled at 1977.720 ($0.04 worse). SL $6.00 away = $36 risk. Price went against it; stopped at 1983.770 after 1h20m: -$36.30 (-1.01R).</t>
  </si>
  <si>
    <t xml:space="preserve">BUY STOP at 1990.37 filled at 1990.400 ($0.03 worse). SL $6.00 away = $36 risk. Closed by the EA itself (account guard / blackout / instant close) at 1990.900 after 15m32s: +$3.00 (+0.08R).</t>
  </si>
  <si>
    <t xml:space="preserve">BUY STOP at 2024.85 filled at 2024.870 ($0.02 worse). SL $6.00 away = $36 risk. Closed by the EA itself (account guard / blackout / instant close) at 2025.280 after 4h56m: +$2.46 (+0.07R).</t>
  </si>
  <si>
    <t xml:space="preserve">SELL STOP at 2022.00 filled at 2022.000 ($0.00 better). SL $6.00 away = $36 risk. Price went against it; stopped at 2028.680 after 2h49m: -$40.08 (-1.11R).</t>
  </si>
  <si>
    <t xml:space="preserve">SELL STOP at 2009.89 filled at 2009.830 ($0.06 worse). SL $6.00 away = $36 risk. Price went against it; stopped at 2015.960 after 3h20m: -$36.78 (-1.02R).</t>
  </si>
  <si>
    <t xml:space="preserve">SELL STOP at 2010.43 filled at 2010.430 ($0.00 better). SL $6.00 away = $36 risk. Closed by the EA itself (account guard / blackout / instant close) at 2009.930 after 1h30m: +$3.00 (+0.08R).</t>
  </si>
  <si>
    <t xml:space="preserve">BUY STOP at 1995.11 filled at 1995.110 ($0.00 better). SL $6.00 away = $36 risk. Closed by the EA itself (account guard / blackout / instant close) at 1995.440 after 6h25m: +$1.98 (+0.06R).</t>
  </si>
  <si>
    <t xml:space="preserve">BUY STOP at 2001.41 filled at 2001.420 ($0.01 worse). SL $6.00 away = $36 risk. Closed by the EA itself (account guard / blackout / instant close) at 2001.920 after 1h39m: +$3.00 (+0.08R).</t>
  </si>
  <si>
    <t xml:space="preserve">BUY STOP at 2006.36 filled at 2006.370 ($0.01 worse). SL $6.00 away = $36 risk. Price went against it; stopped at 2000.300 after 3h03m: -$36.42 (-1.01R).</t>
  </si>
  <si>
    <t xml:space="preserve">BUY STOP at 2007.35 filled at 2008.510 ($1.16 worse). SL $6.00 away = $36 risk. Closed by the EA itself (account guard / blackout / instant close) at 2008.990 after 7h37m: +$2.88 (+0.08R).</t>
  </si>
  <si>
    <t xml:space="preserve">BUY STOP at 2020.98 filled at 2021.100 ($0.12 worse). SL $6.00 away = $36 risk. Closed by the EA itself (account guard / blackout / instant close) at 2021.490 after 3m05s: +$2.34 (+0.07R).</t>
  </si>
  <si>
    <t xml:space="preserve">BUY STOP at 2019.40 filled at 2019.470 ($0.07 worse). SL $6.00 away = $36 risk. Closed by the EA itself (account guard / blackout / instant close) at 2019.960 after 26m24s: +$2.94 (+0.08R).</t>
  </si>
  <si>
    <t xml:space="preserve">BUY STOP at 2028.24 filled at 2028.240 ($0.00 better). SL $6.00 away = $36 risk. Closed by the EA itself (account guard / blackout / instant close) at 2028.570 after 4h11m: +$1.98 (+0.06R).</t>
  </si>
  <si>
    <t xml:space="preserve">SELL STOP at 2039.52 filled at 2039.080 ($0.44 worse). SL $6.00 away = $36 risk. Closed by the EA itself (account guard / blackout / instant close) at 2038.650 after 47m00s: +$2.58 (+0.07R).</t>
  </si>
  <si>
    <t xml:space="preserve">SELL STOP at 2013.52 filled at 2013.520 ($0.00 better). SL $6.00 away = $36 risk. Closed by the EA itself (account guard / blackout / instant close) at 2005.990 after 5h06m: +$45.18 (+1.25R).</t>
  </si>
  <si>
    <t xml:space="preserve">BUY STOP at 2012.62 filled at 2012.630 ($0.01 worse). SL $6.00 away = $36 risk. Closed by the EA itself (account guard / blackout / instant close) at 2013.130 after 1h11m: +$3.00 (+0.08R).</t>
  </si>
  <si>
    <t xml:space="preserve">SELL STOP at 1992.29 filled at 1992.260 ($0.03 worse). SL $6.00 away = $36 risk. Closed by the EA itself (account guard / blackout / instant close) at 1991.760 after 48m16s: +$3.00 (+0.08R).</t>
  </si>
  <si>
    <t xml:space="preserve">BUY STOP at 2001.70 filled at 2001.700 ($0.00 better). SL $6.00 away = $36 risk. Closed by the EA itself (account guard / blackout / instant close) at 2002.090 after 24m53s: +$2.34 (+0.07R).</t>
  </si>
  <si>
    <t xml:space="preserve">SELL STOP at 1999.22 filled at 1999.200 ($0.02 worse). SL $6.00 away = $36 risk. Closed by the EA itself (account guard / blackout / instant close) at 1996.190 after 13h06m: +$18.06 (+0.50R).</t>
  </si>
  <si>
    <t xml:space="preserve">BUY STOP at 1995.20 filled at 1995.270 ($0.07 worse). SL $6.00 away = $36 risk. Closed by the EA itself (account guard / blackout / instant close) at 1995.660 after 1h40m: +$2.34 (+0.07R).</t>
  </si>
  <si>
    <t xml:space="preserve">BUY STOP at 2008.05 filled at 2008.060 ($0.01 worse). SL $6.00 away = $36 risk. Closed by the EA itself (account guard / blackout / instant close) at 2008.500 after 1m28s: +$2.64 (+0.07R).</t>
  </si>
  <si>
    <t xml:space="preserve">SELL STOP at 1993.89 filled at 1993.850 ($0.04 worse). SL $6.00 away = $36 risk. Closed by the EA itself (account guard / blackout / instant close) at 1993.370 after 6h50m: +$2.88 (+0.08R).</t>
  </si>
  <si>
    <t xml:space="preserve">BUY STOP at 1981.13 filled at 1981.180 ($0.05 worse). SL $6.00 away = $36 risk. Closed by the EA itself (account guard / blackout / instant close) at 1981.640 after 6h01m: +$2.76 (+0.08R).</t>
  </si>
  <si>
    <t xml:space="preserve">SELL STOP at 1990.79 filled at 1990.780 ($0.01 worse). SL $6.00 away = $36 risk. Closed by the EA itself (account guard / blackout / instant close) at 1990.280 after 6m03s: +$3.00 (+0.08R).</t>
  </si>
  <si>
    <t xml:space="preserve">BUY STOP at 1997.98 filled at 1998.030 ($0.05 worse). SL $6.00 away = $36 risk. Closed by the EA itself (account guard / blackout / instant close) at 1998.500 after 3h09m: +$2.82 (+0.08R).</t>
  </si>
  <si>
    <t xml:space="preserve">BUY STOP at 2003.80 filled at 2003.950 ($0.15 worse). SL $6.00 away = $36 risk. Closed by the EA itself (account guard / blackout / instant close) at 2004.450 after 3m00s: +$3.00 (+0.08R).</t>
  </si>
  <si>
    <t xml:space="preserve">SELL STOP at 1997.65 filled at 1997.620 ($0.03 worse). SL $6.00 away = $36 risk. Closed by the EA itself (account guard / blackout / instant close) at 1997.270 after 6h28m: +$2.10 (+0.06R).</t>
  </si>
  <si>
    <t xml:space="preserve">SELL STOP at 1983.20 filled at 1982.640 ($0.56 worse). SL $6.00 away = $36 risk. Closed by the EA itself (account guard / blackout / instant close) at 1982.160 after 38m08s: +$2.88 (+0.08R).</t>
  </si>
  <si>
    <t xml:space="preserve">SELL STOP at 1983.32 filled at 1983.320 ($0.00 better). SL $6.00 away = $36 risk. Closed by the EA itself (account guard / blackout / instant close) at 1982.830 after 2h33m: +$2.94 (+0.08R).</t>
  </si>
  <si>
    <t xml:space="preserve">SELL STOP at 1979.68 filled at 1979.660 ($0.02 worse). SL $6.00 away = $36 risk. Closed by the EA itself (account guard / blackout / instant close) at 1979.250 after 2h43m: +$2.46 (+0.07R).</t>
  </si>
  <si>
    <t xml:space="preserve">BUY STOP at 1994.92 filled at 1995.080 ($0.16 worse). SL $6.00 away = $36 risk. Closed by the EA itself (account guard / blackout / instant close) at 1994.850 after 1h37m: -$1.38 (-0.04R).</t>
  </si>
  <si>
    <t xml:space="preserve">BUY STOP at 1984.18 filled at 1984.200 ($0.02 worse). SL $6.00 away = $36 risk. Closed by the EA itself (account guard / blackout / instant close) at 1984.690 after 3h41m: +$2.94 (+0.08R).</t>
  </si>
  <si>
    <t xml:space="preserve">BUY STOP at 2005.85 filled at 2005.870 ($0.02 worse). SL $6.00 away = $36 risk. Closed by the EA itself (account guard / blackout / instant close) at 2006.370 after 24m15s: +$3.00 (+0.08R).</t>
  </si>
  <si>
    <t xml:space="preserve">BUY STOP at 2019.25 filled at 2019.250 ($0.00 better). SL $6.00 away = $36 risk. Price went against it; stopped at 2013.250 after 3h34m: -$36.00 (-1.00R).</t>
  </si>
  <si>
    <t xml:space="preserve">BUY STOP at 2019.47 filled at 2019.600 ($0.13 worse). SL $6.00 away = $36 risk. Price went against it; stopped at 2013.450 after 24m23s: -$36.90 (-1.02R).</t>
  </si>
  <si>
    <t xml:space="preserve">SELL STOP at 2040.67 filled at 2040.650 ($0.02 worse). SL $6.00 away = $36 risk. Closed by the EA itself (account guard / blackout / instant close) at 2040.150 after 42m54s: +$3.00 (+0.08R).</t>
  </si>
  <si>
    <t xml:space="preserve">SELL STOP at 2045.50 filled at 2045.490 ($0.01 worse). SL $6.00 away = $36 risk. Reached the take profit at 2015.440 after 6h19m: +$180.30 (+5.01R).</t>
  </si>
  <si>
    <t xml:space="preserve">SELL STOP at 2020.01 filled at 2019.980 ($0.03 worse). SL $6.00 away = $42 risk. Price went against it; stopped at 2026.010 after 4h39m: -$42.21 (-1.00R).</t>
  </si>
  <si>
    <t xml:space="preserve">SELL STOP at 2024.52 filled at 2024.520 ($0.00 better). SL $6.00 away = $36 risk. Closed by the EA itself (account guard / blackout / instant close) at 2024.030 after 1h00m: +$2.94 (+0.08R).</t>
  </si>
  <si>
    <t xml:space="preserve">BUY STOP at 2029.33 filled at 2029.470 ($0.14 worse). SL $6.00 away = $36 risk. Closed by the EA itself (account guard / blackout / instant close) at 2029.940 after 2h12m: +$2.82 (+0.08R).</t>
  </si>
  <si>
    <t xml:space="preserve">BUY STOP at 2037.49 filled at 2037.570 ($0.08 worse). SL $6.00 away = $42 risk. Price went against it; stopped at 2031.490 after 2h29m: -$42.56 (-1.01R).</t>
  </si>
  <si>
    <t xml:space="preserve">SELL STOP at 2027.66 filled at 2027.650 ($0.01 worse). SL $6.00 away = $36 risk. Closed by the EA itself (account guard / blackout / instant close) at 2027.160 after 6h03m: +$2.94 (+0.08R).</t>
  </si>
  <si>
    <t xml:space="preserve">SELL STOP at 2029.94 filled at 2029.910 ($0.03 worse). SL $6.00 away = $36 risk. Closed by the EA itself (account guard / blackout / instant close) at 2029.430 after 4h15m: +$2.88 (+0.08R).</t>
  </si>
  <si>
    <t xml:space="preserve">SELL STOP at 2021.43 filled at 2020.780 ($0.65 worse). SL $6.00 away = $36 risk. Closed by the EA itself (account guard / blackout / instant close) at 2020.400 after 37s: +$2.28 (+0.06R).</t>
  </si>
  <si>
    <t xml:space="preserve">SELL STOP at 2011.04 filled at 2011.020 ($0.02 worse). SL $6.00 away = $36 risk. Closed by the EA itself (account guard / blackout / instant close) at 2010.550 after 1h11m: +$2.82 (+0.08R).</t>
  </si>
  <si>
    <t xml:space="preserve">SELL STOP at 2008.27 filled at 2008.250 ($0.02 worse). SL $6.00 away = $36 risk. Closed by the EA itself (account guard / blackout / instant close) at 2007.750 after 12m25s: +$3.00 (+0.08R).</t>
  </si>
  <si>
    <t xml:space="preserve">BUY STOP at 2019.14 filled at 2019.250 ($0.11 worse). SL $6.00 away = $36 risk. Price went against it; stopped at 2013.140 after 3h59m: -$36.66 (-1.02R).</t>
  </si>
  <si>
    <t xml:space="preserve">SELL STOP at 2012.38 filled at 2012.350 ($0.03 worse). SL $6.00 away = $36 risk. Closed by the EA itself (account guard / blackout / instant close) at 2011.860 after 6h41m: +$2.94 (+0.08R).</t>
  </si>
  <si>
    <t xml:space="preserve">SELL STOP at 1987.68 filled at 1987.680 ($0.00 better). SL $6.00 away = $36 risk. Closed by the EA itself (account guard / blackout / instant close) at 1987.200 after 4h19m: +$2.88 (+0.08R).</t>
  </si>
  <si>
    <t xml:space="preserve">SELL STOP at 1977.44 filled at 1977.390 ($0.05 worse). SL $6.00 away = $36 risk. Closed by the EA itself (account guard / blackout / instant close) at 1976.890 after 2h08m: +$3.00 (+0.08R).</t>
  </si>
  <si>
    <t xml:space="preserve">BUY STOP at 1964.00 filled at 1964.000 ($0.00 better). SL $6.00 away = $36 risk. Closed by the EA itself (account guard / blackout / instant close) at 1964.440 after 48m52s: +$2.64 (+0.07R).</t>
  </si>
  <si>
    <t xml:space="preserve">SELL STOP at 1972.27 filled at 1972.260 ($0.01 worse). SL $6.00 away = $36 risk. Price went against it; stopped at 1978.290 after 58m12s: -$36.18 (-1.00R).</t>
  </si>
  <si>
    <t xml:space="preserve">SELL STOP at 1968.77 filled at 1968.740 ($0.03 worse). SL $6.00 away = $36 risk. Closed by the EA itself (account guard / blackout / instant close) at 1968.320 after 12h30m: +$2.52 (+0.07R).</t>
  </si>
  <si>
    <t xml:space="preserve">BUY STOP at 1977.55 filled at 1977.570 ($0.02 worse). SL $6.00 away = $36 risk. Closed by the EA itself (account guard / blackout / instant close) at 1978.060 after 7h03m: +$2.94 (+0.08R).</t>
  </si>
  <si>
    <t xml:space="preserve">SELL STOP at 1976.13 filled at 1976.130 ($0.00 better). SL $6.00 away = $36 risk. Closed by the EA itself (account guard / blackout / instant close) at 1975.680 after 1h28m: +$2.70 (+0.08R).</t>
  </si>
  <si>
    <t xml:space="preserve">SELL STOP at 1954.84 filled at 1954.840 ($0.00 better). SL $6.00 away = $36 risk. Price went against it; stopped at 1960.860 after 1h21m: -$36.12 (-1.00R).</t>
  </si>
  <si>
    <t xml:space="preserve">SELL STOP at 1938.66 filled at 1938.650 ($0.01 worse). SL $6.00 away = $36 risk. Price went against it; stopped at 1944.660 after 45m12s: -$36.06 (-1.00R).</t>
  </si>
  <si>
    <t xml:space="preserve">SELL STOP at 1946.96 filled at 1946.960 ($0.00 better). SL $6.00 away = $36 risk. Price went against it; stopped at 1952.970 after 1h15m: -$36.06 (-1.00R).</t>
  </si>
  <si>
    <t xml:space="preserve">SELL STOP at 1945.00 filled at 1944.950 ($0.05 worse). SL $6.00 away = $36 risk. Closed by the EA itself (account guard / blackout / instant close) at 1944.520 after 1h33m: +$2.58 (+0.07R).</t>
  </si>
  <si>
    <t xml:space="preserve">SELL STOP at 1940.15 filled at 1940.060 ($0.09 worse). SL $6.00 away = $36 risk. Closed by the EA itself (account guard / blackout / instant close) at 1939.560 after 3h59m: +$3.00 (+0.08R).</t>
  </si>
  <si>
    <t xml:space="preserve">BUY STOP at 1940.82 filled at 1940.850 ($0.03 worse). SL $6.00 away = $36 risk. Closed by the EA itself (account guard / blackout / instant close) at 1958.770 after 11h17m: +$107.52 (+2.99R).</t>
  </si>
  <si>
    <t xml:space="preserve">BUY STOP at 1963.38 filled at 1963.380 ($0.00 better). SL $6.00 away = $36 risk. Price went against it; stopped at 1957.370 after 1h25m: -$36.06 (-1.00R).</t>
  </si>
  <si>
    <t xml:space="preserve">BUY STOP at 1965.29 filled at 1965.300 ($0.01 worse). SL $6.00 away = $36 risk. Closed by the EA itself (account guard / blackout / instant close) at 1962.320 after 25m00s: -$17.88 (-0.50R).</t>
  </si>
  <si>
    <t xml:space="preserve">SELL STOP at 1962.41 filled at 1962.400 ($0.01 worse). SL $6.00 away = $36 risk. Closed by the EA itself (account guard / blackout / instant close) at 1961.910 after 4h18m: +$2.94 (+0.08R).</t>
  </si>
  <si>
    <t xml:space="preserve">BUY STOP at 1974.63 filled at 1974.640 ($0.01 worse). SL $6.00 away = $36 risk. Closed by the EA itself (account guard / blackout / instant close) at 1975.140 after 6m02s: +$3.00 (+0.08R).</t>
  </si>
  <si>
    <t xml:space="preserve">BUY STOP at 1983.02 filled at 1983.080 ($0.06 worse). SL $6.00 away = $36 risk. Price went against it; stopped at 1977.020 after 3h10m: -$36.36 (-1.01R).</t>
  </si>
  <si>
    <t xml:space="preserve">SELL STOP at 1942.85 filled at 1942.800 ($0.05 worse). SL $6.00 away = $36 risk. Closed by the EA itself (account guard / blackout / instant close) at 1942.360 after 1h55m: +$2.64 (+0.07R).</t>
  </si>
  <si>
    <t xml:space="preserve">BUY STOP at 1963.96 filled at 1963.960 ($0.00 better). SL $6.00 away = $36 risk. Price went against it; stopped at 1957.950 after 3h37m: -$36.06 (-1.00R).</t>
  </si>
  <si>
    <t xml:space="preserve">SELL STOP at 1957.74 filled at 1957.740 ($0.00 better). SL $6.00 away = $36 risk. Price went against it; stopped at 1963.750 after 4h31m: -$36.06 (-1.00R).</t>
  </si>
  <si>
    <t xml:space="preserve">BUY STOP at 1966.24 filled at 1966.240 ($0.00 better). SL $6.00 away = $36 risk. Price went against it; stopped at 1960.240 after 5h14m: -$36.00 (-1.00R).</t>
  </si>
  <si>
    <t xml:space="preserve">BUY STOP at 1964.87 filled at 1964.880 ($0.01 worse). SL $6.00 away = $36 risk. Price went against it; stopped at 1958.860 after 2h21m: -$36.12 (-1.00R).</t>
  </si>
  <si>
    <t xml:space="preserve">SELL STOP at 1945.61 filled at 1945.540 ($0.07 worse). SL $6.00 away = $36 risk. Closed by the EA itself (account guard / blackout / instant close) at 1945.040 after 34m01s: +$3.00 (+0.08R).</t>
  </si>
  <si>
    <t xml:space="preserve">BUY STOP at 1970.09 filled at 1970.110 ($0.02 worse). SL $6.00 away = $36 risk. Price went against it; stopped at 1964.070 after 2h39m: -$36.24 (-1.01R).</t>
  </si>
  <si>
    <t xml:space="preserve">BUY STOP at 1965.32 filled at 1965.330 ($0.01 worse). SL $6.00 away = $36 risk. Closed by the EA itself (account guard / blackout / instant close) at 1965.800 after 6h33m: +$2.82 (+0.08R).</t>
  </si>
  <si>
    <t xml:space="preserve">SELL STOP at 1956.48 filled at 1956.450 ($0.03 worse). SL $6.00 away = $36 risk. Price went against it; stopped at 1962.480 after 6h33m: -$36.18 (-1.00R).</t>
  </si>
  <si>
    <t xml:space="preserve">SELL STOP at 1956.51 filled at 1956.470 ($0.04 worse). SL $6.00 away = $36 risk. Closed by the EA itself (account guard / blackout / instant close) at 1956.060 after 1h38m: +$2.46 (+0.07R).</t>
  </si>
  <si>
    <t xml:space="preserve">BUY STOP at 1962.03 filled at 1962.080 ($0.05 worse). SL $6.00 away = $36 risk. Closed by the EA itself (account guard / blackout / instant close) at 1962.580 after 1h24m: +$3.00 (+0.08R).</t>
  </si>
  <si>
    <t xml:space="preserve">BUY STOP at 1966.87 filled at 1966.870 ($0.00 better). SL $6.00 away = $36 risk. Closed by the EA itself (account guard / blackout / instant close) at 1967.020 after 37s: +$0.90 (+0.03R).</t>
  </si>
  <si>
    <t xml:space="preserve">SELL STOP at 1946.03 filled at 1946.030 ($0.00 better). SL $6.00 away = $36 risk. Price went against it; stopped at 1952.040 after 3h11m: -$36.06 (-1.00R).</t>
  </si>
  <si>
    <t xml:space="preserve">SELL STOP at 1939.94 filled at 1939.900 ($0.04 worse). SL $6.00 away = $36 risk. Price went against it; stopped at 1946.030 after 3m47s: -$36.78 (-1.02R).</t>
  </si>
  <si>
    <t xml:space="preserve">SELL STOP at 1939.50 filled at 1939.500 ($0.00 better). SL $6.00 away = $36 risk. Closed by the EA itself (account guard / blackout / instant close) at 1939.020 after 5m52s: +$2.88 (+0.08R).</t>
  </si>
  <si>
    <t xml:space="preserve">SELL STOP at 1930.65 filled at 1930.640 ($0.01 worse). SL $6.00 away = $36 risk. Price went against it; stopped at 1936.660 after 3h04m: -$36.12 (-1.00R).</t>
  </si>
  <si>
    <t xml:space="preserve">BUY STOP at 1960.13 filled at 1960.130 ($0.00 better). SL $6.00 away = $36 risk. Closed by the EA itself (account guard / blackout / instant close) at 1960.590 after 5h09m: +$2.76 (+0.08R).</t>
  </si>
  <si>
    <t xml:space="preserve">SELL STOP at 1954.55 filled at 1954.540 ($0.01 worse). SL $6.00 away = $36 risk. Price went against it; stopped at 1960.550 after 12m15s: -$36.06 (-1.00R).</t>
  </si>
  <si>
    <t xml:space="preserve">SELL STOP at 1954.05 filled at 1953.940 ($0.11 worse). SL $6.00 away = $36 risk. Closed by the EA itself (account guard / blackout / instant close) at 1953.450 after 7h50m: +$2.94 (+0.08R).</t>
  </si>
  <si>
    <t xml:space="preserve">SELL STOP at 1947.69 filled at 1947.680 ($0.01 worse). SL $6.00 away = $36 risk. Closed by the EA itself (account guard / blackout / instant close) at 1947.260 after 14m35s: +$2.52 (+0.07R).</t>
  </si>
  <si>
    <t xml:space="preserve">BUY STOP at 1951.22 filled at 1951.230 ($0.01 worse). SL $6.00 away = $36 risk. Closed by the EA itself (account guard / blackout / instant close) at 1951.730 after 39m27s: +$3.00 (+0.08R).</t>
  </si>
  <si>
    <t xml:space="preserve">SELL STOP at 1934.08 filled at 1934.070 ($0.01 worse). SL $6.00 away = $36 risk. Closed by the EA itself (account guard / blackout / instant close) at 1933.630 after 17m36s: +$2.64 (+0.07R).</t>
  </si>
  <si>
    <t xml:space="preserve">SELL STOP at 1929.71 filled at 1929.660 ($0.05 worse). SL $6.00 away = $36 risk. Closed by the EA itself (account guard / blackout / instant close) at 1929.190 after 8m04s: +$2.82 (+0.08R).</t>
  </si>
  <si>
    <t xml:space="preserve">SELL STOP at 1927.89 filled at 1927.870 ($0.02 worse). SL $6.00 away = $36 risk. Closed by the EA itself (account guard / blackout / instant close) at 1927.400 after 1h55m: +$2.82 (+0.08R).</t>
  </si>
  <si>
    <t xml:space="preserve">SELL STOP at 1919.08 filled at 1919.050 ($0.03 worse). SL $6.00 away = $36 risk. Price went against it; stopped at 1925.080 after 34m21s: -$36.18 (-1.00R).</t>
  </si>
  <si>
    <t xml:space="preserve">SELL STOP at 1912.22 filled at 1912.200 ($0.02 worse). SL $6.00 away = $36 risk. Price went against it; stopped at 1918.230 after 3h20m: -$36.18 (-1.00R).</t>
  </si>
  <si>
    <t xml:space="preserve">BUY STOP at 1917.91 filled at 1917.960 ($0.05 worse). SL $6.00 away = $36 risk. Closed by the EA itself (account guard / blackout / instant close) at 1918.460 after 1h23m: +$3.00 (+0.08R).</t>
  </si>
  <si>
    <t xml:space="preserve">BUY STOP at 1927.12 filled at 1927.180 ($0.06 worse). SL $6.00 away = $36 risk. Closed by the EA itself (account guard / blackout / instant close) at 1927.580 after 7h30m: +$2.40 (+0.07R).</t>
  </si>
  <si>
    <t xml:space="preserve">SELL STOP at 1921.43 filled at 1921.360 ($0.07 worse). SL $6.00 away = $36 risk. Price went against it; stopped at 1927.440 after 2h07m: -$36.48 (-1.01R).</t>
  </si>
  <si>
    <t xml:space="preserve">BUY STOP at 1929.49 filled at 1929.520 ($0.03 worse). SL $6.00 away = $36 risk. Price went against it; stopped at 1923.480 after 3h09m: -$36.24 (-1.01R).</t>
  </si>
  <si>
    <t xml:space="preserve">SELL STOP at 1914.91 filled at 1914.770 ($0.14 worse). SL $6.00 away = $30 risk. Closed by the EA itself (account guard / blackout / instant close) at 1910.920 after 12h55m: +$19.25 (+0.64R).</t>
  </si>
  <si>
    <t xml:space="preserve">SELL STOP at 1902.70 filled at 1902.700 ($0.00 better). SL $6.00 away = $30 risk. Price went against it; stopped at 1908.780 after 7h22m: -$30.40 (-1.01R).</t>
  </si>
  <si>
    <t xml:space="preserve">SELL STOP at 1906.81 filled at 1906.700 ($0.11 worse). SL $6.00 away = $30 risk. Closed by the EA itself (account guard / blackout / instant close) at 1906.210 after 39m30s: +$2.45 (+0.08R).</t>
  </si>
  <si>
    <t xml:space="preserve">BUY STOP at 1913.00 filled at 1913.010 ($0.01 worse). SL $6.00 away = $30 risk. Closed by the EA itself (account guard / blackout / instant close) at 1913.420 after 1h55m: +$2.05 (+0.07R).</t>
  </si>
  <si>
    <t xml:space="preserve">SELL STOP at 1916.51 filled at 1916.510 ($0.00 better). SL $6.00 away = $30 risk. Closed by the EA itself (account guard / blackout / instant close) at 1916.020 after 1h02m: +$2.45 (+0.08R).</t>
  </si>
  <si>
    <t xml:space="preserve">BUY STOP at 1922.63 filled at 1922.670 ($0.04 worse). SL $6.00 away = $30 risk. Closed by the EA itself (account guard / blackout / instant close) at 1923.160 after 6m16s: +$2.45 (+0.08R).</t>
  </si>
  <si>
    <t xml:space="preserve">BUY STOP at 1924.54 filled at 1924.550 ($0.01 worse). SL $6.00 away = $30 risk. Closed by the EA itself (account guard / blackout / instant close) at 1925.010 after 10h31m: +$2.30 (+0.08R).</t>
  </si>
  <si>
    <t xml:space="preserve">SELL STOP at 1924.09 filled at 1924.060 ($0.03 worse). SL $6.00 away = $30 risk. Closed by the EA itself (account guard / blackout / instant close) at 1923.560 after 57m31s: +$2.50 (+0.08R).</t>
  </si>
  <si>
    <t xml:space="preserve">BUY STOP at 1930.62 filled at 1930.620 ($0.00 better). SL $6.00 away = $30 risk. Closed by the EA itself (account guard / blackout / instant close) at 1931.080 after 18m17s: +$2.30 (+0.08R).</t>
  </si>
  <si>
    <t xml:space="preserve">BUY STOP at 1921.09 filled at 1921.090 ($0.00 better). SL $6.00 away = $30 risk. Closed by the EA itself (account guard / blackout / instant close) at 1921.400 after 5h46m: +$1.55 (+0.05R).</t>
  </si>
  <si>
    <t xml:space="preserve">BUY STOP at 1927.51 filled at 1928.400 ($0.89 worse). SL $6.00 away = $30 risk. Price went against it; stopped at 1920.030 after 1s: -$41.85 (-1.39R).</t>
  </si>
  <si>
    <t xml:space="preserve">SELL STOP at 1919.55 filled at 1919.400 ($0.15 worse). SL $6.00 away = $30 risk. Price went against it; stopped at 1925.550 after 1h46m: -$30.75 (-1.02R).</t>
  </si>
  <si>
    <t xml:space="preserve">BUY STOP at 1928.08 filled at 1928.080 ($0.00 better). SL $6.00 away = $30 risk. Closed by the EA itself (account guard / blackout / instant close) at 1931.610 after 17h42m: +$17.65 (+0.59R).</t>
  </si>
  <si>
    <t xml:space="preserve">BUY STOP at 1938.27 filled at 1938.300 ($0.03 worse). SL $6.00 away = $30 risk. Closed by the EA itself (account guard / blackout / instant close) at 1938.650 after 1h39m: +$1.75 (+0.06R).</t>
  </si>
  <si>
    <t xml:space="preserve">BUY STOP at 1940.16 filled at 1940.170 ($0.01 worse). SL $6.00 away = $30 risk. Price went against it; stopped at 1934.160 after 1h04m: -$30.05 (-1.00R).</t>
  </si>
  <si>
    <t xml:space="preserve">BUY STOP at 1959.60 filled at 1959.690 ($0.09 worse). SL $6.00 away = $30 risk. Closed by the EA itself (account guard / blackout / instant close) at 1960.190 after 3h08m: +$2.50 (+0.08R).</t>
  </si>
  <si>
    <t xml:space="preserve">BUY STOP at 1962.21 filled at 1962.240 ($0.03 worse). SL $6.00 away = $30 risk. Price went against it; stopped at 1956.130 after 6h05m: -$30.55 (-1.02R).</t>
  </si>
  <si>
    <t xml:space="preserve">BUY STOP at 1963.49 filled at 1963.490 ($0.00 better). SL $6.00 away = $30 risk. Price went against it; stopped at 1957.310 after 4h32m: -$30.90 (-1.03R).</t>
  </si>
  <si>
    <t xml:space="preserve">BUY STOP at 1962.43 filled at 1962.430 ($0.00 better). SL $6.00 away = $30 risk. Price went against it; stopped at 1956.420 after 34m01s: -$30.05 (-1.00R).</t>
  </si>
  <si>
    <t xml:space="preserve">SELL STOP at 1950.88 filled at 1950.840 ($0.04 worse). SL $6.00 away = $30 risk. Price went against it; stopped at 1956.890 after 2h05m: -$30.25 (-1.01R).</t>
  </si>
  <si>
    <t xml:space="preserve">SELL STOP at 1951.42 filled at 1951.320 ($0.10 worse). SL $6.00 away = $30 risk. Price went against it; stopped at 1957.420 after 1h16m: -$30.50 (-1.02R).</t>
  </si>
  <si>
    <t xml:space="preserve">BUY STOP at 1959.75 filled at 1959.750 ($0.00 better). SL $6.00 away = $30 risk. Closed by the EA itself (account guard / blackout / instant close) at 1977.390 after 17h42m: +$88.20 (+2.94R).</t>
  </si>
  <si>
    <t xml:space="preserve">SELL STOP at 1973.97 filled at 1973.960 ($0.01 worse). SL $6.00 away = $30 risk. Price went against it; stopped at 1979.980 after 36m29s: -$30.10 (-1.00R).</t>
  </si>
  <si>
    <t xml:space="preserve">BUY STOP at 1980.78 filled at 1980.790 ($0.01 worse). SL $6.00 away = $30 risk. Closed by the EA itself (account guard / blackout / instant close) at 1981.290 after 4h27m: +$2.50 (+0.08R).</t>
  </si>
  <si>
    <t xml:space="preserve">SELL STOP at 1979.98 filled at 1979.980 ($0.00 better). SL $6.00 away = $30 risk. Closed by the EA itself (account guard / blackout / instant close) at 1979.500 after 7h19m: +$2.40 (+0.08R).</t>
  </si>
  <si>
    <t xml:space="preserve">BUY STOP at 1970.91 filled at 1971.010 ($0.10 worse). SL $6.00 away = $30 risk. Price went against it; stopped at 1964.900 after 1h36m: -$30.55 (-1.02R).</t>
  </si>
  <si>
    <t xml:space="preserve">SELL STOP at 1958.91 filled at 1958.890 ($0.02 worse). SL $6.00 away = $30 risk. Price went against it; stopped at 1964.910 after 1h18m: -$30.10 (-1.00R).</t>
  </si>
  <si>
    <t xml:space="preserve">SELL STOP at 1956.68 filled at 1956.600 ($0.08 worse). SL $6.00 away = $30 risk. Closed by the EA itself (account guard / blackout / instant close) at 1956.100 after 10m01s: +$2.50 (+0.08R).</t>
  </si>
  <si>
    <t xml:space="preserve">SELL STOP at 1953.34 filled at 1953.250 ($0.09 worse). SL $6.00 away = $30 risk. Price went against it; stopped at 1959.340 after 1h58m: -$30.45 (-1.01R).</t>
  </si>
  <si>
    <t xml:space="preserve">BUY STOP at 1963.13 filled at 1963.170 ($0.04 worse). SL $6.00 away = $30 risk. Price went against it; stopped at 1957.110 after 4h46m: -$30.30 (-1.01R).</t>
  </si>
  <si>
    <t xml:space="preserve">BUY STOP at 1965.55 filled at 1965.610 ($0.06 worse). SL $6.00 away = $30 risk. Closed by the EA itself (account guard / blackout / instant close) at 1966.090 after 15h18m: +$2.40 (+0.08R).</t>
  </si>
  <si>
    <t xml:space="preserve">BUY STOP at 1978.12 filled at 1978.120 ($0.00 better). SL $6.00 away = $30 risk. Closed by the EA itself (account guard / blackout / instant close) at 1978.580 after 1h10m: +$2.30 (+0.08R).</t>
  </si>
  <si>
    <t xml:space="preserve">SELL STOP at 1974.95 filled at 1974.940 ($0.01 worse). SL $6.00 away = $30 risk. Price went against it; stopped at 1980.950 after 1h19m: -$30.05 (-1.00R).</t>
  </si>
  <si>
    <t xml:space="preserve">SELL STOP at 1950.50 filled at 1950.500 ($0.00 better). SL $6.00 away = $30 risk. Closed by the EA itself (account guard / blackout / instant close) at 1950.010 after 1h32m: +$2.45 (+0.08R).</t>
  </si>
  <si>
    <t xml:space="preserve">BUY STOP at 1955.79 filled at 1955.790 ($0.00 better). SL $6.00 away = $30 risk. Closed by the EA itself (account guard / blackout / instant close) at 1966.380 after 12h58m: +$52.95 (+1.76R).</t>
  </si>
  <si>
    <t xml:space="preserve">SELL STOP at 1958.16 filled at 1958.160 ($0.00 better). SL $6.00 away = $30 risk. Closed by the EA itself (account guard / blackout / instant close) at 1957.660 after 20m13s: +$2.50 (+0.08R).</t>
  </si>
  <si>
    <t xml:space="preserve">SELL STOP at 1950.66 filled at 1950.500 ($0.16 worse). SL $6.00 away = $30 risk. Closed by the EA itself (account guard / blackout / instant close) at 1950.090 after 1h37m: +$2.05 (+0.07R).</t>
  </si>
  <si>
    <t xml:space="preserve">BUY STOP at 1949.90 filled at 1949.920 ($0.02 worse). SL $6.00 away = $30 risk. Closed by the EA itself (account guard / blackout / instant close) at 1950.410 after 5h49m: +$2.45 (+0.08R).</t>
  </si>
  <si>
    <t xml:space="preserve">SELL STOP at 1941.12 filled at 1941.040 ($0.08 worse). SL $6.00 away = $30 risk. Closed by the EA itself (account guard / blackout / instant close) at 1935.670 after 5h02m: +$26.85 (+0.89R).</t>
  </si>
  <si>
    <t xml:space="preserve">SELL STOP at 1932.89 filled at 1932.880 ($0.01 worse). SL $6.00 away = $30 risk. Closed by the EA itself (account guard / blackout / instant close) at 1932.470 after 7h21m: +$2.05 (+0.07R).</t>
  </si>
  <si>
    <t xml:space="preserve">SELL STOP at 1933.12 filled at 1933.110 ($0.01 worse). SL $6.00 away = $30 risk. Closed by the EA itself (account guard / blackout / instant close) at 1932.610 after 6h10m: +$2.50 (+0.08R).</t>
  </si>
  <si>
    <t xml:space="preserve">SELL STOP at 1929.43 filled at 1926.900 ($2.53 worse). SL $6.00 away = $30 risk. Price went against it; stopped at 1935.460 after 21s: -$42.80 (-1.43R).</t>
  </si>
  <si>
    <t xml:space="preserve">BUY STOP at 1946.80 filled at 1946.810 ($0.01 worse). SL $6.00 away = $30 risk. Price went against it; stopped at 1940.780 after 3h47m: -$30.15 (-1.00R).</t>
  </si>
  <si>
    <t xml:space="preserve">SELL STOP at 1936.11 filled at 1936.110 ($0.00 better). SL $6.00 away = $30 risk. Closed by the EA itself (account guard / blackout / instant close) at 1935.630 after 4h51m: +$2.40 (+0.08R).</t>
  </si>
  <si>
    <t xml:space="preserve">SELL STOP at 1931.37 filled at 1931.290 ($0.08 worse). SL $6.00 away = $30 risk. Closed by the EA itself (account guard / blackout / instant close) at 1930.900 after 12h41m: +$1.95 (+0.06R).</t>
  </si>
  <si>
    <t xml:space="preserve">BUY STOP at 1932.06 filled at 1932.090 ($0.03 worse). SL $6.00 away = $30 risk. Price went against it; stopped at 1926.010 after 3h45m: -$30.40 (-1.01R).</t>
  </si>
  <si>
    <t xml:space="preserve">SELL STOP at 1922.66 filled at 1922.570 ($0.09 worse). SL $6.00 away = $30 risk. Closed by the EA itself (account guard / blackout / instant close) at 1922.070 after 2h26m: +$2.50 (+0.08R).</t>
  </si>
  <si>
    <t xml:space="preserve">SELL STOP at 1915.75 filled at 1915.710 ($0.04 worse). SL $6.00 away = $30 risk. Price went against it; stopped at 1921.780 after 3h45m: -$30.35 (-1.01R).</t>
  </si>
  <si>
    <t xml:space="preserve">SELL STOP at 1913.51 filled at 1913.430 ($0.08 worse). SL $6.00 away = $30 risk. Price went against it; stopped at 1919.520 after 48m32s: -$30.45 (-1.01R).</t>
  </si>
  <si>
    <t xml:space="preserve">SELL STOP at 1911.75 filled at 1911.750 ($0.00 better). SL $6.00 away = $30 risk. Price went against it; stopped at 1917.760 after 7h33m: -$30.05 (-1.00R).</t>
  </si>
  <si>
    <t xml:space="preserve">SELL STOP at 1912.54 filled at 1912.530 ($0.01 worse). SL $6.00 away = $30 risk. Closed by the EA itself (account guard / blackout / instant close) at 1913.180 after 57m38s: -$3.25 (-0.11R).</t>
  </si>
  <si>
    <t xml:space="preserve">SELL STOP at 1910.69 filled at 1910.620 ($0.07 worse). SL $6.00 away = $30 risk. Closed by the EA itself (account guard / blackout / instant close) at 1910.120 after 12h00m: +$2.50 (+0.08R).</t>
  </si>
  <si>
    <t xml:space="preserve">SELL STOP at 1904.05 filled at 1904.020 ($0.03 worse). SL $6.00 away = $30 risk. Closed by the EA itself (account guard / blackout / instant close) at 1903.580 after 5h31m: +$2.20 (+0.07R).</t>
  </si>
  <si>
    <t xml:space="preserve">SELL STOP at 1902.69 filled at 1902.680 ($0.01 worse). SL $6.00 away = $30 risk. Closed by the EA itself (account guard / blackout / instant close) at 1902.180 after 51m57s: +$2.50 (+0.08R).</t>
  </si>
  <si>
    <t xml:space="preserve">SELL STOP at 1896.22 filled at 1896.220 ($0.00 better). SL $6.00 away = $30 risk. Closed by the EA itself (account guard / blackout / instant close) at 1894.270 after 1h11m: +$9.75 (+0.32R).</t>
  </si>
  <si>
    <t xml:space="preserve">SELL STOP at 1891.15 filled at 1891.070 ($0.08 worse). SL $6.00 away = $30 risk. Price went against it; stopped at 1897.150 after 6h08m: -$30.40 (-1.01R).</t>
  </si>
  <si>
    <t xml:space="preserve">SELL STOP at 1892.02 filled at 1892.000 ($0.02 worse). SL $6.00 away = $30 risk. Closed by the EA itself (account guard / blackout / instant close) at 1888.440 after 3h27m: +$17.80 (+0.59R).</t>
  </si>
  <si>
    <t xml:space="preserve">BUY STOP at 1894.02 filled at 1894.070 ($0.05 worse). SL $6.00 away = $30 risk. Closed by the EA itself (account guard / blackout / instant close) at 1894.560 after 7h38m: +$2.45 (+0.08R).</t>
  </si>
  <si>
    <t xml:space="preserve">SELL STOP at 1886.68 filled at 1886.620 ($0.06 worse). SL $6.00 away = $30 risk. Price went against it; stopped at 1892.690 after 1h21m: -$30.35 (-1.01R).</t>
  </si>
  <si>
    <t xml:space="preserve">SELL STOP at 1887.80 filled at 1887.780 ($0.02 worse). SL $6.00 away = $30 risk. Price went against it; stopped at 1893.800 after 6h00m: -$30.10 (-1.00R).</t>
  </si>
  <si>
    <t xml:space="preserve">BUY STOP at 1896.33 filled at 1896.450 ($0.12 worse). SL $6.00 away = $30 risk. Closed by the EA itself (account guard / blackout / instant close) at 1896.950 after 6h43m: +$2.50 (+0.08R).</t>
  </si>
  <si>
    <t xml:space="preserve">BUY STOP at 1903.90 filled at 1903.910 ($0.01 worse). SL $6.00 away = $30 risk. Closed by the EA itself (account guard / blackout / instant close) at 1904.410 after 6h30m: +$2.50 (+0.08R).</t>
  </si>
  <si>
    <t xml:space="preserve">BUY STOP at 1920.28 filled at 1920.440 ($0.16 worse). SL $6.00 away = $30 risk. Closed by the EA itself (account guard / blackout / instant close) at 1920.920 after 4h15m: +$2.40 (+0.08R).</t>
  </si>
  <si>
    <t xml:space="preserve">SELL STOP at 1919.87 filled at 1919.870 ($0.00 better). SL $6.00 away = $30 risk. Closed by the EA itself (account guard / blackout / instant close) at 1919.450 after 6h21m: +$2.10 (+0.07R).</t>
  </si>
  <si>
    <t xml:space="preserve">BUY STOP at 1914.77 filled at 1914.790 ($0.02 worse). SL $6.00 away = $30 risk. Closed by the EA itself (account guard / blackout / instant close) at 1915.270 after 7h16m: +$2.40 (+0.08R).</t>
  </si>
  <si>
    <t xml:space="preserve">SELL STOP at 1911.66 filled at 1911.560 ($0.10 worse). SL $6.00 away = $30 risk. Price went against it; stopped at 1917.770 after 28s: -$31.05 (-1.03R).</t>
  </si>
  <si>
    <t xml:space="preserve">BUY STOP at 1917.48 filled at 1917.480 ($0.00 better). SL $6.00 away = $30 risk. Closed by the EA itself (account guard / blackout / instant close) at 1917.910 after 10h56m: +$2.15 (+0.07R).</t>
  </si>
  <si>
    <t xml:space="preserve">BUY STOP at 1925.96 filled at 1925.970 ($0.01 worse). SL $6.00 away = $30 risk. Price went against it; stopped at 1919.940 after 7h23m: -$30.15 (-1.00R).</t>
  </si>
  <si>
    <t xml:space="preserve">BUY STOP at 1925.54 filled at 1927.020 ($1.48 worse). SL $6.00 away = $30 risk. Closed by the EA itself (account guard / blackout / instant close) at 1937.740 after 5h14m: +$53.60 (+1.79R).</t>
  </si>
  <si>
    <t xml:space="preserve">SELL STOP at 1935.11 filled at 1935.110 ($0.00 better). SL $6.00 away = $30 risk. Price went against it; stopped at 1941.170 after 5h59m: -$30.30 (-1.01R).</t>
  </si>
  <si>
    <t xml:space="preserve">BUY STOP at 1945.92 filled at 1945.950 ($0.03 worse). SL $6.00 away = $30 risk. Price went against it; stopped at 1939.910 after 9h36m: -$30.20 (-1.01R).</t>
  </si>
  <si>
    <t xml:space="preserve">SELL STOP at 1938.86 filled at 1938.830 ($0.03 worse). SL $6.00 away = $30 risk. Price went against it; stopped at 1944.860 after 10h45m: -$30.15 (-1.00R).</t>
  </si>
  <si>
    <t xml:space="preserve">SELL STOP at 1938.11 filled at 1938.090 ($0.02 worse). SL $6.00 away = $30 risk. Closed by the EA itself (account guard / blackout / instant close) at 1937.620 after 38m40s: +$2.35 (+0.08R).</t>
  </si>
  <si>
    <t xml:space="preserve">BUY STOP at 1945.68 filled at 1945.730 ($0.05 worse). SL $6.00 away = $30 risk. Price went against it; stopped at 1939.650 after 6h56m: -$30.40 (-1.01R).</t>
  </si>
  <si>
    <t xml:space="preserve">SELL STOP at 1936.68 filled at 1936.640 ($0.04 worse). SL $6.00 away = $30 risk. Closed by the EA itself (account guard / blackout / instant close) at 1926.070 after 17h26m: +$52.85 (+1.76R).</t>
  </si>
  <si>
    <t xml:space="preserve">SELL STOP at 1925.21 filled at 1925.150 ($0.06 worse). SL $6.00 away = $30 risk. Closed by the EA itself (account guard / blackout / instant close) at 1924.660 after 8h02m: +$2.45 (+0.08R).</t>
  </si>
  <si>
    <t xml:space="preserve">BUY STOP at 1928.38 filled at 1928.380 ($0.00 better). SL $6.00 away = $30 risk. Price went against it; stopped at 1922.200 after 6m24s: -$30.90 (-1.03R).</t>
  </si>
  <si>
    <t xml:space="preserve">SELL STOP at 1917.30 filled at 1917.280 ($0.02 worse). SL $6.00 away = $30 risk. Price went against it; stopped at 1923.330 after 4h44m: -$30.25 (-1.01R).</t>
  </si>
  <si>
    <t xml:space="preserve">BUY STOP at 1923.50 filled at 1923.500 ($0.00 better). SL $6.00 away = $30 risk. Closed by the EA itself (account guard / blackout / instant close) at 1923.890 after 6h56m: +$1.95 (+0.06R).</t>
  </si>
  <si>
    <t xml:space="preserve">SELL STOP at 1917.23 filled at 1917.040 ($0.19 worse). SL $6.00 away = $30 risk. Price went against it; stopped at 1923.230 after 2h43m: -$30.95 (-1.03R).</t>
  </si>
  <si>
    <t xml:space="preserve">BUY STOP at 1927.97 filled at 1927.990 ($0.02 worse). SL $6.00 away = $24 risk. Closed by the EA itself (account guard / blackout / instant close) at 1928.460 after 1h22m: +$1.88 (+0.08R).</t>
  </si>
  <si>
    <t xml:space="preserve">SELL STOP at 1919.84 filled at 1919.840 ($0.00 better). SL $6.00 away = $24 risk. Closed by the EA itself (account guard / blackout / instant close) at 1913.350 after 13h13m: +$25.96 (+1.08R).</t>
  </si>
  <si>
    <t xml:space="preserve">SELL STOP at 1909.16 filled at 1909.160 ($0.00 better). SL $6.00 away = $24 risk. Closed by the EA itself (account guard / blackout / instant close) at 1908.800 after 6h12m: +$1.44 (+0.06R).</t>
  </si>
  <si>
    <t xml:space="preserve">SELL STOP at 1907.65 filled at 1907.650 ($0.00 better). SL $6.00 away = $30 risk. Closed by the EA itself (account guard / blackout / instant close) at 1907.160 after 2h39m: +$2.45 (+0.08R).</t>
  </si>
  <si>
    <t xml:space="preserve">BUY STOP at 1912.83 filled at 1912.860 ($0.03 worse). SL $6.00 away = $30 risk. Closed by the EA itself (account guard / blackout / instant close) at 1924.140 after 17h40m: +$56.40 (+1.88R).</t>
  </si>
  <si>
    <t xml:space="preserve">BUY STOP at 1930.31 filled at 1930.310 ($0.00 better). SL $6.00 away = $30 risk. Price went against it; stopped at 1924.310 after 7h01m: -$30.00 (-1.00R).</t>
  </si>
  <si>
    <t xml:space="preserve">BUY STOP at 1930.58 filled at 1930.600 ($0.02 worse). SL $6.00 away = $30 risk. Closed by the EA itself (account guard / blackout / instant close) at 1931.100 after 1h25m: +$2.50 (+0.08R).</t>
  </si>
  <si>
    <t xml:space="preserve">BUY STOP at 1934.13 filled at 1934.150 ($0.02 worse). SL $6.00 away = $30 risk. Closed by the EA itself (account guard / blackout / instant close) at 1934.650 after 12h39m: +$2.50 (+0.08R).</t>
  </si>
  <si>
    <t xml:space="preserve">SELL STOP at 1929.68 filled at 1929.670 ($0.01 worse). SL $6.00 away = $30 risk. Price went against it; stopped at 1935.710 after 12h26m: -$30.20 (-1.01R).</t>
  </si>
  <si>
    <t xml:space="preserve">SELL STOP at 1927.86 filled at 1927.590 ($0.27 worse). SL $6.00 away = $30 risk. Closed by the EA itself (account guard / blackout / instant close) at 1927.100 after 1h20m: +$2.45 (+0.08R).</t>
  </si>
  <si>
    <t xml:space="preserve">SELL STOP at 1926.90 filled at 1926.880 ($0.02 worse). SL $6.00 away = $30 risk. Closed by the EA itself (account guard / blackout / instant close) at 1920.930 after 11h44m: +$29.75 (+0.99R).</t>
  </si>
  <si>
    <t xml:space="preserve">BUY STOP at 1925.03 filled at 1925.050 ($0.02 worse). SL $6.00 away = $30 risk. Closed by the EA itself (account guard / blackout / instant close) at 1925.550 after 3h17m: +$2.50 (+0.08R).</t>
  </si>
  <si>
    <t xml:space="preserve">BUY STOP at 1923.56 filled at 1923.600 ($0.04 worse). SL $6.00 away = $30 risk. Closed by the EA itself (account guard / blackout / instant close) at 1924.090 after 42m37s: +$2.45 (+0.08R).</t>
  </si>
  <si>
    <t xml:space="preserve">SELL STOP at 1919.04 filled at 1919.040 ($0.00 better). SL $6.00 away = $30 risk. Closed by the EA itself (account guard / blackout / instant close) at 1918.850 after 3m24s: +$0.95 (+0.03R).</t>
  </si>
  <si>
    <t xml:space="preserve">SELL STOP at 1915.05 filled at 1915.040 ($0.01 worse). SL $6.00 away = $30 risk. Closed by the EA itself (account guard / blackout / instant close) at 1914.740 after 7h29m: +$1.50 (+0.05R).</t>
  </si>
  <si>
    <t xml:space="preserve">BUY STOP at 1915.08 filled at 1915.090 ($0.01 worse). SL $6.00 away = $30 risk. Price went against it; stopped at 1909.040 after 4h33m: -$30.25 (-1.01R).</t>
  </si>
  <si>
    <t xml:space="preserve">SELL STOP at 1899.01 filled at 1899.010 ($0.00 better). SL $6.00 away = $30 risk. Closed by the EA itself (account guard / blackout / instant close) at 1898.510 after 37m21s: +$2.50 (+0.08R).</t>
  </si>
  <si>
    <t xml:space="preserve">SELL STOP at 1895.54 filled at 1895.500 ($0.04 worse). SL $6.00 away = $30 risk. Closed by the EA itself (account guard / blackout / instant close) at 1878.270 after 10h52m: +$86.15 (+2.87R).</t>
  </si>
  <si>
    <t xml:space="preserve">SELL STOP at 1873.61 filled at 1873.570 ($0.04 worse). SL $6.00 away = $30 risk. Price went against it; stopped at 1879.780 after 4h02m: -$31.05 (-1.03R).</t>
  </si>
  <si>
    <t xml:space="preserve">SELL STOP at 1872.45 filled at 1872.420 ($0.03 worse). SL $6.00 away = $30 risk. Closed by the EA itself (account guard / blackout / instant close) at 1871.940 after 1h47m: +$2.40 (+0.08R).</t>
  </si>
  <si>
    <t xml:space="preserve">BUY STOP at 1868.18 filled at 1868.180 ($0.00 better). SL $6.00 away = $30 risk. Closed by the EA itself (account guard / blackout / instant close) at 1868.620 after 4h56m: +$2.20 (+0.07R).</t>
  </si>
  <si>
    <t xml:space="preserve">BUY STOP at 1879.49 filled at 1879.510 ($0.02 worse). SL $6.00 away = $30 risk. Price went against it; stopped at 1873.480 after 22m02s: -$30.15 (-1.00R).</t>
  </si>
  <si>
    <t xml:space="preserve">SELL STOP at 1846.21 filled at 1846.200 ($0.01 worse). SL $6.00 away = $30 risk. Closed by the EA itself (account guard / blackout / instant close) at 1845.710 after 7h56m: +$2.45 (+0.08R).</t>
  </si>
  <si>
    <t xml:space="preserve">SELL STOP at 1839.15 filled at 1839.090 ($0.06 worse). SL $6.00 away = $30 risk. Closed by the EA itself (account guard / blackout / instant close) at 1838.650 after 8m54s: +$2.20 (+0.07R).</t>
  </si>
  <si>
    <t xml:space="preserve">SELL STOP at 1827.07 filled at 1827.000 ($0.07 worse). SL $6.00 away = $30 risk. Closed by the EA itself (account guard / blackout / instant close) at 1826.530 after 45m52s: +$2.35 (+0.08R).</t>
  </si>
  <si>
    <t xml:space="preserve">BUY STOP at 1821.69 filled at 1821.690 ($0.00 better). SL $6.00 away = $30 risk. Closed by the EA itself (account guard / blackout / instant close) at 1822.190 after 58m09s: +$2.50 (+0.08R).</t>
  </si>
  <si>
    <t xml:space="preserve">SELL STOP at 1820.66 filled at 1820.560 ($0.10 worse). SL $6.00 away = $30 risk. Closed by the EA itself (account guard / blackout / instant close) at 1820.170 after 1h08m: +$1.95 (+0.06R).</t>
  </si>
  <si>
    <t xml:space="preserve">SELL STOP at 1826.18 filled at 1826.180 ($0.00 better). SL $6.00 away = $30 risk. Closed by the EA itself (account guard / blackout / instant close) at 1820.410 after 13h14m: +$28.85 (+0.96R).</t>
  </si>
  <si>
    <t xml:space="preserve">SELL STOP at 1820.65 filled at 1820.640 ($0.01 worse). SL $6.00 away = $30 risk. Closed by the EA itself (account guard / blackout / instant close) at 1820.300 after 7h10m: +$1.70 (+0.06R).</t>
  </si>
  <si>
    <t xml:space="preserve">BUY STOP at 1829.11 filled at 1829.110 ($0.00 better). SL $6.00 away = $30 risk. Closed by the EA itself (account guard / blackout / instant close) at 1829.610 after 7m14s: +$2.50 (+0.08R).</t>
  </si>
  <si>
    <t xml:space="preserve">BUY STOP at 1853.17 filled at 1853.180 ($0.01 worse). SL $6.00 away = $30 risk. Price went against it; stopped at 1847.160 after 6h22m: -$30.10 (-1.00R).</t>
  </si>
  <si>
    <t xml:space="preserve">BUY STOP at 1863.40 filled at 1863.400 ($0.00 better). SL $6.00 away = $30 risk. Price went against it; stopped at 1857.360 after 6h18m: -$30.20 (-1.01R).</t>
  </si>
  <si>
    <t xml:space="preserve">BUY STOP at 1862.43 filled at 1862.450 ($0.02 worse). SL $6.00 away = $30 risk. Closed by the EA itself (account guard / blackout / instant close) at 1858.930 after 3h16m: -$17.60 (-0.59R).</t>
  </si>
  <si>
    <t xml:space="preserve">BUY STOP at 1860.58 filled at 1860.660 ($0.08 worse). SL $6.00 away = $30 risk. Closed by the EA itself (account guard / blackout / instant close) at 1873.910 after 13h01m: +$66.25 (+2.21R).</t>
  </si>
  <si>
    <t xml:space="preserve">BUY STOP at 1877.11 filled at 1877.110 ($0.00 better). SL $6.00 away = $30 risk. Closed by the EA itself (account guard / blackout / instant close) at 1877.580 after 11h15m: +$2.35 (+0.08R).</t>
  </si>
  <si>
    <t xml:space="preserve">SELL STOP at 1876.69 filled at 1876.640 ($0.05 worse). SL $6.00 away = $30 risk. Closed by the EA itself (account guard / blackout / instant close) at 1876.140 after 1h24m: +$2.50 (+0.08R).</t>
  </si>
  <si>
    <t xml:space="preserve">BUY STOP at 1877.94 filled at 1877.950 ($0.01 worse). SL $6.00 away = $30 risk. Reached the take profit at 1908.020 after 5h44m: +$150.35 (+5.01R).</t>
  </si>
  <si>
    <t xml:space="preserve">SELL STOP at 1914.11 filled at 1914.030 ($0.08 worse). SL $6.00 away = $30 risk. Closed by the EA itself (account guard / blackout / instant close) at 1913.630 after 2h04m: +$2.00 (+0.07R).</t>
  </si>
  <si>
    <t xml:space="preserve">BUY STOP at 1916.89 filled at 1916.900 ($0.01 worse). SL $6.00 away = $30 risk. Closed by the EA itself (account guard / blackout / instant close) at 1923.820 after 13h14m: +$34.60 (+1.15R).</t>
  </si>
  <si>
    <t xml:space="preserve">BUY STOP at 1931.41 filled at 1931.420 ($0.01 worse). SL $6.00 away = $30 risk. Reached the take profit at 1961.450 after 12h19m: +$150.15 (+5.00R).</t>
  </si>
  <si>
    <t xml:space="preserve">BUY STOP at 1949.14 filled at 1949.180 ($0.04 worse). SL $6.00 away = $30 risk. Closed by the EA itself (account guard / blackout / instant close) at 1949.680 after 51m12s: +$2.50 (+0.08R).</t>
  </si>
  <si>
    <t xml:space="preserve">BUY STOP at 1962.55 filled at 1962.550 ($0.00 better). SL $6.00 away = $30 risk. Closed by the EA itself (account guard / blackout / instant close) at 1975.920 after 2h14m: +$66.85 (+2.23R).</t>
  </si>
  <si>
    <t xml:space="preserve">BUY STOP at 1977.58 filled at 1977.600 ($0.02 worse). SL $6.00 away = $30 risk. Closed by the EA itself (account guard / blackout / instant close) at 1977.990 after 22m10s: +$1.95 (+0.06R).</t>
  </si>
  <si>
    <t xml:space="preserve">BUY STOP at 1979.91 filled at 1979.910 ($0.00 better). SL $6.00 away = $30 risk. Closed by the EA itself (account guard / blackout / instant close) at 1980.380 after 1h40m: +$2.35 (+0.08R).</t>
  </si>
  <si>
    <t xml:space="preserve">BUY STOP at 1976.65 filled at 1976.680 ($0.03 worse). SL $6.00 away = $30 risk. Closed by the EA itself (account guard / blackout / instant close) at 1977.140 after 3h49m: +$2.30 (+0.08R).</t>
  </si>
  <si>
    <t xml:space="preserve">BUY STOP at 1977.30 filled at 1977.310 ($0.01 worse). SL $6.00 away = $30 risk. Price went against it; stopped at 1971.270 after 2h42m: -$30.20 (-1.01R).</t>
  </si>
  <si>
    <t xml:space="preserve">SELL STOP at 1964.28 filled at 1964.280 ($0.00 better). SL $6.00 away = $30 risk. Closed by the EA itself (account guard / blackout / instant close) at 1963.780 after 1h23m: +$2.50 (+0.08R).</t>
  </si>
  <si>
    <t xml:space="preserve">BUY STOP at 1974.45 filled at 1974.450 ($0.00 better). SL $6.00 away = $30 risk. Price went against it; stopped at 1968.440 after 1h17m: -$30.05 (-1.00R).</t>
  </si>
  <si>
    <t xml:space="preserve">BUY STOP at 1980.74 filled at 1980.780 ($0.04 worse). SL $6.00 away = $30 risk. Closed by the EA itself (account guard / blackout / instant close) at 1981.220 after 18m43s: +$2.20 (+0.07R).</t>
  </si>
  <si>
    <t xml:space="preserve">BUY STOP at 1987.12 filled at 1987.130 ($0.01 worse). SL $6.00 away = $30 risk. Closed by the EA itself (account guard / blackout / instant close) at 1987.620 after 3h23m: +$2.45 (+0.08R).</t>
  </si>
  <si>
    <t xml:space="preserve">SELL STOP at 1984.71 filled at 1984.690 ($0.02 worse). SL $6.00 away = $30 risk. Price went against it; stopped at 1990.710 after 1h58m: -$30.10 (-1.00R).</t>
  </si>
  <si>
    <t xml:space="preserve">BUY STOP at 1989.84 filled at 1989.870 ($0.03 worse). SL $6.00 away = $30 risk. Price went against it; stopped at 1983.840 after 4h23m: -$30.15 (-1.00R).</t>
  </si>
  <si>
    <t xml:space="preserve">BUY STOP at 1993.39 filled at 1994.160 ($0.77 worse). SL $6.00 away = $30 risk. Closed by the EA itself (account guard / blackout / instant close) at 2008.730 after 1h35m: +$72.85 (+2.43R).</t>
  </si>
  <si>
    <t xml:space="preserve">SELL STOP at 1999.39 filled at 1999.320 ($0.07 worse). SL $6.00 away = $30 risk. Closed by the EA itself (account guard / blackout / instant close) at 1998.820 after 6h23m: +$2.50 (+0.08R).</t>
  </si>
  <si>
    <t xml:space="preserve">SELL STOP at 1990.84 filled at 1990.800 ($0.04 worse). SL $6.00 away = $30 risk. Price went against it; stopped at 1996.880 after 2h52m: -$30.40 (-1.01R).</t>
  </si>
  <si>
    <t xml:space="preserve">SELL STOP at 1990.48 filled at 1989.940 ($0.54 worse). SL $6.00 away = $30 risk. Closed by the EA itself (account guard / blackout / instant close) at 1989.450 after 4m20s: +$2.45 (+0.08R).</t>
  </si>
  <si>
    <t xml:space="preserve">SELL STOP at 1978.74 filled at 1978.720 ($0.02 worse). SL $6.00 away = $30 risk. Closed by the EA itself (account guard / blackout / instant close) at 1978.230 after 3h43m: +$2.45 (+0.08R).</t>
  </si>
  <si>
    <t xml:space="preserve">BUY STOP at 1979.38 filled at 1979.380 ($0.00 better). SL $6.00 away = $30 risk. Closed by the EA itself (account guard / blackout / instant close) at 1979.810 after 9h42m: +$2.15 (+0.07R).</t>
  </si>
  <si>
    <t xml:space="preserve">SELL STOP at 1984.10 filled at 1984.060 ($0.04 worse). SL $6.00 away = $30 risk. Price went against it; stopped at 1990.100 after 3h47m: -$30.20 (-1.01R).</t>
  </si>
  <si>
    <t xml:space="preserve">SELL STOP at 1985.38 filled at 1985.360 ($0.02 worse). SL $6.00 away = $30 risk. Price went against it; stopped at 1991.420 after 4h43m: -$30.30 (-1.01R).</t>
  </si>
  <si>
    <t xml:space="preserve">SELL STOP at 1983.16 filled at 1983.160 ($0.00 better). SL $6.00 away = $30 risk. Price went against it; stopped at 1989.190 after 9h53m: -$30.15 (-1.00R).</t>
  </si>
  <si>
    <t xml:space="preserve">BUY STOP at 1969.06 filled at 1969.130 ($0.07 worse). SL $6.00 away = $30 risk. Price went against it; stopped at 1963.050 after 2h00m: -$30.40 (-1.01R).</t>
  </si>
  <si>
    <t xml:space="preserve">SELL STOP at 1956.60 filled at 1956.380 ($0.22 worse). SL $6.00 away = $30 risk. Closed by the EA itself (account guard / blackout / instant close) at 1955.890 after 30m04s: +$2.45 (+0.08R).</t>
  </si>
  <si>
    <t xml:space="preserve">BUY STOP at 1950.33 filled at 1950.400 ($0.07 worse). SL $6.00 away = $30 risk. Closed by the EA itself (account guard / blackout / instant close) at 1959.230 after 12h51m: +$44.15 (+1.47R).</t>
  </si>
  <si>
    <t xml:space="preserve">SELL STOP at 1955.52 filled at 1955.510 ($0.01 worse). SL $6.00 away = $30 risk. Closed by the EA itself (account guard / blackout / instant close) at 1936.230 after 13h05m: +$96.40 (+3.21R).</t>
  </si>
  <si>
    <t xml:space="preserve">BUY STOP at 1940.05 filled at 1940.060 ($0.01 worse). SL $6.00 away = $30 risk. Price went against it; stopped at 1934.050 after 5h31m: -$30.05 (-1.00R).</t>
  </si>
  <si>
    <t xml:space="preserve">SELL STOP at 1932.87 filled at 1932.800 ($0.07 worse). SL $6.00 away = $30 risk. Price went against it; stopped at 1938.880 after 1h09m: -$30.40 (-1.01R).</t>
  </si>
  <si>
    <t xml:space="preserve">BUY STOP at 1945.86 filled at 1945.870 ($0.01 worse). SL $6.00 away = $30 risk. Closed by the EA itself (account guard / blackout / instant close) at 1946.350 after 3h24m: +$2.40 (+0.08R).</t>
  </si>
  <si>
    <t xml:space="preserve">BUY STOP at 1949.12 filled at 1950.000 ($0.88 worse). SL $6.00 away = $30 risk. Closed by the EA itself (account guard / blackout / instant close) at 1963.540 after 6h45m: +$67.70 (+2.26R).</t>
  </si>
  <si>
    <t xml:space="preserve">BUY STOP at 1970.45 filled at 1970.550 ($0.10 worse). SL $6.00 away = $30 risk. Closed by the EA itself (account guard / blackout / instant close) at 1971.050 after 5h22m: +$2.50 (+0.08R).</t>
  </si>
  <si>
    <t xml:space="preserve">BUY STOP at 1967.26 filled at 1967.260 ($0.00 better). SL $6.00 away = $30 risk. Closed by the EA itself (account guard / blackout / instant close) at 1982.460 after 13h14m: +$76.00 (+2.53R).</t>
  </si>
  <si>
    <t xml:space="preserve">BUY STOP at 1986.00 filled at 1986.000 ($0.00 better). SL $6.00 away = $30 risk. Closed by the EA itself (account guard / blackout / instant close) at 1986.470 after 1h08m: +$2.35 (+0.08R).</t>
  </si>
  <si>
    <t xml:space="preserve">SELL STOP at 1978.68 filled at 1978.670 ($0.01 worse). SL $6.00 away = $30 risk. Closed by the EA itself (account guard / blackout / instant close) at 1978.170 after 1h07m: +$2.50 (+0.08R).</t>
  </si>
  <si>
    <t xml:space="preserve">BUY STOP at 1985.09 filled at 1985.330 ($0.24 worse). SL $6.00 away = $30 risk. Closed by the EA itself (account guard / blackout / instant close) at 1985.830 after 8h36m: +$2.50 (+0.08R).</t>
  </si>
  <si>
    <t xml:space="preserve">BUY STOP at 2001.21 filled at 2001.230 ($0.02 worse). SL $6.00 away = $30 risk. Closed by the EA itself (account guard / blackout / instant close) at 2001.730 after 30m46s: +$2.50 (+0.08R).</t>
  </si>
  <si>
    <t xml:space="preserve">SELL STOP at 1994.27 filled at 1994.200 ($0.07 worse). SL $6.00 away = $30 risk. Closed by the EA itself (account guard / blackout / instant close) at 1993.710 after 6h55m: +$2.45 (+0.08R).</t>
  </si>
  <si>
    <t xml:space="preserve">SELL STOP at 1992.36 filled at 1992.360 ($0.00 better). SL $6.00 away = $30 risk. Price went against it; stopped at 1998.370 after 6h18m: -$30.05 (-1.00R).</t>
  </si>
  <si>
    <t xml:space="preserve">BUY STOP at 1998.41 filled at 1998.420 ($0.01 worse). SL $6.00 away = $30 risk. Closed by the EA itself (account guard / blackout / instant close) at 1998.920 after 18m05s: +$2.50 (+0.08R).</t>
  </si>
  <si>
    <t xml:space="preserve">BUY STOP at 2003.52 filled at 2003.580 ($0.06 worse). SL $6.00 away = $30 risk. Closed by the EA itself (account guard / blackout / instant close) at 2013.110 after 20h05m: +$47.65 (+1.59R).</t>
  </si>
  <si>
    <t xml:space="preserve">BUY STOP at 2018.09 filled at 2018.110 ($0.02 worse). SL $6.00 away = $30 risk. Price went against it; stopped at 2012.020 after 6h59m: -$30.45 (-1.01R).</t>
  </si>
  <si>
    <t xml:space="preserve">BUY STOP at 2016.74 filled at 2016.750 ($0.01 worse). SL $6.00 away = $30 risk. Closed by the EA itself (account guard / blackout / instant close) at 2040.230 after 10h55m: +$117.40 (+3.91R).</t>
  </si>
  <si>
    <t xml:space="preserve">BUY STOP at 2042.92 filled at 2042.950 ($0.03 worse). SL $6.00 away = $36 risk. Closed by the EA itself (account guard / blackout / instant close) at 2043.440 after 42m51s: +$2.94 (+0.08R).</t>
  </si>
  <si>
    <t xml:space="preserve">SELL STOP at 2043.07 filled at 2043.060 ($0.01 worse). SL $6.00 away = $36 risk. Closed by the EA itself (account guard / blackout / instant close) at 2044.770 after 7h31m: -$10.26 (-0.28R).</t>
  </si>
  <si>
    <t xml:space="preserve">SELL STOP at 2041.26 filled at 2041.140 ($0.12 worse). SL $6.00 away = $36 risk. Closed by the EA itself (account guard / blackout / instant close) at 2040.670 after 2h04m: +$2.82 (+0.08R).</t>
  </si>
  <si>
    <t xml:space="preserve">SELL STOP at 2035.21 filled at 2035.000 ($0.21 worse). SL $6.00 away = $36 risk. Closed by the EA itself (account guard / blackout / instant close) at 2034.500 after 8m57s: +$3.00 (+0.08R).</t>
  </si>
  <si>
    <t xml:space="preserve">SELL STOP at 2039.67 filled at 2039.640 ($0.03 worse). SL $6.00 away = $36 risk. Price went against it; stopped at 2045.750 after 1h03m: -$36.66 (-1.02R).</t>
  </si>
  <si>
    <t xml:space="preserve">BUY STOP at 2047.12 filled at 2047.130 ($0.01 worse). SL $6.00 away = $36 risk. Closed by the EA itself (account guard / blackout / instant close) at 2047.590 after 14m19s: +$2.76 (+0.08R).</t>
  </si>
  <si>
    <t xml:space="preserve">SELL STOP at 2073.71 filled at 2073.660 ($0.05 worse). SL $6.00 away = $36 risk. Closed by the EA itself (account guard / blackout / instant close) at 2073.200 after 2h23m: +$2.76 (+0.08R).</t>
  </si>
  <si>
    <t xml:space="preserve">SELL STOP at 2033.81 filled at 2033.530 ($0.28 worse). SL $6.00 away = $36 risk. Closed by the EA itself (account guard / blackout / instant close) at 2033.050 after 3m35s: +$2.88 (+0.08R).</t>
  </si>
  <si>
    <t xml:space="preserve">BUY STOP at 2034.48 filled at 2034.500 ($0.02 worse). SL $6.00 away = $36 risk. Closed by the EA itself (account guard / blackout / instant close) at 2035.000 after 1h39m: +$3.00 (+0.08R).</t>
  </si>
  <si>
    <t xml:space="preserve">SELL STOP at 2019.93 filled at 2019.790 ($0.14 worse). SL $6.00 away = $36 risk. Closed by the EA itself (account guard / blackout / instant close) at 2019.340 after 38s: +$2.70 (+0.08R).</t>
  </si>
  <si>
    <t xml:space="preserve">BUY STOP at 2027.03 filled at 2027.040 ($0.01 worse). SL $6.00 away = $36 risk. Closed by the EA itself (account guard / blackout / instant close) at 2027.540 after 1h42m: +$3.00 (+0.08R).</t>
  </si>
  <si>
    <t xml:space="preserve">BUY STOP at 2035.79 filled at 2035.810 ($0.02 worse). SL $6.00 away = $36 risk. Closed by the EA itself (account guard / blackout / instant close) at 2036.250 after 27m35s: +$2.64 (+0.07R).</t>
  </si>
  <si>
    <t xml:space="preserve">SELL STOP at 2025.16 filled at 2025.120 ($0.04 worse). SL $6.00 away = $36 risk. Price went against it; stopped at 2031.160 after 52m49s: -$36.24 (-1.01R).</t>
  </si>
  <si>
    <t xml:space="preserve">SELL STOP at 2028.78 filled at 2028.780 ($0.00 better). SL $6.00 away = $36 risk. Closed by the EA itself (account guard / blackout / instant close) at 2028.310 after 52m17s: +$2.82 (+0.08R).</t>
  </si>
  <si>
    <t xml:space="preserve">SELL STOP at 2020.08 filled at 2020.010 ($0.07 worse). SL $6.00 away = $36 risk. Closed by the EA itself (account guard / blackout / instant close) at 2019.510 after 2m17s: +$3.00 (+0.08R).</t>
  </si>
  <si>
    <t xml:space="preserve">BUY STOP at 1999.91 filled at 1999.940 ($0.03 worse). SL $6.00 away = $36 risk. Price went against it; stopped at 1993.820 after 34m40s: -$36.72 (-1.02R).</t>
  </si>
  <si>
    <t xml:space="preserve">BUY STOP at 1988.72 filled at 1988.720 ($0.00 better). SL $6.00 away = $30 risk. Price went against it; stopped at 1982.720 after 2h22m: -$30.00 (-1.00R).</t>
  </si>
  <si>
    <t xml:space="preserve">SELL STOP at 1977.12 filled at 1977.120 ($0.00 better). SL $6.00 away = $30 risk. Closed by the EA itself (account guard / blackout / instant close) at 1976.630 after 1h02m: +$2.45 (+0.08R).</t>
  </si>
  <si>
    <t xml:space="preserve">BUY STOP at 1979.63 filled at 1979.650 ($0.02 worse). SL $6.00 away = $30 risk. Closed by the EA itself (account guard / blackout / instant close) at 1980.130 after 1h22m: +$2.40 (+0.08R).</t>
  </si>
  <si>
    <t xml:space="preserve">BUY STOP at 2027.65 filled at 2027.690 ($0.04 worse). SL $6.00 away = $30 risk. Closed by the EA itself (account guard / blackout / instant close) at 2028.090 after 6m38s: +$2.00 (+0.07R).</t>
  </si>
  <si>
    <t xml:space="preserve">SELL STOP at 2030.30 filled at 2030.280 ($0.02 worse). SL $6.00 away = $30 risk. Price went against it; stopped at 2036.310 after 39m35s: -$30.15 (-1.00R).</t>
  </si>
  <si>
    <t xml:space="preserve">BUY STOP at 2037.15 filled at 2037.150 ($0.00 better). SL $6.00 away = $30 risk. Closed by the EA itself (account guard / blackout / instant close) at 2037.650 after 1h20m: +$2.50 (+0.08R).</t>
  </si>
  <si>
    <t xml:space="preserve">SELL STOP at 2023.80 filled at 2023.490 ($0.31 worse). SL $6.00 away = $30 risk. Closed by the EA itself (account guard / blackout / instant close) at 2023.000 after 17m33s: +$2.45 (+0.08R).</t>
  </si>
  <si>
    <t xml:space="preserve">BUY STOP at 2024.69 filled at 2024.760 ($0.07 worse). SL $6.00 away = $30 risk. Closed by the EA itself (account guard / blackout / instant close) at 2025.260 after 55m16s: +$2.50 (+0.08R).</t>
  </si>
  <si>
    <t xml:space="preserve">BUY STOP at 2026.42 filled at 2026.450 ($0.03 worse). SL $6.00 away = $30 risk. Closed by the EA itself (account guard / blackout / instant close) at 2026.930 after 5h12m: +$2.40 (+0.08R).</t>
  </si>
  <si>
    <t xml:space="preserve">BUY STOP at 2033.62 filled at 2033.680 ($0.06 worse). SL $6.00 away = $30 risk. Closed by the EA itself (account guard / blackout / instant close) at 2034.160 after 4m35s: +$2.40 (+0.08R).</t>
  </si>
  <si>
    <t xml:space="preserve">BUY STOP at 2042.29 filled at 2042.290 ($0.00 better). SL $6.00 away = $30 risk. Price went against it; stopped at 2036.240 after 3h21m: -$30.25 (-1.01R).</t>
  </si>
  <si>
    <t xml:space="preserve">SELL STOP at 2034.31 filled at 2034.310 ($0.00 better). SL $6.00 away = $30 risk. Price went against it; stopped at 2040.410 after 6h13m: -$30.50 (-1.02R).</t>
  </si>
  <si>
    <t xml:space="preserve">BUY STOP at 2043.38 filled at 2043.560 ($0.18 worse). SL $6.00 away = $30 risk. Closed by the EA itself (account guard / blackout / instant close) at 2043.950 after 1m54s: +$1.95 (+0.06R).</t>
  </si>
  <si>
    <t xml:space="preserve">BUY STOP at 2049.61 filled at 2049.620 ($0.01 worse). SL $6.00 away = $30 risk. Closed by the EA itself (account guard / blackout / instant close) at 2053.550 after 12h47m: +$19.65 (+0.65R).</t>
  </si>
  <si>
    <t xml:space="preserve">BUY STOP at 2064.98 filled at 2065.000 ($0.02 worse). SL $6.00 away = $30 risk. Price went against it; stopped at 2058.950 after 6h02m: -$30.25 (-1.01R).</t>
  </si>
  <si>
    <t xml:space="preserve">BUY STOP at 2067.35 filled at 2067.380 ($0.03 worse). SL $6.00 away = $30 risk. Closed by the EA itself (account guard / blackout / instant close) at 2067.840 after 4h40m: +$2.30 (+0.08R).</t>
  </si>
  <si>
    <t xml:space="preserve">BUY STOP at 2084.35 filled at 2084.370 ($0.02 worse). SL $6.00 away = $30 risk. Closed by the EA itself (account guard / blackout / instant close) at 2084.830 after 4h13m: +$2.30 (+0.08R).</t>
  </si>
  <si>
    <t xml:space="preserve">BUY STOP at 2087.40 filled at 2087.400 ($0.00 better). SL $6.00 away = $30 risk. Price went against it; stopped at 2081.380 after 1h07m: -$30.10 (-1.00R).</t>
  </si>
  <si>
    <t xml:space="preserve">BUY STOP at 2073.04 filled at 2073.080 ($0.04 worse). SL $6.00 away = $30 risk. Price went against it; stopped at 2067.040 after 2h47m: -$30.20 (-1.01R).</t>
  </si>
  <si>
    <t xml:space="preserve">SELL STOP at 2064.45 filled at 2064.450 ($0.00 better). SL $6.00 away = $30 risk. Closed by the EA itself (account guard / blackout / instant close) at 2063.950 after 34m31s: +$2.50 (+0.08R).</t>
  </si>
  <si>
    <t xml:space="preserve">BUY STOP at 2074.65 filled at 2074.660 ($0.01 worse). SL $6.00 away = $30 risk. Closed by the EA itself (account guard / blackout / instant close) at 2075.130 after 37m46s: +$2.35 (+0.08R).</t>
  </si>
  <si>
    <t xml:space="preserve">BUY STOP at 2076.67 filled at 2076.690 ($0.02 worse). SL $6.00 away = $30 risk. Closed by the EA itself (account guard / blackout / instant close) at 2077.180 after 23m51s: +$2.45 (+0.08R).</t>
  </si>
  <si>
    <t xml:space="preserve">SELL STOP at 2063.37 filled at 2063.370 ($0.00 better). SL $6.00 away = $30 risk. Closed by the EA itself (account guard / blackout / instant close) at 2062.870 after 41m09s: +$2.50 (+0.08R).</t>
  </si>
  <si>
    <t xml:space="preserve">SELL STOP at 2055.82 filled at 2055.590 ($0.23 worse). SL $6.00 away = $30 risk. Closed by the EA itself (account guard / blackout / instant close) at 2055.100 after 39m16s: +$2.45 (+0.08R).</t>
  </si>
  <si>
    <t xml:space="preserve">BUY STOP at 2048.59 filled at 2048.600 ($0.01 worse). SL $6.00 away = $30 risk. Closed by the EA itself (account guard / blackout / instant close) at 2049.070 after 2h39m: +$2.35 (+0.08R).</t>
  </si>
  <si>
    <t xml:space="preserve">BUY STOP at 2045.14 filled at 2045.270 ($0.13 worse). SL $6.00 away = $30 risk. Price went against it; stopped at 2039.010 after 2h41m: -$31.30 (-1.04R).</t>
  </si>
  <si>
    <t xml:space="preserve">SELL STOP at 2036.16 filled at 2035.870 ($0.29 worse). SL $6.00 away = $30 risk. Closed by the EA itself (account guard / blackout / instant close) at 2035.410 after 20m16s: +$2.30 (+0.08R).</t>
  </si>
  <si>
    <t xml:space="preserve">SELL STOP at 2026.93 filled at 2026.890 ($0.04 worse). SL $6.00 away = $30 risk. Closed by the EA itself (account guard / blackout / instant close) at 2026.400 after 5h38m: +$2.45 (+0.08R).</t>
  </si>
  <si>
    <t xml:space="preserve">BUY STOP at 2035.10 filled at 2035.100 ($0.00 better). SL $6.00 away = $30 risk. Closed by the EA itself (account guard / blackout / instant close) at 2035.580 after 36m04s: +$2.40 (+0.08R).</t>
  </si>
  <si>
    <t xml:space="preserve">SELL STOP at 2026.02 filled at 2025.990 ($0.03 worse). SL $6.00 away = $30 risk. Price went against it; stopped at 2032.090 after 2h13m: -$30.50 (-1.02R).</t>
  </si>
  <si>
    <t xml:space="preserve">SELL STOP at 2023.80 filled at 2023.530 ($0.27 worse). SL $6.00 away = $30 risk. Closed by the EA itself (account guard / blackout / instant close) at 2023.040 after 1h35m: +$2.45 (+0.08R).</t>
  </si>
  <si>
    <t xml:space="preserve">BUY STOP at 2035.05 filled at 2035.050 ($0.00 better). SL $6.00 away = $30 risk. Closed by the EA itself (account guard / blackout / instant close) at 2033.280 after 6h19m: -$8.85 (-0.29R).</t>
  </si>
  <si>
    <t xml:space="preserve">SELL STOP at 2020.40 filled at 2020.180 ($0.22 worse). SL $6.00 away = $30 risk. Closed by the EA itself (account guard / blackout / instant close) at 2019.680 after 4s: +$2.50 (+0.08R).</t>
  </si>
  <si>
    <t xml:space="preserve">BUY STOP at 2037.12 filled at 2037.140 ($0.02 worse). SL $6.00 away = $30 risk. Closed by the EA itself (account guard / blackout / instant close) at 2037.600 after 6m54s: +$2.30 (+0.08R).</t>
  </si>
  <si>
    <t xml:space="preserve">BUY STOP at 2043.86 filled at 2043.880 ($0.02 worse). SL $6.00 away = $30 risk. Closed by the EA itself (account guard / blackout / instant close) at 2044.310 after 1h04m: +$2.15 (+0.07R).</t>
  </si>
  <si>
    <t xml:space="preserve">SELL STOP at 2052.88 filled at 2052.820 ($0.06 worse). SL $6.00 away = $30 risk. Closed by the EA itself (account guard / blackout / instant close) at 2052.350 after 7h59m: +$2.35 (+0.08R).</t>
  </si>
  <si>
    <t xml:space="preserve">SELL STOP at 2047.29 filled at 2047.290 ($0.00 better). SL $6.00 away = $30 risk. Closed by the EA itself (account guard / blackout / instant close) at 2029.770 after 12h02m: +$87.60 (+2.92R).</t>
  </si>
  <si>
    <t xml:space="preserve">SELL STOP at 2024.17 filled at 2023.910 ($0.26 worse). SL $6.00 away = $30 risk. Closed by the EA itself (account guard / blackout / instant close) at 2023.490 after 3h59m: +$2.10 (+0.07R).</t>
  </si>
  <si>
    <t xml:space="preserve">BUY STOP at 2025.39 filled at 2025.390 ($0.00 better). SL $6.00 away = $30 risk. Price went against it; stopped at 2019.370 after 1h20m: -$30.10 (-1.00R).</t>
  </si>
  <si>
    <t xml:space="preserve">BUY STOP at 2012.96 filled at 2012.980 ($0.02 worse). SL $6.00 away = $30 risk. Closed by the EA itself (account guard / blackout / instant close) at 2013.480 after 6h03m: +$2.50 (+0.08R).</t>
  </si>
  <si>
    <t xml:space="preserve">BUY STOP at 2024.19 filled at 2024.200 ($0.01 worse). SL $6.00 away = $30 risk. Closed by the EA itself (account guard / blackout / instant close) at 2024.670 after 8h12m: +$2.35 (+0.08R).</t>
  </si>
  <si>
    <t xml:space="preserve">SELL STOP at 2020.33 filled at 2020.330 ($0.00 better). SL $6.00 away = $30 risk. Price went against it; stopped at 2026.370 after 2h14m: -$30.20 (-1.01R).</t>
  </si>
  <si>
    <t xml:space="preserve">BUY STOP at 2032.01 filled at 2032.050 ($0.04 worse). SL $6.00 away = $30 risk. Closed by the EA itself (account guard / blackout / instant close) at 2032.540 after 28m42s: +$2.45 (+0.08R).</t>
  </si>
  <si>
    <t xml:space="preserve">SELL STOP at 2027.17 filled at 2027.170 ($0.00 better). SL $6.00 away = $30 risk. Closed by the EA itself (account guard / blackout / instant close) at 2026.670 after 3h04m: +$2.50 (+0.08R).</t>
  </si>
  <si>
    <t xml:space="preserve">BUY STOP at 2027.86 filled at 2027.890 ($0.03 worse). SL $6.00 away = $30 risk. Closed by the EA itself (account guard / blackout / instant close) at 2028.320 after 1h12m: +$2.15 (+0.07R).</t>
  </si>
  <si>
    <t xml:space="preserve">SELL STOP at 2019.52 filled at 2019.380 ($0.14 worse). SL $6.00 away = $30 risk. Closed by the EA itself (account guard / blackout / instant close) at 2018.890 after 39m28s: +$2.45 (+0.08R).</t>
  </si>
  <si>
    <t xml:space="preserve">SELL STOP at 2014.33 filled at 2014.310 ($0.02 worse). SL $6.00 away = $30 risk. Closed by the EA itself (account guard / blackout / instant close) at 2014.130 after 6h21m: +$0.90 (+0.03R).</t>
  </si>
  <si>
    <t xml:space="preserve">SELL STOP at 2020.96 filled at 2020.920 ($0.04 worse). SL $6.00 away = $30 risk. Closed by the EA itself (account guard / blackout / instant close) at 2020.460 after 2h16m: +$2.30 (+0.08R).</t>
  </si>
  <si>
    <t xml:space="preserve">BUY STOP at 2025.18 filled at 2027.200 ($2.02 worse). SL $6.00 away = $30 risk. Price went against it; stopped at 2019.010 after 6m17s: -$40.95 (-1.36R).</t>
  </si>
  <si>
    <t xml:space="preserve">SELL STOP at 2024.63 filled at 2024.350 ($0.28 worse). SL $6.00 away = $30 risk. Closed by the EA itself (account guard / blackout / instant close) at 2023.910 after 13m10s: +$2.20 (+0.07R).</t>
  </si>
  <si>
    <t xml:space="preserve">BUY STOP at 2035.91 filled at 2035.920 ($0.01 worse). SL $6.00 away = $30 risk. Closed by the EA itself (account guard / blackout / instant close) at 2036.400 after 2h07m: +$2.40 (+0.08R).</t>
  </si>
  <si>
    <t xml:space="preserve">BUY STOP at 2035.75 filled at 2035.770 ($0.02 worse). SL $6.00 away = $30 risk. Closed by the EA itself (account guard / blackout / instant close) at 2036.210 after 37m19s: +$2.20 (+0.07R).</t>
  </si>
  <si>
    <t xml:space="preserve">BUY STOP at 2048.45 filled at 2048.450 ($0.00 better). SL $6.00 away = $30 risk. Closed by the EA itself (account guard / blackout / instant close) at 2048.900 after 1h27m: +$2.25 (+0.08R).</t>
  </si>
  <si>
    <t xml:space="preserve">SELL STOP at 2042.27 filled at 2042.250 ($0.02 worse). SL $6.00 away = $30 risk. Closed by the EA itself (account guard / blackout / instant close) at 2041.750 after 1h17m: +$2.50 (+0.08R).</t>
  </si>
  <si>
    <t xml:space="preserve">SELL STOP at 2031.00 filled at 2031.000 ($0.00 better). SL $6.00 away = $30 risk. Price went against it; stopped at 2037.110 after 2h38m: -$30.55 (-1.02R).</t>
  </si>
  <si>
    <t xml:space="preserve">BUY STOP at 2056.75 filled at 2056.750 ($0.00 better). SL $6.00 away = $30 risk. Price went against it; stopped at 2048.730 after 6h07m: -$40.10 (-1.34R).</t>
  </si>
  <si>
    <t xml:space="preserve">SELL STOP at 2029.91 filled at 2029.830 ($0.08 worse). SL $6.00 away = $30 risk. Price went against it; stopped at 2035.930 after 49m56s: -$30.50 (-1.02R).</t>
  </si>
  <si>
    <t xml:space="preserve">SELL STOP at 2027.64 filled at 2027.290 ($0.35 worse). SL $6.00 away = $30 risk. Closed by the EA itself (account guard / blackout / instant close) at 2026.790 after 5h02m: +$2.50 (+0.08R).</t>
  </si>
  <si>
    <t xml:space="preserve">SELL STOP at 2025.70 filled at 2025.690 ($0.01 worse). SL $6.00 away = $30 risk. Closed by the EA itself (account guard / blackout / instant close) at 2025.190 after 1h09m: +$2.50 (+0.08R).</t>
  </si>
  <si>
    <t xml:space="preserve">BUY STOP at 2035.40 filled at 2035.400 ($0.00 better). SL $6.00 away = $30 risk. Closed by the EA itself (account guard / blackout / instant close) at 2035.880 after 6h53m: +$2.40 (+0.08R).</t>
  </si>
  <si>
    <t xml:space="preserve">BUY STOP at 2038.79 filled at 2039.200 ($0.41 worse). SL $6.00 away = $30 risk. Closed by the EA itself (account guard / blackout / instant close) at 2039.650 after 1m17s: +$2.25 (+0.07R).</t>
  </si>
  <si>
    <t xml:space="preserve">BUY STOP at 2034.16 filled at 2034.160 ($0.00 better). SL $6.00 away = $30 risk. Closed by the EA itself (account guard / blackout / instant close) at 2034.660 after 3h03m: +$2.50 (+0.08R).</t>
  </si>
  <si>
    <t xml:space="preserve">BUY STOP at 2034.37 filled at 2034.400 ($0.03 worse). SL $6.00 away = $30 risk. Price went against it; stopped at 2028.360 after 6h00m: -$30.20 (-1.01R).</t>
  </si>
  <si>
    <t xml:space="preserve">BUY STOP at 2024.67 filled at 2024.680 ($0.01 worse). SL $6.00 away = $30 risk. Closed by the EA itself (account guard / blackout / instant close) at 2025.180 after 1h34m: +$2.50 (+0.08R).</t>
  </si>
  <si>
    <t xml:space="preserve">SELL STOP at 2020.20 filled at 2020.190 ($0.01 worse). SL $6.00 away = $30 risk. Price went against it; stopped at 2026.240 after 3h11m: -$30.25 (-1.01R).</t>
  </si>
  <si>
    <t xml:space="preserve">BUY STOP at 2024.00 filled at 2024.120 ($0.12 worse). SL $6.00 away = $30 risk. Closed by the EA itself (account guard / blackout / instant close) at 2020.980 after 6h30m: -$15.70 (-0.52R).</t>
  </si>
  <si>
    <t xml:space="preserve">SELL STOP at 2011.80 filled at 2011.690 ($0.11 worse). SL $6.00 away = $30 risk. Closed by the EA itself (account guard / blackout / instant close) at 1992.700 after 6h32m: +$94.95 (+3.16R).</t>
  </si>
  <si>
    <t xml:space="preserve">SELL STOP at 1989.99 filled at 1989.720 ($0.27 worse). SL $6.00 away = $30 risk. Closed by the EA itself (account guard / blackout / instant close) at 1989.230 after 7h28m: +$2.45 (+0.08R).</t>
  </si>
  <si>
    <t xml:space="preserve">BUY STOP at 1993.25 filled at 1993.260 ($0.01 worse). SL $6.00 away = $30 risk. Price went against it; stopped at 1987.210 after 3h57m: -$30.25 (-1.01R).</t>
  </si>
  <si>
    <t xml:space="preserve">BUY STOP at 1996.03 filled at 1996.040 ($0.01 worse). SL $6.00 away = $30 risk. Closed by the EA itself (account guard / blackout / instant close) at 1996.520 after 3h46m: +$2.40 (+0.08R).</t>
  </si>
  <si>
    <t xml:space="preserve">BUY STOP at 2004.70 filled at 2004.710 ($0.01 worse). SL $6.00 away = $30 risk. Closed by the EA itself (account guard / blackout / instant close) at 2005.150 after 6h16m: +$2.20 (+0.07R).</t>
  </si>
  <si>
    <t xml:space="preserve">BUY STOP at 2008.18 filled at 2008.520 ($0.34 worse). SL $6.00 away = $30 risk. Closed by the EA itself (account guard / blackout / instant close) at 2009.020 after 8m28s: +$2.50 (+0.08R).</t>
  </si>
  <si>
    <t xml:space="preserve">BUY STOP at 2022.53 filled at 2022.530 ($0.00 better). SL $6.00 away = $30 risk. Price went against it; stopped at 2016.450 after 5h32m: -$30.40 (-1.01R).</t>
  </si>
  <si>
    <t xml:space="preserve">BUY STOP at 2020.80 filled at 2020.830 ($0.03 worse). SL $6.00 away = $30 risk. Closed by the EA itself (account guard / blackout / instant close) at 2023.870 after 12h59m: +$15.20 (+0.51R).</t>
  </si>
  <si>
    <t xml:space="preserve">BUY STOP at 2030.77 filled at 2030.770 ($0.00 better). SL $6.00 away = $30 risk. Price went against it; stopped at 2024.770 after 12h05m: -$30.00 (-1.00R).</t>
  </si>
  <si>
    <t xml:space="preserve">BUY STOP at 2030.52 filled at 2030.520 ($0.00 better). SL $6.00 away = $30 risk. Closed by the EA itself (account guard / blackout / instant close) at 2031.010 after 2h14m: +$2.45 (+0.08R).</t>
  </si>
  <si>
    <t xml:space="preserve">SELL STOP at 2019.92 filled at 2019.850 ($0.07 worse). SL $6.00 away = $30 risk. Closed by the EA itself (account guard / blackout / instant close) at 2022.980 after 3h27m: -$15.65 (-0.52R).</t>
  </si>
  <si>
    <t xml:space="preserve">SELL STOP at 2019.56 filled at 2019.560 ($0.00 better). SL $6.00 away = $30 risk. Closed by the EA itself (account guard / blackout / instant close) at 2019.120 after 3h49m: +$2.20 (+0.07R).</t>
  </si>
  <si>
    <t xml:space="preserve">BUY STOP at 2026.10 filled at 2026.230 ($0.13 worse). SL $6.00 away = $30 risk. Closed by the EA itself (account guard / blackout / instant close) at 2026.710 after 1m25s: +$2.40 (+0.08R).</t>
  </si>
  <si>
    <t xml:space="preserve">BUY STOP at 2034.13 filled at 2034.140 ($0.01 worse). SL $6.00 away = $30 risk. Closed by the EA itself (account guard / blackout / instant close) at 2034.610 after 1h29m: +$2.35 (+0.08R).</t>
  </si>
  <si>
    <t xml:space="preserve">BUY STOP at 2034.91 filled at 2034.960 ($0.05 worse). SL $6.00 away = $30 risk. Closed by the EA itself (account guard / blackout / instant close) at 2035.440 after 2h25m: +$2.40 (+0.08R).</t>
  </si>
  <si>
    <t xml:space="preserve">SELL STOP at 2028.73 filled at 2028.720 ($0.01 worse). SL $6.00 away = $30 risk. Closed by the EA itself (account guard / blackout / instant close) at 2028.250 after 5h10m: +$2.35 (+0.08R).</t>
  </si>
  <si>
    <t xml:space="preserve">BUY STOP at 2031.97 filled at 2031.980 ($0.01 worse). SL $6.00 away = $30 risk. Closed by the EA itself (account guard / blackout / instant close) at 2032.480 after 17m10s: +$2.50 (+0.08R).</t>
  </si>
  <si>
    <t xml:space="preserve">BUY STOP at 2037.81 filled at 2037.820 ($0.01 worse). SL $6.00 away = $30 risk. Price went against it; stopped at 2031.810 after 2h59m: -$30.05 (-1.00R).</t>
  </si>
  <si>
    <t xml:space="preserve">BUY STOP at 2048.00 filled at 2048.030 ($0.03 worse). SL $6.00 away = $30 risk. Price went against it; stopped at 2041.950 after 1h19m: -$30.40 (-1.01R).</t>
  </si>
  <si>
    <t xml:space="preserve">BUY STOP at 2050.61 filled at 2051.450 ($0.84 worse). SL $6.00 away = $30 risk. Closed by the EA itself (account guard / blackout / instant close) at 2051.930 after 2h34m: +$2.40 (+0.08R).</t>
  </si>
  <si>
    <t xml:space="preserve">BUY STOP at 2088.22 filled at 2088.260 ($0.04 worse). SL $6.00 away = $30 risk. Price went against it; stopped at 2082.210 after 4h08m: -$30.25 (-1.01R).</t>
  </si>
  <si>
    <t xml:space="preserve">BUY STOP at 2119.81 filled at 2119.820 ($0.01 worse). SL $6.00 away = $30 risk. Closed by the EA itself (account guard / blackout / instant close) at 2120.310 after 2h37m: +$2.45 (+0.08R).</t>
  </si>
  <si>
    <t xml:space="preserve">BUY STOP at 2127.86 filled at 2127.870 ($0.01 worse). SL $6.00 away = $30 risk. Closed by the EA itself (account guard / blackout / instant close) at 2128.370 after 55m56s: +$2.50 (+0.08R).</t>
  </si>
  <si>
    <t xml:space="preserve">BUY STOP at 2141.75 filled at 2141.750 ($0.00 better). SL $6.00 away = $30 risk. Closed by the EA itself (account guard / blackout / instant close) at 2142.230 after 3m20s: +$2.40 (+0.08R).</t>
  </si>
  <si>
    <t xml:space="preserve">BUY STOP at 2152.09 filled at 2152.150 ($0.06 worse). SL $6.00 away = $30 risk. Closed by the EA itself (account guard / blackout / instant close) at 2152.610 after 3h26m: +$2.30 (+0.08R).</t>
  </si>
  <si>
    <t xml:space="preserve">BUY STOP at 2158.62 filled at 2158.640 ($0.02 worse). SL $6.00 away = $30 risk. Closed by the EA itself (account guard / blackout / instant close) at 2159.130 after 4h37m: +$2.45 (+0.08R).</t>
  </si>
  <si>
    <t xml:space="preserve">BUY STOP at 2161.93 filled at 2161.970 ($0.04 worse). SL $6.00 away = $30 risk. Closed by the EA itself (account guard / blackout / instant close) at 2162.040 after 5h44m: +$0.35 (+0.01R).</t>
  </si>
  <si>
    <t xml:space="preserve">BUY STOP at 2181.56 filled at 2181.600 ($0.04 worse). SL $6.00 away = $30 risk. Price went against it; stopped at 2175.540 after 5h18m: -$30.30 (-1.01R).</t>
  </si>
  <si>
    <t xml:space="preserve">SELL STOP at 2174.70 filled at 2174.490 ($0.21 worse). SL $6.00 away = $30 risk. Closed by the EA itself (account guard / blackout / instant close) at 2174.270 after 6h48m: +$1.10 (+0.04R).</t>
  </si>
  <si>
    <t xml:space="preserve">BUY STOP at 2179.15 filled at 2179.190 ($0.04 worse). SL $6.00 away = $30 risk. Closed by the EA itself (account guard / blackout / instant close) at 2179.600 after 1m47s: +$2.05 (+0.07R).</t>
  </si>
  <si>
    <t xml:space="preserve">BUY STOP at 2160.50 filled at 2160.570 ($0.07 worse). SL $6.00 away = $30 risk. Closed by the EA itself (account guard / blackout / instant close) at 2174.410 after 13h14m: +$69.20 (+2.31R).</t>
  </si>
  <si>
    <t xml:space="preserve">SELL STOP at 2168.59 filled at 2168.580 ($0.01 worse). SL $6.00 away = $30 risk. Closed by the EA itself (account guard / blackout / instant close) at 2168.130 after 6h19m: +$2.25 (+0.07R).</t>
  </si>
  <si>
    <t xml:space="preserve">SELL STOP at 2155.67 filled at 2155.650 ($0.02 worse). SL $6.00 away = $30 risk. Closed by the EA itself (account guard / blackout / instant close) at 2155.190 after 9m41s: +$2.30 (+0.08R).</t>
  </si>
  <si>
    <t xml:space="preserve">SELL STOP at 2163.49 filled at 2163.460 ($0.03 worse). SL $6.00 away = $30 risk. Closed by the EA itself (account guard / blackout / instant close) at 2163.030 after 57m03s: +$2.15 (+0.07R).</t>
  </si>
  <si>
    <t xml:space="preserve">BUY STOP at 2148.24 filled at 2148.240 ($0.00 better). SL $6.00 away = $30 risk. Closed by the EA itself (account guard / blackout / instant close) at 2160.060 after 13h09m: +$59.10 (+1.97R).</t>
  </si>
  <si>
    <t xml:space="preserve">SELL STOP at 2156.96 filled at 2156.960 ($0.00 better). SL $6.00 away = $30 risk. Closed by the EA itself (account guard / blackout / instant close) at 2156.490 after 16m51s: +$2.35 (+0.08R).</t>
  </si>
  <si>
    <t xml:space="preserve">SELL STOP at 2156.51 filled at 2156.510 ($0.00 better). SL $6.00 away = $30 risk. Closed by the EA itself (account guard / blackout / instant close) at 2156.030 after 6h48m: +$2.40 (+0.08R).</t>
  </si>
  <si>
    <t xml:space="preserve">BUY STOP at 2162.75 filled at 2162.980 ($0.23 worse). SL $6.00 away = $30 risk. Price went against it; stopped at 2156.670 after 44m39s: -$31.55 (-1.05R).</t>
  </si>
  <si>
    <t xml:space="preserve">SELL STOP at 2201.72 filled at 2201.700 ($0.02 worse). SL $6.00 away = $30 risk. Closed by the EA itself (account guard / blackout / instant close) at 2201.210 after 21m47s: +$2.45 (+0.08R).</t>
  </si>
  <si>
    <t xml:space="preserve">SELL STOP at 2172.94 filled at 2172.900 ($0.04 worse). SL $6.00 away = $30 risk. Closed by the EA itself (account guard / blackout / instant close) at 2172.560 after 6h13m: +$1.70 (+0.06R).</t>
  </si>
  <si>
    <t xml:space="preserve">SELL STOP at 2167.62 filled at 2167.580 ($0.04 worse). SL $6.00 away = $30 risk. Closed by the EA itself (account guard / blackout / instant close) at 2167.110 after 1h01m: +$2.35 (+0.08R).</t>
  </si>
  <si>
    <t xml:space="preserve">BUY STOP at 2173.27 filled at 2173.340 ($0.07 worse). SL $6.00 away = $30 risk. Closed by the EA itself (account guard / blackout / instant close) at 2173.840 after 9h37m: +$2.50 (+0.08R).</t>
  </si>
  <si>
    <t xml:space="preserve">BUY STOP at 2179.98 filled at 2179.990 ($0.01 worse). SL $6.00 away = $30 risk. Closed by the EA itself (account guard / blackout / instant close) at 2180.480 after 1h39m: +$2.45 (+0.08R).</t>
  </si>
  <si>
    <t xml:space="preserve">BUY STOP at 2197.51 filled at 2197.550 ($0.04 worse). SL $6.00 away = $30 risk. Closed by the EA itself (account guard / blackout / instant close) at 2198.020 after 24m56s: +$2.35 (+0.08R).</t>
  </si>
  <si>
    <t xml:space="preserve">SELL STOP at 2194.32 filled at 2194.320 ($0.00 better). SL $6.00 away = $30 risk. Closed by the EA itself (account guard / blackout / instant close) at 2193.840 after 52m20s: +$2.40 (+0.08R).</t>
  </si>
  <si>
    <t xml:space="preserve">SELL STOP at 2257.85 filled at 2257.740 ($0.11 worse). SL $6.00 away = $30 risk. Closed by the EA itself (account guard / blackout / instant close) at 2257.240 after 5h18m: +$2.50 (+0.08R).</t>
  </si>
  <si>
    <t xml:space="preserve">BUY STOP at 2259.80 filled at 2259.920 ($0.12 worse). SL $6.00 away = $30 risk. Closed by the EA itself (account guard / blackout / instant close) at 2260.410 after 14m12s: +$2.45 (+0.08R).</t>
  </si>
  <si>
    <t xml:space="preserve">BUY STOP at 2265.59 filled at 2266.310 ($0.72 worse). SL $6.00 away = $30 risk. Price went against it; stopped at 2259.560 after 19m34s: -$33.75 (-1.12R).</t>
  </si>
  <si>
    <t xml:space="preserve">SELL STOP at 2280.80 filled at 2280.730 ($0.07 worse). SL $6.00 away = $30 risk. Closed by the EA itself (account guard / blackout / instant close) at 2281.740 after 6h59m: -$5.05 (-0.17R).</t>
  </si>
  <si>
    <t xml:space="preserve">BUY STOP at 2301.04 filled at 2301.080 ($0.04 worse). SL $6.00 away = $30 risk. Closed by the EA itself (account guard / blackout / instant close) at 2301.570 after 2h46m: +$2.45 (+0.08R).</t>
  </si>
  <si>
    <t xml:space="preserve">SELL STOP at 2294.92 filled at 2294.920 ($0.00 better). SL $6.00 away = $30 risk. Closed by the EA itself (account guard / blackout / instant close) at 2294.420 after 1h24m: +$2.50 (+0.08R).</t>
  </si>
  <si>
    <t xml:space="preserve">SELL STOP at 2279.69 filled at 2278.860 ($0.83 worse). SL $6.00 away = $30 risk. Closed by the EA itself (account guard / blackout / instant close) at 2278.360 after 2h06m: +$2.50 (+0.08R).</t>
  </si>
  <si>
    <t xml:space="preserve">BUY STOP at 2282.22 filled at 2282.220 ($0.00 better). SL $6.00 away = $30 risk. Closed by the EA itself (account guard / blackout / instant close) at 2282.610 after 6h26m: +$1.95 (+0.06R).</t>
  </si>
  <si>
    <t xml:space="preserve">BUY STOP at 2330.35 filled at 2330.380 ($0.03 worse). SL $6.00 away = $30 risk. Closed by the EA itself (account guard / blackout / instant close) at 2330.860 after 39s: +$2.40 (+0.08R).</t>
  </si>
  <si>
    <t xml:space="preserve">SELL STOP at 2331.75 filled at 2331.750 ($0.00 better). SL $6.00 away = $30 risk. Price went against it; stopped at 2337.760 after 16m37s: -$30.05 (-1.00R).</t>
  </si>
  <si>
    <t xml:space="preserve">BUY STOP at 2347.87 filled at 2347.870 ($0.00 better). SL $6.00 away = $30 risk. Closed by the EA itself (account guard / blackout / instant close) at 2348.340 after 5h12m: +$2.35 (+0.08R).</t>
  </si>
  <si>
    <t xml:space="preserve">BUY STOP at 2360.07 filled at 2360.070 ($0.00 better). SL $6.00 away = $30 risk. Price went against it; stopped at 2354.070 after 19m17s: -$30.00 (-1.00R).</t>
  </si>
  <si>
    <t xml:space="preserve">SELL STOP at 2336.80 filled at 2336.710 ($0.09 worse). SL $6.00 away = $30 risk. Closed by the EA itself (account guard / blackout / instant close) at 2336.240 after 34s: +$2.35 (+0.08R).</t>
  </si>
  <si>
    <t xml:space="preserve">SELL STOP at 2338.77 filled at 2338.730 ($0.04 worse). SL $6.00 away = $30 risk. Closed by the EA itself (account guard / blackout / instant close) at 2338.310 after 30m23s: +$2.10 (+0.07R).</t>
  </si>
  <si>
    <t xml:space="preserve">BUY STOP at 2360.07 filled at 2360.100 ($0.03 worse). SL $6.00 away = $30 risk. Closed by the EA itself (account guard / blackout / instant close) at 2360.590 after 14m06s: +$2.45 (+0.08R).</t>
  </si>
  <si>
    <t xml:space="preserve">BUY STOP at 2377.55 filled at 2377.550 ($0.00 better). SL $6.00 away = $30 risk. Reached the take profit at 2407.710 after 15h47m: +$150.80 (+5.03R).</t>
  </si>
  <si>
    <t xml:space="preserve">SELL STOP at 2382.69 filled at 2382.470 ($0.22 worse). SL $6.00 away = $30 risk. Price went against it; stopped at 2388.730 after 38s: -$31.30 (-1.04R).</t>
  </si>
  <si>
    <t xml:space="preserve">SELL STOP at 2351.92 filled at 2351.820 ($0.10 worse). SL $6.00 away = $30 risk. Closed by the EA itself (account guard / blackout / instant close) at 2351.350 after 58m27s: +$2.35 (+0.08R).</t>
  </si>
  <si>
    <t xml:space="preserve">SELL STOP at 2333.76 filled at 2333.750 ($0.01 worse). SL $6.00 away = $30 risk. Closed by the EA itself (account guard / blackout / instant close) at 2333.280 after 4m57s: +$2.35 (+0.08R).</t>
  </si>
  <si>
    <t xml:space="preserve">SELL STOP at 2383.93 filled at 2383.900 ($0.03 worse). SL $6.00 away = $30 risk. Closed by the EA itself (account guard / blackout / instant close) at 2383.480 after 8h33m: +$2.10 (+0.07R).</t>
  </si>
  <si>
    <t xml:space="preserve">SELL STOP at 2374.05 filled at 2374.040 ($0.01 worse). SL $6.00 away = $30 risk. Price went against it; stopped at 2380.260 after 34m13s: -$31.10 (-1.04R).</t>
  </si>
  <si>
    <t xml:space="preserve">SELL STOP at 2362.84 filled at 2362.830 ($0.01 worse). SL $6.00 away = $30 risk. Price went against it; stopped at 2368.900 after 6m57s: -$30.35 (-1.01R).</t>
  </si>
  <si>
    <t xml:space="preserve">SELL STOP at 2373.15 filled at 2373.150 ($0.00 better). SL $6.00 away = $30 risk. Closed by the EA itself (account guard / blackout / instant close) at 2372.670 after 24s: +$2.40 (+0.08R).</t>
  </si>
  <si>
    <t xml:space="preserve">BUY STOP at 2392.62 filled at 2392.790 ($0.17 worse). SL $6.00 away = $30 risk. Closed by the EA itself (account guard / blackout / instant close) at 2393.220 after 1h55m: +$2.15 (+0.07R).</t>
  </si>
  <si>
    <t xml:space="preserve">SELL STOP at 2379.20 filled at 2378.860 ($0.34 worse). SL $6.00 away = $30 risk. Price went against it; stopped at 2385.290 after 7m20s: -$32.15 (-1.07R).</t>
  </si>
  <si>
    <t xml:space="preserve">SELL STOP at 2372.81 filled at 2372.800 ($0.01 worse). SL $6.00 away = $30 risk. Closed by the EA itself (account guard / blackout / instant close) at 2372.330 after 3m55s: +$2.35 (+0.08R).</t>
  </si>
  <si>
    <t xml:space="preserve">SELL STOP at 2360.76 filled at 2360.760 ($0.00 better). SL $6.00 away = $30 risk. Closed by the EA itself (account guard / blackout / instant close) at 2360.260 after 57m19s: +$2.50 (+0.08R).</t>
  </si>
  <si>
    <t xml:space="preserve">SELL STOP at 2324.56 filled at 2323.420 ($1.14 worse). SL $6.00 away = $30 risk. Reached the take profit at 2294.470 after 7h40m: +$144.75 (+4.82R).</t>
  </si>
  <si>
    <t xml:space="preserve">BUY STOP at 2314.61 filled at 2314.960 ($0.35 worse). SL $6.00 away = $30 risk. Closed by the EA itself (account guard / blackout / instant close) at 2315.350 after 27m30s: +$1.95 (+0.06R).</t>
  </si>
  <si>
    <t xml:space="preserve">BUY STOP at 2329.98 filled at 2329.980 ($0.00 better). SL $6.00 away = $30 risk. Price went against it; stopped at 2323.950 after 1h01m: -$30.15 (-1.00R).</t>
  </si>
  <si>
    <t xml:space="preserve">BUY STOP at 2334.31 filled at 2334.310 ($0.00 better). SL $6.00 away = $30 risk. Closed by the EA itself (account guard / blackout / instant close) at 2334.790 after 4m57s: +$2.40 (+0.08R).</t>
  </si>
  <si>
    <t xml:space="preserve">SELL STOP at 2311.64 filled at 2311.470 ($0.17 worse). SL $6.00 away = $30 risk. Closed by the EA itself (account guard / blackout / instant close) at 2311.020 after 6m39s: +$2.25 (+0.07R).</t>
  </si>
  <si>
    <t xml:space="preserve">BUY STOP at 2320.67 filled at 2320.680 ($0.01 worse). SL $6.00 away = $30 risk. Closed by the EA itself (account guard / blackout / instant close) at 2321.130 after 25m48s: +$2.25 (+0.07R).</t>
  </si>
  <si>
    <t xml:space="preserve">BUY STOP at 2338.47 filled at 2338.500 ($0.03 worse). SL $6.00 away = $30 risk. Closed by the EA itself (account guard / blackout / instant close) at 2338.980 after 6m55s: +$2.40 (+0.08R).</t>
  </si>
  <si>
    <t xml:space="preserve">BUY STOP at 2344.71 filled at 2345.080 ($0.37 worse). SL $6.00 away = $30 risk. Closed by the EA itself (account guard / blackout / instant close) at 2345.580 after 14s: +$2.50 (+0.08R).</t>
  </si>
  <si>
    <t xml:space="preserve">SELL STOP at 2326.17 filled at 2325.820 ($0.35 worse). SL $6.00 away = $30 risk. Closed by the EA itself (account guard / blackout / instant close) at 2325.320 after 16m26s: +$2.50 (+0.08R).</t>
  </si>
  <si>
    <t xml:space="preserve">BUY STOP at 2336.43 filled at 2336.570 ($0.14 worse). SL $6.00 away = $30 risk. Closed by the EA itself (account guard / blackout / instant close) at 2337.020 after 1h30m: +$2.25 (+0.07R).</t>
  </si>
  <si>
    <t xml:space="preserve">SELL STOP at 2321.65 filled at 2321.640 ($0.01 worse). SL $6.00 away = $30 risk. Closed by the EA itself (account guard / blackout / instant close) at 2321.140 after 9m21s: +$2.50 (+0.08R).</t>
  </si>
  <si>
    <t xml:space="preserve">SELL STOP at 2284.98 filled at 2284.950 ($0.03 worse). SL $6.00 away = $30 risk. Closed by the EA itself (account guard / blackout / instant close) at 2284.450 after 1h08m: +$2.50 (+0.08R).</t>
  </si>
  <si>
    <t xml:space="preserve">BUY STOP at 2288.32 filled at 2288.340 ($0.02 worse). SL $6.00 away = $30 risk. Reached the take profit at 2318.550 after 12h25m: +$151.05 (+5.04R).</t>
  </si>
  <si>
    <t xml:space="preserve">SELL STOP at 2312.88 filled at 2312.880 ($0.00 better). SL $6.00 away = $30 risk. Price went against it; stopped at 2318.910 after 30m53s: -$30.15 (-1.00R).</t>
  </si>
  <si>
    <t xml:space="preserve">SELL STOP at 2302.03 filled at 2301.980 ($0.05 worse). SL $6.00 away = $30 risk. Closed by the EA itself (account guard / blackout / instant close) at 2301.540 after 1h06m: +$2.20 (+0.07R).</t>
  </si>
  <si>
    <t xml:space="preserve">SELL STOP at 2285.36 filled at 2284.840 ($0.52 worse). SL $6.00 away = $30 risk. Closed by the EA itself (account guard / blackout / instant close) at 2284.350 after 57s: +$2.45 (+0.08R).</t>
  </si>
  <si>
    <t xml:space="preserve">BUY STOP at 2313.78 filled at 2313.840 ($0.06 worse). SL $6.00 away = $30 risk. Closed by the EA itself (account guard / blackout / instant close) at 2324.670 after 13h15m: +$54.15 (+1.80R).</t>
  </si>
  <si>
    <t xml:space="preserve">SELL STOP at 2320.16 filled at 2319.530 ($0.63 worse). SL $6.00 away = $30 risk. Closed by the EA itself (account guard / blackout / instant close) at 2319.110 after 7h02m: +$2.10 (+0.07R).</t>
  </si>
  <si>
    <t xml:space="preserve">SELL STOP at 2309.82 filled at 2309.520 ($0.30 worse). SL $6.00 away = $30 risk. Closed by the EA itself (account guard / blackout / instant close) at 2309.020 after 3m14s: +$2.50 (+0.08R).</t>
  </si>
  <si>
    <t xml:space="preserve">SELL STOP at 2316.72 filled at 2316.690 ($0.03 worse). SL $6.00 away = $30 risk. Closed by the EA itself (account guard / blackout / instant close) at 2316.200 after 4h02m: +$2.45 (+0.08R).</t>
  </si>
  <si>
    <t xml:space="preserve">SELL STOP at 2311.84 filled at 2311.800 ($0.04 worse). SL $6.00 away = $30 risk. Closed by the EA itself (account guard / blackout / instant close) at 2311.340 after 41m23s: +$2.30 (+0.08R).</t>
  </si>
  <si>
    <t xml:space="preserve">BUY STOP at 2321.35 filled at 2321.400 ($0.05 worse). SL $6.00 away = $30 risk. Closed by the EA itself (account guard / blackout / instant close) at 2321.900 after 5m15s: +$2.50 (+0.08R).</t>
  </si>
  <si>
    <t xml:space="preserve">BUY STOP at 2358.66 filled at 2358.660 ($0.00 better). SL $6.00 away = $30 risk. Closed by the EA itself (account guard / blackout / instant close) at 2359.100 after 8h54m: +$2.20 (+0.07R).</t>
  </si>
  <si>
    <t xml:space="preserve">SELL STOP at 2351.08 filled at 2350.930 ($0.15 worse). SL $6.00 away = $30 risk. Closed by the EA itself (account guard / blackout / instant close) at 2350.460 after 58m27s: +$2.35 (+0.08R).</t>
  </si>
  <si>
    <t xml:space="preserve">SELL STOP at 2342.97 filled at 2342.950 ($0.02 worse). SL $6.00 away = $30 risk. Closed by the EA itself (account guard / blackout / instant close) at 2342.450 after 1h41m: +$2.50 (+0.08R).</t>
  </si>
  <si>
    <t xml:space="preserve">SELL STOP at 2342.48 filled at 2342.420 ($0.06 worse). SL $6.00 away = $30 risk. Closed by the EA itself (account guard / blackout / instant close) at 2341.920 after 2h36m: +$2.50 (+0.08R).</t>
  </si>
  <si>
    <t xml:space="preserve">BUY STOP at 2359.56 filled at 2359.630 ($0.07 worse). SL $6.00 away = $30 risk. Closed by the EA itself (account guard / blackout / instant close) at 2359.000 after 9h18m: -$3.15 (-0.10R).</t>
  </si>
  <si>
    <t xml:space="preserve">SELL STOP at 2355.58 filled at 2355.570 ($0.01 worse). SL $6.00 away = $30 risk. Closed by the EA itself (account guard / blackout / instant close) at 2355.150 after 3m00s: +$2.10 (+0.07R).</t>
  </si>
  <si>
    <t xml:space="preserve">BUY STOP at 2390.19 filled at 2390.220 ($0.03 worse). SL $6.00 away = $30 risk. Closed by the EA itself (account guard / blackout / instant close) at 2390.720 after 2h35m: +$2.50 (+0.08R).</t>
  </si>
  <si>
    <t xml:space="preserve">SELL STOP at 2386.95 filled at 2386.900 ($0.05 worse). SL $6.00 away = $30 risk. Closed by the EA itself (account guard / blackout / instant close) at 2386.410 after 3h07m: +$2.45 (+0.08R).</t>
  </si>
  <si>
    <t xml:space="preserve">BUY STOP at 2382.25 filled at 2382.250 ($0.00 better). SL $6.00 away = $30 risk. Closed by the EA itself (account guard / blackout / instant close) at 2382.740 after 2h05m: +$2.45 (+0.08R).</t>
  </si>
  <si>
    <t xml:space="preserve">BUY STOP at 2397.28 filled at 2397.280 ($0.00 better). SL $6.00 away = $30 risk. Closed by the EA itself (account guard / blackout / instant close) at 2397.770 after 34m15s: +$2.45 (+0.08R).</t>
  </si>
  <si>
    <t xml:space="preserve">BUY STOP at 2449.99 filled at 2450.070 ($0.08 worse). SL $6.00 away = $30 risk. Price went against it; stopped at 2443.990 after 20m25s: -$30.40 (-1.01R).</t>
  </si>
  <si>
    <t xml:space="preserve">SELL STOP at 2407.15 filled at 2407.150 ($0.00 better). SL $6.00 away = $30 risk. Price went against it; stopped at 2413.180 after 22m45s: -$30.15 (-1.00R).</t>
  </si>
  <si>
    <t xml:space="preserve">SELL STOP at 2410.56 filled at 2410.550 ($0.01 worse). SL $6.00 away = $30 risk. Price went against it; stopped at 2416.740 after 34m59s: -$30.95 (-1.03R).</t>
  </si>
  <si>
    <t xml:space="preserve">SELL STOP at 2411.21 filled at 2411.200 ($0.01 worse). SL $6.00 away = $30 risk. Price went against it; stopped at 2417.220 after 30m25s: -$30.10 (-1.00R).</t>
  </si>
  <si>
    <t xml:space="preserve">SELL STOP at 2406.16 filled at 2405.580 ($0.58 worse). SL $6.00 away = $30 risk. Price went against it; stopped at 2412.160 after 24m31s: -$32.90 (-1.10R).</t>
  </si>
  <si>
    <t xml:space="preserve">SELL STOP at 2374.86 filled at 2374.800 ($0.06 worse). SL $6.00 away = $30 risk. Closed by the EA itself (account guard / blackout / instant close) at 2374.310 after 45m56s: +$2.45 (+0.08R).</t>
  </si>
  <si>
    <t xml:space="preserve">SELL STOP at 2358.19 filled at 2358.130 ($0.06 worse). SL $6.00 away = $30 risk. Closed by the EA itself (account guard / blackout / instant close) at 2357.660 after 1m54s: +$2.35 (+0.08R).</t>
  </si>
  <si>
    <t xml:space="preserve">SELL STOP at 2326.85 filled at 2326.720 ($0.13 worse). SL $6.00 away = $30 risk. Price went against it; stopped at 2332.850 after 12m56s: -$30.65 (-1.02R).</t>
  </si>
  <si>
    <t xml:space="preserve">BUY STOP at 2339.20 filled at 2339.210 ($0.01 worse). SL $6.00 away = $30 risk. Closed by the EA itself (account guard / blackout / instant close) at 2339.710 after 3h11m: +$2.50 (+0.08R).</t>
  </si>
  <si>
    <t xml:space="preserve">BUY STOP at 2347.33 filled at 2347.330 ($0.00 better). SL $6.00 away = $30 risk. Price went against it; stopped at 2341.330 after 1h18m: -$30.00 (-1.00R).</t>
  </si>
  <si>
    <t xml:space="preserve">SELL STOP at 2340.20 filled at 2340.120 ($0.08 worse). SL $6.00 away = $30 risk. Price went against it; stopped at 2346.240 after 1h56m: -$30.60 (-1.02R).</t>
  </si>
  <si>
    <t xml:space="preserve">SELL STOP at 2349.43 filled at 2349.410 ($0.02 worse). SL $6.00 away = $30 risk. Closed by the EA itself (account guard / blackout / instant close) at 2349.020 after 6h06m: +$1.95 (+0.06R).</t>
  </si>
  <si>
    <t xml:space="preserve">BUY STOP at 2358.39 filled at 2358.430 ($0.04 worse). SL $6.00 away = $30 risk. Closed by the EA itself (account guard / blackout / instant close) at 2358.910 after 21m30s: +$2.40 (+0.08R).</t>
  </si>
  <si>
    <t xml:space="preserve">SELL STOP at 2356.40 filled at 2356.380 ($0.02 worse). SL $6.00 away = $30 risk. Closed by the EA itself (account guard / blackout / instant close) at 2355.940 after 8m54s: +$2.20 (+0.07R).</t>
  </si>
  <si>
    <t xml:space="preserve">SELL STOP at 2340.16 filled at 2339.930 ($0.23 worse). SL $6.00 away = $30 risk. Closed by the EA itself (account guard / blackout / instant close) at 2339.440 after 1h08m: +$2.45 (+0.08R).</t>
  </si>
  <si>
    <t xml:space="preserve">SELL STOP at 2334.44 filled at 2334.340 ($0.10 worse). SL $6.00 away = $30 risk. Closed by the EA itself (account guard / blackout / instant close) at 2333.850 after 3h02m: +$2.45 (+0.08R).</t>
  </si>
  <si>
    <t xml:space="preserve">BUY STOP at 2337.04 filled at 2337.050 ($0.01 worse). SL $6.00 away = $30 risk. Price went against it; stopped at 2331.040 after 2h58m: -$30.05 (-1.00R).</t>
  </si>
  <si>
    <t xml:space="preserve">BUY STOP at 2345.40 filled at 2345.430 ($0.03 worse). SL $6.00 away = $30 risk. Closed by the EA itself (account guard / blackout / instant close) at 2345.900 after 5h55m: +$2.35 (+0.08R).</t>
  </si>
  <si>
    <t xml:space="preserve">BUY STOP at 2351.70 filled at 2351.700 ($0.00 better). SL $6.00 away = $30 risk. Closed by the EA itself (account guard / blackout / instant close) at 2352.180 after 46m13s: +$2.40 (+0.08R).</t>
  </si>
  <si>
    <t xml:space="preserve">SELL STOP at 2320.40 filled at 2320.320 ($0.08 worse). SL $6.00 away = $30 risk. Closed by the EA itself (account guard / blackout / instant close) at 2319.830 after 1h52m: +$2.45 (+0.08R).</t>
  </si>
  <si>
    <t xml:space="preserve">SELL STOP at 2315.22 filled at 2315.150 ($0.07 worse). SL $6.00 away = $30 risk. Price went against it; stopped at 2321.240 after 36m12s: -$30.45 (-1.01R).</t>
  </si>
  <si>
    <t xml:space="preserve">BUY STOP at 2349.77 filled at 2349.770 ($0.00 better). SL $6.00 away = $30 risk. Price went against it; stopped at 2343.740 after 56m07s: -$30.15 (-1.00R).</t>
  </si>
  <si>
    <t xml:space="preserve">SELL STOP at 2335.74 filled at 2335.650 ($0.09 worse). SL $6.00 away = $30 risk. Closed by the EA itself (account guard / blackout / instant close) at 2335.220 after 2h36m: +$2.15 (+0.07R).</t>
  </si>
  <si>
    <t xml:space="preserve">BUY STOP at 2352.65 filled at 2352.660 ($0.01 worse). SL $6.00 away = $30 risk. Closed by the EA itself (account guard / blackout / instant close) at 2353.150 after 52m58s: +$2.45 (+0.08R).</t>
  </si>
  <si>
    <t xml:space="preserve">SELL STOP at 2366.23 filled at 2366.170 ($0.06 worse). SL $6.00 away = $30 risk. Closed by the EA itself (account guard / blackout / instant close) at 2365.670 after 28m01s: +$2.50 (+0.08R).</t>
  </si>
  <si>
    <t xml:space="preserve">BUY STOP at 2378.41 filled at 2378.410 ($0.00 better). SL $6.00 away = $30 risk. Price went against it; stopped at 2372.410 after 2h03m: -$30.00 (-1.00R).</t>
  </si>
  <si>
    <t xml:space="preserve">SELL STOP at 2374.91 filled at 2374.910 ($0.00 better). SL $6.00 away = $30 risk. Reached the take profit at 2344.520 after 2h41m: +$151.95 (+5.06R).</t>
  </si>
  <si>
    <t xml:space="preserve">SELL STOP at 2292.03 filled at 2291.980 ($0.05 worse). SL $6.00 away = $30 risk. Closed by the EA itself (account guard / blackout / instant close) at 2291.490 after 24m06s: +$2.45 (+0.08R).</t>
  </si>
  <si>
    <t xml:space="preserve">BUY STOP at 2304.27 filled at 2304.330 ($0.06 worse). SL $6.00 away = $30 risk. Closed by the EA itself (account guard / blackout / instant close) at 2304.830 after 1h42m: +$2.50 (+0.08R).</t>
  </si>
  <si>
    <t xml:space="preserve">BUY STOP at 2313.66 filled at 2313.690 ($0.03 worse). SL $6.00 away = $30 risk. Closed by the EA itself (account guard / blackout / instant close) at 2314.170 after 44m08s: +$2.40 (+0.08R).</t>
  </si>
  <si>
    <t xml:space="preserve">SELL STOP at 2312.32 filled at 2312.280 ($0.04 worse). SL $6.00 away = $30 risk. Price went against it; stopped at 2320.340 after 5h06m: -$40.30 (-1.34R).</t>
  </si>
  <si>
    <t xml:space="preserve">SELL STOP at 2310.58 filled at 2310.560 ($0.02 worse). SL $6.00 away = $30 risk. Closed by the EA itself (account guard / blackout / instant close) at 2310.070 after 12m48s: +$2.45 (+0.08R).</t>
  </si>
  <si>
    <t xml:space="preserve">BUY STOP at 2314.66 filled at 2314.690 ($0.03 worse). SL $6.00 away = $30 risk. Closed by the EA itself (account guard / blackout / instant close) at 2315.160 after 1h14m: +$2.35 (+0.08R).</t>
  </si>
  <si>
    <t xml:space="preserve">BUY STOP at 2311.47 filled at 2311.510 ($0.04 worse). SL $6.00 away = $30 risk. Closed by the EA itself (account guard / blackout / instant close) at 2332.610 after 13h01m: +$105.50 (+3.52R).</t>
  </si>
  <si>
    <t xml:space="preserve">SELL STOP at 2317.69 filled at 2317.690 ($0.00 better). SL $6.00 away = $30 risk. Price went against it; stopped at 2323.690 after 7h09m: -$30.00 (-1.00R).</t>
  </si>
  <si>
    <t xml:space="preserve">SELL STOP at 2319.32 filled at 2319.320 ($0.00 better). SL $6.00 away = $30 risk. Closed by the EA itself (account guard / blackout / instant close) at 2318.890 after 5h42m: +$2.15 (+0.07R).</t>
  </si>
  <si>
    <t xml:space="preserve">BUY STOP at 2332.49 filled at 2332.500 ($0.01 worse). SL $6.00 away = $30 risk. Closed by the EA itself (account guard / blackout / instant close) at 2329.230 after 1h47m: -$16.35 (-0.54R).</t>
  </si>
  <si>
    <t xml:space="preserve">BUY STOP at 2330.01 filled at 2330.010 ($0.00 better). SL $6.00 away = $30 risk. Closed by the EA itself (account guard / blackout / instant close) at 2330.490 after 1h07m: +$2.40 (+0.08R).</t>
  </si>
  <si>
    <t xml:space="preserve">BUY STOP at 2333.01 filled at 2333.040 ($0.03 worse). SL $6.00 away = $30 risk. Price went against it; stopped at 2326.970 after 3h03m: -$30.35 (-1.01R).</t>
  </si>
  <si>
    <t xml:space="preserve">BUY STOP at 2334.87 filled at 2334.910 ($0.04 worse). SL $6.00 away = $30 risk. Closed by the EA itself (account guard / blackout / instant close) at 2335.400 after 57m15s: +$2.45 (+0.08R).</t>
  </si>
  <si>
    <t xml:space="preserve">BUY STOP at 2344.74 filled at 2344.740 ($0.00 better). SL $6.00 away = $30 risk. Price went against it; stopped at 2338.720 after 1h33m: -$30.10 (-1.00R).</t>
  </si>
  <si>
    <t xml:space="preserve">BUY STOP at 2365.38 filled at 2365.420 ($0.04 worse). SL $6.00 away = $30 risk. Price went against it; stopped at 2359.310 after 49m28s: -$30.55 (-1.02R).</t>
  </si>
  <si>
    <t xml:space="preserve">BUY STOP at 2365.49 filled at 2365.500 ($0.01 worse). SL $6.00 away = $30 risk. Closed by the EA itself (account guard / blackout / instant close) at 2365.980 after 18m56s: +$2.40 (+0.08R).</t>
  </si>
  <si>
    <t xml:space="preserve">SELL STOP at 2323.54 filled at 2323.530 ($0.01 worse). SL $6.00 away = $30 risk. Price went against it; stopped at 2329.630 after 1h29m: -$30.50 (-1.02R).</t>
  </si>
  <si>
    <t xml:space="preserve">BUY STOP at 2330.02 filled at 2330.040 ($0.02 worse). SL $6.00 away = $30 risk. Closed by the EA itself (account guard / blackout / instant close) at 2330.540 after 2h32m: +$2.50 (+0.08R).</t>
  </si>
  <si>
    <t xml:space="preserve">SELL STOP at 2317.58 filled at 2317.470 ($0.11 worse). SL $6.00 away = $30 risk. Price went against it; stopped at 2323.650 after 22m17s: -$30.90 (-1.03R).</t>
  </si>
  <si>
    <t xml:space="preserve">SELL STOP at 2315.41 filled at 2315.410 ($0.00 better). SL $6.00 away = $30 risk. Closed by the EA itself (account guard / blackout / instant close) at 2314.910 after 29s: +$2.50 (+0.08R).</t>
  </si>
  <si>
    <t xml:space="preserve">SELL STOP at 2311.74 filled at 2311.690 ($0.05 worse). SL $6.00 away = $30 risk. Price went against it; stopped at 2317.810 after 2h30m: -$30.60 (-1.02R).</t>
  </si>
  <si>
    <t xml:space="preserve">SELL STOP at 2296.72 filled at 2296.630 ($0.09 worse). SL $6.00 away = $30 risk. Price went against it; stopped at 2302.770 after 30m25s: -$30.70 (-1.02R).</t>
  </si>
  <si>
    <t xml:space="preserve">BUY STOP at 2323.74 filled at 2323.830 ($0.09 worse). SL $6.00 away = $30 risk. Closed by the EA itself (account guard / blackout / instant close) at 2324.300 after 1h40m: +$2.35 (+0.08R).</t>
  </si>
  <si>
    <t xml:space="preserve">BUY STOP at 2326.91 filled at 2326.910 ($0.00 better). SL $6.00 away = $30 risk. Closed by the EA itself (account guard / blackout / instant close) at 2327.410 after 3h09m: +$2.50 (+0.08R).</t>
  </si>
  <si>
    <t xml:space="preserve">SELL STOP at 2318.91 filled at 2318.900 ($0.01 worse). SL $6.00 away = $30 risk. Price went against it; stopped at 2325.010 after 44m15s: -$30.55 (-1.02R).</t>
  </si>
  <si>
    <t xml:space="preserve">BUY STOP at 2325.97 filled at 2326.010 ($0.04 worse). SL $6.00 away = $30 risk. Closed by the EA itself (account guard / blackout / instant close) at 2326.510 after 21m23s: +$2.50 (+0.08R).</t>
  </si>
  <si>
    <t xml:space="preserve">BUY STOP at 2330.70 filled at 2330.710 ($0.01 worse). SL $6.00 away = $30 risk. Price went against it; stopped at 2324.650 after 1h16m: -$30.30 (-1.01R).</t>
  </si>
  <si>
    <t xml:space="preserve">BUY STOP at 2335.66 filled at 2335.670 ($0.01 worse). SL $6.00 away = $30 risk. Closed by the EA itself (account guard / blackout / instant close) at 2336.170 after 43m09s: +$2.50 (+0.08R).</t>
  </si>
  <si>
    <t xml:space="preserve">SELL STOP at 2355.41 filled at 2355.390 ($0.02 worse). SL $6.00 away = $30 risk. Closed by the EA itself (account guard / blackout / instant close) at 2354.890 after 33m49s: +$2.50 (+0.08R).</t>
  </si>
  <si>
    <t xml:space="preserve">BUY STOP at 2362.39 filled at 2362.400 ($0.01 worse). SL $6.00 away = $30 risk. Closed by the EA itself (account guard / blackout / instant close) at 2362.880 after 2h30m: +$2.40 (+0.08R).</t>
  </si>
  <si>
    <t xml:space="preserve">SELL STOP at 2361.24 filled at 2353.770 ($7.47 worse). SL $6.00 away = $30 risk. Closed by the EA itself (account guard / blackout / instant close) at 2353.500 after 1s: +$1.35 (+0.04R).</t>
  </si>
  <si>
    <t xml:space="preserve">SELL STOP at 2381.43 filled at 2381.380 ($0.05 worse). SL $6.00 away = $30 risk. Closed by the EA itself (account guard / blackout / instant close) at 2380.880 after 1h15m: +$2.50 (+0.08R).</t>
  </si>
  <si>
    <t xml:space="preserve">SELL STOP at 2364.06 filled at 2364.040 ($0.02 worse). SL $6.00 away = $30 risk. Closed by the EA itself (account guard / blackout / instant close) at 2363.540 after 2h55m: +$2.50 (+0.08R).</t>
  </si>
  <si>
    <t xml:space="preserve">SELL STOP at 2350.92 filled at 2350.880 ($0.04 worse). SL $6.00 away = $30 risk. Price went against it; stopped at 2356.960 after 17m52s: -$30.40 (-1.01R).</t>
  </si>
  <si>
    <t xml:space="preserve">BUY STOP at 2370.23 filled at 2370.280 ($0.05 worse). SL $6.00 away = $30 risk. Closed by the EA itself (account guard / blackout / instant close) at 2370.620 after 11h16m: +$1.70 (+0.06R).</t>
  </si>
  <si>
    <t xml:space="preserve">BUY STOP at 2382.86 filled at 2382.890 ($0.03 worse). SL $6.00 away = $30 risk. Reached the take profit at 2412.880 after 7h25m: +$149.95 (+5.00R).</t>
  </si>
  <si>
    <t xml:space="preserve">SELL STOP at 2405.32 filled at 2405.320 ($0.00 better). SL $6.00 away = $30 risk. Closed by the EA itself (account guard / blackout / instant close) at 2404.870 after 27m51s: +$2.25 (+0.07R).</t>
  </si>
  <si>
    <t xml:space="preserve">SELL STOP at 2407.86 filled at 2407.830 ($0.03 worse). SL $6.00 away = $30 risk. Closed by the EA itself (account guard / blackout / instant close) at 2407.340 after 1h50m: +$2.45 (+0.08R).</t>
  </si>
  <si>
    <t xml:space="preserve">BUY STOP at 2418.13 filled at 2418.130 ($0.00 better). SL $6.00 away = $30 risk. Closed by the EA itself (account guard / blackout / instant close) at 2418.620 after 31m37s: +$2.45 (+0.08R).</t>
  </si>
  <si>
    <t xml:space="preserve">BUY STOP at 2432.65 filled at 2432.650 ($0.00 better). SL $6.00 away = $30 risk. Closed by the EA itself (account guard / blackout / instant close) at 2433.140 after 22m35s: +$2.45 (+0.08R).</t>
  </si>
  <si>
    <t xml:space="preserve">BUY STOP at 2439.63 filled at 2439.630 ($0.00 better). SL $6.00 away = $30 risk. Closed by the EA itself (account guard / blackout / instant close) at 2440.110 after 1h01m: +$2.40 (+0.08R).</t>
  </si>
  <si>
    <t xml:space="preserve">BUY STOP at 2469.58 filled at 2469.590 ($0.01 worse). SL $6.00 away = $30 risk. Closed by the EA itself (account guard / blackout / instant close) at 2470.040 after 2h11m: +$2.25 (+0.07R).</t>
  </si>
  <si>
    <t xml:space="preserve">BUY STOP at 2472.57 filled at 2472.570 ($0.00 better). SL $6.00 away = $30 risk. Closed by the EA itself (account guard / blackout / instant close) at 2473.060 after 42m38s: +$2.45 (+0.08R).</t>
  </si>
  <si>
    <t xml:space="preserve">SELL STOP at 2464.80 filled at 2464.800 ($0.00 better). SL $6.00 away = $30 risk. Price went against it; stopped at 2470.800 after 27m26s: -$30.00 (-1.00R).</t>
  </si>
  <si>
    <t xml:space="preserve">SELL STOP at 2451.43 filled at 2451.220 ($0.21 worse). SL $6.00 away = $30 risk. Closed by the EA itself (account guard / blackout / instant close) at 2443.220 after 43m41s: +$40.00 (+1.33R).</t>
  </si>
  <si>
    <t xml:space="preserve">SELL STOP at 2440.20 filled at 2440.150 ($0.05 worse). SL $6.00 away = $30 risk. Reached the take profit at 2410.050 after 11h53m: +$150.50 (+5.02R).</t>
  </si>
  <si>
    <t xml:space="preserve">BUY STOP at 2407.18 filled at 2407.180 ($0.00 better). SL $6.00 away = $30 risk. Price went against it; stopped at 2401.140 after 1h09m: -$30.20 (-1.01R).</t>
  </si>
  <si>
    <t xml:space="preserve">SELL STOP at 2393.68 filled at 2393.680 ($0.00 better). SL $6.00 away = $30 risk. Price went against it; stopped at 2399.730 after 6m34s: -$30.25 (-1.01R).</t>
  </si>
  <si>
    <t xml:space="preserve">SELL STOP at 2390.62 filled at 2390.600 ($0.02 worse). SL $6.00 away = $30 risk. Closed by the EA itself (account guard / blackout / instant close) at 2390.100 after 16m00s: +$2.50 (+0.08R).</t>
  </si>
  <si>
    <t xml:space="preserve">BUY STOP at 2412.04 filled at 2412.110 ($0.07 worse). SL $6.00 away = $30 risk. Price went against it; stopped at 2406.000 after 16m16s: -$30.55 (-1.02R).</t>
  </si>
  <si>
    <t xml:space="preserve">BUY STOP at 2411.91 filled at 2412.050 ($0.14 worse). SL $6.00 away = $30 risk. Price went against it; stopped at 2405.900 after 14m27s: -$30.75 (-1.02R).</t>
  </si>
  <si>
    <t xml:space="preserve">BUY STOP at 2417.85 filled at 2418.110 ($0.26 worse). SL $6.00 away = $30 risk. Price went against it; stopped at 2411.850 after 1h43m: -$31.30 (-1.04R).</t>
  </si>
  <si>
    <t xml:space="preserve">BUY STOP at 2377.86 filled at 2377.870 ($0.01 worse). SL $6.00 away = $30 risk. Price went against it; stopped at 2371.820 after 46m25s: -$30.25 (-1.01R).</t>
  </si>
  <si>
    <t xml:space="preserve">SELL STOP at 2368.05 filled at 2368.020 ($0.03 worse). SL $6.00 away = $30 risk. Closed by the EA itself (account guard / blackout / instant close) at 2367.520 after 2m09s: +$2.50 (+0.08R).</t>
  </si>
  <si>
    <t xml:space="preserve">SELL STOP at 2390.07 filled at 2390.050 ($0.02 worse). SL $6.00 away = $30 risk. Closed by the EA itself (account guard / blackout / instant close) at 2389.550 after 1h36m: +$2.50 (+0.08R).</t>
  </si>
  <si>
    <t xml:space="preserve">BUY STOP at 2389.70 filled at 2389.720 ($0.02 worse). SL $6.00 away = $30 risk. Closed by the EA itself (account guard / blackout / instant close) at 2390.190 after 1h09m: +$2.35 (+0.08R).</t>
  </si>
  <si>
    <t xml:space="preserve">BUY STOP at 2403.00 filled at 2403.020 ($0.02 worse). SL $6.00 away = $30 risk. Closed by the EA itself (account guard / blackout / instant close) at 2403.490 after 5m00s: +$2.35 (+0.08R).</t>
  </si>
  <si>
    <t xml:space="preserve">BUY STOP at 2412.71 filled at 2412.790 ($0.08 worse). SL $6.00 away = $30 risk. Closed by the EA itself (account guard / blackout / instant close) at 2431.980 after 16h03m: +$95.95 (+3.20R).</t>
  </si>
  <si>
    <t xml:space="preserve">BUY STOP at 2450.85 filled at 2450.870 ($0.02 worse). SL $6.00 away = $30 risk. Closed by the EA itself (account guard / blackout / instant close) at 2451.290 after 6m46s: +$2.10 (+0.07R).</t>
  </si>
  <si>
    <t xml:space="preserve">BUY STOP at 2447.83 filled at 2447.830 ($0.00 better). SL $6.00 away = $30 risk. Price went against it; stopped at 2441.750 after 1h03m: -$30.40 (-1.01R).</t>
  </si>
  <si>
    <t xml:space="preserve">BUY STOP at 2462.13 filled at 2462.130 ($0.00 better). SL $6.00 away = $30 risk. Closed by the EA itself (account guard / blackout / instant close) at 2462.560 after 16m12s: +$2.15 (+0.07R).</t>
  </si>
  <si>
    <t xml:space="preserve">SELL STOP at 2454.11 filled at 2454.010 ($0.10 worse). SL $6.00 away = $30 risk. Closed by the EA itself (account guard / blackout / instant close) at 2453.560 after 2m43s: +$2.25 (+0.07R).</t>
  </si>
  <si>
    <t xml:space="preserve">SELL STOP at 2432.27 filled at 2432.220 ($0.05 worse). SL $6.00 away = $30 risk. Closed by the EA itself (account guard / blackout / instant close) at 2431.750 after 3m11s: +$2.35 (+0.08R).</t>
  </si>
  <si>
    <t xml:space="preserve">SELL STOP at 2410.66 filled at 2410.610 ($0.05 worse). SL $6.00 away = $30 risk. Reached the take profit at 2379.350 after 1h24m: +$156.30 (+5.21R).</t>
  </si>
  <si>
    <t xml:space="preserve">SELL STOP at 2398.04 filled at 2398.030 ($0.01 worse). SL $6.00 away = $30 risk. Closed by the EA itself (account guard / blackout / instant close) at 2397.590 after 20m30s: +$2.20 (+0.07R).</t>
  </si>
  <si>
    <t xml:space="preserve">SELL STOP at 2381.52 filled at 2381.220 ($0.30 worse). SL $6.00 away = $30 risk. Price went against it; stopped at 2387.520 after 50m47s: -$31.50 (-1.05R).</t>
  </si>
  <si>
    <t xml:space="preserve">BUY STOP at 2396.04 filled at 2396.070 ($0.03 worse). SL $6.00 away = $30 risk. Price went against it; stopped at 2390.030 after 1h10m: -$30.20 (-1.01R).</t>
  </si>
  <si>
    <t xml:space="preserve">BUY STOP at 2396.27 filled at 2396.340 ($0.07 worse). SL $6.00 away = $30 risk. Closed by the EA itself (account guard / blackout / instant close) at 2396.840 after 19m57s: +$2.50 (+0.08R).</t>
  </si>
  <si>
    <t xml:space="preserve">BUY STOP at 2406.86 filled at 2406.910 ($0.05 worse). SL $6.00 away = $30 risk. Closed by the EA itself (account guard / blackout / instant close) at 2407.410 after 34m40s: +$2.50 (+0.08R).</t>
  </si>
  <si>
    <t xml:space="preserve">SELL STOP at 2416.99 filled at 2416.980 ($0.01 worse). SL $6.00 away = $30 risk. Price went against it; stopped at 2423.010 after 1h19m: -$30.15 (-1.00R).</t>
  </si>
  <si>
    <t xml:space="preserve">BUY STOP at 2434.99 filled at 2435.000 ($0.01 worse). SL $6.00 away = $30 risk. Closed by the EA itself (account guard / blackout / instant close) at 2435.470 after 1h09m: +$2.35 (+0.08R).</t>
  </si>
  <si>
    <t xml:space="preserve">BUY STOP at 2473.10 filled at 2473.540 ($0.44 worse). SL $6.00 away = $30 risk. Closed by the EA itself (account guard / blackout / instant close) at 2474.020 after 2h10m: +$2.40 (+0.08R).</t>
  </si>
  <si>
    <t xml:space="preserve">BUY STOP at 2464.94 filled at 2465.000 ($0.06 worse). SL $6.00 away = $30 risk. Price went against it; stopped at 2458.940 after 1h34m: -$30.30 (-1.01R).</t>
  </si>
  <si>
    <t xml:space="preserve">SELL STOP at 2458.37 filled at 2458.000 ($0.37 worse). SL $6.00 away = $30 risk. Closed by the EA itself (account guard / blackout / instant close) at 2457.500 after 1m32s: +$2.50 (+0.08R).</t>
  </si>
  <si>
    <t xml:space="preserve">BUY STOP at 2462.80 filled at 2462.800 ($0.00 better). SL $6.00 away = $30 risk. Closed by the EA itself (account guard / blackout / instant close) at 2463.110 after 6h33m: +$1.55 (+0.05R).</t>
  </si>
  <si>
    <t xml:space="preserve">BUY STOP at 2455.31 filled at 2455.320 ($0.01 worse). SL $6.00 away = $30 risk. Closed by the EA itself (account guard / blackout / instant close) at 2455.820 after 12m37s: +$2.50 (+0.08R).</t>
  </si>
  <si>
    <t xml:space="preserve">SELL STOP at 2438.00 filled at 2438.000 ($0.00 better). SL $6.00 away = $30 risk. Closed by the EA itself (account guard / blackout / instant close) at 2437.500 after 55s: +$2.50 (+0.08R).</t>
  </si>
  <si>
    <t xml:space="preserve">BUY STOP at 2456.17 filled at 2456.200 ($0.03 worse). SL $6.00 away = $30 risk. Reached the take profit at 2486.200 after 6h53m: +$150.00 (+5.00R).</t>
  </si>
  <si>
    <t xml:space="preserve">BUY STOP at 2504.60 filled at 2504.720 ($0.12 worse). SL $6.00 away = $36 risk. Closed by the EA itself (account guard / blackout / instant close) at 2505.190 after 2h27m: +$2.82 (+0.08R).</t>
  </si>
  <si>
    <t xml:space="preserve">SELL STOP at 2499.32 filled at 2499.290 ($0.03 worse). SL $6.00 away = $36 risk. Price went against it; stopped at 2505.360 after 29m02s: -$36.42 (-1.01R).</t>
  </si>
  <si>
    <t xml:space="preserve">BUY STOP at 2510.00 filled at 2510.010 ($0.01 worse). SL $6.00 away = $30 risk. Closed by the EA itself (account guard / blackout / instant close) at 2510.510 after 8m28s: +$2.50 (+0.08R).</t>
  </si>
  <si>
    <t xml:space="preserve">SELL STOP at 2513.67 filled at 2513.670 ($0.00 better). SL $6.00 away = $30 risk. Price went against it; stopped at 2519.850 after 20m45s: -$30.90 (-1.03R).</t>
  </si>
  <si>
    <t xml:space="preserve">SELL STOP at 2497.24 filled at 2495.720 ($1.52 worse). SL $6.00 away = $30 risk. Price went against it; stopped at 2503.280 after 6m53s: -$37.80 (-1.26R).</t>
  </si>
  <si>
    <t xml:space="preserve">BUY STOP at 2506.19 filled at 2506.190 ($0.00 better). SL $6.00 away = $30 risk. Closed by the EA itself (account guard / blackout / instant close) at 2506.550 after 28m16s: +$1.80 (+0.06R).</t>
  </si>
  <si>
    <t xml:space="preserve">SELL STOP at 2493.70 filled at 2493.680 ($0.02 worse). SL $6.00 away = $30 risk. Closed by the EA itself (account guard / blackout / instant close) at 2493.220 after 27s: +$2.30 (+0.08R).</t>
  </si>
  <si>
    <t xml:space="preserve">SELL STOP at 2490.99 filled at 2490.990 ($0.00 better). SL $6.00 away = $30 risk. Price went against it; stopped at 2496.990 after 2h19m: -$30.00 (-1.00R).</t>
  </si>
  <si>
    <t xml:space="preserve">BUY STOP at 2514.55 filled at 2514.580 ($0.03 worse). SL $6.00 away = $30 risk. Closed by the EA itself (account guard / blackout / instant close) at 2515.070 after 5m17s: +$2.45 (+0.08R).</t>
  </si>
  <si>
    <t xml:space="preserve">BUY STOP at 2511.15 filled at 2511.150 ($0.00 better). SL $6.00 away = $30 risk. Closed by the EA itself (account guard / blackout / instant close) at 2511.600 after 8h00m: +$2.25 (+0.07R).</t>
  </si>
  <si>
    <t xml:space="preserve">SELL STOP at 2508.59 filled at 2508.560 ($0.03 worse). SL $6.00 away = $30 risk. Closed by the EA itself (account guard / blackout / instant close) at 2508.060 after 33m38s: +$2.50 (+0.08R).</t>
  </si>
  <si>
    <t xml:space="preserve">SELL STOP at 2506.15 filled at 2506.140 ($0.01 worse). SL $6.00 away = $30 risk. Closed by the EA itself (account guard / blackout / instant close) at 2505.650 after 1m41s: +$2.45 (+0.08R).</t>
  </si>
  <si>
    <t xml:space="preserve">BUY STOP at 2525.82 filled at 2525.870 ($0.05 worse). SL $6.00 away = $30 risk. Closed by the EA itself (account guard / blackout / instant close) at 2526.250 after 1h04m: +$1.90 (+0.06R).</t>
  </si>
  <si>
    <t xml:space="preserve">SELL STOP at 2505.34 filled at 2505.260 ($0.08 worse). SL $6.00 away = $30 risk. Price went against it; stopped at 2511.410 after 1h32m: -$30.75 (-1.02R).</t>
  </si>
  <si>
    <t xml:space="preserve">BUY STOP at 2519.80 filled at 2519.840 ($0.04 worse). SL $6.00 away = $30 risk. Closed by the EA itself (account guard / blackout / instant close) at 2520.300 after 5h27m: +$2.30 (+0.08R).</t>
  </si>
  <si>
    <t xml:space="preserve">BUY STOP at 2528.89 filled at 2528.940 ($0.05 worse). SL $6.00 away = $30 risk. Price went against it; stopped at 2522.880 after 1h11m: -$30.30 (-1.01R).</t>
  </si>
  <si>
    <t xml:space="preserve">BUY STOP at 2516.19 filled at 2516.260 ($0.07 worse). SL $6.00 away = $30 risk. Closed by the EA itself (account guard / blackout / instant close) at 2516.750 after 4h31m: +$2.45 (+0.08R).</t>
  </si>
  <si>
    <t xml:space="preserve">SELL STOP at 2503.52 filled at 2503.410 ($0.11 worse). SL $6.00 away = $30 risk. Closed by the EA itself (account guard / blackout / instant close) at 2502.940 after 46m52s: +$2.35 (+0.08R).</t>
  </si>
  <si>
    <t xml:space="preserve">SELL STOP at 2494.05 filled at 2494.020 ($0.03 worse). SL $6.00 away = $30 risk. Closed by the EA itself (account guard / blackout / instant close) at 2493.540 after 27m00s: +$2.40 (+0.08R).</t>
  </si>
  <si>
    <t xml:space="preserve">BUY STOP at 2499.26 filled at 2499.290 ($0.03 worse). SL $6.00 away = $30 risk. Closed by the EA itself (account guard / blackout / instant close) at 2499.720 after 21m37s: +$2.15 (+0.07R).</t>
  </si>
  <si>
    <t xml:space="preserve">SELL STOP at 2489.92 filled at 2489.900 ($0.02 worse). SL $6.00 away = $30 risk. Price went against it; stopped at 2495.950 after 1h15m: -$30.25 (-1.01R).</t>
  </si>
  <si>
    <t xml:space="preserve">BUY STOP at 2496.85 filled at 2496.940 ($0.09 worse). SL $6.00 away = $30 risk. Closed by the EA itself (account guard / blackout / instant close) at 2497.440 after 48m35s: +$2.50 (+0.08R).</t>
  </si>
  <si>
    <t xml:space="preserve">SELL STOP at 2492.63 filled at 2492.590 ($0.04 worse). SL $6.00 away = $30 risk. Closed by the EA itself (account guard / blackout / instant close) at 2492.510 after 7h58m: +$0.40 (+0.01R).</t>
  </si>
  <si>
    <t xml:space="preserve">BUY STOP at 2500.15 filled at 2500.190 ($0.04 worse). SL $6.00 away = $30 risk. Closed by the EA itself (account guard / blackout / instant close) at 2515.000 after 13h24m: +$74.05 (+2.47R).</t>
  </si>
  <si>
    <t xml:space="preserve">BUY STOP at 2521.67 filled at 2521.670 ($0.00 better). SL $6.00 away = $30 risk. Price went against it; stopped at 2515.600 after 1h40m: -$30.35 (-1.01R).</t>
  </si>
  <si>
    <t xml:space="preserve">BUY STOP at 2523.45 filled at 2523.550 ($0.10 worse). SL $6.00 away = $30 risk. Closed by the EA itself (account guard / blackout / instant close) at 2523.720 after 2m21s: +$0.85 (+0.03R).</t>
  </si>
  <si>
    <t xml:space="preserve">SELL STOP at 2487.31 filled at 2487.250 ($0.06 worse). SL $6.00 away = $30 risk. Price went against it; stopped at 2493.310 after 37m45s: -$30.30 (-1.01R).</t>
  </si>
  <si>
    <t xml:space="preserve">BUY STOP at 2507.09 filled at 2507.100 ($0.01 worse). SL $6.00 away = $30 risk. Price went against it; stopped at 2501.050 after 5h41m: -$30.25 (-1.01R).</t>
  </si>
  <si>
    <t xml:space="preserve">BUY STOP at 2504.81 filled at 2504.910 ($0.10 worse). SL $6.00 away = $30 risk. Closed by the EA itself (account guard / blackout / instant close) at 2505.390 after 1h40m: +$2.40 (+0.08R).</t>
  </si>
  <si>
    <t xml:space="preserve">BUY STOP at 2518.30 filled at 2518.300 ($0.00 better). SL $6.00 away = $30 risk. Closed by the EA itself (account guard / blackout / instant close) at 2518.660 after 2h36m: +$1.80 (+0.06R).</t>
  </si>
  <si>
    <t xml:space="preserve">BUY STOP at 2522.34 filled at 2522.530 ($0.19 worse). SL $6.00 away = $30 risk. Closed by the EA itself (account guard / blackout / instant close) at 2523.030 after 1h46m: +$2.50 (+0.08R).</t>
  </si>
  <si>
    <t xml:space="preserve">SELL STOP at 2515.49 filled at 2515.430 ($0.06 worse). SL $6.00 away = $30 risk. Closed by the EA itself (account guard / blackout / instant close) at 2515.020 after 3h56m: +$2.05 (+0.07R).</t>
  </si>
  <si>
    <t xml:space="preserve">BUY STOP at 2528.89 filled at 2529.590 ($0.70 worse). SL $6.00 away = $30 risk. Closed by the EA itself (account guard / blackout / instant close) at 2529.660 after 17m07s: +$0.35 (+0.01R).</t>
  </si>
  <si>
    <t xml:space="preserve">BUY STOP at 2559.98 filled at 2559.990 ($0.01 worse). SL $6.00 away = $30 risk. Closed by the EA itself (account guard / blackout / instant close) at 2560.470 after 12m32s: +$2.40 (+0.08R).</t>
  </si>
  <si>
    <t xml:space="preserve">SELL STOP at 2565.81 filled at 2565.750 ($0.06 worse). SL $6.00 away = $30 risk. Closed by the EA itself (account guard / blackout / instant close) at 2565.260 after 17m57s: +$2.45 (+0.08R).</t>
  </si>
  <si>
    <t xml:space="preserve">BUY STOP at 2585.97 filled at 2585.970 ($0.00 better). SL $6.00 away = $30 risk. Closed by the EA itself (account guard / blackout / instant close) at 2586.470 after 12m14s: +$2.50 (+0.08R).</t>
  </si>
  <si>
    <t xml:space="preserve">BUY STOP at 2589.30 filled at 2589.310 ($0.01 worse). SL $6.00 away = $30 risk. Price went against it; stopped at 2583.240 after 1h00m: -$30.35 (-1.01R).</t>
  </si>
  <si>
    <t xml:space="preserve">SELL STOP at 2575.12 filled at 2574.950 ($0.17 worse). SL $6.00 away = $30 risk. Price went against it; stopped at 2581.410 after 1h24m: -$32.30 (-1.08R).</t>
  </si>
  <si>
    <t xml:space="preserve">SELL STOP at 2574.40 filled at 2574.370 ($0.03 worse). SL $6.00 away = $30 risk. Closed by the EA itself (account guard / blackout / instant close) at 2573.870 after 31m03s: +$2.50 (+0.08R).</t>
  </si>
  <si>
    <t xml:space="preserve">BUY STOP at 2576.30 filled at 2576.310 ($0.01 worse). SL $6.00 away = $30 risk. Closed by the EA itself (account guard / blackout / instant close) at 2576.790 after 1h27m: +$2.40 (+0.08R).</t>
  </si>
  <si>
    <t xml:space="preserve">BUY STOP at 2586.84 filled at 2587.090 ($0.25 worse). SL $6.00 away = $30 risk. Price went against it; stopped at 2580.070 after 41s: -$35.10 (-1.17R).</t>
  </si>
  <si>
    <t xml:space="preserve">BUY STOP at 2594.78 filled at 2594.780 ($0.00 better). SL $6.00 away = $30 risk. Reached the take profit at 2624.860 after 10h45m: +$150.40 (+5.01R).</t>
  </si>
  <si>
    <t xml:space="preserve">BUY STOP at 2625.57 filled at 2625.580 ($0.01 worse). SL $6.00 away = $30 risk. Closed by the EA itself (account guard / blackout / instant close) at 2626.050 after 4h06m: +$2.35 (+0.08R).</t>
  </si>
  <si>
    <t xml:space="preserve">BUY STOP at 2631.21 filled at 2631.580 ($0.37 worse). SL $6.00 away = $30 risk. Closed by the EA itself (account guard / blackout / instant close) at 2631.980 after 14m02s: +$2.00 (+0.07R).</t>
  </si>
  <si>
    <t xml:space="preserve">BUY STOP at 2634.72 filled at 2634.720 ($0.00 better). SL $6.00 away = $30 risk. Closed by the EA itself (account guard / blackout / instant close) at 2635.190 after 1h56m: +$2.35 (+0.08R).</t>
  </si>
  <si>
    <t xml:space="preserve">SELL STOP at 2625.07 filled at 2625.030 ($0.04 worse). SL $6.00 away = $30 risk. Closed by the EA itself (account guard / blackout / instant close) at 2624.530 after 1h42m: +$2.50 (+0.08R).</t>
  </si>
  <si>
    <t xml:space="preserve">BUY STOP at 2664.20 filled at 2664.250 ($0.05 worse). SL $6.00 away = $30 risk. Closed by the EA itself (account guard / blackout / instant close) at 2664.750 after 38m49s: +$2.50 (+0.08R).</t>
  </si>
  <si>
    <t xml:space="preserve">SELL STOP at 2654.36 filled at 2654.340 ($0.02 worse). SL $6.00 away = $30 risk. Closed by the EA itself (account guard / blackout / instant close) at 2653.890 after 57m28s: +$2.25 (+0.07R).</t>
  </si>
  <si>
    <t xml:space="preserve">SELL STOP at 2659.65 filled at 2659.630 ($0.02 worse). SL $6.00 away = $30 risk. Price went against it; stopped at 2665.650 after 1h37m: -$30.10 (-1.00R).</t>
  </si>
  <si>
    <t xml:space="preserve">BUY STOP at 2670.35 filled at 2670.350 ($0.00 better). SL $6.00 away = $30 risk. Closed by the EA itself (account guard / blackout / instant close) at 2670.850 after 1h43m: +$2.50 (+0.08R).</t>
  </si>
  <si>
    <t xml:space="preserve">SELL STOP at 2662.20 filled at 2662.150 ($0.05 worse). SL $6.00 away = $30 risk. Closed by the EA itself (account guard / blackout / instant close) at 2661.660 after 2h06m: +$2.45 (+0.08R).</t>
  </si>
  <si>
    <t xml:space="preserve">SELL STOP at 2654.69 filled at 2654.650 ($0.04 worse). SL $6.00 away = $30 risk. Closed by the EA itself (account guard / blackout / instant close) at 2654.150 after 37m59s: +$2.50 (+0.08R).</t>
  </si>
  <si>
    <t xml:space="preserve">BUY STOP at 2659.18 filled at 2659.180 ($0.00 better). SL $6.00 away = $30 risk. Price went against it; stopped at 2653.180 after 1h20m: -$30.00 (-1.00R).</t>
  </si>
  <si>
    <t xml:space="preserve">SELL STOP at 2643.11 filled at 2643.070 ($0.04 worse). SL $6.00 away = $30 risk. Closed by the EA itself (account guard / blackout / instant close) at 2642.630 after 1h06m: +$2.20 (+0.07R).</t>
  </si>
  <si>
    <t xml:space="preserve">BUY STOP at 2644.19 filled at 2644.220 ($0.03 worse). SL $6.00 away = $30 risk. Closed by the EA itself (account guard / blackout / instant close) at 2644.680 after 2h03m: +$2.30 (+0.08R).</t>
  </si>
  <si>
    <t xml:space="preserve">BUY STOP at 2665.86 filled at 2665.860 ($0.00 better). SL $6.00 away = $30 risk. Closed by the EA itself (account guard / blackout / instant close) at 2666.260 after 3m49s: +$2.00 (+0.07R).</t>
  </si>
  <si>
    <t xml:space="preserve">SELL STOP at 2644.40 filled at 2644.320 ($0.08 worse). SL $6.00 away = $30 risk. Price went against it; stopped at 2650.430 after 4m55s: -$30.55 (-1.02R).</t>
  </si>
  <si>
    <t xml:space="preserve">BUY STOP at 2663.19 filled at 2663.210 ($0.02 worse). SL $6.00 away = $30 risk. Price went against it; stopped at 2657.150 after 53m50s: -$30.30 (-1.01R).</t>
  </si>
  <si>
    <t xml:space="preserve">SELL STOP at 2651.77 filled at 2651.770 ($0.00 better). SL $6.00 away = $30 risk. Price went against it; stopped at 2657.770 after 40m46s: -$30.00 (-1.00R).</t>
  </si>
  <si>
    <t xml:space="preserve">BUY STOP at 2662.78 filled at 2662.810 ($0.03 worse). SL $6.00 away = $30 risk. Closed by the EA itself (account guard / blackout / instant close) at 2663.310 after 2h02m: +$2.50 (+0.08R).</t>
  </si>
  <si>
    <t xml:space="preserve">SELL STOP at 2660.53 filled at 2660.410 ($0.12 worse). SL $6.00 away = $30 risk. Closed by the EA itself (account guard / blackout / instant close) at 2659.960 after 3h20m: +$2.25 (+0.07R).</t>
  </si>
  <si>
    <t xml:space="preserve">SELL STOP at 2639.86 filled at 2639.860 ($0.00 better). SL $6.00 away = $30 risk. Price went against it; stopped at 2645.890 after 1h02m: -$30.15 (-1.00R).</t>
  </si>
  <si>
    <t xml:space="preserve">SELL STOP at 2637.69 filled at 2637.640 ($0.05 worse). SL $6.00 away = $30 risk. Closed by the EA itself (account guard / blackout / instant close) at 2637.170 after 7m08s: +$2.35 (+0.08R).</t>
  </si>
  <si>
    <t xml:space="preserve">BUY STOP at 2646.22 filled at 2646.260 ($0.04 worse). SL $6.00 away = $30 risk. Price went against it; stopped at 2640.200 after 30m29s: -$30.30 (-1.01R).</t>
  </si>
  <si>
    <t xml:space="preserve">SELL STOP at 2615.36 filled at 2615.220 ($0.14 worse). SL $6.00 away = $30 risk. Closed by the EA itself (account guard / blackout / instant close) at 2614.720 after 1h01m: +$2.50 (+0.08R).</t>
  </si>
  <si>
    <t xml:space="preserve">BUY STOP at 2615.40 filled at 2615.400 ($0.00 better). SL $6.00 away = $30 risk. Closed by the EA itself (account guard / blackout / instant close) at 2615.850 after 3h40m: +$2.25 (+0.07R).</t>
  </si>
  <si>
    <t xml:space="preserve">SELL STOP at 2605.05 filled at 2603.660 ($1.39 worse). SL $6.00 away = $30 risk. Price went against it; stopped at 2611.070 after 8s: -$37.05 (-1.23R).</t>
  </si>
  <si>
    <t xml:space="preserve">BUY STOP at 2631.44 filled at 2631.600 ($0.16 worse). SL $6.00 away = $30 risk. Closed by the EA itself (account guard / blackout / instant close) at 2632.060 after 15m41s: +$2.30 (+0.08R).</t>
  </si>
  <si>
    <t xml:space="preserve">BUY STOP at 2645.93 filled at 2645.960 ($0.03 worse). SL $6.00 away = $30 risk. Price went against it; stopped at 2639.850 after 24m21s: -$30.55 (-1.02R).</t>
  </si>
  <si>
    <t xml:space="preserve">BUY STOP at 2660.58 filled at 2660.710 ($0.13 worse). SL $6.00 away = $30 risk. Closed by the EA itself (account guard / blackout / instant close) at 2661.170 after 1h06m: +$2.30 (+0.08R).</t>
  </si>
  <si>
    <t xml:space="preserve">SELL STOP at 2643.06 filled at 2642.930 ($0.13 worse). SL $6.00 away = $30 risk. Closed by the EA itself (account guard / blackout / instant close) at 2642.450 after 1h03m: +$2.40 (+0.08R).</t>
  </si>
  <si>
    <t xml:space="preserve">BUY STOP at 2645.56 filled at 2645.560 ($0.00 better). SL $6.00 away = $30 risk. Closed by the EA itself (account guard / blackout / instant close) at 2646.060 after 6m40s: +$2.50 (+0.08R).</t>
  </si>
  <si>
    <t xml:space="preserve">BUY STOP at 2668.81 filled at 2668.840 ($0.03 worse). SL $6.00 away = $30 risk. Closed by the EA itself (account guard / blackout / instant close) at 2669.230 after 13h02m: +$1.95 (+0.06R).</t>
  </si>
  <si>
    <t xml:space="preserve">BUY STOP at 2684.20 filled at 2684.210 ($0.01 worse). SL $6.00 away = $30 risk. Price went against it; stopped at 2678.150 after 3h18m: -$30.30 (-1.01R).</t>
  </si>
  <si>
    <t xml:space="preserve">BUY STOP at 2696.61 filled at 2696.630 ($0.02 worse). SL $6.00 away = $30 risk. Closed by the EA itself (account guard / blackout / instant close) at 2718.650 after 18h08m: +$110.10 (+3.67R).</t>
  </si>
  <si>
    <t xml:space="preserve">SELL STOP at 2724.35 filled at 2724.350 ($0.00 better). SL $6.00 away = $30 risk. Price went against it; stopped at 2730.350 after 54m36s: -$30.00 (-1.00R).</t>
  </si>
  <si>
    <t xml:space="preserve">BUY STOP at 2735.82 filled at 2735.820 ($0.00 better). SL $6.00 away = $30 risk. Closed by the EA itself (account guard / blackout / instant close) at 2736.280 after 2h07m: +$2.30 (+0.08R).</t>
  </si>
  <si>
    <t xml:space="preserve">BUY STOP at 2740.42 filled at 2740.480 ($0.06 worse). SL $6.00 away = $30 risk. Price went against it; stopped at 2734.400 after 42m30s: -$30.40 (-1.01R).</t>
  </si>
  <si>
    <t xml:space="preserve">BUY STOP at 2748.78 filled at 2748.780 ($0.00 better). SL $6.00 away = $30 risk. Closed by the EA itself (account guard / blackout / instant close) at 2749.230 after 1h11m: +$2.25 (+0.07R).</t>
  </si>
  <si>
    <t xml:space="preserve">BUY STOP at 2753.02 filled at 2753.200 ($0.18 worse). SL $6.00 away = $30 risk. Closed by the EA itself (account guard / blackout / instant close) at 2753.590 after 3h03m: +$1.95 (+0.06R).</t>
  </si>
  <si>
    <t xml:space="preserve">BUY STOP at 2729.62 filled at 2729.660 ($0.04 worse). SL $6.00 away = $30 risk. Closed by the EA itself (account guard / blackout / instant close) at 2730.110 after 7h50m: +$2.25 (+0.07R).</t>
  </si>
  <si>
    <t xml:space="preserve">BUY STOP at 2729.64 filled at 2729.710 ($0.07 worse). SL $6.00 away = $30 risk. Closed by the EA itself (account guard / blackout / instant close) at 2730.160 after 31m26s: +$2.25 (+0.07R).</t>
  </si>
  <si>
    <t xml:space="preserve">BUY STOP at 2743.18 filled at 2743.320 ($0.14 worse). SL $6.00 away = $30 risk. Closed by the EA itself (account guard / blackout / instant close) at 2741.200 after 1h23m: -$10.60 (-0.35R).</t>
  </si>
  <si>
    <t xml:space="preserve">SELL STOP at 2729.05 filled at 2729.040 ($0.01 worse). SL $6.00 away = $30 risk. Price went against it; stopped at 2735.080 after 2h44m: -$30.20 (-1.01R).</t>
  </si>
  <si>
    <t xml:space="preserve">BUY STOP at 2745.79 filled at 2745.790 ($0.00 better). SL $6.00 away = $30 risk. Closed by the EA itself (account guard / blackout / instant close) at 2746.270 after 7h56m: +$2.40 (+0.08R).</t>
  </si>
  <si>
    <t xml:space="preserve">BUY STOP at 2756.72 filled at 2756.740 ($0.02 worse). SL $6.00 away = $30 risk. Price went against it; stopped at 2750.720 after 34m57s: -$30.10 (-1.00R).</t>
  </si>
  <si>
    <t xml:space="preserve">BUY STOP at 2774.72 filled at 2774.730 ($0.01 worse). SL $6.00 away = $30 risk. Closed by the EA itself (account guard / blackout / instant close) at 2773.500 after 13h49m: -$6.15 (-0.20R).</t>
  </si>
  <si>
    <t xml:space="preserve">BUY STOP at 2789.93 filled at 2790.010 ($0.08 worse). SL $6.00 away = $30 risk. Price went against it; stopped at 2783.900 after 48m55s: -$30.55 (-1.02R).</t>
  </si>
  <si>
    <t xml:space="preserve">SELL STOP at 2781.96 filled at 2781.930 ($0.03 worse). SL $6.00 away = $30 risk. Closed by the EA itself (account guard / blackout / instant close) at 2781.430 after 18m24s: +$2.50 (+0.08R).</t>
  </si>
  <si>
    <t xml:space="preserve">SELL STOP at 2750.62 filled at 2750.620 ($0.00 better). SL $6.00 away = $30 risk. Closed by the EA itself (account guard / blackout / instant close) at 2750.120 after 51m50s: +$2.50 (+0.08R).</t>
  </si>
  <si>
    <t xml:space="preserve">BUY STOP at 2743.59 filled at 2743.640 ($0.05 worse). SL $6.00 away = $30 risk. Price went against it; stopped at 2737.590 after 35m35s: -$30.25 (-1.01R).</t>
  </si>
  <si>
    <t xml:space="preserve">SELL STOP at 2730.00 filled at 2729.980 ($0.02 worse). SL $6.00 away = $30 risk. Closed by the EA itself (account guard / blackout / instant close) at 2729.540 after 2m45s: +$2.20 (+0.07R).</t>
  </si>
  <si>
    <t xml:space="preserve">BUY STOP at 2738.71 filled at 2738.770 ($0.06 worse). SL $6.00 away = $30 risk. Closed by the EA itself (account guard / blackout / instant close) at 2739.250 after 27m51s: +$2.40 (+0.08R).</t>
  </si>
  <si>
    <t xml:space="preserve">SELL STOP at 2724.70 filled at 2724.050 ($0.65 worse). SL $6.00 away = $30 risk. Closed by the EA itself (account guard / blackout / instant close) at 2723.780 after 51m04s: +$1.35 (+0.04R).</t>
  </si>
  <si>
    <t xml:space="preserve">SELL STOP at 2701.25 filled at 2700.900 ($0.35 worse). SL $6.00 away = $30 risk. Closed by the EA itself (account guard / blackout / instant close) at 2700.530 after 1m41s: +$1.85 (+0.06R).</t>
  </si>
  <si>
    <t xml:space="preserve">SELL STOP at 2652.30 filled at 2651.190 ($1.11 worse). SL $6.00 away = $30 risk. Closed by the EA itself (account guard / blackout / instant close) at 2650.770 after 7m04s: +$2.10 (+0.07R).</t>
  </si>
  <si>
    <t xml:space="preserve">BUY STOP at 2660.55 filled at 2660.710 ($0.16 worse). SL $6.00 away = $30 risk. Closed by the EA itself (account guard / blackout / instant close) at 2661.190 after 1h25m: +$2.40 (+0.08R).</t>
  </si>
  <si>
    <t xml:space="preserve">BUY STOP at 2710.24 filled at 2710.240 ($0.00 better). SL $6.00 away = $30 risk. Price went against it; stopped at 2704.230 after 42m38s: -$30.05 (-1.00R).</t>
  </si>
  <si>
    <t xml:space="preserve">SELL STOP at 2685.85 filled at 2685.830 ($0.02 worse). SL $6.00 away = $30 risk. Closed by the EA itself (account guard / blackout / instant close) at 2685.350 after 19m50s: +$2.40 (+0.08R).</t>
  </si>
  <si>
    <t xml:space="preserve">BUY STOP at 2674.12 filled at 2674.200 ($0.08 worse). SL $6.00 away = $30 risk. Price went against it; stopped at 2668.050 after 1h20m: -$30.75 (-1.02R).</t>
  </si>
  <si>
    <t xml:space="preserve">SELL STOP at 2610.52 filled at 2610.460 ($0.06 worse). SL $6.00 away = $30 risk. Closed by the EA itself (account guard / blackout / instant close) at 2609.990 after 1m21s: +$2.35 (+0.08R).</t>
  </si>
  <si>
    <t xml:space="preserve">SELL STOP at 2603.30 filled at 2603.000 ($0.30 worse). SL $6.00 away = $30 risk. Closed by the EA itself (account guard / blackout / instant close) at 2602.510 after 2m39s: +$2.45 (+0.08R).</t>
  </si>
  <si>
    <t xml:space="preserve">SELL STOP at 2603.41 filled at 2603.360 ($0.05 worse). SL $6.00 away = $30 risk. Closed by the EA itself (account guard / blackout / instant close) at 2602.870 after 6m10s: +$2.45 (+0.08R).</t>
  </si>
  <si>
    <t xml:space="preserve">SELL STOP at 2589.51 filled at 2589.510 ($0.00 better). SL $6.00 away = $30 risk. Closed by the EA itself (account guard / blackout / instant close) at 2577.330 after 3h40m: +$60.90 (+2.03R).</t>
  </si>
  <si>
    <t xml:space="preserve">SELL STOP at 2551.77 filled at 2551.770 ($0.00 better). SL $6.00 away = $30 risk. Price went against it; stopped at 2557.810 after 21m07s: -$30.20 (-1.01R).</t>
  </si>
  <si>
    <t xml:space="preserve">BUY STOP at 2567.12 filled at 2567.120 ($0.00 better). SL $6.00 away = $30 risk. Closed by the EA itself (account guard / blackout / instant close) at 2567.370 after 1h49m: +$1.25 (+0.04R).</t>
  </si>
  <si>
    <t xml:space="preserve">BUY STOP at 2575.91 filled at 2576.020 ($0.11 worse). SL $6.00 away = $30 risk. Reached the take profit at 2605.940 after 13h19m: +$149.60 (+4.99R).</t>
  </si>
  <si>
    <t xml:space="preserve">BUY STOP at 2614.96 filled at 2614.960 ($0.00 better). SL $6.00 away = $30 risk. Closed by the EA itself (account guard / blackout / instant close) at 2615.360 after 17m25s: +$2.00 (+0.07R).</t>
  </si>
  <si>
    <t xml:space="preserve">SELL STOP at 2620.72 filled at 2620.700 ($0.02 worse). SL $6.00 away = $30 risk. Closed by the EA itself (account guard / blackout / instant close) at 2620.260 after 29m56s: +$2.20 (+0.07R).</t>
  </si>
  <si>
    <t xml:space="preserve">BUY STOP at 2639.33 filled at 2639.340 ($0.01 worse). SL $6.00 away = $30 risk. Closed by the EA itself (account guard / blackout / instant close) at 2639.790 after 8m44s: +$2.25 (+0.07R).</t>
  </si>
  <si>
    <t xml:space="preserve">SELL STOP at 2628.47 filled at 2628.390 ($0.08 worse). SL $6.00 away = $30 risk. Closed by the EA itself (account guard / blackout / instant close) at 2628.300 after 4h51m: +$0.45 (+0.01R).</t>
  </si>
  <si>
    <t xml:space="preserve">BUY STOP at 2655.28 filled at 2655.280 ($0.00 better). SL $6.00 away = $30 risk. Closed by the EA itself (account guard / blackout / instant close) at 2655.700 after 34m25s: +$2.10 (+0.07R).</t>
  </si>
  <si>
    <t xml:space="preserve">BUY STOP at 2662.09 filled at 2662.100 ($0.01 worse). SL $6.00 away = $30 risk. Closed by the EA itself (account guard / blackout / instant close) at 2662.600 after 26m31s: +$2.50 (+0.08R).</t>
  </si>
  <si>
    <t xml:space="preserve">BUY STOP at 2673.39 filled at 2673.560 ($0.17 worse). SL $6.00 away = $30 risk. Reached the take profit at 2703.440 after 9h19m: +$149.40 (+4.98R).</t>
  </si>
  <si>
    <t xml:space="preserve">BUY STOP at 2716.17 filled at 2716.230 ($0.06 worse). SL $6.00 away = $30 risk. Closed by the EA itself (account guard / blackout / instant close) at 2716.730 after 13m20s: +$2.50 (+0.08R).</t>
  </si>
  <si>
    <t xml:space="preserve">BUY STOP at 2673.85 filled at 2673.940 ($0.09 worse). SL $6.00 away = $30 risk. Closed by the EA itself (account guard / blackout / instant close) at 2674.440 after 4h58m: +$2.50 (+0.08R).</t>
  </si>
  <si>
    <t xml:space="preserve">SELL STOP at 2615.46 filled at 2615.250 ($0.21 worse). SL $6.00 away = $30 risk. Closed by the EA itself (account guard / blackout / instant close) at 2614.760 after 38m06s: +$2.45 (+0.08R).</t>
  </si>
  <si>
    <t xml:space="preserve">SELL STOP at 2617.76 filled at 2617.720 ($0.04 worse). SL $6.00 away = $30 risk. Closed by the EA itself (account guard / blackout / instant close) at 2617.220 after 46m25s: +$2.50 (+0.08R).</t>
  </si>
  <si>
    <t xml:space="preserve">BUY STOP at 2641.77 filled at 2641.830 ($0.06 worse). SL $6.00 away = $30 risk. Closed by the EA itself (account guard / blackout / instant close) at 2642.320 after 25m51s: +$2.45 (+0.08R).</t>
  </si>
  <si>
    <t xml:space="preserve">SELL STOP at 2638.08 filled at 2638.030 ($0.05 worse). SL $6.00 away = $30 risk. Closed by the EA itself (account guard / blackout / instant close) at 2637.560 after 1m38s: +$2.35 (+0.08R).</t>
  </si>
  <si>
    <t xml:space="preserve">SELL STOP at 2626.94 filled at 2626.910 ($0.03 worse). SL $6.00 away = $30 risk. Closed by the EA itself (account guard / blackout / instant close) at 2626.460 after 45s: +$2.25 (+0.07R).</t>
  </si>
  <si>
    <t xml:space="preserve">BUY STOP at 2639.46 filled at 2639.490 ($0.03 worse). SL $6.00 away = $30 risk. Closed by the EA itself (account guard / blackout / instant close) at 2639.980 after 8h00m: +$2.45 (+0.08R).</t>
  </si>
  <si>
    <t xml:space="preserve">BUY STOP at 2649.52 filled at 2649.520 ($0.00 better). SL $6.00 away = $30 risk. Closed by the EA itself (account guard / blackout / instant close) at 2649.790 after 17h07m: +$1.35 (+0.04R).</t>
  </si>
  <si>
    <t xml:space="preserve">SELL STOP at 2633.93 filled at 2633.050 ($0.88 worse). SL $6.00 away = $30 risk. Closed by the EA itself (account guard / blackout / instant close) at 2632.700 after 40s: +$1.75 (+0.06R).</t>
  </si>
  <si>
    <t xml:space="preserve">BUY STOP at 2628.62 filled at 2628.690 ($0.07 worse). SL $6.00 away = $30 risk. Closed by the EA itself (account guard / blackout / instant close) at 2629.190 after 43m13s: +$2.50 (+0.08R).</t>
  </si>
  <si>
    <t xml:space="preserve">BUY STOP at 2649.92 filled at 2649.980 ($0.06 worse). SL $6.00 away = $30 risk. Closed by the EA itself (account guard / blackout / instant close) at 2650.300 after 19m16s: +$1.60 (+0.05R).</t>
  </si>
  <si>
    <t xml:space="preserve">SELL STOP at 2647.30 filled at 2647.300 ($0.00 better). SL $6.00 away = $30 risk. Closed by the EA itself (account guard / blackout / instant close) at 2646.810 after 4h13m: +$2.45 (+0.08R).</t>
  </si>
  <si>
    <t xml:space="preserve">SELL STOP at 2633.97 filled at 2633.930 ($0.04 worse). SL $6.00 away = $30 risk. Price went against it; stopped at 2639.980 after 13m49s: -$30.25 (-1.01R).</t>
  </si>
  <si>
    <t xml:space="preserve">SELL STOP at 2645.38 filled at 2645.280 ($0.10 worse). SL $6.00 away = $30 risk. Closed by the EA itself (account guard / blackout / instant close) at 2644.790 after 2h02m: +$2.45 (+0.08R).</t>
  </si>
  <si>
    <t xml:space="preserve">SELL STOP at 2632.32 filled at 2632.300 ($0.02 worse). SL $6.00 away = $30 risk. Price went against it; stopped at 2638.380 after 9m27s: -$30.40 (-1.01R).</t>
  </si>
  <si>
    <t xml:space="preserve">SELL STOP at 2623.39 filled at 2623.270 ($0.12 worse). SL $6.00 away = $30 risk. Closed by the EA itself (account guard / blackout / instant close) at 2622.770 after 29m39s: +$2.50 (+0.08R).</t>
  </si>
  <si>
    <t xml:space="preserve">BUY STOP at 2642.47 filled at 2642.470 ($0.00 better). SL $6.00 away = $30 risk. Closed by the EA itself (account guard / blackout / instant close) at 2642.950 after 20m53s: +$2.40 (+0.08R).</t>
  </si>
  <si>
    <t xml:space="preserve">BUY STOP at 2644.35 filled at 2644.360 ($0.01 worse). SL $6.00 away = $30 risk. Reached the take profit at 2674.500 after 7h54m: +$150.70 (+5.02R).</t>
  </si>
  <si>
    <t xml:space="preserve">SELL STOP at 2665.63 filled at 2665.500 ($0.13 worse). SL $6.00 away = $30 risk. Closed by the EA itself (account guard / blackout / instant close) at 2665.000 after 15m34s: +$2.50 (+0.08R).</t>
  </si>
  <si>
    <t xml:space="preserve">BUY STOP at 2676.26 filled at 2676.260 ($0.00 better). SL $6.00 away = $30 risk. Price went against it; stopped at 2670.140 after 26m32s: -$30.60 (-1.02R).</t>
  </si>
  <si>
    <t xml:space="preserve">BUY STOP at 2695.38 filled at 2695.390 ($0.01 worse). SL $6.00 away = $30 risk. Closed by the EA itself (account guard / blackout / instant close) at 2695.860 after 30m29s: +$2.35 (+0.08R).</t>
  </si>
  <si>
    <t xml:space="preserve">BUY STOP at 2697.54 filled at 2697.630 ($0.09 worse). SL $6.00 away = $30 risk. Price went against it; stopped at 2691.400 after 3h16m: -$31.15 (-1.04R).</t>
  </si>
  <si>
    <t xml:space="preserve">BUY STOP at 2721.01 filled at 2721.070 ($0.06 worse). SL $6.00 away = $30 risk. Closed by the EA itself (account guard / blackout / instant close) at 2721.500 after 58m44s: +$2.15 (+0.07R).</t>
  </si>
  <si>
    <t xml:space="preserve">SELL STOP at 2709.59 filled at 2709.570 ($0.02 worse). SL $6.00 away = $30 risk. Price went against it; stopped at 2715.630 after 25m34s: -$30.30 (-1.01R).</t>
  </si>
  <si>
    <t xml:space="preserve">BUY STOP at 2690.32 filled at 2690.330 ($0.01 worse). SL $6.00 away = $30 risk. Price went against it; stopped at 2684.320 after 20m29s: -$30.05 (-1.00R).</t>
  </si>
  <si>
    <t xml:space="preserve">SELL STOP at 2675.06 filled at 2675.000 ($0.06 worse). SL $6.00 away = $30 risk. Closed by the EA itself (account guard / blackout / instant close) at 2674.550 after 8m42s: +$2.25 (+0.07R).</t>
  </si>
  <si>
    <t xml:space="preserve">SELL STOP at 2645.95 filled at 2645.850 ($0.10 worse). SL $6.00 away = $30 risk. Closed by the EA itself (account guard / blackout / instant close) at 2645.350 after 7m34s: +$2.50 (+0.08R).</t>
  </si>
  <si>
    <t xml:space="preserve">BUY STOP at 2654.66 filled at 2654.660 ($0.00 better). SL $6.00 away = $30 risk. Closed by the EA itself (account guard / blackout / instant close) at 2655.160 after 7h20m: +$2.50 (+0.08R).</t>
  </si>
  <si>
    <t xml:space="preserve">BUY STOP at 2654.67 filled at 2654.740 ($0.07 worse). SL $6.00 away = $30 risk. Closed by the EA itself (account guard / blackout / instant close) at 2655.210 after 21m48s: +$2.35 (+0.08R).</t>
  </si>
  <si>
    <t xml:space="preserve">SELL STOP at 2643.37 filled at 2643.360 ($0.01 worse). SL $6.00 away = $30 risk. Closed by the EA itself (account guard / blackout / instant close) at 2643.000 after 1h23m: +$1.80 (+0.06R).</t>
  </si>
  <si>
    <t xml:space="preserve">SELL STOP at 2643.74 filled at 2643.740 ($0.00 better). SL $6.00 away = $30 risk. Price went against it; stopped at 2649.780 after 1h13m: -$30.20 (-1.01R).</t>
  </si>
  <si>
    <t xml:space="preserve">SELL STOP at 2632.80 filled at 2630.650 ($2.15 worse). SL $6.00 away = $30 risk. Closed by the EA itself (account guard / blackout / instant close) at 2607.250 after 1h14m: +$117.00 (+3.90R).</t>
  </si>
  <si>
    <t xml:space="preserve">BUY STOP at 2614.08 filled at 2614.240 ($0.16 worse). SL $6.00 away = $30 risk. Closed by the EA itself (account guard / blackout / instant close) at 2614.680 after 53m09s: +$2.20 (+0.07R).</t>
  </si>
  <si>
    <t xml:space="preserve">BUY STOP at 2605.20 filled at 2605.290 ($0.09 worse). SL $6.00 away = $30 risk. Closed by the EA itself (account guard / blackout / instant close) at 2605.750 after 10m20s: +$2.30 (+0.08R).</t>
  </si>
  <si>
    <t xml:space="preserve">BUY STOP at 2626.33 filled at 2626.350 ($0.02 worse). SL $6.00 away = $30 risk. Closed by the EA itself (account guard / blackout / instant close) at 2626.850 after 12m04s: +$2.50 (+0.08R).</t>
  </si>
  <si>
    <t xml:space="preserve">BUY STOP at 2631.70 filled at 2631.700 ($0.00 better). SL $6.00 away = $30 risk. Price went against it; stopped at 2625.700 after 3h26m: -$30.00 (-1.00R).</t>
  </si>
  <si>
    <t xml:space="preserve">SELL STOP at 2624.33 filled at 2624.320 ($0.01 worse). SL $6.00 away = $30 risk. Closed by the EA itself (account guard / blackout / instant close) at 2623.900 after 17m09s: +$2.10 (+0.07R).</t>
  </si>
  <si>
    <t xml:space="preserve">BUY STOP at 2621.20 filled at 2621.250 ($0.05 worse). SL $6.00 away = $30 risk. Price went against it; stopped at 2615.180 after 2h08m: -$30.35 (-1.01R).</t>
  </si>
  <si>
    <t xml:space="preserve">BUY STOP at 2621.21 filled at 2621.330 ($0.12 worse). SL $6.00 away = $30 risk. Closed by the EA itself (account guard / blackout / instant close) at 2621.760 after 13h13m: +$2.15 (+0.07R).</t>
  </si>
  <si>
    <t xml:space="preserve">BUY STOP at 2636.83 filled at 2636.830 ($0.00 better). SL $6.00 away = $30 risk. Price went against it; stopped at 2630.820 after 58m58s: -$30.05 (-1.00R).</t>
  </si>
  <si>
    <t xml:space="preserve">SELL STOP at 2614.25 filled at 2614.210 ($0.04 worse). SL $6.00 away = $30 risk. Closed by the EA itself (account guard / blackout / instant close) at 2613.710 after 5m37s: +$2.50 (+0.08R).</t>
  </si>
  <si>
    <t xml:space="preserve">SELL STOP at 2618.11 filled at 2618.080 ($0.03 worse). SL $6.00 away = $30 risk. Closed by the EA itself (account guard / blackout / instant close) at 2617.590 after 2h29m: +$2.45 (+0.08R).</t>
  </si>
  <si>
    <t xml:space="preserve">BUY STOP at 2608.42 filled at 2608.420 ($0.00 better). SL $6.00 away = $30 risk. Closed by the EA itself (account guard / blackout / instant close) at 2608.920 after 6h03m: +$2.50 (+0.08R).</t>
  </si>
  <si>
    <t xml:space="preserve">BUY STOP at 2627.36 filled at 2627.400 ($0.04 worse). SL $6.00 away = $30 risk. Reached the take profit at 2657.400 after 15h40m: +$150.00 (+5.00R).</t>
  </si>
  <si>
    <t xml:space="preserve">BUY STOP at 2660.38 filled at 2660.390 ($0.01 worse). SL $6.00 away = $36 risk. Closed by the EA itself (account guard / blackout / instant close) at 2660.860 after 2h16m: +$2.82 (+0.08R).</t>
  </si>
  <si>
    <t xml:space="preserve">SELL STOP at 2655.82 filled at 2655.820 ($0.00 better). SL $6.00 away = $36 risk. Closed by the EA itself (account guard / blackout / instant close) at 2655.320 after 34m05s: +$3.00 (+0.08R).</t>
  </si>
  <si>
    <t xml:space="preserve">SELL STOP at 2636.63 filled at 2636.560 ($0.07 worse). SL $6.00 away = $36 risk. Closed by the EA itself (account guard / blackout / instant close) at 2636.060 after 5h04m: +$3.00 (+0.08R).</t>
  </si>
  <si>
    <t xml:space="preserve">BUY STOP at 2636.07 filled at 2636.090 ($0.02 worse). SL $6.00 away = $36 risk. Closed by the EA itself (account guard / blackout / instant close) at 2636.590 after 4h13m: +$3.00 (+0.08R).</t>
  </si>
  <si>
    <t xml:space="preserve">BUY STOP at 2646.52 filled at 2646.540 ($0.02 worse). SL $6.00 away = $36 risk. Closed by the EA itself (account guard / blackout / instant close) at 2646.980 after 3h56m: +$2.64 (+0.07R).</t>
  </si>
  <si>
    <t xml:space="preserve">BUY STOP at 2652.85 filled at 2652.870 ($0.02 worse). SL $6.00 away = $36 risk. Closed by the EA itself (account guard / blackout / instant close) at 2653.350 after 2h11m: +$2.88 (+0.08R).</t>
  </si>
  <si>
    <t xml:space="preserve">BUY STOP at 2664.10 filled at 2664.130 ($0.03 worse). SL $6.00 away = $36 risk. Closed by the EA itself (account guard / blackout / instant close) at 2664.420 after 40m29s: +$1.74 (+0.05R).</t>
  </si>
  <si>
    <t xml:space="preserve">BUY STOP at 2669.84 filled at 2669.840 ($0.00 better). SL $6.00 away = $36 risk. Closed by the EA itself (account guard / blackout / instant close) at 2670.310 after 3m07s: +$2.82 (+0.08R).</t>
  </si>
  <si>
    <t xml:space="preserve">BUY STOP at 2678.40 filled at 2678.400 ($0.00 better). SL $6.00 away = $36 risk. Closed by the EA itself (account guard / blackout / instant close) at 2678.890 after 2h44m: +$2.94 (+0.08R).</t>
  </si>
  <si>
    <t xml:space="preserve">SELL STOP at 2671.39 filled at 2670.500 ($0.89 worse). SL $6.00 away = $36 risk. Closed by the EA itself (account guard / blackout / instant close) at 2672.860 after 3s: -$14.16 (-0.39R).</t>
  </si>
  <si>
    <t xml:space="preserve">SELL STOP at 2683.09 filled at 2682.880 ($0.21 worse). SL $6.00 away = $36 risk. Closed by the EA itself (account guard / blackout / instant close) at 2682.490 after 1h10m: +$2.34 (+0.07R).</t>
  </si>
  <si>
    <t xml:space="preserve">SELL STOP at 2663.21 filled at 2663.200 ($0.01 worse). SL $6.00 away = $36 risk. Closed by the EA itself (account guard / blackout / instant close) at 2662.700 after 6m29s: +$3.00 (+0.08R).</t>
  </si>
  <si>
    <t xml:space="preserve">SELL STOP at 2667.16 filled at 2667.120 ($0.04 worse). SL $6.00 away = $36 risk. Price went against it; stopped at 2673.370 after 53m52s: -$37.50 (-1.04R).</t>
  </si>
  <si>
    <t xml:space="preserve">BUY STOP at 2683.13 filled at 2683.130 ($0.00 better). SL $6.00 away = $36 risk. Closed by the EA itself (account guard / blackout / instant close) at 2683.630 after 45m49s: +$3.00 (+0.08R).</t>
  </si>
  <si>
    <t xml:space="preserve">BUY STOP at 2697.24 filled at 2697.250 ($0.01 worse). SL $6.00 away = $36 risk. Closed by the EA itself (account guard / blackout / instant close) at 2697.640 after 41m27s: +$2.34 (+0.07R).</t>
  </si>
  <si>
    <t xml:space="preserve">SELL STOP at 2710.35 filled at 2710.350 ($0.00 better). SL $6.00 away = $36 risk. Closed by the EA itself (account guard / blackout / instant close) at 2709.880 after 4h19m: +$2.82 (+0.08R).</t>
  </si>
  <si>
    <t xml:space="preserve">SELL STOP at 2698.45 filled at 2698.430 ($0.02 worse). SL $6.00 away = $36 risk. Closed by the EA itself (account guard / blackout / instant close) at 2697.980 after 9m42s: +$2.70 (+0.08R).</t>
  </si>
  <si>
    <t xml:space="preserve">SELL STOP at 2703.43 filled at 2703.420 ($0.01 worse). SL $6.00 away = $36 risk. Price went against it; stopped at 2709.660 after 2h31m: -$37.44 (-1.04R).</t>
  </si>
  <si>
    <t xml:space="preserve">BUY STOP at 2713.66 filled at 2713.760 ($0.10 worse). SL $6.00 away = $30 risk. Closed by the EA itself (account guard / blackout / instant close) at 2714.240 after 20m22s: +$2.40 (+0.08R).</t>
  </si>
  <si>
    <t xml:space="preserve">SELL STOP at 2723.59 filled at 2723.540 ($0.05 worse). SL $6.00 away = $36 risk. Price went against it; stopped at 2729.780 after 37m08s: -$37.44 (-1.04R).</t>
  </si>
  <si>
    <t xml:space="preserve">BUY STOP at 2745.85 filled at 2745.920 ($0.07 worse). SL $6.00 away = $30 risk. Closed by the EA itself (account guard / blackout / instant close) at 2746.400 after 2h02m: +$2.40 (+0.08R).</t>
  </si>
  <si>
    <t xml:space="preserve">BUY STOP at 2758.48 filled at 2758.490 ($0.01 worse). SL $6.00 away = $30 risk. Closed by the EA itself (account guard / blackout / instant close) at 2758.960 after 17m48s: +$2.35 (+0.08R).</t>
  </si>
  <si>
    <t xml:space="preserve">SELL STOP at 2751.02 filled at 2751.020 ($0.00 better). SL $6.00 away = $30 risk. Closed by the EA itself (account guard / blackout / instant close) at 2750.860 after 1h27m: +$0.80 (+0.03R).</t>
  </si>
  <si>
    <t xml:space="preserve">BUY STOP at 2758.66 filled at 2758.680 ($0.02 worse). SL $6.00 away = $30 risk. Closed by the EA itself (account guard / blackout / instant close) at 2758.840 after 25m35s: +$0.80 (+0.03R).</t>
  </si>
  <si>
    <t xml:space="preserve">SELL STOP at 2771.81 filled at 2771.800 ($0.01 worse). SL $6.00 away = $30 risk. Price went against it; stopped at 2777.900 after 1h29m: -$30.50 (-1.02R).</t>
  </si>
  <si>
    <t xml:space="preserve">SELL STOP at 2753.19 filled at 2753.170 ($0.02 worse). SL $6.00 away = $30 risk. Closed by the EA itself (account guard / blackout / instant close) at 2752.670 after 30m59s: +$2.50 (+0.08R).</t>
  </si>
  <si>
    <t xml:space="preserve">SELL STOP at 2750.57 filled at 2750.540 ($0.03 worse). SL $6.00 away = $30 risk. Closed by the EA itself (account guard / blackout / instant close) at 2750.080 after 5m26s: +$2.30 (+0.08R).</t>
  </si>
  <si>
    <t xml:space="preserve">SELL STOP at 2738.91 filled at 2738.910 ($0.00 better). SL $6.00 away = $30 risk. Closed by the EA itself (account guard / blackout / instant close) at 2738.550 after 51m06s: +$1.80 (+0.06R).</t>
  </si>
  <si>
    <t xml:space="preserve">BUY STOP at 2764.88 filled at 2764.900 ($0.02 worse). SL $6.00 away = $30 risk. Price went against it; stopped at 2758.870 after 6h15m: -$30.15 (-1.00R).</t>
  </si>
  <si>
    <t xml:space="preserve">BUY STOP at 2762.92 filled at 2762.930 ($0.01 worse). SL $6.00 away = $30 risk. Closed by the EA itself (account guard / blackout / instant close) at 2763.410 after 29m36s: +$2.40 (+0.08R).</t>
  </si>
  <si>
    <t xml:space="preserve">BUY STOP at 2765.99 filled at 2766.530 ($0.54 worse). SL $6.00 away = $30 risk. Reached the take profit at 2796.010 after 8h58m: +$147.40 (+4.91R).</t>
  </si>
  <si>
    <t xml:space="preserve">BUY STOP at 2798.31 filled at 2798.320 ($0.01 worse). SL $6.00 away = $36 risk. Price went against it; stopped at 2792.310 after 6h52m: -$36.06 (-1.00R).</t>
  </si>
  <si>
    <t xml:space="preserve">BUY STOP at 2796.30 filled at 2796.310 ($0.01 worse). SL $6.00 away = $36 risk. Closed by the EA itself (account guard / blackout / instant close) at 2796.770 after 48m37s: +$2.76 (+0.08R).</t>
  </si>
  <si>
    <t xml:space="preserve">SELL STOP at 2790.90 filled at 2790.480 ($0.42 worse). SL $6.00 away = $36 risk. Price went against it; stopped at 2797.150 after 24s: -$40.02 (-1.11R).</t>
  </si>
  <si>
    <t xml:space="preserve">BUY STOP at 2787.95 filled at 2788.060 ($0.11 worse). SL $6.00 away = $30 risk. Closed by the EA itself (account guard / blackout / instant close) at 2788.550 after 58m47s: +$2.45 (+0.08R).</t>
  </si>
  <si>
    <t xml:space="preserve">SELL STOP at 2810.65 filled at 2810.430 ($0.22 worse). SL $6.00 away = $30 risk. Closed by the EA itself (account guard / blackout / instant close) at 2809.960 after 9m30s: +$2.35 (+0.08R).</t>
  </si>
  <si>
    <t xml:space="preserve">BUY STOP at 2830.31 filled at 2830.320 ($0.01 worse). SL $6.00 away = $30 risk. Closed by the EA itself (account guard / blackout / instant close) at 2830.740 after 30m39s: +$2.10 (+0.07R).</t>
  </si>
  <si>
    <t xml:space="preserve">BUY STOP at 2845.34 filled at 2845.370 ($0.03 worse). SL $6.00 away = $36 risk. Closed by the EA itself (account guard / blackout / instant close) at 2845.870 after 6m17s: +$3.00 (+0.08R).</t>
  </si>
  <si>
    <t xml:space="preserve">BUY STOP at 2861.69 filled at 2861.690 ($0.00 better). SL $6.00 away = $36 risk. Closed by the EA itself (account guard / blackout / instant close) at 2862.180 after 5h37m: +$2.94 (+0.08R).</t>
  </si>
  <si>
    <t xml:space="preserve">SELL STOP at 2858.36 filled at 2858.160 ($0.20 worse). SL $6.00 away = $36 risk. Closed by the EA itself (account guard / blackout / instant close) at 2857.790 after 47m29s: +$2.22 (+0.06R).</t>
  </si>
  <si>
    <t xml:space="preserve">SELL STOP at 2839.34 filled at 2839.220 ($0.12 worse). SL $6.00 away = $36 risk. Closed by the EA itself (account guard / blackout / instant close) at 2838.830 after 9m35s: +$2.34 (+0.07R).</t>
  </si>
  <si>
    <t xml:space="preserve">BUY STOP at 2866.95 filled at 2866.950 ($0.00 better). SL $6.00 away = $36 risk. Closed by the EA itself (account guard / blackout / instant close) at 2867.320 after 46m19s: +$2.22 (+0.06R).</t>
  </si>
  <si>
    <t xml:space="preserve">BUY STOP at 2873.09 filled at 2873.190 ($0.10 worse). SL $6.00 away = $36 risk. Price went against it; stopped at 2866.800 after 2s: -$38.34 (-1.07R).</t>
  </si>
  <si>
    <t xml:space="preserve">BUY STOP at 2886.61 filled at 2886.620 ($0.01 worse). SL $6.00 away = $30 risk. Closed by the EA itself (account guard / blackout / instant close) at 2887.020 after 6m52s: +$2.00 (+0.07R).</t>
  </si>
  <si>
    <t xml:space="preserve">BUY STOP at 2892.13 filled at 2892.210 ($0.08 worse). SL $6.00 away = $30 risk. Closed by the EA itself (account guard / blackout / instant close) at 2892.700 after 16m03s: +$2.45 (+0.08R).</t>
  </si>
  <si>
    <t xml:space="preserve">SELL STOP at 2915.13 filled at 2914.900 ($0.23 worse). SL $6.00 away = $30 risk. Closed by the EA itself (account guard / blackout / instant close) at 2914.420 after 3m44s: +$2.40 (+0.08R).</t>
  </si>
  <si>
    <t xml:space="preserve">BUY STOP at 2894.40 filled at 2894.420 ($0.02 worse). SL $6.00 away = $30 risk. Price went against it; stopped at 2888.400 after 1h06m: -$30.10 (-1.00R).</t>
  </si>
  <si>
    <t xml:space="preserve">SELL STOP at 2881.64 filled at 2881.580 ($0.06 worse). SL $6.00 away = $30 risk. Closed by the EA itself (account guard / blackout / instant close) at 2881.120 after 1h18m: +$2.30 (+0.08R).</t>
  </si>
  <si>
    <t xml:space="preserve">BUY STOP at 2909.04 filled at 2909.040 ($0.00 better). SL $6.00 away = $30 risk. Price went against it; stopped at 2902.970 after 36m32s: -$30.35 (-1.01R).</t>
  </si>
  <si>
    <t xml:space="preserve">SELL STOP at 2912.35 filled at 2912.300 ($0.05 worse). SL $6.00 away = $30 risk. Closed by the EA itself (account guard / blackout / instant close) at 2911.800 after 31m28s: +$2.50 (+0.08R).</t>
  </si>
  <si>
    <t xml:space="preserve">BUY STOP at 2929.40 filled at 2929.450 ($0.05 worse). SL $6.00 away = $30 risk. Closed by the EA itself (account guard / blackout / instant close) at 2929.940 after 44m43s: +$2.45 (+0.08R).</t>
  </si>
  <si>
    <t xml:space="preserve">BUY STOP at 2936.64 filled at 2936.870 ($0.23 worse). SL $6.00 away = $30 risk. Closed by the EA itself (account guard / blackout / instant close) at 2937.340 after 2h27m: +$2.35 (+0.08R).</t>
  </si>
  <si>
    <t xml:space="preserve">BUY STOP at 2905.08 filled at 2905.190 ($0.11 worse). SL $6.00 away = $30 risk. Price went against it; stopped at 2899.000 after 1h08m: -$30.95 (-1.03R).</t>
  </si>
  <si>
    <t xml:space="preserve">BUY STOP at 2906.22 filled at 2906.390 ($0.17 worse). SL $6.00 away = $30 risk. Closed by the EA itself (account guard / blackout / instant close) at 2906.880 after 49m31s: +$2.45 (+0.08R).</t>
  </si>
  <si>
    <t xml:space="preserve">SELL STOP at 2909.59 filled at 2909.580 ($0.01 worse). SL $6.00 away = $30 risk. Closed by the EA itself (account guard / blackout / instant close) at 2909.120 after 3h01m: +$2.30 (+0.08R).</t>
  </si>
  <si>
    <t xml:space="preserve">BUY STOP at 2936.83 filled at 2936.830 ($0.00 better). SL $6.00 away = $30 risk. Closed by the EA itself (account guard / blackout / instant close) at 2937.260 after 16m02s: +$2.15 (+0.07R).</t>
  </si>
  <si>
    <t xml:space="preserve">BUY STOP at 2935.66 filled at 2935.660 ($0.00 better). SL $6.00 away = $30 risk. Closed by the EA itself (account guard / blackout / instant close) at 2936.160 after 4h40m: +$2.50 (+0.08R).</t>
  </si>
  <si>
    <t xml:space="preserve">BUY STOP at 2946.87 filled at 2947.030 ($0.16 worse). SL $6.00 away = $30 risk. Closed by the EA itself (account guard / blackout / instant close) at 2947.510 after 1h45m: +$2.40 (+0.08R).</t>
  </si>
  <si>
    <t xml:space="preserve">SELL STOP at 2939.13 filled at 2939.070 ($0.06 worse). SL $6.00 away = $30 risk. Price went against it; stopped at 2945.190 after 20m40s: -$30.60 (-1.02R).</t>
  </si>
  <si>
    <t xml:space="preserve">SELL STOP at 2923.95 filled at 2923.940 ($0.01 worse). SL $6.00 away = $30 risk. Closed by the EA itself (account guard / blackout / instant close) at 2923.450 after 30m21s: +$2.45 (+0.08R).</t>
  </si>
  <si>
    <t xml:space="preserve">SELL STOP at 2923.96 filled at 2923.940 ($0.02 worse). SL $6.00 away = $30 risk. Closed by the EA itself (account guard / blackout / instant close) at 2923.450 after 30m21s: +$2.45 (+0.08R).</t>
  </si>
  <si>
    <t xml:space="preserve">BUY STOP at 2941.86 filled at 2941.860 ($0.00 better). SL $6.00 away = $30 risk. Closed by the EA itself (account guard / blackout / instant close) at 2942.360 after 21m56s: +$2.50 (+0.08R).</t>
  </si>
  <si>
    <t xml:space="preserve">BUY STOP at 2949.55 filled at 2950.560 ($1.01 worse). SL $6.00 away = $30 risk. Closed by the EA itself (account guard / blackout / instant close) at 2950.870 after 2h11m: +$1.55 (+0.05R).</t>
  </si>
  <si>
    <t xml:space="preserve">SELL STOP at 2933.31 filled at 2933.290 ($0.02 worse). SL $6.00 away = $30 risk. Closed by the EA itself (account guard / blackout / instant close) at 2932.940 after 7m25s: +$1.75 (+0.06R).</t>
  </si>
  <si>
    <t xml:space="preserve">SELL STOP at 2921.06 filled at 2921.060 ($0.00 better). SL $6.00 away = $30 risk. Reached the take profit at 2891.050 after 51m04s: +$150.05 (+5.00R).</t>
  </si>
  <si>
    <t xml:space="preserve">SELL STOP at 2906.45 filled at 2906.350 ($0.10 worse). SL $6.00 away = $36 risk. Price went against it; stopped at 2912.610 after 11m33s: -$37.56 (-1.04R).</t>
  </si>
  <si>
    <t xml:space="preserve">SELL STOP at 2890.59 filled at 2890.520 ($0.07 worse). SL $6.00 away = $36 risk. Price went against it; stopped at 2896.640 after 59m43s: -$36.72 (-1.02R).</t>
  </si>
  <si>
    <t xml:space="preserve">SELL STOP at 2888.30 filled at 2888.250 ($0.05 worse). SL $6.00 away = $30 risk. Price went against it; stopped at 2894.310 after 5m26s: -$30.30 (-1.01R).</t>
  </si>
  <si>
    <t xml:space="preserve">SELL STOP at 2867.57 filled at 2867.530 ($0.04 worse). SL $6.00 away = $30 risk. Closed by the EA itself (account guard / blackout / instant close) at 2867.080 after 11m55s: +$2.25 (+0.07R).</t>
  </si>
  <si>
    <t xml:space="preserve">SELL STOP at 2861.61 filled at 2861.360 ($0.25 worse). SL $6.00 away = $30 risk. Closed by the EA itself (account guard / blackout / instant close) at 2860.940 after 11m43s: +$2.10 (+0.07R).</t>
  </si>
  <si>
    <t xml:space="preserve">SELL STOP at 2861.26 filled at 2861.230 ($0.03 worse). SL $6.00 away = $30 risk. Closed by the EA itself (account guard / blackout / instant close) at 2860.730 after 1h11m: +$2.50 (+0.08R).</t>
  </si>
  <si>
    <t xml:space="preserve">BUY STOP at 2884.93 filled at 2884.930 ($0.00 better). SL $6.00 away = $30 risk. Closed by the EA itself (account guard / blackout / instant close) at 2885.360 after 5m07s: +$2.15 (+0.07R).</t>
  </si>
  <si>
    <t xml:space="preserve">BUY STOP at 2894.23 filled at 2894.330 ($0.10 worse). SL $6.00 away = $30 risk. Reached the take profit at 2924.350 after 5h32m: +$150.10 (+5.00R).</t>
  </si>
  <si>
    <t xml:space="preserve">BUY STOP at 2921.51 filled at 2921.570 ($0.06 worse). SL $6.00 away = $36 risk. Price went against it; stopped at 2915.490 after 1h11m: -$36.48 (-1.01R).</t>
  </si>
  <si>
    <t xml:space="preserve">BUY STOP at 2927.72 filled at 2927.730 ($0.01 worse). SL $6.00 away = $36 risk. Closed by the EA itself (account guard / blackout / instant close) at 2928.190 after 23m26s: +$2.76 (+0.08R).</t>
  </si>
  <si>
    <t xml:space="preserve">SELL STOP at 2914.39 filled at 2914.230 ($0.16 worse). SL $6.00 away = $36 risk. Closed by the EA itself (account guard / blackout / instant close) at 2913.750 after 3m35s: +$2.88 (+0.08R).</t>
  </si>
  <si>
    <t xml:space="preserve">SELL STOP at 2894.15 filled at 2894.150 ($0.00 better). SL $6.00 away = $36 risk. Closed by the EA itself (account guard / blackout / instant close) at 2893.830 after 3m05s: +$1.92 (+0.05R).</t>
  </si>
  <si>
    <t xml:space="preserve">BUY STOP at 2914.69 filled at 2914.690 ($0.00 better). SL $6.00 away = $36 risk. Closed by the EA itself (account guard / blackout / instant close) at 2915.140 after 1h09m: +$2.70 (+0.08R).</t>
  </si>
  <si>
    <t xml:space="preserve">BUY STOP at 2926.43 filled at 2926.440 ($0.01 worse). SL $6.00 away = $36 risk. Price went against it; stopped at 2920.420 after 1m11s: -$36.12 (-1.00R).</t>
  </si>
  <si>
    <t xml:space="preserve">BUY STOP at 2912.49 filled at 2912.530 ($0.04 worse). SL $6.00 away = $36 risk. Closed by the EA itself (account guard / blackout / instant close) at 2913.020 after 1h05m: +$2.94 (+0.08R).</t>
  </si>
  <si>
    <t xml:space="preserve">SELL STOP at 2895.70 filled at 2895.560 ($0.14 worse). SL $6.00 away = $36 risk. Price went against it; stopped at 2901.860 after 11m23s: -$37.80 (-1.05R).</t>
  </si>
  <si>
    <t xml:space="preserve">SELL STOP at 2879.94 filled at 2879.940 ($0.00 better). SL $6.00 away = $30 risk. Price went against it; stopped at 2885.950 after 41s: -$30.05 (-1.00R).</t>
  </si>
  <si>
    <t xml:space="preserve">BUY STOP at 2898.92 filled at 2898.930 ($0.01 worse). SL $6.00 away = $30 risk. Closed by the EA itself (account guard / blackout / instant close) at 2899.410 after 2m48s: +$2.40 (+0.08R).</t>
  </si>
  <si>
    <t xml:space="preserve">SELL STOP at 2911.90 filled at 2911.900 ($0.00 better). SL $6.00 away = $30 risk. Closed by the EA itself (account guard / blackout / instant close) at 2911.400 after 35m33s: +$2.50 (+0.08R).</t>
  </si>
  <si>
    <t xml:space="preserve">BUY STOP at 2922.05 filled at 2922.080 ($0.03 worse). SL $6.00 away = $30 risk. Closed by the EA itself (account guard / blackout / instant close) at 2922.570 after 4m01s: +$2.45 (+0.08R).</t>
  </si>
  <si>
    <t xml:space="preserve">BUY STOP at 2940.35 filled at 2940.370 ($0.02 worse). SL $6.00 away = $30 risk. Closed by the EA itself (account guard / blackout / instant close) at 2940.780 after 4h27m: +$2.05 (+0.07R).</t>
  </si>
  <si>
    <t xml:space="preserve">SELL STOP at 2938.01 filled at 2938.010 ($0.00 better). SL $6.00 away = $30 risk. Closed by the EA itself (account guard / blackout / instant close) at 2937.530 after 4m36s: +$2.40 (+0.08R).</t>
  </si>
  <si>
    <t xml:space="preserve">BUY STOP at 2989.17 filled at 2989.240 ($0.07 worse). SL $6.00 away = $30 risk. Price went against it; stopped at 2983.110 after 2h50m: -$30.65 (-1.02R).</t>
  </si>
  <si>
    <t xml:space="preserve">SELL STOP at 2981.61 filled at 2981.570 ($0.04 worse). SL $6.00 away = $30 risk. Price went against it; stopped at 2987.640 after 27m07s: -$30.35 (-1.01R).</t>
  </si>
  <si>
    <t xml:space="preserve">BUY STOP at 2987.84 filled at 2987.850 ($0.01 worse). SL $6.00 away = $30 risk. Closed by the EA itself (account guard / blackout / instant close) at 2988.320 after 13m55s: +$2.35 (+0.08R).</t>
  </si>
  <si>
    <t xml:space="preserve">BUY STOP at 3001.76 filled at 3001.780 ($0.02 worse). SL $6.00 away = $30 risk. Closed by the EA itself (account guard / blackout / instant close) at 3002.250 after 2h19m: +$2.35 (+0.08R).</t>
  </si>
  <si>
    <t xml:space="preserve">BUY STOP at 3016.98 filled at 3017.020 ($0.04 worse). SL $6.00 away = $30 risk. Price went against it; stopped at 3010.910 after 17m32s: -$30.55 (-1.02R).</t>
  </si>
  <si>
    <t xml:space="preserve">BUY STOP at 3038.06 filled at 3038.060 ($0.00 better). SL $6.00 away = $30 risk. Closed by the EA itself (account guard / blackout / instant close) at 3038.560 after 2h18m: +$2.50 (+0.08R).</t>
  </si>
  <si>
    <t xml:space="preserve">SELL STOP at 3033.99 filled at 3033.920 ($0.07 worse). SL $6.00 away = $30 risk. Closed by the EA itself (account guard / blackout / instant close) at 3033.440 after 2m53s: +$2.40 (+0.08R).</t>
  </si>
  <si>
    <t xml:space="preserve">BUY STOP at 3051.76 filled at 3051.870 ($0.11 worse). SL $6.00 away = $30 risk. Closed by the EA itself (account guard / blackout / instant close) at 3052.370 after 11m15s: +$2.50 (+0.08R).</t>
  </si>
  <si>
    <t xml:space="preserve">SELL STOP at 3044.67 filled at 3044.530 ($0.14 worse). SL $6.00 away = $30 risk. Closed by the EA itself (account guard / blackout / instant close) at 3044.060 after 40m01s: +$2.35 (+0.08R).</t>
  </si>
  <si>
    <t xml:space="preserve">SELL STOP at 3025.43 filled at 3024.870 ($0.56 worse). SL $6.00 away = $30 risk. Closed by the EA itself (account guard / blackout / instant close) at 3024.400 after 1m37s: +$2.35 (+0.08R).</t>
  </si>
  <si>
    <t xml:space="preserve">BUY STOP at 3031.85 filled at 3031.850 ($0.00 better). SL $6.00 away = $30 risk. Closed by the EA itself (account guard / blackout / instant close) at 3032.350 after 2h01m: +$2.50 (+0.08R).</t>
  </si>
  <si>
    <t xml:space="preserve">BUY STOP at 3023.01 filled at 3023.020 ($0.01 worse). SL $6.00 away = $30 risk. Closed by the EA itself (account guard / blackout / instant close) at 3023.520 after 1h25m: +$2.50 (+0.08R).</t>
  </si>
  <si>
    <t xml:space="preserve">SELL STOP at 3014.08 filled at 3014.070 ($0.01 worse). SL $6.00 away = $30 risk. Closed by the EA itself (account guard / blackout / instant close) at 3013.600 after 49m24s: +$2.35 (+0.08R).</t>
  </si>
  <si>
    <t xml:space="preserve">BUY STOP at 3033.14 filled at 3034.400 ($1.26 worse). SL $6.00 away = $30 risk. Price went against it; stopped at 3027.070 after 26m29s: -$36.65 (-1.22R).</t>
  </si>
  <si>
    <t xml:space="preserve">BUY STOP at 3023.89 filled at 3023.900 ($0.01 worse). SL $6.00 away = $30 risk. Closed by the EA itself (account guard / blackout / instant close) at 3024.400 after 2h51m: +$2.50 (+0.08R).</t>
  </si>
  <si>
    <t xml:space="preserve">BUY STOP at 3031.95 filled at 3031.950 ($0.00 better). SL $6.00 away = $30 risk. Closed by the EA itself (account guard / blackout / instant close) at 3032.420 after 2h05m: +$2.35 (+0.08R).</t>
  </si>
  <si>
    <t xml:space="preserve">SELL STOP at 3029.10 filled at 3029.100 ($0.00 better). SL $6.00 away = $30 risk. Closed by the EA itself (account guard / blackout / instant close) at 3028.620 after 47m59s: +$2.40 (+0.08R).</t>
  </si>
  <si>
    <t xml:space="preserve">BUY STOP at 3059.52 filled at 3059.550 ($0.03 worse). SL $6.00 away = $30 risk. Closed by the EA itself (account guard / blackout / instant close) at 3059.940 after 3m52s: +$1.95 (+0.06R).</t>
  </si>
  <si>
    <t xml:space="preserve">BUY STOP at 3081.81 filled at 3081.830 ($0.02 worse). SL $6.00 away = $30 risk. Closed by the EA itself (account guard / blackout / instant close) at 3082.290 after 1h21m: +$2.30 (+0.08R).</t>
  </si>
  <si>
    <t xml:space="preserve">BUY STOP at 3119.71 filled at 3119.710 ($0.00 better). SL $6.00 away = $30 risk. Closed by the EA itself (account guard / blackout / instant close) at 3120.190 after 13m01s: +$2.40 (+0.08R).</t>
  </si>
  <si>
    <t xml:space="preserve">BUY STOP at 3127.83 filled at 3128.110 ($0.28 worse). SL $6.00 away = $30 risk. Closed by the EA itself (account guard / blackout / instant close) at 3128.570 after 15m06s: +$2.30 (+0.08R).</t>
  </si>
  <si>
    <t xml:space="preserve">SELL STOP at 3130.20 filled at 3129.990 ($0.21 worse). SL $6.00 away = $30 risk. Closed by the EA itself (account guard / blackout / instant close) at 3129.510 after 3m56s: +$2.40 (+0.08R).</t>
  </si>
  <si>
    <t xml:space="preserve">BUY STOP at 3126.51 filled at 3126.550 ($0.04 worse). SL $6.00 away = $30 risk. Closed by the EA itself (account guard / blackout / instant close) at 3127.020 after 1h26m: +$2.35 (+0.08R).</t>
  </si>
  <si>
    <t xml:space="preserve">SELL STOP at 3123.79 filled at 3123.650 ($0.14 worse). SL $6.00 away = $30 risk. Closed by the EA itself (account guard / blackout / instant close) at 3123.150 after 5m48s: +$2.50 (+0.08R).</t>
  </si>
  <si>
    <t xml:space="preserve">SELL STOP at 3104.18 filled at 3104.130 ($0.05 worse). SL $6.00 away = $30 risk. Closed by the EA itself (account guard / blackout / instant close) at 3103.660 after 5m31s: +$2.35 (+0.08R).</t>
  </si>
  <si>
    <t xml:space="preserve">SELL STOP at 3095.68 filled at 3095.610 ($0.07 worse). SL $6.00 away = $30 risk. Price went against it; stopped at 3101.690 after 7m03s: -$30.40 (-1.01R).</t>
  </si>
  <si>
    <t xml:space="preserve">SELL STOP at 3053.94 filled at 3053.460 ($0.48 worse). SL $6.00 away = $30 risk. Closed by the EA itself (account guard / blackout / instant close) at 3052.970 after 5m17s: +$2.45 (+0.08R).</t>
  </si>
  <si>
    <t xml:space="preserve">SELL STOP at 3018.59 filled at 3018.540 ($0.05 worse). SL $6.00 away = $30 risk. Price went against it; stopped at 3024.780 after 6m57s: -$31.20 (-1.04R).</t>
  </si>
  <si>
    <t xml:space="preserve">BUY STOP at 3008.05 filled at 3008.060 ($0.01 worse). SL $6.00 away = $30 risk. Closed by the EA itself (account guard / blackout / instant close) at 3008.430 after 3m52s: +$1.85 (+0.06R).</t>
  </si>
  <si>
    <t xml:space="preserve">SELL STOP at 2974.57 filled at 2974.160 ($0.41 worse). SL $6.00 away = $30 risk. Closed by the EA itself (account guard / blackout / instant close) at 2973.690 after 1m50s: +$2.35 (+0.08R).</t>
  </si>
  <si>
    <t xml:space="preserve">BUY STOP at 3020.37 filled at 3020.390 ($0.02 worse). SL $6.00 away = $30 risk. Closed by the EA itself (account guard / blackout / instant close) at 3020.660 after 2m52s: +$1.35 (+0.04R).</t>
  </si>
  <si>
    <t xml:space="preserve">BUY STOP at 3099.47 filled at 3099.770 ($0.30 worse). SL $6.00 away = $30 risk. Price went against it; stopped at 3093.320 after 13m58s: -$32.25 (-1.07R).</t>
  </si>
  <si>
    <t xml:space="preserve">SELL STOP at 3112.50 filled at 3112.500 ($0.00 better). SL $6.00 away = $30 risk. Closed by the EA itself (account guard / blackout / instant close) at 3112.240 after 6m17s: +$1.30 (+0.04R).</t>
  </si>
  <si>
    <t xml:space="preserve">BUY STOP at 3219.01 filled at 3219.010 ($0.00 better). SL $6.00 away = $30 risk. Closed by the EA itself (account guard / blackout / instant close) at 3219.400 after 12m59s: +$1.95 (+0.06R).</t>
  </si>
  <si>
    <t xml:space="preserve">BUY STOP at 3245.03 filled at 3245.070 ($0.04 worse). SL $6.00 away = $30 risk. Price went against it; stopped at 3238.890 after 12m38s: -$30.90 (-1.03R).</t>
  </si>
  <si>
    <t xml:space="preserve">BUY STOP at 3235.80 filled at 3235.850 ($0.05 worse). SL $6.00 away = $30 risk. Price went against it; stopped at 3229.770 after 3m29s: -$30.40 (-1.01R).</t>
  </si>
  <si>
    <t xml:space="preserve">SELL STOP at 3220.59 filled at 3220.490 ($0.10 worse). SL $6.00 away = $30 risk. Closed by the EA itself (account guard / blackout / instant close) at 3220.070 after 12m20s: +$2.10 (+0.07R).</t>
  </si>
  <si>
    <t xml:space="preserve">BUY STOP at 3233.43 filled at 3233.440 ($0.01 worse). SL $6.00 away = $30 risk. Closed by the EA itself (account guard / blackout / instant close) at 3233.880 after 6m14s: +$2.20 (+0.07R).</t>
  </si>
  <si>
    <t xml:space="preserve">BUY STOP at 3291.59 filled at 3291.610 ($0.02 worse). SL $6.00 away = $30 risk. Closed by the EA itself (account guard / blackout / instant close) at 3292.040 after 18m47s: +$2.15 (+0.07R).</t>
  </si>
  <si>
    <t xml:space="preserve">SELL STOP at 3327.93 filled at 3327.930 ($0.00 better). SL $6.00 away = $30 risk. Closed by the EA itself (account guard / blackout / instant close) at 3327.540 after 3m02s: +$1.95 (+0.06R).</t>
  </si>
  <si>
    <t xml:space="preserve">BUY STOP at 3357.46 filled at 3357.910 ($0.45 worse). SL $6.00 away = $30 risk. Reached the take profit at 3387.470 after 5h39m: +$147.80 (+4.93R).</t>
  </si>
  <si>
    <t xml:space="preserve">BUY STOP at 3495.36 filled at 3495.380 ($0.02 worse). SL $6.00 away = $30 risk. Closed by the EA itself (account guard / blackout / instant close) at 3495.830 after 7m26s: +$2.25 (+0.07R).</t>
  </si>
  <si>
    <t xml:space="preserve">SELL STOP at 3315.57 filled at 3315.290 ($0.28 worse). SL $6.00 away = $30 risk. Closed by the EA itself (account guard / blackout / instant close) at 3315.000 after 1m58s: +$1.45 (+0.05R).</t>
  </si>
  <si>
    <t xml:space="preserve">SELL STOP at 3320.21 filled at 3320.110 ($0.10 worse). SL $6.00 away = $30 risk. Price went against it; stopped at 3326.220 after 4m36s: -$30.55 (-1.02R).</t>
  </si>
  <si>
    <t xml:space="preserve">BUY STOP at 3367.02 filled at 3367.170 ($0.15 worse). SL $6.00 away = $30 risk. Closed by the EA itself (account guard / blackout / instant close) at 3367.560 after 1m44s: +$1.95 (+0.06R).</t>
  </si>
  <si>
    <t xml:space="preserve">SELL STOP at 3286.55 filled at 3286.450 ($0.10 worse). SL $6.00 away = $30 risk. Closed by the EA itself (account guard / blackout / instant close) at 3286.100 after 3m36s: +$1.75 (+0.06R).</t>
  </si>
  <si>
    <t xml:space="preserve">SELL STOP at 3287.57 filled at 3287.510 ($0.06 worse). SL $6.00 away = $30 risk. Closed by the EA itself (account guard / blackout / instant close) at 3287.210 after 6m20s: +$1.50 (+0.05R).</t>
  </si>
  <si>
    <t xml:space="preserve">BUY STOP at 3317.80 filled at 3317.840 ($0.04 worse). SL $6.00 away = $30 risk. Closed by the EA itself (account guard / blackout / instant close) at 3318.290 after 45s: +$2.25 (+0.07R).</t>
  </si>
  <si>
    <t xml:space="preserve">BUY STOP at 3314.46 filled at 3314.460 ($0.00 better). SL $6.00 away = $30 risk. Price went against it; stopped at 3308.420 after 16m21s: -$30.20 (-1.01R).</t>
  </si>
  <si>
    <t xml:space="preserve">SELL STOP at 3299.33 filled at 3298.920 ($0.41 worse). SL $6.00 away = $30 risk. Closed by the EA itself (account guard / blackout / instant close) at 3298.530 after 1m26s: +$1.95 (+0.06R).</t>
  </si>
  <si>
    <t xml:space="preserve">SELL STOP at 3266.88 filled at 3264.120 ($2.76 worse). SL $6.00 away = $30 risk. Closed by the EA itself (account guard / blackout / instant close) at 3263.680 after 4m28s: +$2.20 (+0.07R).</t>
  </si>
  <si>
    <t xml:space="preserve">BUY STOP at 3238.31 filled at 3238.400 ($0.09 worse). SL $6.00 away = $30 risk. Closed by the EA itself (account guard / blackout / instant close) at 3238.880 after 11m38s: +$2.40 (+0.08R).</t>
  </si>
  <si>
    <t xml:space="preserve">BUY STOP at 3257.15 filled at 3257.200 ($0.05 worse). SL $6.00 away = $30 risk. Closed by the EA itself (account guard / blackout / instant close) at 3257.690 after 10m39s: +$2.45 (+0.08R).</t>
  </si>
  <si>
    <t xml:space="preserve">BUY STOP at 3268.81 filled at 3269.000 ($0.19 worse). SL $6.00 away = $30 risk. Price went against it; stopped at 3262.790 after 11m22s: -$31.05 (-1.03R).</t>
  </si>
  <si>
    <t xml:space="preserve">BUY STOP at 3261.74 filled at 3261.740 ($0.00 better). SL $6.00 away = $30 risk. Closed by the EA itself (account guard / blackout / instant close) at 3262.170 after 43m58s: +$2.15 (+0.07R).</t>
  </si>
  <si>
    <t xml:space="preserve">BUY STOP at 3365.61 filled at 3365.680 ($0.07 worse). SL $6.00 away = $30 risk. Closed by the EA itself (account guard / blackout / instant close) at 3366.150 after 3m19s: +$2.35 (+0.08R).</t>
  </si>
  <si>
    <t xml:space="preserve">SELL STOP at 3374.46 filled at 3374.380 ($0.08 worse). SL $6.00 away = $30 risk. Closed by the EA itself (account guard / blackout / instant close) at 3373.900 after 3m49s: +$2.40 (+0.08R).</t>
  </si>
  <si>
    <t xml:space="preserve">SELL STOP at 3359.74 filled at 3359.660 ($0.08 worse). SL $6.00 away = $30 risk. Price went against it; stopped at 3365.780 after 3m14s: -$30.60 (-1.02R).</t>
  </si>
  <si>
    <t xml:space="preserve">SELL STOP at 3288.45 filled at 3287.910 ($0.54 worse). SL $6.00 away = $30 risk. Price went against it; stopped at 3294.520 after 7m34s: -$33.05 (-1.10R).</t>
  </si>
  <si>
    <t xml:space="preserve">BUY STOP at 3329.92 filled at 3329.920 ($0.00 better). SL $6.00 away = $30 risk. Closed by the EA itself (account guard / blackout / instant close) at 3330.370 after 4m52s: +$2.25 (+0.07R).</t>
  </si>
  <si>
    <t xml:space="preserve">SELL STOP at 3268.12 filled at 3267.640 ($0.48 worse). SL $6.00 away = $30 risk. Reached the take profit at 3238.100 after 23m31s: +$147.70 (+4.92R).</t>
  </si>
  <si>
    <t xml:space="preserve">BUY STOP at 3260.55 filled at 3260.740 ($0.19 worse). SL $6.00 away = $30 risk. Closed by the EA itself (account guard / blackout / instant close) at 3261.090 after 51s: +$1.75 (+0.06R).</t>
  </si>
  <si>
    <t xml:space="preserve">BUY STOP at 3234.06 filled at 3234.140 ($0.08 worse). SL $6.00 away = $30 risk. Closed by the EA itself (account guard / blackout / instant close) at 3234.530 after 12m19s: +$1.95 (+0.06R).</t>
  </si>
  <si>
    <t xml:space="preserve">SELL STOP at 3215.54 filled at 3215.530 ($0.01 worse). SL $6.00 away = $30 risk. Closed by the EA itself (account guard / blackout / instant close) at 3215.120 after 1m27s: +$2.05 (+0.07R).</t>
  </si>
  <si>
    <t xml:space="preserve">SELL STOP at 3167.55 filled at 3166.990 ($0.56 worse). SL $6.00 away = $30 risk. Closed by the EA itself (account guard / blackout / instant close) at 3166.660 after 1m00s: +$1.65 (+0.05R).</t>
  </si>
  <si>
    <t xml:space="preserve">SELL STOP at 3122.94 filled at 3122.930 ($0.01 worse). SL $6.00 away = $30 risk. Price went against it; stopped at 3128.960 after 3m59s: -$30.15 (-1.00R).</t>
  </si>
  <si>
    <t xml:space="preserve">BUY STOP at 3222.14 filled at 3222.140 ($0.00 better). SL $6.00 away = $30 risk. Closed by the EA itself (account guard / blackout / instant close) at 3222.590 after 17m43s: +$2.25 (+0.07R).</t>
  </si>
  <si>
    <t xml:space="preserve">BUY STOP at 3224.04 filled at 3224.110 ($0.07 worse). SL $6.00 away = $30 risk. Closed by the EA itself (account guard / blackout / instant close) at 3224.540 after 9m17s: +$2.15 (+0.07R).</t>
  </si>
  <si>
    <t xml:space="preserve">SELL STOP at 3205.79 filled at 3205.770 ($0.02 worse). SL $6.00 away = $30 risk. Price went against it; stopped at 3211.830 after 10m16s: -$30.30 (-1.01R).</t>
  </si>
  <si>
    <t xml:space="preserve">SELL STOP at 3209.62 filled at 3209.480 ($0.14 worse). SL $6.00 away = $30 risk. Price went against it; stopped at 3215.620 after 6m15s: -$30.70 (-1.02R).</t>
  </si>
  <si>
    <t xml:space="preserve">BUY STOP at 3319.33 filled at 3319.330 ($0.00 better). SL $6.00 away = $30 risk. Price went against it; stopped at 3313.310 after 36m39s: -$30.10 (-1.00R).</t>
  </si>
  <si>
    <t xml:space="preserve">BUY STOP at 3324.75 filled at 3324.770 ($0.02 worse). SL $6.00 away = $30 risk. Closed by the EA itself (account guard / blackout / instant close) at 3325.230 after 58m36s: +$2.30 (+0.08R).</t>
  </si>
  <si>
    <t xml:space="preserve">SELL STOP at 3326.05 filled at 3325.980 ($0.07 worse). SL $6.00 away = $30 risk. Closed by the EA itself (account guard / blackout / instant close) at 3325.500 after 24m25s: +$2.40 (+0.08R).</t>
  </si>
  <si>
    <t xml:space="preserve">BUY STOP at 3325.40 filled at 3325.730 ($0.33 worse). SL $6.00 away = $30 risk. Closed by the EA itself (account guard / blackout / instant close) at 3326.220 after 19m33s: +$2.45 (+0.08R).</t>
  </si>
  <si>
    <t xml:space="preserve">BUY STOP at 3345.20 filled at 3345.490 ($0.29 worse). SL $6.00 away = $30 risk. Closed by the EA itself (account guard / blackout / instant close) at 3345.750 after 12s: +$1.30 (+0.04R).</t>
  </si>
  <si>
    <t xml:space="preserve">SELL STOP at 3343.99 filled at 3343.950 ($0.04 worse). SL $6.00 away = $30 risk. Closed by the EA itself (account guard / blackout / instant close) at 3343.450 after 6m16s: +$2.50 (+0.08R).</t>
  </si>
  <si>
    <t xml:space="preserve">SELL STOP at 3323.30 filled at 3323.280 ($0.02 worse). SL $6.00 away = $30 risk. Closed by the EA itself (account guard / blackout / instant close) at 3322.940 after 2m17s: +$1.70 (+0.06R).</t>
  </si>
  <si>
    <t xml:space="preserve">SELL STOP at 3315.68 filled at 3315.630 ($0.05 worse). SL $6.00 away = $30 risk. Closed by the EA itself (account guard / blackout / instant close) at 3304.650 after 12h30m: +$54.90 (+1.83R).</t>
  </si>
  <si>
    <t xml:space="preserve">BUY STOP at 3310.05 filled at 3310.050 ($0.00 better). SL $6.00 away = $30 risk. Closed by the EA itself (account guard / blackout / instant close) at 3310.550 after 22m15s: +$2.50 (+0.08R).</t>
  </si>
  <si>
    <t xml:space="preserve">SELL STOP at 3276.08 filled at 3275.990 ($0.09 worse). SL $6.00 away = $30 risk. Closed by the EA itself (account guard / blackout / instant close) at 3275.500 after 39s: +$2.45 (+0.08R).</t>
  </si>
  <si>
    <t xml:space="preserve">BUY STOP at 3275.20 filled at 3275.510 ($0.31 worse). SL $6.00 away = $30 risk. Price went against it; stopped at 3269.150 after 9m50s: -$31.80 (-1.06R).</t>
  </si>
  <si>
    <t xml:space="preserve">SELL STOP at 3289.90 filled at 3289.790 ($0.11 worse). SL $6.00 away = $30 risk. Price went against it; stopped at 3295.900 after 7m21s: -$30.55 (-1.02R).</t>
  </si>
  <si>
    <t xml:space="preserve">BUY STOP at 3322.45 filled at 3322.520 ($0.07 worse). SL $6.00 away = $30 risk. Closed by the EA itself (account guard / blackout / instant close) at 3322.750 after 9m27s: +$1.15 (+0.04R).</t>
  </si>
  <si>
    <t xml:space="preserve">BUY STOP at 3325.55 filled at 3325.940 ($0.39 worse). SL $6.00 away = $30 risk. Reached the take profit at 3355.600 after 1h14m: +$148.30 (+4.94R).</t>
  </si>
  <si>
    <t xml:space="preserve">BUY STOP at 3367.58 filled at 3367.600 ($0.02 worse). SL $6.00 away = $30 risk. Price went against it; stopped at 3361.500 after 8m48s: -$30.50 (-1.02R).</t>
  </si>
  <si>
    <t xml:space="preserve">BUY STOP at 3361.24 filled at 3361.260 ($0.02 worse). SL $6.00 away = $30 risk. Closed by the EA itself (account guard / blackout / instant close) at 3361.750 after 31m52s: +$2.45 (+0.08R).</t>
  </si>
  <si>
    <t xml:space="preserve">BUY STOP at 3384.50 filled at 3384.500 ($0.00 better). SL $6.00 away = $30 risk. Price went against it; stopped at 3378.480 after 8m16s: -$30.10 (-1.00R).</t>
  </si>
  <si>
    <t xml:space="preserve">BUY STOP at 3372.30 filled at 3372.320 ($0.02 worse). SL $6.00 away = $30 risk. Reached the take profit at 3402.480 after 3h56m: +$150.80 (+5.03R).</t>
  </si>
  <si>
    <t xml:space="preserve">SELL STOP at 3361.91 filled at 3361.910 ($0.00 better). SL $6.00 away = $36 risk. Closed by the EA itself (account guard / blackout / instant close) at 3361.450 after 43m27s: +$2.76 (+0.08R).</t>
  </si>
  <si>
    <t xml:space="preserve">SELL STOP at 3339.05 filled at 3338.960 ($0.09 worse). SL $6.00 away = $36 risk. Closed by the EA itself (account guard / blackout / instant close) at 3338.470 after 7m05s: +$2.94 (+0.08R).</t>
  </si>
  <si>
    <t xml:space="preserve">SELL STOP at 3306.92 filled at 3306.830 ($0.09 worse). SL $6.00 away = $36 risk. Closed by the EA itself (account guard / blackout / instant close) at 3306.550 after 41m50s: +$1.68 (+0.05R).</t>
  </si>
  <si>
    <t xml:space="preserve">BUY STOP at 3316.31 filled at 3316.400 ($0.09 worse). SL $6.00 away = $36 risk. Closed by the EA itself (account guard / blackout / instant close) at 3316.790 after 3h15m: +$2.34 (+0.07R).</t>
  </si>
  <si>
    <t xml:space="preserve">BUY STOP at 3319.00 filled at 3319.030 ($0.03 worse). SL $6.00 away = $36 risk. Closed by the EA itself (account guard / blackout / instant close) at 3319.510 after 12h55m: +$2.88 (+0.08R).</t>
  </si>
  <si>
    <t xml:space="preserve">SELL STOP at 3335.33 filled at 3335.260 ($0.07 worse). SL $6.00 away = $36 risk. Closed by the EA itself (account guard / blackout / instant close) at 3334.800 after 7m54s: +$2.76 (+0.08R).</t>
  </si>
  <si>
    <t xml:space="preserve">BUY STOP at 3348.90 filled at 3348.940 ($0.04 worse). SL $6.00 away = $36 risk. Price went against it; stopped at 3342.740 after 41m03s: -$37.20 (-1.03R).</t>
  </si>
  <si>
    <t xml:space="preserve">SELL STOP at 3367.45 filled at 3367.450 ($0.00 better). SL $6.00 away = $36 risk. Price went against it; stopped at 3373.490 after 21m12s: -$36.24 (-1.01R).</t>
  </si>
  <si>
    <t xml:space="preserve">BUY STOP at 3398.75 filled at 3398.900 ($0.15 worse). SL $6.00 away = $36 risk. Closed by the EA itself (account guard / blackout / instant close) at 3399.370 after 3m56s: +$2.82 (+0.08R).</t>
  </si>
  <si>
    <t xml:space="preserve">SELL STOP at 3417.90 filled at 3417.900 ($0.00 better). SL $6.00 away = $36 risk. Closed by the EA itself (account guard / blackout / instant close) at 3417.480 after 12m52s: +$2.52 (+0.07R).</t>
  </si>
  <si>
    <t xml:space="preserve">SELL STOP at 3417.56 filled at 3417.550 ($0.01 worse). SL $6.00 away = $36 risk. Closed by the EA itself (account guard / blackout / instant close) at 3417.120 after 19m12s: +$2.58 (+0.07R).</t>
  </si>
  <si>
    <t xml:space="preserve">SELL STOP at 3382.53 filled at 3382.330 ($0.20 worse). SL $6.00 away = $36 risk. Closed by the EA itself (account guard / blackout / instant close) at 3381.970 after 14m35s: +$2.16 (+0.06R).</t>
  </si>
  <si>
    <t xml:space="preserve">SELL STOP at 3386.84 filled at 3386.840 ($0.00 better). SL $6.00 away = $36 risk. Closed by the EA itself (account guard / blackout / instant close) at 3386.390 after 21m08s: +$2.70 (+0.08R).</t>
  </si>
  <si>
    <t xml:space="preserve">SELL STOP at 3383.97 filled at 3383.940 ($0.03 worse). SL $6.00 away = $36 risk. Closed by the EA itself (account guard / blackout / instant close) at 3383.480 after 31m19s: +$2.76 (+0.08R).</t>
  </si>
  <si>
    <t xml:space="preserve">SELL STOP at 3362.36 filled at 3362.260 ($0.10 worse). SL $6.00 away = $36 risk. Closed by the EA itself (account guard / blackout / instant close) at 3361.820 after 1h46m: +$2.64 (+0.07R).</t>
  </si>
  <si>
    <t xml:space="preserve">BUY STOP at 3375.07 filled at 3375.280 ($0.21 worse). SL $6.00 away = $36 risk. Closed by the EA itself (account guard / blackout / instant close) at 3375.390 after 5m24s: +$0.66 (+0.02R).</t>
  </si>
  <si>
    <t xml:space="preserve">SELL STOP at 3347.27 filled at 3347.080 ($0.19 worse). SL $6.00 away = $36 risk. Price went against it; stopped at 3353.270 after 19m42s: -$37.14 (-1.03R).</t>
  </si>
  <si>
    <t xml:space="preserve">SELL STOP at 3342.44 filled at 3342.410 ($0.03 worse). SL $6.00 away = $36 risk. Price went against it; stopped at 3348.580 after 12m49s: -$37.02 (-1.03R).</t>
  </si>
  <si>
    <t xml:space="preserve">BUY STOP at 3364.87 filled at 3364.940 ($0.07 worse). SL $6.00 away = $30 risk. Closed by the EA itself (account guard / blackout / instant close) at 3365.430 after 17m18s: +$2.45 (+0.08R).</t>
  </si>
  <si>
    <t xml:space="preserve">SELL STOP at 3346.68 filled at 3346.050 ($0.63 worse). SL $6.00 away = $30 risk. Closed by the EA itself (account guard / blackout / instant close) at 3345.600 after 2m49s: +$2.25 (+0.07R).</t>
  </si>
  <si>
    <t xml:space="preserve">SELL STOP at 3326.38 filled at 3326.350 ($0.03 worse). SL $6.00 away = $30 risk. Closed by the EA itself (account guard / blackout / instant close) at 3325.920 after 5m14s: +$2.15 (+0.07R).</t>
  </si>
  <si>
    <t xml:space="preserve">BUY STOP at 3333.55 filled at 3333.550 ($0.00 better). SL $6.00 away = $30 risk. Price went against it; stopped at 3327.490 after 1h09m: -$30.30 (-1.01R).</t>
  </si>
  <si>
    <t xml:space="preserve">BUY STOP at 3336.85 filled at 3336.900 ($0.05 worse). SL $6.00 away = $30 risk. Closed by the EA itself (account guard / blackout / instant close) at 3337.250 after 52m10s: +$1.75 (+0.06R).</t>
  </si>
  <si>
    <t xml:space="preserve">SELL STOP at 3332.15 filled at 3331.910 ($0.24 worse). SL $6.00 away = $30 risk. Price went against it; stopped at 3338.220 after 25m47s: -$31.55 (-1.05R).</t>
  </si>
  <si>
    <t xml:space="preserve">SELL STOP at 3309.70 filled at 3309.660 ($0.04 worse). SL $6.00 away = $30 risk. Reached the take profit at 3279.690 after 8h49m: +$149.85 (+4.99R).</t>
  </si>
  <si>
    <t xml:space="preserve">SELL STOP at 3255.49 filled at 3254.890 ($0.60 worse). SL $6.00 away = $36 risk. Closed by the EA itself (account guard / blackout / instant close) at 3254.450 after 4m22s: +$2.64 (+0.07R).</t>
  </si>
  <si>
    <t xml:space="preserve">BUY STOP at 3291.22 filled at 3291.280 ($0.06 worse). SL $6.00 away = $36 risk. Closed by the EA itself (account guard / blackout / instant close) at 3291.720 after 48m59s: +$2.64 (+0.07R).</t>
  </si>
  <si>
    <t xml:space="preserve">BUY STOP at 3309.35 filled at 3309.350 ($0.00 better). SL $6.00 away = $36 risk. Closed by the EA itself (account guard / blackout / instant close) at 3309.830 after 15m31s: +$2.88 (+0.08R).</t>
  </si>
  <si>
    <t xml:space="preserve">BUY STOP at 3332.18 filled at 3332.300 ($0.12 worse). SL $6.00 away = $36 risk. Closed by the EA itself (account guard / blackout / instant close) at 3332.770 after 10m40s: +$2.82 (+0.08R).</t>
  </si>
  <si>
    <t xml:space="preserve">SELL STOP at 3336.29 filled at 3336.220 ($0.07 worse). SL $6.00 away = $36 risk. Closed by the EA itself (account guard / blackout / instant close) at 3335.720 after 8m40s: +$3.00 (+0.08R).</t>
  </si>
  <si>
    <t xml:space="preserve">BUY STOP at 3360.31 filled at 3360.350 ($0.04 worse). SL $6.00 away = $36 risk. Closed by the EA itself (account guard / blackout / instant close) at 3360.780 after 6m10s: +$2.58 (+0.07R).</t>
  </si>
  <si>
    <t xml:space="preserve">SELL STOP at 3327.28 filled at 3327.150 ($0.13 worse). SL $6.00 away = $36 risk. Closed by the EA itself (account guard / blackout / instant close) at 3326.670 after 28m00s: +$2.88 (+0.08R).</t>
  </si>
  <si>
    <t xml:space="preserve">BUY STOP at 3342.05 filled at 3342.070 ($0.02 worse). SL $6.00 away = $36 risk. Closed by the EA itself (account guard / blackout / instant close) at 3342.550 after 3m36s: +$2.88 (+0.08R).</t>
  </si>
  <si>
    <t xml:space="preserve">SELL STOP at 3323.35 filled at 3323.090 ($0.26 worse). SL $6.00 away = $36 risk. Closed by the EA itself (account guard / blackout / instant close) at 3322.760 after 51m11s: +$1.98 (+0.06R).</t>
  </si>
  <si>
    <t xml:space="preserve">BUY STOP at 3315.00 filled at 3315.010 ($0.01 worse). SL $6.00 away = $36 risk. Price went against it; stopped at 3309.000 after 36m09s: -$36.06 (-1.00R).</t>
  </si>
  <si>
    <t xml:space="preserve">BUY STOP at 3336.33 filled at 3336.340 ($0.01 worse). SL $6.00 away = $36 risk. Closed by the EA itself (account guard / blackout / instant close) at 3336.840 after 18m12s: +$3.00 (+0.08R).</t>
  </si>
  <si>
    <t xml:space="preserve">SELL STOP at 3296.20 filled at 3296.150 ($0.05 worse). SL $6.00 away = $36 risk. Closed by the EA itself (account guard / blackout / instant close) at 3295.740 after 34m48s: +$2.46 (+0.07R).</t>
  </si>
  <si>
    <t xml:space="preserve">SELL STOP at 3286.91 filled at 3286.700 ($0.21 worse). SL $6.00 away = $36 risk. Price went against it; stopped at 3292.950 after 2m07s: -$37.50 (-1.04R).</t>
  </si>
  <si>
    <t xml:space="preserve">SELL STOP at 3288.75 filled at 3288.750 ($0.00 better). SL $6.00 away = $36 risk. Closed by the EA itself (account guard / blackout / instant close) at 3288.250 after 36m55s: +$3.00 (+0.08R).</t>
  </si>
  <si>
    <t xml:space="preserve">BUY STOP at 3324.85 filled at 3324.870 ($0.02 worse). SL $6.00 away = $36 risk. Closed by the EA itself (account guard / blackout / instant close) at 3325.370 after 12m11s: +$3.00 (+0.08R).</t>
  </si>
  <si>
    <t xml:space="preserve">BUY STOP at 3330.09 filled at 3330.140 ($0.05 worse). SL $6.00 away = $36 risk. Closed by the EA itself (account guard / blackout / instant close) at 3330.570 after 28m10s: +$2.58 (+0.07R).</t>
  </si>
  <si>
    <t xml:space="preserve">BUY STOP at 3341.51 filled at 3341.550 ($0.04 worse). SL $6.00 away = $36 risk. Price went against it; stopped at 3335.510 after 32m32s: -$36.24 (-1.01R).</t>
  </si>
  <si>
    <t xml:space="preserve">BUY STOP at 3368.56 filled at 3368.560 ($0.00 better). SL $6.00 away = $30 risk. Closed by the EA itself (account guard / blackout / instant close) at 3369.000 after 19m16s: +$2.20 (+0.07R).</t>
  </si>
  <si>
    <t xml:space="preserve">BUY STOP at 3361.48 filled at 3361.570 ($0.09 worse). SL $6.00 away = $30 risk. Closed by the EA itself (account guard / blackout / instant close) at 3362.050 after 27m51s: +$2.40 (+0.08R).</t>
  </si>
  <si>
    <t xml:space="preserve">SELL STOP at 3357.45 filled at 3357.390 ($0.06 worse). SL $6.00 away = $30 risk. Price went against it; stopped at 3363.500 after 27m02s: -$30.55 (-1.02R).</t>
  </si>
  <si>
    <t xml:space="preserve">SELL STOP at 3340.76 filled at 3340.760 ($0.00 better). SL $6.00 away = $30 risk. Closed by the EA itself (account guard / blackout / instant close) at 3340.260 after 6m29s: +$2.50 (+0.08R).</t>
  </si>
  <si>
    <t xml:space="preserve">BUY STOP at 3339.70 filled at 3339.830 ($0.13 worse). SL $6.00 away = $30 risk. Closed by the EA itself (account guard / blackout / instant close) at 3340.250 after 21m43s: +$2.10 (+0.07R).</t>
  </si>
  <si>
    <t xml:space="preserve">SELL STOP at 3320.06 filled at 3320.020 ($0.04 worse). SL $6.00 away = $30 risk. Price went against it; stopped at 3326.120 after 3m35s: -$30.50 (-1.02R).</t>
  </si>
  <si>
    <t xml:space="preserve">SELL STOP at 3335.70 filled at 3335.240 ($0.46 worse). SL $6.00 away = $30 risk. Closed by the EA itself (account guard / blackout / instant close) at 3334.800 after 10m43s: +$2.20 (+0.07R).</t>
  </si>
  <si>
    <t xml:space="preserve">SELL STOP at 3319.50 filled at 3317.530 ($1.97 worse). SL $6.00 away = $30 risk. Closed by the EA itself (account guard / blackout / instant close) at 3317.040 after 15s: +$2.45 (+0.08R).</t>
  </si>
  <si>
    <t xml:space="preserve">SELL STOP at 3333.17 filled at 3333.110 ($0.06 worse). SL $6.00 away = $30 risk. Price went against it; stopped at 3339.200 after 26m00s: -$30.45 (-1.01R).</t>
  </si>
  <si>
    <t xml:space="preserve">BUY STOP at 3352.03 filled at 3352.030 ($0.00 better). SL $6.00 away = $30 risk. Closed by the EA itself (account guard / blackout / instant close) at 3352.530 after 1m25s: +$2.50 (+0.08R).</t>
  </si>
  <si>
    <t xml:space="preserve">BUY STOP at 3361.04 filled at 3361.070 ($0.03 worse). SL $6.00 away = $30 risk. Reached the take profit at 3391.050 after 8h35m: +$149.90 (+5.00R).</t>
  </si>
  <si>
    <t xml:space="preserve">BUY STOP at 3401.34 filled at 3401.470 ($0.13 worse). SL $6.00 away = $36 risk. Price went against it; stopped at 3395.330 after 58m45s: -$36.84 (-1.02R).</t>
  </si>
  <si>
    <t xml:space="preserve">SELL STOP at 3384.50 filled at 3384.400 ($0.10 worse). SL $6.00 away = $36 risk. Price went against it; stopped at 3390.530 after 2h50m: -$36.78 (-1.02R).</t>
  </si>
  <si>
    <t xml:space="preserve">BUY STOP at 3433.28 filled at 3433.300 ($0.02 worse). SL $6.00 away = $30 risk. Price went against it; stopped at 3427.180 after 33m30s: -$30.60 (-1.02R).</t>
  </si>
  <si>
    <t xml:space="preserve">BUY STOP at 3425.06 filled at 3425.120 ($0.06 worse). SL $6.00 away = $30 risk. Closed by the EA itself (account guard / blackout / instant close) at 3425.560 after 44m05s: +$2.20 (+0.07R).</t>
  </si>
  <si>
    <t xml:space="preserve">SELL STOP at 3381.22 filled at 3381.020 ($0.20 worse). SL $6.00 away = $30 risk. Price went against it; stopped at 3387.250 after 6m30s: -$31.15 (-1.04R).</t>
  </si>
  <si>
    <t xml:space="preserve">SELL STOP at 3374.22 filled at 3374.160 ($0.06 worse). SL $6.00 away = $30 risk. Closed by the EA itself (account guard / blackout / instant close) at 3373.730 after 16m35s: +$2.15 (+0.07R).</t>
  </si>
  <si>
    <t xml:space="preserve">SELL STOP at 3355.09 filled at 3355.050 ($0.04 worse). SL $6.00 away = $30 risk. Closed by the EA itself (account guard / blackout / instant close) at 3340.450 after 13h04m: +$73.00 (+2.43R).</t>
  </si>
  <si>
    <t xml:space="preserve">BUY STOP at 3343.90 filled at 3343.920 ($0.02 worse). SL $6.00 away = $36 risk. Price went against it; stopped at 3337.850 after 31m06s: -$36.42 (-1.01R).</t>
  </si>
  <si>
    <t xml:space="preserve">BUY STOP at 3333.91 filled at 3333.910 ($0.00 better). SL $6.00 away = $30 risk. Price went against it; stopped at 3327.910 after 13m15s: -$30.00 (-1.00R).</t>
  </si>
  <si>
    <t xml:space="preserve">SELL STOP at 3324.17 filled at 3324.130 ($0.04 worse). SL $6.00 away = $30 risk. Price went against it; stopped at 3330.200 after 1h05m: -$30.35 (-1.01R).</t>
  </si>
  <si>
    <t xml:space="preserve">BUY STOP at 3301.39 filled at 3301.470 ($0.08 worse). SL $6.00 away = $30 risk. Closed by the EA itself (account guard / blackout / instant close) at 3301.960 after 6m07s: +$2.45 (+0.08R).</t>
  </si>
  <si>
    <t xml:space="preserve">SELL STOP at 3289.84 filled at 3289.690 ($0.15 worse). SL $6.00 away = $30 risk. Closed by the EA itself (account guard / blackout / instant close) at 3289.230 after 41m51s: +$2.30 (+0.08R).</t>
  </si>
  <si>
    <t xml:space="preserve">BUY STOP at 3314.71 filled at 3314.800 ($0.09 worse). SL $6.00 away = $30 risk. Closed by the EA itself (account guard / blackout / instant close) at 3314.930 after 59s: +$0.65 (+0.02R).</t>
  </si>
  <si>
    <t xml:space="preserve">SELL STOP at 3355.30 filled at 3355.300 ($0.00 better). SL $6.00 away = $30 risk. Price went against it; stopped at 3361.380 after 18m03s: -$30.40 (-1.01R).</t>
  </si>
  <si>
    <t xml:space="preserve">SELL STOP at 3367.50 filled at 3367.500 ($0.00 better). SL $6.00 away = $30 risk. Price went against it; stopped at 3373.500 after 41m36s: -$30.00 (-1.00R).</t>
  </si>
  <si>
    <t xml:space="preserve">BUY STOP at 3385.21 filled at 3385.210 ($0.00 better). SL $6.00 away = $30 risk. Closed by the EA itself (account guard / blackout / instant close) at 3385.630 after 33m03s: +$2.10 (+0.07R).</t>
  </si>
  <si>
    <t xml:space="preserve">BUY STOP at 3376.30 filled at 3376.300 ($0.00 better). SL $6.00 away = $30 risk. Closed by the EA itself (account guard / blackout / instant close) at 3376.800 after 39m56s: +$2.50 (+0.08R).</t>
  </si>
  <si>
    <t xml:space="preserve">BUY STOP at 3380.83 filled at 3380.910 ($0.08 worse). SL $6.00 away = $30 risk. Closed by the EA itself (account guard / blackout / instant close) at 3381.360 after 1h39m: +$2.25 (+0.07R).</t>
  </si>
  <si>
    <t xml:space="preserve">SELL STOP at 3389.94 filled at 3389.940 ($0.00 better). SL $6.00 away = $30 risk. Price went against it; stopped at 3396.100 after 23m49s: -$30.80 (-1.03R).</t>
  </si>
  <si>
    <t xml:space="preserve">SELL STOP at 3373.29 filled at 3372.580 ($0.71 worse). SL $6.00 away = $30 risk. Closed by the EA itself (account guard / blackout / instant close) at 3372.100 after 4m06s: +$2.40 (+0.08R).</t>
  </si>
  <si>
    <t xml:space="preserve">SELL STOP at 3373.82 filled at 3373.780 ($0.04 worse). SL $6.00 away = $30 risk. Reached the take profit at 3343.680 after 8h34m: +$150.50 (+5.02R).</t>
  </si>
  <si>
    <t xml:space="preserve">SELL STOP at 3348.45 filled at 3348.450 ($0.00 better). SL $6.00 away = $30 risk. Closed by the EA itself (account guard / blackout / instant close) at 3348.080 after 25m57s: +$1.85 (+0.06R).</t>
  </si>
  <si>
    <t xml:space="preserve">SELL STOP at 3340.81 filled at 3340.800 ($0.01 worse). SL $6.00 away = $30 risk. Closed by the EA itself (account guard / blackout / instant close) at 3340.350 after 17m06s: +$2.25 (+0.07R).</t>
  </si>
  <si>
    <t xml:space="preserve">BUY STOP at 3352.15 filled at 3352.240 ($0.09 worse). SL $6.00 away = $30 risk. Closed by the EA itself (account guard / blackout / instant close) at 3352.710 after 2h01m: +$2.35 (+0.08R).</t>
  </si>
  <si>
    <t xml:space="preserve">BUY STOP at 3370.51 filled at 3370.600 ($0.09 worse). SL $6.00 away = $30 risk. Closed by the EA itself (account guard / blackout / instant close) at 3371.080 after 12m43s: +$2.40 (+0.08R).</t>
  </si>
  <si>
    <t xml:space="preserve">SELL STOP at 3356.03 filled at 3355.950 ($0.08 worse). SL $6.00 away = $30 risk. Price went against it; stopped at 3362.050 after 52m48s: -$30.50 (-1.02R).</t>
  </si>
  <si>
    <t xml:space="preserve">SELL STOP at 3341.75 filled at 3341.730 ($0.02 worse). SL $6.00 away = $30 risk. Price went against it; stopped at 3347.750 after 1h56m: -$30.10 (-1.00R).</t>
  </si>
  <si>
    <t xml:space="preserve">SELL STOP at 3331.95 filled at 3331.140 ($0.81 worse). SL $6.00 away = $30 risk. Closed by the EA itself (account guard / blackout / instant close) at 3330.650 after 53m53s: +$2.45 (+0.08R).</t>
  </si>
  <si>
    <t xml:space="preserve">SELL STOP at 3346.32 filled at 3346.320 ($0.00 better). SL $6.00 away = $30 risk. Price went against it; stopped at 3352.330 after 48m36s: -$30.05 (-1.00R).</t>
  </si>
  <si>
    <t xml:space="preserve">BUY STOP at 3340.47 filled at 3340.470 ($0.00 better). SL $6.00 away = $30 risk. Closed by the EA itself (account guard / blackout / instant close) at 3340.920 after 4h21m: +$2.25 (+0.07R).</t>
  </si>
  <si>
    <t xml:space="preserve">SELL STOP at 3323.34 filled at 3323.270 ($0.07 worse). SL $6.00 away = $30 risk. Closed by the EA itself (account guard / blackout / instant close) at 3322.810 after 5m08s: +$2.30 (+0.08R).</t>
  </si>
  <si>
    <t xml:space="preserve">SELL STOP at 3314.78 filled at 3314.740 ($0.04 worse). SL $6.00 away = $30 risk. Closed by the EA itself (account guard / blackout / instant close) at 3314.380 after 1h18m: +$1.80 (+0.06R).</t>
  </si>
  <si>
    <t xml:space="preserve">SELL STOP at 3336.88 filled at 3336.860 ($0.02 worse). SL $6.00 away = $30 risk. Closed by the EA itself (account guard / blackout / instant close) at 3336.470 after 19m11s: +$1.95 (+0.06R).</t>
  </si>
  <si>
    <t xml:space="preserve">SELL STOP at 3327.02 filled at 3326.970 ($0.05 worse). SL $6.00 away = $30 risk. Price went against it; stopped at 3333.050 after 42m10s: -$30.40 (-1.01R).</t>
  </si>
  <si>
    <t xml:space="preserve">SELL STOP at 3324.95 filled at 3324.940 ($0.01 worse). SL $6.00 away = $30 risk. Closed by the EA itself (account guard / blackout / instant close) at 3324.710 after 23m36s: +$1.15 (+0.04R).</t>
  </si>
  <si>
    <t xml:space="preserve">BUY STOP at 3367.46 filled at 3367.490 ($0.03 worse). SL $6.00 away = $30 risk. Closed by the EA itself (account guard / blackout / instant close) at 3367.980 after 1h06m: +$2.45 (+0.08R).</t>
  </si>
  <si>
    <t xml:space="preserve">SELL STOP at 3359.50 filled at 3359.400 ($0.10 worse). SL $6.00 away = $30 risk. Closed by the EA itself (account guard / blackout / instant close) at 3358.900 after 51m43s: +$2.50 (+0.08R).</t>
  </si>
  <si>
    <t xml:space="preserve">SELL STOP at 3371.98 filled at 3371.980 ($0.00 better). SL $6.00 away = $30 risk. Closed by the EA itself (account guard / blackout / instant close) at 3371.480 after 16m17s: +$2.50 (+0.08R).</t>
  </si>
  <si>
    <t xml:space="preserve">BUY STOP at 3381.03 filled at 3381.040 ($0.01 worse). SL $6.00 away = $30 risk. Price went against it; stopped at 3374.980 after 46m57s: -$30.30 (-1.01R).</t>
  </si>
  <si>
    <t xml:space="preserve">BUY STOP at 3392.06 filled at 3392.130 ($0.07 worse). SL $6.00 away = $30 risk. Closed by the EA itself (account guard / blackout / instant close) at 3418.310 after 13h09m: +$130.90 (+4.36R).</t>
  </si>
  <si>
    <t xml:space="preserve">BUY STOP at 3411.19 filled at 3411.400 ($0.21 worse). SL $6.00 away = $30 risk. Closed by the EA itself (account guard / blackout / instant close) at 3411.830 after 2h23m: +$2.15 (+0.07R).</t>
  </si>
  <si>
    <t xml:space="preserve">BUY STOP at 3423.07 filled at 3423.190 ($0.12 worse). SL $6.00 away = $30 risk. Closed by the EA itself (account guard / blackout / instant close) at 3423.680 after 7m03s: +$2.45 (+0.08R).</t>
  </si>
  <si>
    <t xml:space="preserve">BUY STOP at 3453.57 filled at 3453.620 ($0.05 worse). SL $6.00 away = $30 risk. Reached the take profit at 3483.640 after 59m31s: +$150.10 (+5.00R).</t>
  </si>
  <si>
    <t xml:space="preserve">BUY STOP at 3482.49 filled at 3482.560 ($0.07 worse). SL $6.00 away = $36 risk. Closed by the EA itself (account guard / blackout / instant close) at 3482.940 after 18m20s: +$2.28 (+0.06R).</t>
  </si>
  <si>
    <t xml:space="preserve">BUY STOP at 3489.60 filled at 3489.670 ($0.07 worse). SL $6.00 away = $36 risk. Closed by the EA itself (account guard / blackout / instant close) at 3489.630 after 36m06s: -$0.24 (-0.01R).</t>
  </si>
  <si>
    <t xml:space="preserve">SELL STOP at 3491.56 filled at 3491.550 ($0.01 worse). SL $6.00 away = $36 risk. Closed by the EA itself (account guard / blackout / instant close) at 3491.050 after 5h57m: +$3.00 (+0.08R).</t>
  </si>
  <si>
    <t xml:space="preserve">BUY STOP at 3539.85 filled at 3539.960 ($0.11 worse). SL $6.00 away = $36 risk. Closed by the EA itself (account guard / blackout / instant close) at 3540.230 after 3m49s: +$1.62 (+0.05R).</t>
  </si>
  <si>
    <t xml:space="preserve">BUY STOP at 3538.07 filled at 3538.260 ($0.19 worse). SL $6.00 away = $36 risk. Closed by the EA itself (account guard / blackout / instant close) at 3538.480 after 25m06s: +$1.32 (+0.04R).</t>
  </si>
  <si>
    <t xml:space="preserve">SELL STOP at 3525.85 filled at 3525.830 ($0.02 worse). SL $6.00 away = $36 risk. Closed by the EA itself (account guard / blackout / instant close) at 3525.580 after 10m46s: +$1.50 (+0.04R).</t>
  </si>
  <si>
    <t xml:space="preserve">SELL STOP at 3525.18 filled at 3525.060 ($0.12 worse). SL $6.00 away = $36 risk. Price went against it; stopped at 3531.220 after 10m59s: -$36.96 (-1.03R).</t>
  </si>
  <si>
    <t xml:space="preserve">SELL STOP at 3555.37 filled at 3555.370 ($0.00 better). SL $6.00 away = $36 risk. Closed by the EA itself (account guard / blackout / instant close) at 3554.920 after 5h07m: +$2.70 (+0.08R).</t>
  </si>
  <si>
    <t xml:space="preserve">BUY STOP at 3564.00 filled at 3572.410 ($8.41 worse). SL $6.00 away = $36 risk. Closed by the EA itself (account guard / blackout / instant close) at 3571.780 after 1m45s: -$3.78 (-0.10R).</t>
  </si>
  <si>
    <t xml:space="preserve">BUY STOP at 3599.91 filled at 3599.930 ($0.02 worse). SL $6.00 away = $36 risk. Reached the take profit at 3630.010 after 6h05m: +$180.48 (+5.01R).</t>
  </si>
  <si>
    <t xml:space="preserve">BUY STOP at 3646.12 filled at 3646.160 ($0.04 worse). SL $6.00 away = $36 risk. Closed by the EA itself (account guard / blackout / instant close) at 3646.600 after 1h39m: +$2.64 (+0.07R).</t>
  </si>
  <si>
    <t xml:space="preserve">SELL STOP at 3645.50 filled at 3645.430 ($0.07 worse). SL $6.00 away = $36 risk. Closed by the EA itself (account guard / blackout / instant close) at 3644.970 after 25s: +$2.76 (+0.08R).</t>
  </si>
  <si>
    <t xml:space="preserve">BUY STOP at 3645.06 filled at 3645.130 ($0.07 worse). SL $6.00 away = $36 risk. Closed by the EA itself (account guard / blackout / instant close) at 3645.610 after 12m39s: +$2.88 (+0.08R).</t>
  </si>
  <si>
    <t xml:space="preserve">SELL STOP at 3623.23 filled at 3623.220 ($0.01 worse). SL $6.00 away = $36 risk. Price went against it; stopped at 3629.250 after 5m02s: -$36.18 (-1.00R).</t>
  </si>
  <si>
    <t xml:space="preserve">SELL STOP at 3618.51 filled at 3618.480 ($0.03 worse). SL $6.00 away = $36 risk. Closed by the EA itself (account guard / blackout / instant close) at 3618.010 after 3m50s: +$2.82 (+0.08R).</t>
  </si>
  <si>
    <t xml:space="preserve">BUY STOP at 3648.90 filled at 3648.900 ($0.00 better). SL $6.00 away = $36 risk. Closed by the EA itself (account guard / blackout / instant close) at 3649.390 after 1h11m: +$2.94 (+0.08R).</t>
  </si>
  <si>
    <t xml:space="preserve">SELL STOP at 3651.39 filled at 3651.370 ($0.02 worse). SL $6.00 away = $36 risk. Closed by the EA itself (account guard / blackout / instant close) at 3650.870 after 45m59s: +$3.00 (+0.08R).</t>
  </si>
  <si>
    <t xml:space="preserve">SELL STOP at 3630.30 filled at 3630.240 ($0.06 worse). SL $6.00 away = $36 risk. Closed by the EA itself (account guard / blackout / instant close) at 3629.790 after 12m49s: +$2.70 (+0.08R).</t>
  </si>
  <si>
    <t xml:space="preserve">SELL STOP at 3641.98 filled at 3641.970 ($0.01 worse). SL $6.00 away = $36 risk. Closed by the EA itself (account guard / blackout / instant close) at 3641.530 after 1h36m: +$2.64 (+0.07R).</t>
  </si>
  <si>
    <t xml:space="preserve">BUY STOP at 3685.35 filled at 3685.350 ($0.00 better). SL $6.00 away = $36 risk. Closed by the EA itself (account guard / blackout / instant close) at 3685.770 after 30m05s: +$2.52 (+0.07R).</t>
  </si>
  <si>
    <t xml:space="preserve">BUY STOP at 3685.27 filled at 3685.320 ($0.05 worse). SL $6.00 away = $36 risk. Closed by the EA itself (account guard / blackout / instant close) at 3685.820 after 6h44m: +$3.00 (+0.08R).</t>
  </si>
  <si>
    <t xml:space="preserve">SELL STOP at 3674.46 filled at 3674.460 ($0.00 better). SL $6.00 away = $36 risk. Price went against it; stopped at 3680.460 after 4m17s: -$36.00 (-1.00R).</t>
  </si>
  <si>
    <t xml:space="preserve">SELL STOP at 3675.59 filled at 3675.580 ($0.01 worse). SL $6.00 away = $36 risk. Closed by the EA itself (account guard / blackout / instant close) at 3675.080 after 40m42s: +$3.00 (+0.08R).</t>
  </si>
  <si>
    <t xml:space="preserve">SELL STOP at 3649.09 filled at 3649.050 ($0.04 worse). SL $6.00 away = $36 risk. Closed by the EA itself (account guard / blackout / instant close) at 3648.570 after 1h18m: +$2.88 (+0.08R).</t>
  </si>
  <si>
    <t xml:space="preserve">SELL STOP at 3651.07 filled at 3651.050 ($0.02 worse). SL $6.00 away = $36 risk. Closed by the EA itself (account guard / blackout / instant close) at 3650.580 after 25m08s: +$2.82 (+0.08R).</t>
  </si>
  <si>
    <t xml:space="preserve">BUY STOP at 3672.79 filled at 3672.970 ($0.18 worse). SL $6.00 away = $36 risk. Closed by the EA itself (account guard / blackout / instant close) at 3673.450 after 11m02s: +$2.88 (+0.08R).</t>
  </si>
  <si>
    <t xml:space="preserve">BUY STOP at 3700.05 filled at 3700.270 ($0.22 worse). SL $6.00 away = $36 risk. Reached the take profit at 3730.050 after 9h21m: +$178.68 (+4.96R).</t>
  </si>
  <si>
    <t xml:space="preserve">BUY STOP at 3748.54 filled at 3748.700 ($0.16 worse). SL $6.00 away = $36 risk. Closed by the EA itself (account guard / blackout / instant close) at 3749.180 after 2h04m: +$2.88 (+0.08R).</t>
  </si>
  <si>
    <t xml:space="preserve">BUY STOP at 3758.62 filled at 3758.680 ($0.06 worse). SL $6.00 away = $36 risk. Reached the take profit at 3788.650 after 1h04m: +$179.82 (+5.00R).</t>
  </si>
  <si>
    <t xml:space="preserve">BUY STOP at 3776.80 filled at 3776.810 ($0.01 worse). SL $6.00 away = $42 risk. Closed by the EA itself (account guard / blackout / instant close) at 3777.190 after 23m46s: +$2.66 (+0.06R).</t>
  </si>
  <si>
    <t xml:space="preserve">SELL STOP at 3736.46 filled at 3736.430 ($0.03 worse). SL $6.00 away = $42 risk. Closed by the EA itself (account guard / blackout / instant close) at 3735.980 after 10m34s: +$3.15 (+0.07R).</t>
  </si>
  <si>
    <t xml:space="preserve">BUY STOP at 3741.14 filled at 3741.220 ($0.08 worse). SL $6.00 away = $42 risk. Closed by the EA itself (account guard / blackout / instant close) at 3741.710 after 31m13s: +$3.43 (+0.08R).</t>
  </si>
  <si>
    <t xml:space="preserve">SELL STOP at 3741.38 filled at 3741.110 ($0.27 worse). SL $6.00 away = $42 risk. Price went against it; stopped at 3747.480 after 8m31s: -$44.59 (-1.06R).</t>
  </si>
  <si>
    <t xml:space="preserve">BUY STOP at 3761.43 filled at 3761.530 ($0.10 worse). SL $6.00 away = $36 risk. Closed by the EA itself (account guard / blackout / instant close) at 3761.790 after 9m30s: +$1.56 (+0.04R).</t>
  </si>
  <si>
    <t xml:space="preserve">BUY STOP at 3783.60 filled at 3783.600 ($0.00 better). SL $6.00 away = $36 risk. Closed by the EA itself (account guard / blackout / instant close) at 3783.980 after 4m39s: +$2.28 (+0.06R).</t>
  </si>
  <si>
    <t xml:space="preserve">BUY STOP at 3814.31 filled at 3814.350 ($0.04 worse). SL $6.00 away = $36 risk. Closed by the EA itself (account guard / blackout / instant close) at 3814.680 after 18m15s: +$1.98 (+0.06R).</t>
  </si>
  <si>
    <t xml:space="preserve">BUY STOP at 3834.01 filled at 3834.160 ($0.15 worse). SL $6.00 away = $36 risk. Closed by the EA itself (account guard / blackout / instant close) at 3834.540 after 4m49s: +$2.28 (+0.06R).</t>
  </si>
  <si>
    <t xml:space="preserve">BUY STOP at 3870.17 filled at 3870.170 ($0.00 better). SL $6.00 away = $42 risk. Price went against it; stopped at 3864.100 after 17m52s: -$42.49 (-1.01R).</t>
  </si>
  <si>
    <t xml:space="preserve">BUY STOP at 3871.51 filled at 3871.520 ($0.01 worse). SL $6.00 away = $36 risk. Closed by the EA itself (account guard / blackout / instant close) at 3871.950 after 2m30s: +$2.58 (+0.07R).</t>
  </si>
  <si>
    <t xml:space="preserve">SELL STOP at 3857.30 filled at 3857.290 ($0.01 worse). SL $6.00 away = $36 risk. Closed by the EA itself (account guard / blackout / instant close) at 3856.790 after 5m52s: +$3.00 (+0.08R).</t>
  </si>
  <si>
    <t xml:space="preserve">SELL STOP at 3853.06 filled at 3852.980 ($0.08 worse). SL $6.00 away = $36 risk. Price went against it; stopped at 3859.420 after 10m38s: -$38.64 (-1.07R).</t>
  </si>
  <si>
    <t xml:space="preserve">BUY STOP at 3870.91 filled at 3870.940 ($0.03 worse). SL $6.00 away = $36 risk. Closed by the EA itself (account guard / blackout / instant close) at 3871.430 after 28m52s: +$2.94 (+0.08R).</t>
  </si>
  <si>
    <t xml:space="preserve">BUY STOP at 3858.97 filled at 3858.980 ($0.01 worse). SL $6.00 away = $36 risk. Closed by the EA itself (account guard / blackout / instant close) at 3859.460 after 5h07m: +$2.88 (+0.08R).</t>
  </si>
  <si>
    <t xml:space="preserve">SELL STOP at 3927.07 filled at 3927.060 ($0.01 worse). SL $6.00 away = $36 risk. Closed by the EA itself (account guard / blackout / instant close) at 3926.750 after 55s: +$1.86 (+0.05R).</t>
  </si>
  <si>
    <t xml:space="preserve">SELL STOP at 3959.75 filled at 3959.660 ($0.09 worse). SL $6.00 away = $36 risk. Price went against it; stopped at 3965.810 after 16m44s: -$36.90 (-1.02R).</t>
  </si>
  <si>
    <t xml:space="preserve">BUY STOP at 3990.85 filled at 3990.930 ($0.08 worse). SL $6.00 away = $36 risk. Closed by the EA itself (account guard / blackout / instant close) at 3991.350 after 2h13m: +$2.52 (+0.07R).</t>
  </si>
  <si>
    <t xml:space="preserve">BUY STOP at 4036.79 filled at 4036.800 ($0.01 worse). SL $6.00 away = $36 risk. Closed by the EA itself (account guard / blackout / instant close) at 4037.300 after 1m39s: +$3.00 (+0.08R).</t>
  </si>
  <si>
    <t xml:space="preserve">SELL STOP at 4026.62 filled at 4026.580 ($0.04 worse). SL $6.00 away = $36 risk. Closed by the EA itself (account guard / blackout / instant close) at 4026.300 after 4m56s: +$1.68 (+0.05R).</t>
  </si>
  <si>
    <t xml:space="preserve">SELL STOP at 3982.75 filled at 3982.740 ($0.01 worse). SL $6.00 away = $36 risk. Closed by the EA itself (account guard / blackout / instant close) at 3982.400 after 1m01s: +$2.04 (+0.06R).</t>
  </si>
  <si>
    <t xml:space="preserve">BUY STOP at 3977.58 filled at 3977.680 ($0.10 worse). SL $6.00 away = $36 risk. Closed by the EA itself (account guard / blackout / instant close) at 3978.010 after 3m00s: +$1.98 (+0.06R).</t>
  </si>
  <si>
    <t xml:space="preserve">BUY STOP at 4077.75 filled at 4077.800 ($0.05 worse). SL $6.00 away = $36 risk. Price went against it; stopped at 4071.650 after 9m42s: -$36.90 (-1.02R).</t>
  </si>
  <si>
    <t xml:space="preserve">BUY STOP at 4117.01 filled at 4117.280 ($0.27 worse). SL $6.00 away = $36 risk. Reached the take profit at 4147.070 after 2h11m: +$178.74 (+4.96R).</t>
  </si>
  <si>
    <t xml:space="preserve">SELL STOP at 4110.45 filled at 4110.120 ($0.33 worse). SL $6.00 away = $42 risk. Closed by the EA itself (account guard / blackout / instant close) at 4109.750 after 23s: +$2.59 (+0.06R).</t>
  </si>
  <si>
    <t xml:space="preserve">BUY STOP at 4179.36 filled at 4179.520 ($0.16 worse). SL $6.00 away = $42 risk. Closed by the EA itself (account guard / blackout / instant close) at 4179.770 after 6m22s: +$1.75 (+0.04R).</t>
  </si>
  <si>
    <t xml:space="preserve">BUY STOP at 4193.32 filled at 4193.320 ($0.00 better). SL $6.00 away = $42 risk. Price went against it; stopped at 4187.290 after 8m49s: -$42.21 (-1.00R).</t>
  </si>
  <si>
    <t xml:space="preserve">BUY STOP at 4218.00 filled at 4218.000 ($0.00 better). SL $6.00 away = $42 risk. Closed by the EA itself (account guard / blackout / instant close) at 4218.450 after 32m02s: +$3.15 (+0.07R).</t>
  </si>
  <si>
    <t xml:space="preserve">BUY STOP at 4239.19 filled at 4239.270 ($0.08 worse). SL $6.00 away = $42 risk. Closed by the EA itself (account guard / blackout / instant close) at 4239.720 after 1m15s: +$3.15 (+0.07R).</t>
  </si>
  <si>
    <t xml:space="preserve">SELL STOP at 4341.63 filled at 4341.570 ($0.06 worse). SL $6.00 away = $42 risk. Closed by the EA itself (account guard / blackout / instant close) at 4341.270 after 3m41s: +$2.10 (+0.05R).</t>
  </si>
  <si>
    <t xml:space="preserve">SELL STOP at 4199.29 filled at 4199.250 ($0.04 worse). SL $6.00 away = $42 risk. Closed by the EA itself (account guard / blackout / instant close) at 4200.390 after 2m58s: -$7.98 (-0.19R).</t>
  </si>
  <si>
    <t xml:space="preserve">SELL STOP at 4239.36 filled at 4238.880 ($0.48 worse). SL $6.00 away = $42 risk. Closed by the EA itself (account guard / blackout / instant close) at 4238.440 after 5m36s: +$3.08 (+0.07R).</t>
  </si>
  <si>
    <t xml:space="preserve">SELL STOP at 4316.97 filled at 4316.950 ($0.02 worse). SL $6.00 away = $42 risk. Price went against it; stopped at 4323.040 after 2m28s: -$42.63 (-1.01R).</t>
  </si>
  <si>
    <t xml:space="preserve">SELL STOP at 4218.51 filled at 4216.370 ($2.14 worse). SL $6.00 away = $36 risk. Price went against it; stopped at 4225.020 after 37s: -$51.90 (-1.44R).</t>
  </si>
  <si>
    <t xml:space="preserve">SELL STOP at 4078.26 filled at 4067.480 ($10.78 worse). SL $6.00 away = $36 risk. Closed by the EA itself (account guard / blackout / instant close) at 4068.360 after 5s: -$5.28 (-0.15R).</t>
  </si>
  <si>
    <t xml:space="preserve">BUY STOP at 4146.75 filled at 4146.920 ($0.17 worse). SL $6.00 away = $36 risk. Closed by the EA itself (account guard / blackout / instant close) at 4147.300 after 32m25s: +$2.28 (+0.06R).</t>
  </si>
  <si>
    <t xml:space="preserve">SELL STOP at 4065.41 filled at 4065.010 ($0.40 worse). SL $6.00 away = $36 risk. Closed by the EA itself (account guard / blackout / instant close) at 4064.750 after 32m04s: +$1.56 (+0.04R).</t>
  </si>
  <si>
    <t xml:space="preserve">BUY STOP at 4123.05 filled at 4123.310 ($0.26 worse). SL $6.00 away = $36 risk. Closed by the EA itself (account guard / blackout / instant close) at 4123.770 after 10m10s: +$2.76 (+0.08R).</t>
  </si>
  <si>
    <t xml:space="preserve">BUY STOP at 4084.30 filled at 4084.430 ($0.13 worse). SL $6.00 away = $36 risk. Price went against it; stopped at 4077.900 after 3m33s: -$39.18 (-1.09R).</t>
  </si>
  <si>
    <t xml:space="preserve">SELL STOP at 4043.62 filled at 4039.820 ($3.80 worse). SL $6.00 away = $36 risk. Closed by the EA itself (account guard / blackout / instant close) at 4039.320 after 5m29s: +$3.00 (+0.08R).</t>
  </si>
  <si>
    <t xml:space="preserve">SELL STOP at 3971.07 filled at 3970.850 ($0.22 worse). SL $6.00 away = $36 risk. Closed by the EA itself (account guard / blackout / instant close) at 3970.360 after 55s: +$2.94 (+0.08R).</t>
  </si>
  <si>
    <t xml:space="preserve">SELL STOP at 3958.90 filled at 3958.500 ($0.40 worse). SL $6.00 away = $36 risk. Closed by the EA itself (account guard / blackout / instant close) at 3958.110 after 2m53s: +$2.34 (+0.07R).</t>
  </si>
  <si>
    <t xml:space="preserve">BUY STOP at 3966.07 filled at 3966.080 ($0.01 worse). SL $6.00 away = $36 risk. Closed by the EA itself (account guard / blackout / instant close) at 3966.560 after 8m00s: +$2.88 (+0.08R).</t>
  </si>
  <si>
    <t xml:space="preserve">BUY STOP at 4019.41 filled at 4019.540 ($0.13 worse). SL $6.00 away = $36 risk. Price went against it; stopped at 4013.380 after 13m51s: -$36.96 (-1.03R).</t>
  </si>
  <si>
    <t xml:space="preserve">BUY STOP at 3982.30 filled at 3982.390 ($0.09 worse). SL $6.00 away = $36 risk. Closed by the EA itself (account guard / blackout / instant close) at 3982.760 after 38s: +$2.22 (+0.06R).</t>
  </si>
  <si>
    <t xml:space="preserve">BUY STOP at 4026.95 filled at 4027.460 ($0.51 worse). SL $6.00 away = $36 risk. Closed by the EA itself (account guard / blackout / instant close) at 4027.730 after 38m26s: +$1.62 (+0.05R).</t>
  </si>
  <si>
    <t xml:space="preserve">BUY STOP at 4010.97 filled at 4011.270 ($0.30 worse). SL $6.00 away = $36 risk. Closed by the EA itself (account guard / blackout / instant close) at 4011.630 after 13m32s: +$2.16 (+0.06R).</t>
  </si>
  <si>
    <t xml:space="preserve">SELL STOP at 3971.97 filled at 3970.810 ($1.16 worse). SL $6.00 away = $36 risk. Closed by the EA itself (account guard / blackout / instant close) at 3970.480 after 2m02s: +$1.98 (+0.06R).</t>
  </si>
  <si>
    <t xml:space="preserve">BUY STOP at 4018.34 filled at 4018.530 ($0.19 worse). SL $6.00 away = $36 risk. Closed by the EA itself (account guard / blackout / instant close) at 4019.030 after 40s: +$3.00 (+0.08R).</t>
  </si>
  <si>
    <t xml:space="preserve">BUY STOP at 3987.91 filled at 3988.000 ($0.09 worse). SL $6.00 away = $36 risk. Closed by the EA itself (account guard / blackout / instant close) at 3988.260 after 1m58s: +$1.56 (+0.04R).</t>
  </si>
  <si>
    <t xml:space="preserve">SELL STOP at 3962.33 filled at 3960.550 ($1.78 worse). SL $6.00 away = $36 risk. Reached the take profit at 3931.520 after 11m14s: +$174.18 (+4.84R).</t>
  </si>
  <si>
    <t xml:space="preserve">BUY STOP at 3978.35 filled at 3978.410 ($0.06 worse). SL $6.00 away = $42 risk. Closed by the EA itself (account guard / blackout / instant close) at 3978.840 after 18m25s: +$3.01 (+0.07R).</t>
  </si>
  <si>
    <t xml:space="preserve">BUY STOP at 3990.24 filled at 3990.250 ($0.01 worse). SL $6.00 away = $42 risk. Price went against it; stopped at 3984.130 after 3h06m: -$42.84 (-1.02R).</t>
  </si>
  <si>
    <t xml:space="preserve">SELL STOP at 3982.04 filled at 3981.980 ($0.06 worse). SL $6.00 away = $42 risk. Closed by the EA itself (account guard / blackout / instant close) at 3981.510 after 1m30s: +$3.29 (+0.08R).</t>
  </si>
  <si>
    <t xml:space="preserve">BUY STOP at 4008.34 filled at 4008.410 ($0.07 worse). SL $6.00 away = $42 risk. Closed by the EA itself (account guard / blackout / instant close) at 4008.710 after 2h00m: +$2.10 (+0.05R).</t>
  </si>
  <si>
    <t xml:space="preserve">BUY STOP at 4019.28 filled at 4019.480 ($0.20 worse). SL $6.00 away = $42 risk. Closed by the EA itself (account guard / blackout / instant close) at 4019.930 after 7m07s: +$3.15 (+0.07R).</t>
  </si>
  <si>
    <t xml:space="preserve">BUY STOP at 4027.23 filled at 4027.240 ($0.01 worse). SL $6.00 away = $42 risk. Reached the take profit at 4057.350 after 4h18m: +$210.77 (+5.02R).</t>
  </si>
  <si>
    <t xml:space="preserve">BUY STOP at 4078.32 filled at 4078.360 ($0.04 worse). SL $6.00 away = $42 risk. Price went against it; stopped at 4072.320 after 9m54s: -$42.28 (-1.01R).</t>
  </si>
  <si>
    <t xml:space="preserve">BUY STOP at 4144.18 filled at 4144.210 ($0.03 worse). SL $6.00 away = $42 risk. Price went against it; stopped at 4138.130 after 52m46s: -$42.56 (-1.01R).</t>
  </si>
  <si>
    <t xml:space="preserve">BUY STOP at 4148.76 filled at 4149.470 ($0.71 worse). SL $6.00 away = $42 risk. Reached the take profit at 4179.050 after 24m30s: +$207.06 (+4.93R).</t>
  </si>
  <si>
    <t xml:space="preserve">BUY STOP at 4211.50 filled at 4211.530 ($0.03 worse). SL $6.00 away = $42 risk. Closed by the EA itself (account guard / blackout / instant close) at 4212.000 after 22m36s: +$3.29 (+0.08R).</t>
  </si>
  <si>
    <t xml:space="preserve">BUY STOP at 4217.55 filled at 4217.560 ($0.01 worse). SL $6.00 away = $42 risk. Closed by the EA itself (account guard / blackout / instant close) at 4218.040 after 6h42m: +$3.36 (+0.08R).</t>
  </si>
  <si>
    <t xml:space="preserve">SELL STOP at 4169.40 filled at 4169.220 ($0.18 worse). SL $6.00 away = $42 risk. Price went against it; stopped at 4175.440 after 2m08s: -$43.54 (-1.04R).</t>
  </si>
  <si>
    <t xml:space="preserve">SELL STOP at 4144.97 filled at 4144.750 ($0.22 worse). SL $6.00 away = $42 risk. Closed by the EA itself (account guard / blackout / instant close) at 4144.390 after 6s: +$2.52 (+0.06R).</t>
  </si>
  <si>
    <t xml:space="preserve">BUY STOP at 4078.52 filled at 4078.530 ($0.01 worse). SL $6.00 away = $42 risk. Closed by the EA itself (account guard / blackout / instant close) at 4079.020 after 59m20s: +$3.43 (+0.08R).</t>
  </si>
  <si>
    <t xml:space="preserve">SELL STOP at 4031.96 filled at 4031.500 ($0.46 worse). SL $6.00 away = $42 risk. Price went against it; stopped at 4037.980 after 29s: -$45.36 (-1.08R).</t>
  </si>
  <si>
    <t xml:space="preserve">SELL STOP at 4006.74 filled at 4006.560 ($0.18 worse). SL $6.00 away = $42 risk. Price went against it; stopped at 4012.880 after 9m08s: -$44.24 (-1.05R).</t>
  </si>
  <si>
    <t xml:space="preserve">SELL STOP at 4007.42 filled at 4007.110 ($0.31 worse). SL $6.00 away = $42 risk. Closed by the EA itself (account guard / blackout / instant close) at 4006.970 after 12m48s: +$0.98 (+0.02R).</t>
  </si>
  <si>
    <t xml:space="preserve">BUY STOP at 4082.28 filled at 4082.380 ($0.10 worse). SL $6.00 away = $42 risk. Closed by the EA itself (account guard / blackout / instant close) at 4082.850 after 2h52m: +$3.29 (+0.08R).</t>
  </si>
  <si>
    <t xml:space="preserve">BUY STOP at 4098.42 filled at 4098.420 ($0.00 better). SL $6.00 away = $42 risk. Reached the take profit at 4128.600 after 5h14m: +$211.26 (+5.03R).</t>
  </si>
  <si>
    <t xml:space="preserve">SELL STOP at 4055.25 filled at 4055.250 ($0.00 better). SL $6.00 away = $42 risk. Closed by the EA itself (account guard / blackout / instant close) at 4054.900 after 2s: +$2.45 (+0.06R).</t>
  </si>
  <si>
    <t xml:space="preserve">SELL STOP at 4058.29 filled at 4057.990 ($0.30 worse). SL $6.00 away = $42 risk. Closed by the EA itself (account guard / blackout / instant close) at 4057.510 after 1m46s: +$3.36 (+0.08R).</t>
  </si>
  <si>
    <t xml:space="preserve">SELL STOP at 4038.61 filled at 4036.110 ($2.50 worse). SL $6.00 away = $42 risk. Closed by the EA itself (account guard / blackout / instant close) at 4035.610 after 2m13s: +$3.50 (+0.08R).</t>
  </si>
  <si>
    <t xml:space="preserve">SELL STOP at 4028.97 filled at 4028.900 ($0.07 worse). SL $6.00 away = $42 risk. Closed by the EA itself (account guard / blackout / instant close) at 4028.430 after 30s: +$3.29 (+0.08R).</t>
  </si>
  <si>
    <t xml:space="preserve">BUY STOP at 4057.76 filled at 4057.820 ($0.06 worse). SL $6.00 away = $42 risk. Price went against it; stopped at 4051.690 after 24m11s: -$42.91 (-1.02R).</t>
  </si>
  <si>
    <t xml:space="preserve">BUY STOP at 4100.84 filled at 4100.850 ($0.01 worse). SL $6.00 away = $42 risk. Closed by the EA itself (account guard / blackout / instant close) at 4121.640 after 1h41m: +$145.53 (+3.46R).</t>
  </si>
  <si>
    <t xml:space="preserve">BUY STOP at 4139.64 filled at 4139.730 ($0.09 worse). SL $6.00 away = $42 risk. Closed by the EA itself (account guard / blackout / instant close) at 4140.200 after 7m03s: +$3.29 (+0.08R).</t>
  </si>
  <si>
    <t xml:space="preserve">SELL STOP at 4138.37 filled at 4134.770 ($3.60 worse). SL $6.00 away = $42 risk. Closed by the EA itself (account guard / blackout / instant close) at 4134.310 after 8m09s: +$3.22 (+0.08R).</t>
  </si>
  <si>
    <t xml:space="preserve">BUY STOP at 4159.05 filled at 4159.310 ($0.26 worse). SL $6.00 away = $42 risk. Closed by the EA itself (account guard / blackout / instant close) at 4159.600 after 11s: +$2.03 (+0.05R).</t>
  </si>
  <si>
    <t xml:space="preserve">BUY STOP at 4168.43 filled at 4168.440 ($0.01 worse). SL $6.00 away = $42 risk. Price went against it; stopped at 4162.420 after 13m53s: -$42.14 (-1.00R).</t>
  </si>
  <si>
    <t xml:space="preserve">BUY STOP at 4159.00 filled at 4159.070 ($0.07 worse). SL $6.00 away = $42 risk. Closed by the EA itself (account guard / blackout / instant close) at 4159.570 after 3m58s: +$3.50 (+0.08R).</t>
  </si>
  <si>
    <t xml:space="preserve">BUY STOP at 4168.41 filled at 4168.520 ($0.11 worse). SL $6.00 away = $42 risk. Closed by the EA itself (account guard / blackout / instant close) at 4166.160 after 7h56m: -$16.52 (-0.39R).</t>
  </si>
  <si>
    <t xml:space="preserve">BUY STOP at 4188.52 filled at 4188.620 ($0.10 worse). SL $6.00 away = $42 risk. Closed by the EA itself (account guard / blackout / instant close) at 4189.110 after 1h07m: +$3.43 (+0.08R).</t>
  </si>
  <si>
    <t xml:space="preserve">BUY STOP at 4246.38 filled at 4246.380 ($0.00 better). SL $6.00 away = $42 risk. Closed by the EA itself (account guard / blackout / instant close) at 4246.730 after 9m10s: +$2.45 (+0.06R).</t>
  </si>
  <si>
    <t xml:space="preserve">SELL STOP at 4204.35 filled at 4203.070 ($1.28 worse). SL $6.00 away = $42 risk. Closed by the EA itself (account guard / blackout / instant close) at 4202.920 after 5s: +$1.05 (+0.02R).</t>
  </si>
  <si>
    <t xml:space="preserve">SELL STOP at 4202.99 filled at 4202.790 ($0.20 worse). SL $6.00 away = $42 risk. Closed by the EA itself (account guard / blackout / instant close) at 4202.340 after 1m05s: +$3.15 (+0.07R).</t>
  </si>
  <si>
    <t xml:space="preserve">SELL STOP at 4203.16 filled at 4202.970 ($0.19 worse). SL $6.00 away = $42 risk. Closed by the EA itself (account guard / blackout / instant close) at 4202.490 after 8m44s: +$3.36 (+0.08R).</t>
  </si>
  <si>
    <t xml:space="preserve">BUY STOP at 4235.86 filled at 4235.880 ($0.02 worse). SL $6.00 away = $42 risk. Closed by the EA itself (account guard / blackout / instant close) at 4236.320 after 11s: +$3.08 (+0.07R).</t>
  </si>
  <si>
    <t xml:space="preserve">SELL STOP at 4194.41 filled at 4194.220 ($0.19 worse). SL $6.00 away = $42 risk. Closed by the EA itself (account guard / blackout / instant close) at 4193.730 after 1m46s: +$3.43 (+0.08R).</t>
  </si>
  <si>
    <t xml:space="preserve">BUY STOP at 4198.84 filled at 4198.880 ($0.04 worse). SL $6.00 away = $42 risk. Closed by the EA itself (account guard / blackout / instant close) at 4199.370 after 8m32s: +$3.43 (+0.08R).</t>
  </si>
  <si>
    <t xml:space="preserve">BUY STOP at 4219.26 filled at 4219.400 ($0.14 worse). SL $6.00 away = $42 risk. Closed by the EA itself (account guard / blackout / instant close) at 4219.730 after 3h31m: +$2.31 (+0.05R).</t>
  </si>
  <si>
    <t xml:space="preserve">SELL STOP at 4214.14 filled at 4213.360 ($0.78 worse). SL $6.00 away = $42 risk. Closed by the EA itself (account guard / blackout / instant close) at 4213.300 after 14s: +$0.42 (+0.01R).</t>
  </si>
  <si>
    <t xml:space="preserve">SELL STOP at 4204.44 filled at 4204.440 ($0.00 better). SL $6.00 away = $42 risk. Price went against it; stopped at 4210.490 after 4m00s: -$42.35 (-1.01R).</t>
  </si>
  <si>
    <t xml:space="preserve">SELL STOP at 4191.82 filled at 4191.690 ($0.13 worse). SL $6.00 away = $42 risk. Closed by the EA itself (account guard / blackout / instant close) at 4191.230 after 21m12s: +$3.22 (+0.08R).</t>
  </si>
  <si>
    <t xml:space="preserve">SELL STOP at 4176.00 filled at 4175.370 ($0.63 worse). SL $6.00 away = $42 risk. Closed by the EA itself (account guard / blackout / instant close) at 4174.900 after 4m00s: +$3.29 (+0.08R).</t>
  </si>
  <si>
    <t xml:space="preserve">BUY STOP at 4187.06 filled at 4187.060 ($0.00 better). SL $6.00 away = $42 risk. Reached the take profit at 4217.060 after 8h00m: +$210.00 (+5.00R).</t>
  </si>
  <si>
    <t xml:space="preserve">SELL STOP at 4201.53 filled at 4201.530 ($0.00 better). SL $6.00 away = $48 risk. Closed by the EA itself (account guard / blackout / instant close) at 4201.070 after 46m07s: +$3.68 (+0.08R).</t>
  </si>
  <si>
    <t xml:space="preserve">BUY STOP at 4238.45 filled at 4239.530 ($1.08 worse). SL $6.00 away = $48 risk. Closed by the EA itself (account guard / blackout / instant close) at 4240.000 after 14m38s: +$3.76 (+0.08R).</t>
  </si>
  <si>
    <t xml:space="preserve">BUY STOP at 4216.05 filled at 4216.060 ($0.01 worse). SL $6.00 away = $48 risk. Closed by the EA itself (account guard / blackout / instant close) at 4216.520 after 9m54s: +$3.68 (+0.08R).</t>
  </si>
  <si>
    <t xml:space="preserve">BUY STOP at 4285.71 filled at 4287.340 ($1.63 worse). SL $6.00 away = $48 risk. Closed by the EA itself (account guard / blackout / instant close) at 4287.620 after 29m59s: +$2.24 (+0.05R).</t>
  </si>
  <si>
    <t xml:space="preserve">SELL STOP at 4265.81 filled at 4265.670 ($0.14 worse). SL $6.00 away = $48 risk. Closed by the EA itself (account guard / blackout / instant close) at 4265.190 after 1m23s: +$3.84 (+0.08R).</t>
  </si>
  <si>
    <t xml:space="preserve">BUY STOP at 4347.19 filled at 4347.200 ($0.01 worse). SL $6.00 away = $48 risk. Closed by the EA itself (account guard / blackout / instant close) at 4347.470 after 27m35s: +$2.16 (+0.05R).</t>
  </si>
  <si>
    <t xml:space="preserve">SELL STOP at 4285.06 filled at 4284.690 ($0.37 worse). SL $6.00 away = $48 risk. Closed by the EA itself (account guard / blackout / instant close) at 4284.240 after 5m41s: +$3.60 (+0.07R).</t>
  </si>
  <si>
    <t xml:space="preserve">BUY STOP at 4292.06 filled at 4292.120 ($0.06 worse). SL $6.00 away = $48 risk. Closed by the EA itself (account guard / blackout / instant close) at 4292.550 after 28m50s: +$3.44 (+0.07R).</t>
  </si>
  <si>
    <t xml:space="preserve">BUY STOP at 4334.94 filled at 4334.940 ($0.00 better). SL $6.00 away = $48 risk. Closed by the EA itself (account guard / blackout / instant close) at 4335.240 after 2m58s: +$2.40 (+0.05R).</t>
  </si>
  <si>
    <t xml:space="preserve">SELL STOP at 4324.45 filled at 4324.400 ($0.05 worse). SL $6.00 away = $48 risk. Closed by the EA itself (account guard / blackout / instant close) at 4323.940 after 25m52s: +$3.68 (+0.08R).</t>
  </si>
  <si>
    <t xml:space="preserve">SELL STOP at 4330.45 filled at 4330.290 ($0.16 worse). SL $6.00 away = $48 risk. Price went against it; stopped at 4336.460 after 19m11s: -$49.36 (-1.03R).</t>
  </si>
  <si>
    <t xml:space="preserve">BUY STOP at 4348.68 filled at 4348.880 ($0.20 worse). SL $6.00 away = $48 risk. Closed by the EA itself (account guard / blackout / instant close) at 4349.310 after 7s: +$3.44 (+0.07R).</t>
  </si>
  <si>
    <t xml:space="preserve">BUY STOP at 4329.32 filled at 4329.330 ($0.01 worse). SL $6.00 away = $48 risk. Price went against it; stopped at 4322.980 after 13m31s: -$50.80 (-1.06R).</t>
  </si>
  <si>
    <t xml:space="preserve">BUY STOP at 4356.37 filled at 4356.390 ($0.02 worse). SL $6.00 away = $48 risk. Closed by the EA itself (account guard / blackout / instant close) at 4356.820 after 19m15s: +$3.44 (+0.07R).</t>
  </si>
  <si>
    <t xml:space="preserve">BUY STOP at 4485.38 filled at 4485.430 ($0.05 worse). SL $6.00 away = $48 risk. Closed by the EA itself (account guard / blackout / instant close) at 4485.900 after 42m20s: +$3.76 (+0.08R).</t>
  </si>
  <si>
    <t xml:space="preserve">BUY STOP at 4499.67 filled at 4499.710 ($0.04 worse). SL $6.00 away = $48 risk. Closed by the EA itself (account guard / blackout / instant close) at 4500.210 after 22m06s: +$4.00 (+0.08R).</t>
  </si>
  <si>
    <t xml:space="preserve">SELL STOP at 4484.78 filled at 4484.750 ($0.03 worse). SL $6.00 away = $48 risk. Closed by the EA itself (account guard / blackout / instant close) at 4484.280 after 18m14s: +$3.76 (+0.08R).</t>
  </si>
  <si>
    <t xml:space="preserve">BUY STOP at 4525.77 filled at 4525.780 ($0.01 worse). SL $6.00 away = $48 risk. Closed by the EA itself (account guard / blackout / instant close) at 4526.180 after 2m05s: +$3.20 (+0.07R).</t>
  </si>
  <si>
    <t xml:space="preserve">BUY STOP at 4519.16 filled at 4519.180 ($0.02 worse). SL $6.00 away = $48 risk. Price went against it; stopped at 4512.970 after 44m55s: -$49.68 (-1.03R).</t>
  </si>
  <si>
    <t xml:space="preserve">SELL STOP at 4482.66 filled at 4482.500 ($0.16 worse). SL $6.00 away = $48 risk. Price went against it; stopped at 4489.540 after 16s: -$56.32 (-1.17R).</t>
  </si>
  <si>
    <t xml:space="preserve">BUY STOP at 4379.77 filled at 4379.800 ($0.03 worse). SL $6.00 away = $42 risk. Closed by the EA itself (account guard / blackout / instant close) at 4380.300 after 50s: +$3.50 (+0.08R).</t>
  </si>
  <si>
    <t xml:space="preserve">SELL STOP at 4322.97 filled at 4317.800 ($5.17 worse). SL $6.00 away = $42 risk. Price went against it; stopped at 4328.990 after 33s: -$78.33 (-1.86R).</t>
  </si>
  <si>
    <t xml:space="preserve">BUY STOP at 4342.87 filled at 4343.080 ($0.21 worse). SL $6.00 away = $42 risk. Closed by the EA itself (account guard / blackout / instant close) at 4343.440 after 4m00s: +$2.52 (+0.06R).</t>
  </si>
  <si>
    <t xml:space="preserve">BUY STOP at 4372.91 filled at 4373.100 ($0.19 worse). SL $6.00 away = $42 risk. Closed by the EA itself (account guard / blackout / instant close) at 4373.530 after 15m24s: +$3.01 (+0.07R).</t>
  </si>
  <si>
    <t xml:space="preserve">BUY STOP at 4381.50 filled at 4381.690 ($0.19 worse). SL $6.00 away = $42 risk. Closed by the EA itself (account guard / blackout / instant close) at 4382.090 after 6m28s: +$2.80 (+0.07R).</t>
  </si>
  <si>
    <t xml:space="preserve">BUY STOP at 4401.93 filled at 4402.090 ($0.16 worse). SL $6.00 away = $42 risk. Closed by the EA itself (account guard / blackout / instant close) at 4402.580 after 8m51s: +$3.43 (+0.08R).</t>
  </si>
  <si>
    <t xml:space="preserve">BUY STOP at 4426.10 filled at 4426.120 ($0.02 worse). SL $6.00 away = $42 risk. Closed by the EA itself (account guard / blackout / instant close) at 4426.440 after 5m22s: +$2.24 (+0.05R).</t>
  </si>
  <si>
    <t xml:space="preserve">BUY STOP at 4473.92 filled at 4473.940 ($0.02 worse). SL $6.00 away = $42 risk. Price went against it; stopped at 4467.730 after 4m19s: -$43.47 (-1.03R).</t>
  </si>
  <si>
    <t xml:space="preserve">BUY STOP at 4470.16 filled at 4470.190 ($0.03 worse). SL $6.00 away = $42 risk. Closed by the EA itself (account guard / blackout / instant close) at 4470.640 after 3m08s: +$3.15 (+0.07R).</t>
  </si>
  <si>
    <t xml:space="preserve">SELL STOP at 4427.73 filled at 4427.670 ($0.06 worse). SL $6.00 away = $42 risk. Price went against it; stopped at 4433.860 after 32s: -$43.33 (-1.03R).</t>
  </si>
  <si>
    <t xml:space="preserve">SELL STOP at 4423.14 filled at 4422.470 ($0.67 worse). SL $6.00 away = $42 risk. Price went against it; stopped at 4429.160 after 5m51s: -$46.83 (-1.11R).</t>
  </si>
  <si>
    <t xml:space="preserve">BUY STOP at 4437.35 filled at 4437.450 ($0.10 worse). SL $6.00 away = $42 risk. Closed by the EA itself (account guard / blackout / instant close) at 4437.870 after 3m34s: +$2.94 (+0.07R).</t>
  </si>
  <si>
    <t xml:space="preserve">BUY STOP at 4477.13 filled at 4477.250 ($0.12 worse). SL $6.00 away = $42 risk. Price went against it; stopped at 4471.020 after 17m18s: -$43.61 (-1.04R).</t>
  </si>
  <si>
    <t xml:space="preserve">BUY STOP at 4584.70 filled at 4585.110 ($0.41 worse). SL $6.00 away = $42 risk. Closed by the EA itself (account guard / blackout / instant close) at 4585.600 after 7m38s: +$3.43 (+0.08R).</t>
  </si>
  <si>
    <t xml:space="preserve">BUY STOP at 4601.95 filled at 4601.950 ($0.00 better). SL $6.00 away = $42 risk. Closed by the EA itself (account guard / blackout / instant close) at 4602.250 after 1m51s: +$2.10 (+0.05R).</t>
  </si>
  <si>
    <t xml:space="preserve">BUY STOP at 4629.98 filled at 4630.060 ($0.08 worse). SL $6.00 away = $42 risk. Closed by the EA itself (account guard / blackout / instant close) at 4630.480 after 1m55s: +$2.94 (+0.07R).</t>
  </si>
  <si>
    <t xml:space="preserve">BUY STOP at 4634.29 filled at 4634.400 ($0.11 worse). SL $6.00 away = $42 risk. Closed by the EA itself (account guard / blackout / instant close) at 4634.900 after 4m28s: +$3.50 (+0.08R).</t>
  </si>
  <si>
    <t xml:space="preserve">BUY STOP at 4639.54 filled at 4639.570 ($0.03 worse). SL $6.00 away = $42 risk. Price went against it; stopped at 4633.360 after 27m29s: -$43.47 (-1.03R).</t>
  </si>
  <si>
    <t xml:space="preserve">SELL STOP at 4586.17 filled at 4586.170 ($0.00 better). SL $6.00 away = $42 risk. Closed by the EA itself (account guard / blackout / instant close) at 4585.760 after 24s: +$2.87 (+0.07R).</t>
  </si>
  <si>
    <t xml:space="preserve">BUY STOP at 4611.79 filled at 4611.970 ($0.18 worse). SL $6.00 away = $42 risk. Price went against it; stopped at 4605.790 after 20m43s: -$43.26 (-1.03R).</t>
  </si>
  <si>
    <t xml:space="preserve">BUY STOP at 4615.74 filled at 4616.100 ($0.36 worse). SL $6.00 away = $42 risk. Price went against it; stopped at 4609.600 after 23m21s: -$45.50 (-1.08R).</t>
  </si>
  <si>
    <t xml:space="preserve">SELL STOP at 4580.82 filled at 4580.110 ($0.71 worse). SL $6.00 away = $42 risk. Closed by the EA itself (account guard / blackout / instant close) at 4580.470 after 1m26s: -$2.52 (-0.06R).</t>
  </si>
  <si>
    <t xml:space="preserve">BUY STOP at 4678.86 filled at 4679.030 ($0.17 worse). SL $6.00 away = $42 risk. Price went against it; stopped at 4672.840 after 5m12s: -$43.33 (-1.03R).</t>
  </si>
  <si>
    <t xml:space="preserve">BUY STOP at 4690.27 filled at 4690.270 ($0.00 better). SL $6.00 away = $42 risk. Closed by the EA itself (account guard / blackout / instant close) at 4690.760 after 7m57s: +$3.43 (+0.08R).</t>
  </si>
  <si>
    <t xml:space="preserve">BUY STOP at 4716.93 filled at 4716.940 ($0.01 worse). SL $6.00 away = $42 risk. Closed by the EA itself (account guard / blackout / instant close) at 4717.420 after 13m57s: +$3.36 (+0.08R).</t>
  </si>
  <si>
    <t xml:space="preserve">BUY STOP at 4766.15 filled at 4766.320 ($0.17 worse). SL $6.00 away = $42 risk. Reached the take profit at 4796.160 after 1h22m: +$208.88 (+4.97R).</t>
  </si>
  <si>
    <t xml:space="preserve">BUY STOP at 4829.20 filled at 4829.260 ($0.06 worse). SL $6.00 away = $42 risk. Closed by the EA itself (account guard / blackout / instant close) at 4829.700 after 1h07m: +$3.08 (+0.07R).</t>
  </si>
  <si>
    <t xml:space="preserve">BUY STOP at 4888.08 filled at 4888.270 ($0.19 worse). SL $6.00 away = $42 risk. Closed by the EA itself (account guard / blackout / instant close) at 4888.730 after 35s: +$3.22 (+0.08R).</t>
  </si>
  <si>
    <t xml:space="preserve">SELL STOP at 4945.41 filled at 4945.050 ($0.36 worse). SL $6.00 away = $42 risk. Price went against it; stopped at 4951.550 after 10m01s: -$45.50 (-1.08R).</t>
  </si>
  <si>
    <t xml:space="preserve">SELL STOP at 5052.18 filled at 5050.680 ($1.50 worse). SL $6.00 away = $42 risk. Closed by the EA itself (account guard / blackout / instant close) at 5050.300 after 3m08s: +$2.66 (+0.06R).</t>
  </si>
  <si>
    <t xml:space="preserve">BUY STOP at 5093.83 filled at 5093.830 ($0.00 better). SL $6.00 away = $42 risk. Price went against it; stopped at 5087.830 after 3m17s: -$42.00 (-1.00R).</t>
  </si>
  <si>
    <t xml:space="preserve">BUY STOP at 5190.24 filled at 5191.330 ($1.09 worse). SL $6.00 away = $42 risk. Closed by the EA itself (account guard / blackout / instant close) at 5191.820 after 3m53s: +$3.43 (+0.08R).</t>
  </si>
  <si>
    <t xml:space="preserve">BUY STOP at 5271.20 filled at 5271.220 ($0.02 worse). SL $6.00 away = $42 risk. Closed by the EA itself (account guard / blackout / instant close) at 5271.690 after 26s: +$3.29 (+0.08R).</t>
  </si>
  <si>
    <t xml:space="preserve">SELL STOP at 5515.49 filled at 5514.340 ($1.15 worse). SL $6.00 away = $42 risk. Closed by the EA itself (account guard / blackout / instant close) at 5514.230 after 2s: +$0.77 (+0.02R).</t>
  </si>
  <si>
    <t xml:space="preserve">SELL STOP at 5157.12 filled at 5152.050 ($5.07 worse). SL $6.00 away = $42 risk. Reached the take profit at 5123.240 after 9s: +$201.67 (+4.80R).</t>
  </si>
  <si>
    <t xml:space="preserve">SELL STOP at 5098.77 filled at 5096.380 ($2.39 worse). SL $6.00 away = $42 risk. Reached the take profit at 5064.300 after 31s: +$224.56 (+5.35R).</t>
  </si>
  <si>
    <t xml:space="preserve">SELL STOP at 4679.73 filled at 4671.000 ($8.73 worse). SL $6.00 away = $48 risk. Reached the take profit at 4649.550 after 45s: +$171.60 (+3.57R).</t>
  </si>
  <si>
    <t xml:space="preserve">BUY STOP at 4695.57 filled at 4696.650 ($1.08 worse). SL $6.00 away = $48 risk. Closed by the EA itself (account guard / blackout / instant close) at 4696.670 after 14s: +$0.16 (+0.00R).</t>
  </si>
  <si>
    <t xml:space="preserve">BUY STOP at 4884.25 filled at 4886.560 ($2.31 worse). SL $6.00 away = $48 risk. Closed by the EA itself (account guard / blackout / instant close) at 4886.940 after 2m21s: +$3.04 (+0.06R).</t>
  </si>
  <si>
    <t xml:space="preserve">BUY STOP at 4893.54 filled at 4893.830 ($0.29 worse). SL $6.00 away = $48 risk. Price went against it; stopped at 4887.260 after 34s: -$52.56 (-1.09R).</t>
  </si>
  <si>
    <t xml:space="preserve">BUY STOP at 4993.46 filled at 4993.950 ($0.49 worse). SL $6.00 away = $48 risk. Price went against it; stopped at 4987.400 after 13s: -$52.40 (-1.09R).</t>
  </si>
  <si>
    <t xml:space="preserve">BUY STOP at 5090.15 filled at 5090.570 ($0.42 worse). SL $6.00 away = $48 risk. Price went against it; stopped at 5084.150 after 3m14s: -$51.36 (-1.07R).</t>
  </si>
  <si>
    <t xml:space="preserve">SELL STOP at 4844.17 filled at 4838.790 ($5.38 worse). SL $6.00 away = $48 risk. Price went against it; stopped at 4852.600 after 0s: -$110.48 (-2.30R).</t>
  </si>
  <si>
    <t xml:space="preserve">BUY STOP at 4933.58 filled at 4934.600 ($1.02 worse). SL $6.00 away = $48 risk. Closed by the EA itself (account guard / blackout / instant close) at 4934.270 after 1m00s: -$2.64 (-0.06R).</t>
  </si>
  <si>
    <t xml:space="preserve">BUY STOP at 4902.98 filled at 4902.990 ($0.01 worse). SL $6.00 away = $48 risk. Price went against it; stopped at 4896.980 after 2m56s: -$48.08 (-1.00R).</t>
  </si>
  <si>
    <t xml:space="preserve">SELL STOP at 5011.02 filled at 5010.880 ($0.14 worse). SL $6.00 away = $42 risk. Closed by the EA itself (account guard / blackout / instant close) at 5010.440 after 4m33s: +$3.08 (+0.07R).</t>
  </si>
  <si>
    <t xml:space="preserve">BUY STOP at 5045.20 filled at 5045.310 ($0.11 worse). SL $6.00 away = $42 risk. Closed by the EA itself (account guard / blackout / instant close) at 5045.750 after 5m24s: +$3.08 (+0.07R).</t>
  </si>
  <si>
    <t xml:space="preserve">BUY STOP at 5078.49 filled at 5083.030 ($4.54 worse). SL $6.00 away = $42 risk. Closed by the EA itself (account guard / blackout / instant close) at 5083.190 after 22m47s: +$1.12 (+0.03R).</t>
  </si>
  <si>
    <t xml:space="preserve">SELL STOP at 5043.29 filled at 5040.930 ($2.36 worse). SL $6.00 away = $42 risk. Closed by the EA itself (account guard / blackout / instant close) at 5041.410 after 44s: -$3.36 (-0.08R).</t>
  </si>
  <si>
    <t xml:space="preserve">BUY STOP at 5078.00 filled at 5078.050 ($0.05 worse). SL $6.00 away = $42 risk. Price went against it; stopped at 5071.940 after 4m24s: -$42.77 (-1.02R).</t>
  </si>
  <si>
    <t xml:space="preserve">SELL STOP at 5018.00 filled at 5017.520 ($0.48 worse). SL $6.00 away = $42 risk. Closed by the EA itself (account guard / blackout / instant close) at 5017.350 after 7s: +$1.19 (+0.03R).</t>
  </si>
  <si>
    <t xml:space="preserve">BUY STOP at 4986.31 filled at 4986.370 ($0.06 worse). SL $6.00 away = $42 risk. Closed by the EA itself (account guard / blackout / instant close) at 4986.750 after 4m16s: +$2.66 (+0.06R).</t>
  </si>
  <si>
    <t xml:space="preserve">BUY STOP at 5002.78 filled at 5002.940 ($0.16 worse). SL $6.00 away = $42 risk. Closed by the EA itself (account guard / blackout / instant close) at 5003.250 after 3m21s: +$2.17 (+0.05R).</t>
  </si>
  <si>
    <t xml:space="preserve">SELL STOP at 4964.87 filled at 4960.810 ($4.06 worse). SL $6.00 away = $42 risk. Reached the take profit at 4934.870 after 6m13s: +$181.58 (+4.32R).</t>
  </si>
  <si>
    <t xml:space="preserve">SELL STOP at 4856.65 filled at 4851.150 ($5.50 worse). SL $6.00 away = $48 risk. Closed by the EA itself (account guard / blackout / instant close) at 4851.360 after 15s: -$1.68 (-0.03R).</t>
  </si>
  <si>
    <t xml:space="preserve">BUY STOP at 4939.53 filled at 4939.660 ($0.13 worse). SL $6.00 away = $48 risk. Closed by the EA itself (account guard / blackout / instant close) at 4939.950 after 6m40s: +$2.32 (+0.05R).</t>
  </si>
  <si>
    <t xml:space="preserve">BUY STOP at 5000.65 filled at 5000.770 ($0.12 worse). SL $6.00 away = $48 risk. Closed by the EA itself (account guard / blackout / instant close) at 5001.140 after 4m20s: +$2.96 (+0.06R).</t>
  </si>
  <si>
    <t xml:space="preserve">BUY STOP at 5010.82 filled at 5011.060 ($0.24 worse). SL $6.00 away = $48 risk. Closed by the EA itself (account guard / blackout / instant close) at 5011.560 after 3m49s: +$4.00 (+0.08R).</t>
  </si>
  <si>
    <t xml:space="preserve">SELL STOP at 4983.93 filled at 4983.770 ($0.16 worse). SL $6.00 away = $48 risk. Price went against it; stopped at 4990.260 after 2m17s: -$51.92 (-1.08R).</t>
  </si>
  <si>
    <t xml:space="preserve">BUY STOP at 5022.02 filled at 5022.060 ($0.04 worse). SL $6.00 away = $48 risk. Closed by the EA itself (account guard / blackout / instant close) at 5022.370 after 2m45s: +$2.48 (+0.05R).</t>
  </si>
  <si>
    <t xml:space="preserve">BUY STOP at 5029.68 filled at 5029.860 ($0.18 worse). SL $6.00 away = $48 risk. Closed by the EA itself (account guard / blackout / instant close) at 5030.300 after 39m01s: +$3.52 (+0.07R).</t>
  </si>
  <si>
    <t xml:space="preserve">BUY STOP at 5161.44 filled at 5161.450 ($0.01 worse). SL $6.00 away = $48 risk. Price went against it; stopped at 5155.120 after 16m55s: -$50.64 (-1.05R).</t>
  </si>
  <si>
    <t xml:space="preserve">SELL STOP at 5156.31 filled at 5156.080 ($0.23 worse). SL $6.00 away = $48 risk. Closed by the EA itself (account guard / blackout / instant close) at 5155.880 after 31s: +$1.60 (+0.03R).</t>
  </si>
  <si>
    <t xml:space="preserve">SELL STOP at 5096.96 filled at 5094.530 ($2.43 worse). SL $6.00 away = $48 risk. Price went against it; stopped at 5103.340 after 38s: -$70.48 (-1.47R).</t>
  </si>
  <si>
    <t xml:space="preserve">SELL STOP at 5182.18 filled at 5181.990 ($0.19 worse). SL $6.00 away = $42 risk. Price went against it; stopped at 5188.250 after 1m25s: -$43.82 (-1.04R).</t>
  </si>
  <si>
    <t xml:space="preserve">SELL STOP at 5189.77 filled at 5189.700 ($0.07 worse). SL $6.00 away = $42 risk. Closed by the EA itself (account guard / blackout / instant close) at 5189.220 after 1m40s: +$3.36 (+0.08R).</t>
  </si>
  <si>
    <t xml:space="preserve">SELL STOP at 5181.08 filled at 5180.980 ($0.10 worse). SL $6.00 away = $42 risk. Closed by the EA itself (account guard / blackout / instant close) at 5180.480 after 5m30s: +$3.50 (+0.08R).</t>
  </si>
  <si>
    <t xml:space="preserve">BUY STOP at 5205.22 filled at 5205.540 ($0.32 worse). SL $6.00 away = $42 risk. Reached the take profit at 5235.460 after 17m00s: +$209.44 (+4.99R).</t>
  </si>
  <si>
    <t xml:space="preserve">BUY STOP at 5389.51 filled at 5389.640 ($0.13 worse). SL $6.00 away = $48 risk. Closed by the EA itself (account guard / blackout / instant close) at 5390.080 after 6m32s: +$3.52 (+0.07R).</t>
  </si>
  <si>
    <t xml:space="preserve">SELL STOP at 5278.60 filled at 5278.360 ($0.24 worse). SL $6.00 away = $48 risk. Closed by the EA itself (account guard / blackout / instant close) at 5277.950 after 1s: +$3.28 (+0.07R).</t>
  </si>
  <si>
    <t xml:space="preserve">SELL STOP at 5260.10 filled at 5257.700 ($2.40 worse). SL $6.00 away = $48 risk. Price went against it; stopped at 5267.630 after 0s: -$79.44 (-1.66R).</t>
  </si>
  <si>
    <t xml:space="preserve">BUY STOP at 5168.07 filled at 5168.580 ($0.51 worse). SL $6.00 away = $48 risk. Closed by the EA itself (account guard / blackout / instant close) at 5169.030 after 10m28s: +$3.60 (+0.07R).</t>
  </si>
  <si>
    <t xml:space="preserve">BUY STOP at 5176.56 filled at 5176.860 ($0.30 worse). SL $6.00 away = $48 risk. Closed by the EA itself (account guard / blackout / instant close) at 5177.360 after 1m08s: +$4.00 (+0.08R).</t>
  </si>
  <si>
    <t xml:space="preserve">SELL STOP at 5086.87 filled at 5083.710 ($3.16 worse). SL $6.00 away = $48 risk. Price went against it; stopped at 5095.440 after 0s: -$93.84 (-1.96R).</t>
  </si>
  <si>
    <t xml:space="preserve">SELL STOP at 5108.80 filled at 5108.580 ($0.22 worse). SL $6.00 away = $42 risk. Closed by the EA itself (account guard / blackout / instant close) at 5108.110 after 1m35s: +$3.29 (+0.08R).</t>
  </si>
  <si>
    <t xml:space="preserve">SELL STOP at 5062.13 filled at 5061.710 ($0.42 worse). SL $6.00 away = $42 risk. Closed by the EA itself (account guard / blackout / instant close) at 5061.750 after 1m08s: -$0.28 (-0.01R).</t>
  </si>
  <si>
    <t xml:space="preserve">SELL STOP at 5080.77 filled at 5080.770 ($0.00 better). SL $6.00 away = $42 risk. Price went against it; stopped at 5086.940 after 2m08s: -$43.19 (-1.03R).</t>
  </si>
  <si>
    <t xml:space="preserve">BUY STOP at 5196.70 filled at 5196.700 ($0.00 better). SL $6.00 away = $42 risk. Closed by the EA itself (account guard / blackout / instant close) at 5197.030 after 20s: +$2.31 (+0.05R).</t>
  </si>
  <si>
    <t xml:space="preserve">BUY STOP at 5208.38 filled at 5208.390 ($0.01 worse). SL $6.00 away = $42 risk. Closed by the EA itself (account guard / blackout / instant close) at 5208.870 after 3m46s: +$3.36 (+0.08R).</t>
  </si>
  <si>
    <t xml:space="preserve">SELL STOP at 5149.07 filled at 5148.390 ($0.68 worse). SL $6.00 away = $42 risk. Closed by the EA itself (account guard / blackout / instant close) at 5148.010 after 6m13s: +$2.66 (+0.06R).</t>
  </si>
  <si>
    <t xml:space="preserve">BUY STOP at 5157.66 filled at 5157.660 ($0.00 better). SL $6.00 away = $42 risk. Price went against it; stopped at 5151.550 after 10m11s: -$42.77 (-1.02R).</t>
  </si>
  <si>
    <t xml:space="preserve">SELL STOP at 5097.78 filled at 5097.670 ($0.11 worse). SL $6.00 away = $42 risk. Closed by the EA itself (account guard / blackout / instant close) at 5097.220 after 3m04s: +$3.15 (+0.07R).</t>
  </si>
  <si>
    <t xml:space="preserve">SELL STOP at 5054.80 filled at 5054.010 ($0.79 worse). SL $6.00 away = $42 risk. Closed by the EA itself (account guard / blackout / instant close) at 5053.770 after 2s: +$1.68 (+0.04R).</t>
  </si>
  <si>
    <t xml:space="preserve">BUY STOP at 5026.05 filled at 5026.090 ($0.04 worse). SL $6.00 away = $42 risk. Closed by the EA itself (account guard / blackout / instant close) at 5026.500 after 12m15s: +$2.87 (+0.07R).</t>
  </si>
  <si>
    <t xml:space="preserve">BUY STOP at 5037.72 filled at 5038.050 ($0.33 worse). SL $6.00 away = $42 risk. Closed by the EA itself (account guard / blackout / instant close) at 5038.540 after 3s: +$3.43 (+0.08R).</t>
  </si>
  <si>
    <t xml:space="preserve">BUY STOP at 5002.27 filled at 5002.390 ($0.12 worse). SL $6.00 away = $42 risk. Closed by the EA itself (account guard / blackout / instant close) at 5002.680 after 1h34m: +$2.03 (+0.05R).</t>
  </si>
  <si>
    <t xml:space="preserve">SELL STOP at 4973.50 filled at 4972.060 ($1.44 worse). SL $6.00 away = $42 risk. Closed by the EA itself (account guard / blackout / instant close) at 4971.800 after 2m18s: +$1.82 (+0.04R).</t>
  </si>
  <si>
    <t xml:space="preserve">SELL STOP at 4806.68 filled at 4806.600 ($0.08 worse). SL $6.00 away = $42 risk. Price went against it; stopped at 4812.910 after 14s: -$44.17 (-1.05R).</t>
  </si>
  <si>
    <t xml:space="preserve">SELL STOP at 4826.68 filled at 4826.650 ($0.03 worse). SL $6.00 away = $42 risk. Closed by the EA itself (account guard / blackout / instant close) at 4826.160 after 2m17s: +$3.43 (+0.08R).</t>
  </si>
  <si>
    <t xml:space="preserve">SELL STOP at 4685.49 filled at 4685.130 ($0.36 worse). SL $6.00 away = $42 risk. Price went against it; stopped at 4691.750 after 1m10s: -$46.34 (-1.10R).</t>
  </si>
  <si>
    <t xml:space="preserve">SELL STOP at 4502.11 filled at 4501.610 ($0.50 worse). SL $6.00 away = $42 risk. Price went against it; stopped at 4508.190 after 11s: -$46.06 (-1.10R).</t>
  </si>
  <si>
    <t xml:space="preserve">SELL STOP at 4301.70 filled at 4301.580 ($0.12 worse). SL $6.00 away = $42 risk. Reached the take profit at 4271.570 after 5m56s: +$210.07 (+5.00R).</t>
  </si>
  <si>
    <t xml:space="preserve">BUY STOP at 4373.60 filled at 4374.490 ($0.89 worse). SL $6.00 away = $48 risk. Price went against it; stopped at 4367.390 after 1m10s: -$56.80 (-1.18R).</t>
  </si>
  <si>
    <t xml:space="preserve">SELL STOP at 4548.90 filled at 4548.580 ($0.32 worse). SL $6.00 away = $42 risk. Closed by the EA itself (account guard / blackout / instant close) at 4548.090 after 4m50s: +$3.43 (+0.08R).</t>
  </si>
  <si>
    <t xml:space="preserve">SELL STOP at 4455.26 filled at 4454.870 ($0.39 worse). SL $6.00 away = $42 risk. Closed by the EA itself (account guard / blackout / instant close) at 4454.470 after 11s: +$2.80 (+0.07R).</t>
  </si>
  <si>
    <t xml:space="preserve">SELL STOP at 4431.22 filled at 4431.220 ($0.00 better). SL $6.00 away = $42 risk. Price went against it; stopped at 4437.510 after 5m36s: -$44.03 (-1.05R).</t>
  </si>
  <si>
    <t xml:space="preserve">BUY STOP at 4544.28 filled at 4544.330 ($0.05 worse). SL $6.00 away = $42 risk. Closed by the EA itself (account guard / blackout / instant close) at 4544.640 after 22s: +$2.17 (+0.05R).</t>
  </si>
  <si>
    <t xml:space="preserve">BUY STOP at 4528.22 filled at 4528.420 ($0.20 worse). SL $6.00 away = $42 risk. Closed by the EA itself (account guard / blackout / instant close) at 4528.870 after 4m35s: +$3.15 (+0.07R).</t>
  </si>
  <si>
    <t xml:space="preserve">BUY STOP at 4554.97 filled at 4556.850 ($1.88 worse). SL $6.00 away = $42 risk. Closed by the EA itself (account guard / blackout / instant close) at 4557.270 after 13m38s: +$2.94 (+0.07R).</t>
  </si>
  <si>
    <t xml:space="preserve">BUY STOP at 4580.47 filled at 4580.950 ($0.48 worse). SL $6.00 away = $42 risk. Closed by the EA itself (account guard / blackout / instant close) at 4581.160 after 1m01s: +$1.47 (+0.03R).</t>
  </si>
  <si>
    <t xml:space="preserve">SELL STOP at 4547.44 filled at 4547.410 ($0.03 worse). SL $6.00 away = $42 risk. Closed by the EA itself (account guard / blackout / instant close) at 4547.330 after 33s: +$0.56 (+0.01R).</t>
  </si>
  <si>
    <t xml:space="preserve">BUY STOP at 4686.94 filled at 4687.320 ($0.38 worse). SL $6.00 away = $42 risk. Closed by the EA itself (account guard / blackout / instant close) at 4687.780 after 56s: +$3.22 (+0.08R).</t>
  </si>
  <si>
    <t xml:space="preserve">BUY STOP at 4703.20 filled at 4703.200 ($0.00 better). SL $6.00 away = $42 risk. Closed by the EA itself (account guard / blackout / instant close) at 4703.410 after 12m38s: +$1.47 (+0.03R).</t>
  </si>
  <si>
    <t xml:space="preserve">BUY STOP at 4793.14 filled at 4793.210 ($0.07 worse). SL $6.00 away = $42 risk. Closed by the EA itself (account guard / blackout / instant close) at 4793.580 after 2s: +$2.59 (+0.06R).</t>
  </si>
  <si>
    <t xml:space="preserve">SELL STOP at 4585.41 filled at 4585.320 ($0.09 worse). SL $6.00 away = $42 risk. Closed by the EA itself (account guard / blackout / instant close) at 4584.880 after 7s: +$3.08 (+0.07R).</t>
  </si>
  <si>
    <t xml:space="preserve">BUY STOP at 4678.45 filled at 4678.550 ($0.10 worse). SL $6.00 away = $42 risk. Closed by the EA itself (account guard / blackout / instant close) at 4678.910 after 12s: +$2.52 (+0.06R).</t>
  </si>
  <si>
    <t xml:space="preserve">BUY STOP at 4663.82 filled at 4664.310 ($0.49 worse). SL $6.00 away = $42 risk. Price went against it; stopped at 4657.420 after 3m03s: -$48.23 (-1.15R).</t>
  </si>
  <si>
    <t xml:space="preserve">SELL STOP at 4789.99 filled at 4789.470 ($0.52 worse). SL $6.00 away = $42 risk. Closed by the EA itself (account guard / blackout / instant close) at 4789.390 after 37s: +$0.56 (+0.01R).</t>
  </si>
  <si>
    <t xml:space="preserve">SELL STOP at 4699.24 filled at 4698.880 ($0.36 worse). SL $6.00 away = $42 risk. Price went against it; stopped at 4705.540 after 9m01s: -$46.62 (-1.11R).</t>
  </si>
  <si>
    <t xml:space="preserve">SELL STOP at 4705.52 filled at 4705.310 ($0.21 worse). SL $6.00 away = $42 risk. Price went against it; stopped at 4711.570 after 1m43s: -$43.82 (-1.04R).</t>
  </si>
  <si>
    <t xml:space="preserve">SELL STOP at 4756.93 filled at 4756.930 ($0.00 better). SL $6.00 away = $42 risk. Closed by the EA itself (account guard / blackout / instant close) at 4756.520 after 15m59s: +$2.87 (+0.07R).</t>
  </si>
  <si>
    <t xml:space="preserve">BUY STOP at 4730.61 filled at 4730.740 ($0.13 worse). SL $6.00 away = $42 risk. Price went against it; stopped at 4724.500 after 29m55s: -$43.68 (-1.04R).</t>
  </si>
  <si>
    <t xml:space="preserve">BUY STOP at 4776.94 filled at 4776.960 ($0.02 worse). SL $6.00 away = $42 risk. Closed by the EA itself (account guard / blackout / instant close) at 4777.460 after 1m31s: +$3.50 (+0.08R).</t>
  </si>
  <si>
    <t xml:space="preserve">SELL STOP at 4812.45 filled at 4811.820 ($0.63 worse). SL $6.00 away = $42 risk. Price went against it; stopped at 4818.520 after 14m33s: -$46.90 (-1.12R).</t>
  </si>
  <si>
    <t xml:space="preserve">SELL STOP at 4785.89 filled at 4785.030 ($0.86 worse). SL $6.00 away = $42 risk. Price went against it; stopped at 4792.170 after 32s: -$49.98 (-1.19R).</t>
  </si>
  <si>
    <t xml:space="preserve">SELL STOP at 4772.90 filled at 4769.380 ($3.52 worse). SL $6.00 away = $42 risk. Price went against it; stopped at 4779.170 after 39s: -$68.53 (-1.63R).</t>
  </si>
  <si>
    <t xml:space="preserve">SELL STOP at 4792.27 filled at 4792.160 ($0.11 worse). SL $6.00 away = $42 risk. Closed by the EA itself (account guard / blackout / instant close) at 4791.770 after 1h25m: +$2.73 (+0.06R).</t>
  </si>
  <si>
    <t xml:space="preserve">BUY STOP at 4795.85 filled at 4795.880 ($0.03 worse). SL $6.00 away = $42 risk. Closed by the EA itself (account guard / blackout / instant close) at 4796.100 after 7s: +$1.54 (+0.04R).</t>
  </si>
  <si>
    <t xml:space="preserve">SELL STOP at 4782.79 filled at 4782.740 ($0.05 worse). SL $6.00 away = $42 risk. Closed by the EA itself (account guard / blackout / instant close) at 4782.920 after 25s: -$1.26 (-0.03R).</t>
  </si>
  <si>
    <t xml:space="preserve">SELL STOP at 4736.64 filled at 4735.810 ($0.83 worse). SL $6.00 away = $42 risk. Closed by the EA itself (account guard / blackout / instant close) at 4735.610 after 6m21s: +$1.40 (+0.03R).</t>
  </si>
  <si>
    <t xml:space="preserve">BUY STOP at 4771.94 filled at 4772.060 ($0.12 worse). SL $6.00 away = $42 risk. Price went against it; stopped at 4765.890 after 3m15s: -$43.19 (-1.03R).</t>
  </si>
  <si>
    <t xml:space="preserve">SELL STOP at 4715.06 filled at 4714.360 ($0.70 worse). SL $6.00 away = $42 risk. Closed by the EA itself (account guard / blackout / instant close) at 4714.590 after 8m49s: -$1.61 (-0.04R).</t>
  </si>
  <si>
    <t xml:space="preserve">BUY STOP at 4715.23 filled at 4715.260 ($0.03 worse). SL $6.00 away = $42 risk. Closed by the EA itself (account guard / blackout / instant close) at 4715.700 after 3m15s: +$3.08 (+0.07R).</t>
  </si>
  <si>
    <t xml:space="preserve">SELL STOP at 4664.05 filled at 4663.740 ($0.31 worse). SL $6.00 away = $42 risk. Closed by the EA itself (account guard / blackout / instant close) at 4663.300 after 13m34s: +$3.08 (+0.07R).</t>
  </si>
  <si>
    <t xml:space="preserve">SELL STOP at 4708.43 filled at 4708.350 ($0.08 worse). SL $6.00 away = $42 risk. Closed by the EA itself (account guard / blackout / instant close) at 4707.900 after 11m20s: +$3.15 (+0.07R).</t>
  </si>
  <si>
    <t xml:space="preserve">SELL STOP at 4667.06 filled at 4667.040 ($0.02 worse). SL $6.00 away = $42 risk. Price went against it; stopped at 4673.150 after 3m55s: -$42.77 (-1.02R).</t>
  </si>
  <si>
    <t xml:space="preserve">SELL STOP at 4623.62 filled at 4623.490 ($0.13 worse). SL $6.00 away = $42 risk. Price went against it; stopped at 4629.680 after 4m02s: -$43.33 (-1.03R).</t>
  </si>
  <si>
    <t xml:space="preserve">SELL STOP at 4590.37 filled at 4590.330 ($0.04 worse). SL $6.00 away = $42 risk. Price went against it; stopped at 4596.500 after 1m00s: -$43.19 (-1.03R).</t>
  </si>
  <si>
    <t xml:space="preserve">SELL STOP at 4554.68 filled at 4554.640 ($0.04 worse). SL $6.00 away = $42 risk. Closed by the EA itself (account guard / blackout / instant close) at 4554.140 after 15s: +$3.50 (+0.08R).</t>
  </si>
  <si>
    <t xml:space="preserve">BUY STOP at 4569.45 filled at 4569.860 ($0.41 worse). SL $6.00 away = $42 risk. Reached the take profit at 4599.760 after 1h23m: +$209.30 (+4.98R).</t>
  </si>
  <si>
    <t xml:space="preserve">BUY STOP at 4610.20 filled at 4610.360 ($0.16 worse). SL $6.00 away = $42 risk. Reached the take profit at 4640.200 after 2h23m: +$208.88 (+4.97R).</t>
  </si>
  <si>
    <t xml:space="preserve">SELL STOP at 4602.68 filled at 4602.680 ($0.00 better). SL $6.00 away = $42 risk. Reached the take profit at 4572.600 after 2h11m: +$210.56 (+5.01R).</t>
  </si>
  <si>
    <t xml:space="preserve">BUY STOP at 4646.71 filled at 4646.850 ($0.14 worse). SL $6.00 away = $48 risk. Closed by the EA itself (account guard / blackout / instant close) at 4647.330 after 13m00s: +$3.84 (+0.08R).</t>
  </si>
  <si>
    <t xml:space="preserve">SELL STOP at 4592.08 filled at 4591.930 ($0.15 worse). SL $6.00 away = $48 risk. Closed by the EA itself (account guard / blackout / instant close) at 4591.470 after 1m58s: +$3.68 (+0.08R).</t>
  </si>
  <si>
    <t xml:space="preserve">SELL STOP at 4560.05 filled at 4558.310 ($1.74 worse). SL $6.00 away = $48 risk. Closed by the EA itself (account guard / blackout / instant close) at 4557.820 after 52s: +$3.92 (+0.08R).</t>
  </si>
  <si>
    <t xml:space="preserve">BUY STOP at 4551.36 filled at 4551.570 ($0.21 worse). SL $6.00 away = $48 risk. Price went against it; stopped at 4545.120 after 3m31s: -$51.60 (-1.07R).</t>
  </si>
  <si>
    <t xml:space="preserve">BUY STOP at 4586.42 filled at 4587.700 ($1.28 worse). SL $6.00 away = $48 risk. Closed by the EA itself (account guard / blackout / instant close) at 4588.200 after 1m54s: +$4.00 (+0.08R).</t>
  </si>
  <si>
    <t xml:space="preserve">BUY STOP at 4663.61 filled at 4663.820 ($0.21 worse). SL $6.00 away = $48 risk. Price went against it; stopped at 4657.440 after 5m19s: -$51.04 (-1.06R).</t>
  </si>
  <si>
    <t xml:space="preserve">BUY STOP at 4706.37 filled at 4706.410 ($0.04 worse). SL $6.00 away = $42 risk. Reached the take profit at 4736.620 after 33m06s: +$211.47 (+5.03R).</t>
  </si>
  <si>
    <t xml:space="preserve">BUY STOP at 4730.96 filled at 4730.960 ($0.00 better). SL $6.00 away = $48 risk. Closed by the EA itself (account guard / blackout / instant close) at 4731.460 after 2m16s: +$4.00 (+0.08R).</t>
  </si>
  <si>
    <t xml:space="preserve">SELL STOP at 4675.65 filled at 4675.650 ($0.00 better). SL $6.00 away = $48 risk. Price went against it; stopped at 4681.910 after 34s: -$50.08 (-1.04R).</t>
  </si>
  <si>
    <t xml:space="preserve">BUY STOP at 4680.66 filled at 4680.790 ($0.13 worse). SL $6.00 away = $48 risk. Price went against it; stopped at 4674.640 after 15m02s: -$49.20 (-1.03R).</t>
  </si>
  <si>
    <t xml:space="preserve">BUY STOP at 4748.49 filled at 4754.300 ($5.81 worse). SL $6.00 away = $48 risk. Closed by the EA itself (account guard / blackout / instant close) at 4754.730 after 46m29s: +$3.44 (+0.07R).</t>
  </si>
  <si>
    <t xml:space="preserve">SELL STOP at 4708.48 filled at 4707.810 ($0.67 worse). SL $6.00 away = $48 risk. Closed by the EA itself (account guard / blackout / instant close) at 4707.340 after 21s: +$3.76 (+0.08R).</t>
  </si>
  <si>
    <t xml:space="preserve">BUY STOP at 4707.09 filled at 4707.300 ($0.21 worse). SL $6.00 away = $48 risk. Closed by the EA itself (account guard / blackout / instant close) at 4707.780 after 6m22s: +$3.84 (+0.08R).</t>
  </si>
  <si>
    <t xml:space="preserve">SELL STOP at 4669.42 filled at 4668.170 ($1.25 worse). SL $6.00 away = $48 risk. Price went against it; stopped at 4675.670 after 2m33s: -$60.00 (-1.25R).</t>
  </si>
  <si>
    <t xml:space="preserve">BUY STOP at 4712.44 filled at 4712.500 ($0.06 worse). SL $6.00 away = $48 risk. Closed by the EA itself (account guard / blackout / instant close) at 4712.980 after 4m37s: +$3.84 (+0.08R).</t>
  </si>
  <si>
    <t xml:space="preserve">SELL STOP at 4643.97 filled at 4642.740 ($1.23 worse). SL $6.00 away = $48 risk. Price went against it; stopped at 4650.030 after 58s: -$58.32 (-1.22R).</t>
  </si>
  <si>
    <t xml:space="preserve">SELL STOP at 4511.22 filled at 4510.310 ($0.91 worse). SL $6.00 away = $42 risk. Reached the take profit at 4481.190 after 11m35s: +$203.84 (+4.85R).</t>
  </si>
  <si>
    <t xml:space="preserve">SELL STOP at 4529.63 filled at 4529.610 ($0.02 worse). SL $6.00 away = $48 risk. Price went against it; stopped at 4535.920 after 3m23s: -$50.48 (-1.05R).</t>
  </si>
  <si>
    <t xml:space="preserve">BUY STOP at 4584.02 filled at 4584.420 ($0.40 worse). SL $6.00 away = $48 risk. Closed by the EA itself (account guard / blackout / instant close) at 4584.810 after 59s: +$3.12 (+0.07R).</t>
  </si>
  <si>
    <t xml:space="preserve">BUY STOP at 4546.28 filled at 4546.370 ($0.09 worse). SL $6.00 away = $48 risk. Closed by the EA itself (account guard / blackout / instant close) at 4546.870 after 10m22s: +$4.00 (+0.08R).</t>
  </si>
  <si>
    <t xml:space="preserve">SELL STOP at 4464.62 filled at 4464.300 ($0.32 worse). SL $6.00 away = $48 risk. Closed by the EA itself (account guard / blackout / instant close) at 4463.820 after 1m14s: +$3.84 (+0.08R).</t>
  </si>
  <si>
    <t xml:space="preserve">BUY STOP at 4478.97 filled at 4478.970 ($0.00 better). SL $6.00 away = $48 risk. Price went against it; stopped at 4472.570 after 1m28s: -$51.20 (-1.07R).</t>
  </si>
  <si>
    <t xml:space="preserve">BUY STOP at 4552.59 filled at 4552.870 ($0.28 worse). SL $6.00 away = $48 risk. Price went against it; stopped at 4545.380 after 2m48s: -$59.92 (-1.25R).</t>
  </si>
  <si>
    <t xml:space="preserve">SELL STOP at 4518.19 filled at 4518.110 ($0.08 worse). SL $6.00 away = $48 risk. Closed by the EA itself (account guard / blackout / instant close) at 4517.650 after 27m59s: +$3.68 (+0.08R).</t>
  </si>
  <si>
    <t xml:space="preserve">BUY STOP at 4534.07 filled at 4534.410 ($0.34 worse). SL $6.00 away = $48 risk. Closed by the EA itself (account guard / blackout / instant close) at 4534.880 after 15m38s: +$3.76 (+0.08R).</t>
  </si>
  <si>
    <t xml:space="preserve">SELL STOP at 4551.60 filled at 4551.590 ($0.01 worse). SL $6.00 away = $48 risk. Price went against it; stopped at 4557.660 after 21m14s: -$48.56 (-1.01R).</t>
  </si>
  <si>
    <t xml:space="preserve">BUY STOP at 4580.00 filled at 4580.020 ($0.02 worse). SL $6.00 away = $48 risk. Price went against it; stopped at 4573.920 after 5m02s: -$48.80 (-1.02R).</t>
  </si>
  <si>
    <t xml:space="preserve">SELL STOP at 4522.74 filled at 4522.680 ($0.06 worse). SL $6.00 away = $42 risk. Price went against it; stopped at 4529.200 after 6m21s: -$45.64 (-1.09R).</t>
  </si>
  <si>
    <t xml:space="preserve">SELL STOP at 4491.36 filled at 4491.360 ($0.00 better). SL $6.00 away = $42 risk. Closed by the EA itself (account guard / blackout / instant close) at 4491.230 after 2h01m: +$0.91 (+0.02R).</t>
  </si>
  <si>
    <t xml:space="preserve">SELL STOP at 4401.33 filled at 4401.290 ($0.04 worse). SL $6.00 away = $42 risk. Closed by the EA itself (account guard / blackout / instant close) at 4400.800 after 1m40s: +$3.43 (+0.08R).</t>
  </si>
  <si>
    <t xml:space="preserve">BUY STOP at 4395.55 filled at 4395.560 ($0.01 worse). SL $6.00 away = $42 risk. Price went against it; stopped at 4389.500 after 13m49s: -$42.42 (-1.01R).</t>
  </si>
  <si>
    <t xml:space="preserve">BUY STOP at 4516.32 filled at 4516.490 ($0.17 worse). SL $6.00 away = $42 risk. Closed by the EA itself (account guard / blackout / instant close) at 4516.950 after 6m38s: +$3.22 (+0.08R).</t>
  </si>
  <si>
    <t xml:space="preserve">BUY STOP at 4515.78 filled at 4515.900 ($0.12 worse). SL $6.00 away = $42 risk. Closed by the EA itself (account guard / blackout / instant close) at 4515.700 after 9m03s: -$1.40 (-0.03R).</t>
  </si>
  <si>
    <t xml:space="preserve">SELL STOP at 4508.40 filled at 4507.930 ($0.47 worse). SL $6.00 away = $42 risk. Closed by the EA itself (account guard / blackout / instant close) at 4507.440 after 2m53s: +$3.43 (+0.08R).</t>
  </si>
  <si>
    <t xml:space="preserve">SELL STOP at 4488.69 filled at 4488.640 ($0.05 worse). SL $6.00 away = $42 risk. Closed by the EA itself (account guard / blackout / instant close) at 4488.160 after 3s: +$3.36 (+0.08R).</t>
  </si>
  <si>
    <t xml:space="preserve">BUY STOP at 4527.98 filled at 4528.160 ($0.18 worse). SL $6.00 away = $42 risk. Closed by the EA itself (account guard / blackout / instant close) at 4528.620 after 3m30s: +$3.22 (+0.08R).</t>
  </si>
  <si>
    <t xml:space="preserve">SELL STOP at 4462.66 filled at 4462.090 ($0.57 worse). SL $6.00 away = $42 risk. Price went against it; stopped at 4468.900 after 1m16s: -$47.67 (-1.13R).</t>
  </si>
  <si>
    <t xml:space="preserve">SELL STOP at 4456.30 filled at 4456.200 ($0.10 worse). SL $6.00 away = $42 risk. Price went against it; stopped at 4462.320 after 12m41s: -$42.84 (-1.02R).</t>
  </si>
  <si>
    <t xml:space="preserve">SELL STOP at 4426.20 filled at 4426.070 ($0.13 worse). SL $6.00 away = $42 risk. Price went against it; stopped at 4432.720 after 9m05s: -$46.55 (-1.11R).</t>
  </si>
  <si>
    <t xml:space="preserve">SELL STOP at 4462.13 filled at 4462.100 ($0.03 worse). SL $6.00 away = $42 risk. Price went against it; stopped at 4468.170 after 11m51s: -$42.49 (-1.01R).</t>
  </si>
  <si>
    <t xml:space="preserve">SELL STOP at 4437.40 filled at 4437.300 ($0.10 worse). SL $6.00 away = $42 risk. Closed by the EA itself (account guard / blackout / instant close) at 4436.900 after 12m25s: +$2.80 (+0.07R).</t>
  </si>
  <si>
    <t xml:space="preserve">SELL STOP at 4423.69 filled at 4422.600 ($1.09 worse). SL $6.00 away = $42 risk. Closed by the EA itself (account guard / blackout / instant close) at 4422.110 after 1m32s: +$3.43 (+0.08R).</t>
  </si>
  <si>
    <t xml:space="preserve">BUY STOP at 4321.57 filled at 4321.690 ($0.12 worse). SL $6.00 away = $42 risk. Price went against it; stopped at 4315.470 after 18s: -$43.54 (-1.04R).</t>
  </si>
  <si>
    <t xml:space="preserve">SELL STOP at 4324.01 filled at 4323.460 ($0.55 worse). SL $6.00 away = $42 risk. Price went against it; stopped at 4330.120 after 3m07s: -$46.62 (-1.11R).</t>
  </si>
  <si>
    <t xml:space="preserve">BUY STOP at 4353.09 filled at 4353.850 ($0.76 worse). SL $6.00 away = $42 risk. Closed by the EA itself (account guard / blackout / instant close) at 4354.260 after 35s: +$2.87 (+0.07R).</t>
  </si>
  <si>
    <t xml:space="preserve">SELL STOP at 4236.25 filled at 4236.210 ($0.04 worse). SL $6.00 away = $42 risk. Closed by the EA itself (account guard / blackout / instant close) at 4235.870 after 2m28s: +$2.38 (+0.06R).</t>
  </si>
  <si>
    <t xml:space="preserve">BUY STOP at 4208.83 filled at 4208.850 ($0.02 worse). SL $6.00 away = $42 risk. Closed by the EA itself (account guard / blackout / instant close) at 4209.280 after 4m21s: +$3.01 (+0.07R).</t>
  </si>
  <si>
    <t xml:space="preserve">BUY STOP at 4106.05 filled at 4106.180 ($0.13 worse). SL $6.00 away = $42 risk. Closed by the EA itself (account guard / blackout / instant close) at 4106.620 after 8m40s: +$3.08 (+0.07R).</t>
  </si>
  <si>
    <t xml:space="preserve">SELL STOP at 4170.58 filled at 4170.540 ($0.04 worse). SL $6.00 away = $42 risk. Price went against it; stopped at 4176.710 after 2m38s: -$43.19 (-1.03R).</t>
  </si>
  <si>
    <t xml:space="preserve">SELL STOP at 4307.22 filled at 4307.190 ($0.03 worse). SL $6.00 away = $42 risk. Closed by the EA itself (account guard / blackout / instant close) at 4306.730 after 40s: +$3.22 (+0.08R).</t>
  </si>
  <si>
    <t xml:space="preserve">SELL STOP at 4313.98 filled at 4313.980 ($0.00 better). SL $6.00 away = $42 risk. Price went against it; stopped at 4319.990 after 12m56s: -$42.07 (-1.00R).</t>
  </si>
  <si>
    <t xml:space="preserve">SELL STOP at 4317.42 filled at 4316.970 ($0.45 worse). SL $6.00 away = $42 risk. Price went against it; stopped at 4323.550 after 6m02s: -$46.06 (-1.10R).</t>
  </si>
  <si>
    <t xml:space="preserve">BUY STOP at 4354.91 filled at 4355.000 ($0.09 worse). SL $6.00 away = $42 risk. Closed by the EA itself (account guard / blackout / instant close) at 4355.490 after 1m54s: +$3.43 (+0.08R).</t>
  </si>
  <si>
    <t xml:space="preserve">SELL STOP at 4301.08 filled at 4300.970 ($0.11 worse). SL $6.00 away = $42 risk. Closed by the EA itself (account guard / blackout / instant close) at 4300.490 after 1m42s: +$3.36 (+0.08R).</t>
  </si>
  <si>
    <t xml:space="preserve">SELL STOP at 4218.81 filled at 4218.530 ($0.28 worse). SL $6.00 away = $42 risk. Closed by the EA itself (account guard / blackout / instant close) at 4218.250 after 4s: +$1.96 (+0.05R).</t>
  </si>
  <si>
    <t xml:space="preserve">SELL STOP at 4201.15 filled at 4199.780 ($1.37 worse). SL $6.00 away = $42 risk. Closed by the EA itself (account guard / blackout / instant close) at 4199.360 after 12m19s: +$2.94 (+0.07R).</t>
  </si>
  <si>
    <t xml:space="preserve">BUY STOP at 4155.07 filled at 4155.090 ($0.02 worse). SL $6.00 away = $42 risk. Closed by the EA itself (account guard / blackout / instant close) at 4155.560 after 6m53s: +$3.29 (+0.08R).</t>
  </si>
  <si>
    <t xml:space="preserve">BUY STOP at 4212.88 filled at 4213.010 ($0.13 worse). SL $6.00 away = $42 risk. Closed by the EA itself (account guard / blackout / instant close) at 4212.750 after 6s: -$1.82 (-0.04R).</t>
  </si>
  <si>
    <t xml:space="preserve">BUY STOP at 4198.38 filled at 4198.410 ($0.03 worse). SL $6.00 away = $42 risk. Closed by the EA itself (account guard / blackout / instant close) at 4198.860 after 14m29s: +$3.15 (+0.07R).</t>
  </si>
  <si>
    <t xml:space="preserve">SELL STOP at 4136.13 filled at 4135.960 ($0.17 worse). SL $6.00 away = $42 risk. Closed by the EA itself (account guard / blackout / instant close) at 4135.500 after 2m03s: +$3.22 (+0.08R).</t>
  </si>
  <si>
    <t xml:space="preserve">SELL STOP at 4114.50 filled at 4114.410 ($0.09 worse). SL $6.00 away = $42 risk. Closed by the EA itself (account guard / blackout / instant close) at 4113.940 after 1m06s: +$3.29 (+0.08R).</t>
  </si>
  <si>
    <t xml:space="preserve">SELL STOP at 4090.55 filled at 4090.400 ($0.15 worse). SL $6.00 away = $42 risk. Closed by the EA itself (account guard / blackout / instant close) at 4090.020 after 7m37s: +$2.66 (+0.06R).</t>
  </si>
  <si>
    <t xml:space="preserve">BUY STOP at 4085.97 filled at 4086.180 ($0.21 worse). SL $6.00 away = $42 risk. Closed by the EA itself (account guard / blackout / instant close) at 4086.540 after 1m33s: +$2.52 (+0.06R).</t>
  </si>
  <si>
    <t xml:space="preserve">SELL STOP at 3980.20 filled at 3980.140 ($0.06 worse). SL $6.00 away = $42 risk. Closed by the EA itself (account guard / blackout / instant close) at 3979.830 after 5m41s: +$2.17 (+0.05R).</t>
  </si>
  <si>
    <t xml:space="preserve">BUY STOP at 4021.14 filled at 4021.350 ($0.21 worse). SL $6.00 away = $42 risk. Closed by the EA itself (account guard / blackout / instant close) at 4021.750 after 22s: +$2.80 (+0.07R).</t>
  </si>
  <si>
    <t xml:space="preserve">BUY STOP at 4043.92 filled at 4044.740 ($0.82 worse). SL $6.00 away = $42 risk. Closed by the EA itself (account guard / blackout / instant close) at 4045.160 after 32s: +$2.94 (+0.07R).</t>
  </si>
  <si>
    <t xml:space="preserve">BUY STOP at 4068.77 filled at 4068.880 ($0.11 worse). SL $6.00 away = $42 risk. Price went against it; stopped at 4062.570 after 5m39s: -$44.17 (-1.05R).</t>
  </si>
  <si>
    <t xml:space="preserve">SELL STOP at 3999.92 filled at 3999.840 ($0.08 worse). SL $6.00 away = $42 risk. Reached the take profit at 3969.850 after 29m41s: +$209.93 (+5.00R).</t>
  </si>
  <si>
    <t xml:space="preserve">BUY STOP at 3997.83 filled at 3997.990 ($0.16 worse). SL $6.00 away = $42 risk. Closed by the EA itself (account guard / blackout / instant close) at 3998.320 after 1m22s: +$2.31 (+0.05R).</t>
  </si>
  <si>
    <t xml:space="preserve">SELL STOP at 3969.60 filled at 3969.580 ($0.02 worse). SL $6.00 away = $42 risk. Closed by the EA itself (account guard / blackout / instant close) at 3969.180 after 4m26s: +$2.80 (+0.07R).</t>
  </si>
  <si>
    <t xml:space="preserve">BUY STOP at 4063.21 filled at 4063.660 ($0.45 worse). SL $6.00 away = $42 risk. Closed by the EA itself (account guard / blackout / instant close) at 4064.040 after 5s: +$2.66 (+0.06R).</t>
  </si>
  <si>
    <t xml:space="preserve">BUY STOP at 4072.67 filled at 4072.670 ($0.00 better). SL $6.00 away = $42 risk. Closed by the EA itself (account guard / blackout / instant close) at 4073.060 after 52s: +$2.73 (+0.06R).</t>
  </si>
  <si>
    <t xml:space="preserve">BUY STOP at 4115.49 filled at 4115.990 ($0.50 worse). SL $6.00 away = $42 risk. Closed by the EA itself (account guard / blackout / instant close) at 4114.680 after 2s: -$9.17 (-0.22R).</t>
  </si>
  <si>
    <t xml:space="preserve">BUY STOP at 4143.72 filled at 4143.990 ($0.27 worse). SL $6.00 away = $42 risk. Reached the take profit at 4173.860 after 18m21s: +$209.09 (+4.98R).</t>
  </si>
  <si>
    <t xml:space="preserve">SELL STOP at 4169.03 filled at 4169.030 ($0.00 better). SL $6.00 away = $42 risk. Closed by the EA itself (account guard / blackout / instant close) at 4168.570 after 4m22s: +$3.22 (+0.08R).</t>
  </si>
  <si>
    <t xml:space="preserve">BUY STOP at 4195.37 filled at 4195.660 ($0.29 worse). SL $6.00 away = $42 risk. Closed by the EA itself (account guard / blackout / instant close) at 4195.970 after 5m16s: +$2.17 (+0.05R).</t>
  </si>
  <si>
    <t xml:space="preserve">BUY STOP at 4166.39 filled at 4166.570 ($0.18 worse). SL $6.00 away = $42 risk. Price went against it; stopped at 4160.250 after 16m22s: -$44.24 (-1.05R).</t>
  </si>
  <si>
    <t xml:space="preserve">SELL STOP at 4128.27 filled at 4127.460 ($0.81 worse). SL $6.00 away = $42 risk. Price went against it; stopped at 4134.490 after 2m22s: -$49.21 (-1.17R).</t>
  </si>
  <si>
    <t xml:space="preserve">BUY STOP at 4141.00 filled at 4141.710 ($0.71 worse). SL $6.00 away = $42 risk. Closed by the EA itself (account guard / blackout / instant close) at 4142.200 after 11m35s: +$3.43 (+0.08R).</t>
  </si>
  <si>
    <t xml:space="preserve">BUY STOP at 4133.69 filled at 4133.850 ($0.16 worse). SL $6.00 away = $42 risk. Price went against it; stopped at 4127.460 after 7m19s: -$44.73 (-1.06R).</t>
  </si>
  <si>
    <t xml:space="preserve">SELL STOP at 4091.85 filled at 4091.850 ($0.00 better). SL $6.00 away = $42 risk. Closed by the EA itself (account guard / blackout / instant close) at 4091.510 after 1m09s: +$2.38 (+0.06R).</t>
  </si>
  <si>
    <t xml:space="preserve">BUY STOP at 4084.04 filled at 4084.080 ($0.04 worse). SL $6.00 away = $42 risk. Reached the take profit at 4114.630 after 2h21m: +$213.85 (+5.09R).</t>
  </si>
  <si>
    <t xml:space="preserve">BUY STOP at 4133.69 filled at 4133.750 ($0.06 worse). SL $6.00 away = $48 risk. Price went against it; stopped at 4127.320 after 3m06s: -$51.44 (-1.07R).</t>
  </si>
  <si>
    <t xml:space="preserve">SELL STOP at 4107.96 filled at 4107.600 ($0.36 worse). SL $6.00 away = $42 risk. Closed by the EA itself (account guard / blackout / instant close) at 4107.470 after 6m46s: +$0.91 (+0.02R).</t>
  </si>
  <si>
    <t xml:space="preserve">SELL STOP at 4050.09 filled at 4049.970 ($0.12 worse). SL $6.00 away = $42 risk. Closed by the EA itself (account guard / blackout / instant close) at 4049.560 after 3m36s: +$2.87 (+0.07R).</t>
  </si>
  <si>
    <t xml:space="preserve">BUY STOP at 4034.01 filled at 4034.060 ($0.05 worse). SL $6.00 away = $42 risk. Price went against it; stopped at 4027.930 after 2m01s: -$42.91 (-1.02R).</t>
  </si>
  <si>
    <t xml:space="preserve">BUY STOP at 4103.27 filled at 4103.420 ($0.15 worse). SL $6.00 away = $42 risk. Closed by the EA itself (account guard / blackout / instant close) at 4090.510 after 0s: -$90.37 (-2.15R).</t>
  </si>
  <si>
    <t xml:space="preserve">SELL STOP at 4021.67 filled at 4021.480 ($0.19 worse). SL $6.00 away = $42 risk. Price went against it; stopped at 4027.700 after 3m19s: -$43.54 (-1.04R).</t>
  </si>
  <si>
    <t xml:space="preserve">SELL STOP at 4024.98 filled at 4024.860 ($0.12 worse). SL $6.00 away = $42 risk. Price went against it; stopped at 4031.320 after 19m55s: -$45.22 (-1.08R).</t>
  </si>
  <si>
    <t xml:space="preserve">SELL STOP at 4017.16 filled at 4016.730 ($0.43 worse). SL $6.00 away = $42 risk. Closed by the EA itself (account guard / blackout / instant close) at 4016.430 after 35s: +$2.10 (+0.05R).</t>
  </si>
  <si>
    <t xml:space="preserve">BUY STOP at 3991.40 filled at 3991.480 ($0.08 worse). SL $6.00 away = $42 risk. Closed by the EA itself (account guard / blackout / instant close) at 3991.740 after 2h09m: +$1.82 (+0.04R).</t>
  </si>
  <si>
    <t xml:space="preserve">SELL STOP at 3969.05 filled at 3968.040 ($1.01 worse). SL $6.00 away = $42 risk. Closed by the EA itself (account guard / blackout / instant close) at 3967.680 after 58s: +$2.52 (+0.06R).</t>
  </si>
  <si>
    <t xml:space="preserve">BUY STOP at 4023.65 filled at 4023.660 ($0.01 worse). SL $6.00 away = $42 risk. Closed by the EA itself (account guard / blackout / instant close) at 4024.110 after 24s: +$3.15 (+0.07R).</t>
  </si>
  <si>
    <t xml:space="preserve">SELL STOP at 4005.15 filled at 4005.110 ($0.04 worse). SL $6.00 away = $42 risk. Closed by the EA itself (account guard / blackout / instant close) at 4004.630 after 33m53s: +$3.36 (+0.08R).</t>
  </si>
  <si>
    <t xml:space="preserve">BUY STOP at 4040.44 filled at 4040.590 ($0.15 worse). SL $6.00 away = $42 risk. Closed by the EA itself (account guard / blackout / instant close) at 4041.020 after 8s: +$3.01 (+0.07R).</t>
  </si>
  <si>
    <t xml:space="preserve">BUY STOP at 4067.45 filled at 4067.450 ($0.00 better). SL $6.00 away = $42 risk. Closed by the EA itself (account guard / blackout / instant close) at 4067.890 after 1h21m: +$3.08 (+0.07R).</t>
  </si>
  <si>
    <t xml:space="preserve">BUY STOP at 4133.91 filled at 4134.330 ($0.42 worse). SL $6.00 away = $42 risk. Price went against it; stopped at 4127.790 after 23m17s: -$45.78 (-1.09R).</t>
  </si>
  <si>
    <t xml:space="preserve">SELL STOP at 4119.04 filled at 4119.040 ($0.00 better). SL $6.00 away = $42 risk. Reached the take profit at 4089.030 after 1h41m: +$210.07 (+5.00R).</t>
  </si>
  <si>
    <t xml:space="preserve">SELL STOP at 4076.33 filled at 4076.100 ($0.23 worse). SL $6.00 away = $42 risk. Closed by the EA itself (account guard / blackout / instant close) at 4075.660 after 55s: +$3.08 (+0.07R).</t>
  </si>
  <si>
    <t xml:space="preserve">SELL STOP at 4039.69 filled at 4039.560 ($0.13 worse). SL $6.00 away = $42 risk. Price went against it; stopped at 4045.690 after 11m59s: -$42.91 (-1.02R).</t>
  </si>
  <si>
    <t xml:space="preserve">BUY STOP at 4032.03 filled at 4032.130 ($0.10 worse). SL $6.00 away = $42 risk. Closed by the EA itself (account guard / blackout / instant close) at 4032.390 after 32m46s: +$1.82 (+0.04R).</t>
  </si>
  <si>
    <t xml:space="preserve">BUY STOP at 4094.54 filled at 4094.550 ($0.01 worse). SL $6.00 away = $42 risk. Closed by the EA itself (account guard / blackout / instant close) at 4094.670 after 31m47s: +$0.84 (+0.02R).</t>
  </si>
  <si>
    <t xml:space="preserve">SELL STOP at 4065.07 filled at 4065.030 ($0.04 worse). SL $6.00 away = $42 risk. Closed by the EA itself (account guard / blackout / instant close) at 4064.690 after 1m46s: +$2.38 (+0.06R).</t>
  </si>
  <si>
    <t xml:space="preserve">BUY STOP at 4049.49 filled at 4049.560 ($0.07 worse). SL $6.00 away = $42 risk. Closed by the EA itself (account guard / blackout / instant close) at 4050.050 after 13m03s: +$3.43 (+0.08R).</t>
  </si>
  <si>
    <t xml:space="preserve">SELL STOP at 4011.34 filled at 4010.670 ($0.67 worse). SL $6.00 away = $42 risk. Price went against it; stopped at 4017.360 after 5m38s: -$46.83 (-1.11R).</t>
  </si>
  <si>
    <t xml:space="preserve">BUY STOP at 4039.76 filled at 4039.780 ($0.02 worse). SL $6.00 away = $42 risk. Closed by the EA itself (account guard / blackout / instant close) at 4040.140 after 7m41s: +$2.52 (+0.06R).</t>
  </si>
  <si>
    <t xml:space="preserve">BUY STOP at 4059.85 filled at 4059.870 ($0.02 worse). SL $6.00 away = $42 risk. Closed by the EA itself (account guard / blackout / instant close) at 4060.300 after 2m46s: +$3.01 (+0.07R).</t>
  </si>
  <si>
    <t xml:space="preserve">BUY STOP at 4116.11 filled at 4117.020 ($0.91 worse). SL $6.00 away = $42 risk. Closed by the EA itself (account guard / blackout / instant close) at 4117.450 after 4s: +$3.01 (+0.07R).</t>
  </si>
  <si>
    <t xml:space="preserve">SELL STOP at 4072.82 filled at 4072.750 ($0.07 worse). SL $6.00 away = $42 risk. Price went against it; stopped at 4078.820 after 3m08s: -$42.49 (-1.01R).</t>
  </si>
  <si>
    <t xml:space="preserve">SELL STOP at 4028.16 filled at 4028.120 ($0.04 worse). SL $6.00 away = $42 risk. Closed by the EA itself (account guard / blackout / instant close) at 4028.260 after 6m23s: -$0.98 (-0.02R).</t>
  </si>
  <si>
    <t xml:space="preserve">BUY STOP at 4071.60 filled at 4071.600 ($0.00 better). SL $6.00 away = $42 risk. Price went against it; stopped at 4065.520 after 9m30s: -$42.56 (-1.01R).</t>
  </si>
  <si>
    <t xml:space="preserve">SELL STOP at 4020.55 filled at 4020.540 ($0.01 worse). SL $6.00 away = $42 risk. Price went against it; stopped at 4026.600 after 52s: -$42.42 (-1.01R).</t>
  </si>
  <si>
    <t xml:space="preserve">BUY STOP at 4067.56 filled at 4067.560 ($0.00 better). SL $6.00 away = $42 risk. Closed by the EA itself (account guard / blackout / instant close) at 4068.050 after 8m27s: +$3.43 (+0.08R).</t>
  </si>
  <si>
    <t xml:space="preserve">BUY STOP at 4081.94 filled at 4081.970 ($0.03 worse). SL $6.00 away = $42 risk. Closed by the EA itself (account guard / blackout / instant close) at 4082.450 after 22s: +$3.36 (+0.08R).</t>
  </si>
  <si>
    <t xml:space="preserve">BUY STOP at 4106.40 filled at 4107.250 ($0.85 worse). SL $6.00 away = $42 risk. Reached the take profit at 4136.420 after 1h40m: +$204.19 (+4.86R).</t>
  </si>
  <si>
    <t xml:space="preserve">BUY STOP at 4172.65 filled at 4172.670 ($0.02 worse). SL $6.00 away = $42 risk. Price went against it; stopped at 4166.570 after 7m02s: -$42.70 (-1.02R).</t>
  </si>
  <si>
    <t xml:space="preserve">BUY STOP at 4267.72 filled at 4267.750 ($0.03 worse). SL $6.00 away = $42 risk. Closed by the EA itself (account guard / blackout / instant close) at 4267.360 after 26m05s: -$2.73 (-0.06R).</t>
  </si>
  <si>
    <t xml:space="preserve">BUY STOP at 4268.25 filled at 4268.350 ($0.10 worse). SL $6.00 away = $42 risk. Price went against it; stopped at 4262.170 after 7m18s: -$43.26 (-1.03R).</t>
  </si>
  <si>
    <t xml:space="preserve">BUY STOP at 4280.36 filled at 4280.360 ($0.00 better). SL $6.00 away = $42 risk. Closed by the EA itself (account guard / blackout / instant close) at 4280.860 after 30m03s: +$3.50 (+0.08R).</t>
  </si>
  <si>
    <t xml:space="preserve">BUY STOP at 4303.75 filled at 4303.930 ($0.18 worse). SL $6.00 away = $42 risk. Closed by the EA itself (account guard / blackout / instant close) at 4304.400 after 2m27s: +$3.29 (+0.08R).</t>
  </si>
  <si>
    <t xml:space="preserve">BUY STOP at 4351.82 filled at 4351.920 ($0.10 worse). SL $6.00 away = $42 risk. Closed by the EA itself (account guard / blackout / instant close) at 4352.420 after 29m15s: +$3.50 (+0.08R).</t>
  </si>
  <si>
    <t xml:space="preserve">BUY STOP at 4371.70 filled at 4372.390 ($0.69 worse). SL $6.00 away = $42 risk. Closed by the EA itself (account guard / blackout / instant close) at 4381.650 after 43m37s: +$64.82 (+1.54R).</t>
  </si>
  <si>
    <t xml:space="preserve">SELL STOP at 4367.08 filled at 4366.530 ($0.55 worse). SL $6.00 away = $42 risk. Closed by the EA itself (account guard / blackout / instant close) at 4366.140 after 1m57s: +$2.73 (+0.06R).</t>
  </si>
  <si>
    <t xml:space="preserve">BUY STOP at 4404.79 filled at 4404.940 ($0.15 worse). SL $6.00 away = $42 risk. Price went against it; stopped at 4398.770 after 22m28s: -$43.19 (-1.03R).</t>
  </si>
  <si>
    <t xml:space="preserve">BUY STOP at 4434.97 filled at 4435.050 ($0.08 worse). SL $6.00 away = $42 risk. Closed by the EA itself (account guard / blackout / instant close) at 4435.390 after 9s: +$2.38 (+0.06R).</t>
  </si>
  <si>
    <t xml:space="preserve">SELL STOP at 4380.33 filled at 4380.250 ($0.08 worse). SL $6.00 away = $42 risk. Closed by the EA itself (account guard / blackout / instant close) at 4379.850 after 5m29s: +$2.80 (+0.07R).</t>
  </si>
  <si>
    <t xml:space="preserve">SELL STOP at 4361.50 filled at 4352.760 ($8.74 worse). SL $6.00 away = $42 risk. Price went against it; stopped at 4367.720 after 57s: -$104.72 (-2.49R).</t>
  </si>
  <si>
    <t xml:space="preserve">SELL STOP at 4343.37 filled at 4342.730 ($0.64 worse). SL $6.00 away = $42 risk. Closed by the EA itself (account guard / blackout / instant close) at 4342.350 after 1s: +$2.66 (+0.06R).</t>
  </si>
  <si>
    <t xml:space="preserve">BUY STOP at 4396.77 filled at 4396.950 ($0.18 worse). SL $6.00 away = $42 risk. Closed by the EA itself (account guard / blackout / instant close) at 4397.400 after 57m23s: +$3.15 (+0.07R).</t>
  </si>
  <si>
    <t xml:space="preserve">BUY STOP at 4401.08 filled at 4401.100 ($0.02 worse). SL $6.00 away = $42 risk. Closed by the EA itself (account guard / blackout / instant close) at 4401.540 after 5m27s: +$3.08 (+0.07R).</t>
  </si>
  <si>
    <t xml:space="preserve">BUY STOP at 4428.68 filled at 4428.810 ($0.13 worse). SL $6.00 away = $42 risk. Price went against it; stopped at 4422.510 after 27s: -$44.10 (-1.05R).</t>
  </si>
  <si>
    <t xml:space="preserve">BUY STOP at 4397.43 filled at 4397.430 ($0.00 better). SL $6.00 away = $42 risk. Closed by the EA itself (account guard / blackout / instant close) at 4397.930 after 11m48s: +$3.50 (+0.08R).</t>
  </si>
  <si>
    <t xml:space="preserve">SELL STOP at 4329.30 filled at 4328.550 ($0.75 worse). SL $6.00 away = $42 risk. Price went against it; stopped at 4335.330 after 27m47s: -$47.46 (-1.13R).</t>
  </si>
  <si>
    <t xml:space="preserve">BUY STOP at 4356.04 filled at 4356.170 ($0.13 worse). SL $6.00 away = $42 risk. Closed by the EA itself (account guard / blackout / instant close) at 4356.520 after 14m11s: +$2.45 (+0.06R).</t>
  </si>
  <si>
    <t xml:space="preserve">BUY STOP at 4498.82 filled at 4498.820 ($0.00 better). SL $6.00 away = $42 risk. Price went against it; stopped at 4492.820 after 7m35s: -$42.00 (-1.00R).</t>
  </si>
  <si>
    <t xml:space="preserve">BUY STOP at 4540.80 filled at 4540.860 ($0.06 worse). SL $6.00 away = $42 risk. Closed by the EA itself (account guard / blackout / instant close) at 4541.340 after 5s: +$3.36 (+0.08R).</t>
  </si>
  <si>
    <t xml:space="preserve">BUY STOP at 4556.04 filled at 4556.050 ($0.01 worse). SL $6.00 away = $42 risk. Price went against it; stopped at 4549.980 after 6m48s: -$42.49 (-1.01R).</t>
  </si>
  <si>
    <t xml:space="preserve">BUY STOP at 4646.15 filled at 4646.410 ($0.26 worse). SL $6.00 away = $42 risk. Closed by the EA itself (account guard / blackout / instant close) at 4646.910 after 4m54s: +$3.50 (+0.08R).</t>
  </si>
  <si>
    <t xml:space="preserve">BUY STOP at 4647.59 filled at 4647.630 ($0.04 worse). SL $6.00 away = $42 risk. Closed by the EA itself (account guard / blackout / instant close) at 4647.840 after 4m01s: +$1.47 (+0.03R).</t>
  </si>
  <si>
    <t xml:space="preserve">SELL STOP at 4635.09 filled at 4635.080 ($0.01 worse). SL $6.00 away = $42 risk. Closed by the EA itself (account guard / blackout / instant close) at 4634.650 after 4m37s: +$3.01 (+0.07R).</t>
  </si>
  <si>
    <t xml:space="preserve">SELL STOP at 4604.82 filled at 4603.570 ($1.25 worse). SL $6.00 away = $42 risk. Closed by the EA itself (account guard / blackout / instant close) at 4603.420 after 15s: +$1.05 (+0.02R).</t>
  </si>
  <si>
    <t xml:space="preserve">SELL STOP at 4600.68 filled at 4600.670 ($0.01 worse). SL $6.00 away = $42 risk. Price went against it; stopped at 4606.700 after 12m29s: -$42.21 (-1.00R).</t>
  </si>
  <si>
    <t xml:space="preserve">SELL STOP at 4582.79 filled at 4582.650 ($0.14 worse). SL $6.00 away = $42 risk. Closed by the EA itself (account guard / blackout / instant close) at 4582.340 after 1s: +$2.17 (+0.05R).</t>
  </si>
  <si>
    <t xml:space="preserve">BUY STOP at 4586.05 filled at 4586.060 ($0.01 worse). SL $6.00 away = $42 risk. Reached the take profit at 4616.150 after 7h25m: +$210.63 (+5.01R).</t>
  </si>
  <si>
    <t xml:space="preserve">SELL STOP at 4564.23 filled at 4563.750 ($0.48 worse). SL $6.00 away = $42 risk. Closed by the EA itself (account guard / blackout / instant close) at 4563.410 after 3s: +$2.38 (+0.06R).</t>
  </si>
  <si>
    <t xml:space="preserve">BUY STOP at 4443.53 filled at 4443.620 ($0.09 worse). SL $6.00 away = $42 risk. Closed by the EA itself (account guard / blackout / instant close) at 4443.960 after 7m30s: +$2.38 (+0.06R).</t>
  </si>
  <si>
    <t xml:space="preserve">SELL STOP at 4423.50 filled at 4422.530 ($0.97 worse). SL $6.00 away = $42 risk. Closed by the EA itself (account guard / blackout / instant close) at 4422.730 after 32s: -$1.40 (-0.03R).</t>
  </si>
  <si>
    <t xml:space="preserve">SELL STOP at 4396.15 filled at 4396.060 ($0.09 worse). SL $6.00 away = $42 risk. Closed by the EA itself (account guard / blackout / instant close) at 4395.670 after 2m26s: +$2.73 (+0.06R).</t>
  </si>
  <si>
    <t xml:space="preserve">SELL STOP at 4322.53 filled at 4322.340 ($0.19 worse). SL $6.00 away = $42 risk. Closed by the EA itself (account guard / blackout / instant close) at 4321.960 after 1m47s: +$2.66 (+0.06R).</t>
  </si>
  <si>
    <t xml:space="preserve">BUY STOP at 4326.49 filled at 4326.550 ($0.06 worse). SL $6.00 away = $42 risk. Closed by the EA itself (account guard / blackout / instant close) at 4327.050 after 39s: +$3.50 (+0.08R).</t>
  </si>
  <si>
    <t xml:space="preserve">BUY STOP at 4397.48 filled at 4397.510 ($0.03 worse). SL $6.00 away = $42 risk. Price went against it; stopped at 4391.450 after 16s: -$42.42 (-1.01R).</t>
  </si>
  <si>
    <t xml:space="preserve">SELL STOP at 4422.42 filled at 4422.360 ($0.06 worse). SL $6.00 away = $42 risk. Closed by the EA itself (account guard / blackout / instant close) at 4421.900 after 2m54s: +$3.22 (+0.08R).</t>
  </si>
  <si>
    <t xml:space="preserve">SELL STOP at 4465.15 filled at 4465.110 ($0.04 worse). SL $6.00 away = $42 risk. Closed by the EA itself (account guard / blackout / instant close) at 4464.700 after 16m08s: +$2.87 (+0.07R).</t>
  </si>
  <si>
    <t xml:space="preserve">SELL STOP at 4380.75 filled at 4374.150 ($6.60 worse). SL $6.00 away = $42 risk. Price went against it; stopped at 4388.330 after 0s: -$99.26 (-2.36R).</t>
  </si>
  <si>
    <t xml:space="preserve">SELL STOP at 4392.93 filled at 4392.890 ($0.04 worse). SL $6.00 away = $42 risk. Closed by the EA itself (account guard / blackout / instant close) at 4392.490 after 1m10s: +$2.80 (+0.07R).</t>
  </si>
  <si>
    <t xml:space="preserve">SELL STOP at 4417.03 filled at 4416.650 ($0.38 worse). SL $6.00 away = $42 risk. Reached the take profit at 4387.010 after 6h13m: +$207.48 (+4.94R).</t>
  </si>
  <si>
    <t xml:space="preserve">SELL STOP at 4380.94 filled at 4380.160 ($0.78 worse). SL $6.00 away = $42 risk. Price went against it; stopped at 4387.010 after 5m21s: -$47.95 (-1.14R).</t>
  </si>
  <si>
    <t xml:space="preserve">BUY STOP at 4400.77 filled at 4401.080 ($0.31 worse). SL $6.00 away = $42 risk. Closed by the EA itself (account guard / blackout / instant close) at 4401.560 after 3m29s: +$3.36 (+0.08R).</t>
  </si>
  <si>
    <t xml:space="preserve">BUY STOP at 4433.79 filled at 4436.090 ($2.30 worse). SL $6.00 away = $42 risk. Price went against it; stopped at 4427.790 after 2m24s: -$58.10 (-1.38R).</t>
  </si>
  <si>
    <t xml:space="preserve">SELL STOP at 4405.44 filled at 4405.430 ($0.01 worse). SL $6.00 away = $42 risk. Price went against it; stopped at 4411.440 after 12m21s: -$42.07 (-1.00R).</t>
  </si>
  <si>
    <t xml:space="preserve">SELL STOP at 4313.50 filled at 4313.430 ($0.07 worse). SL $6.00 away = $42 risk. Price went against it; stopped at 4319.550 after 8m48s: -$42.84 (-1.02R).</t>
  </si>
  <si>
    <t xml:space="preserve">BUY STOP at 4351.77 filled at 4352.290 ($0.52 worse). SL $6.00 away = $42 risk. Closed by the EA itself (account guard / blackout / instant close) at 4352.740 after 1m58s: +$3.15 (+0.07R).</t>
  </si>
  <si>
    <t xml:space="preserve">SELL STOP at 4321.84 filled at 4321.790 ($0.05 worse). SL $6.00 away = $42 risk. Closed by the EA itself (account guard / blackout / instant close) at 4321.340 after 5m48s: +$3.15 (+0.07R).</t>
  </si>
  <si>
    <t xml:space="preserve">SELL STOP at 4300.50 filled at 4300.410 ($0.09 worse). SL $6.00 away = $42 risk. Reached the take profit at 4270.420 after 3h36m: +$209.93 (+5.00R).</t>
  </si>
  <si>
    <t xml:space="preserve">SELL STOP at 4288.91 filled at 4288.910 ($0.00 better). SL $6.00 away = $42 risk. Closed by the EA itself (account guard / blackout / instant close) at 4288.420 after 2m07s: +$3.43 (+0.08R).</t>
  </si>
  <si>
    <t xml:space="preserve">BUY STOP at 4317.25 filled at 4317.360 ($0.11 worse). SL $6.00 away = $42 risk. Reached the take profit at 4347.910 after 7h18m: +$213.85 (+5.09R).</t>
  </si>
  <si>
    <t xml:space="preserve">SELL STOP at 4320.30 filled at 4319.410 ($0.89 worse). SL $6.00 away = $48 risk. Closed by the EA itself (account guard / blackout / instant close) at 4319.120 after 2s: +$2.32 (+0.05R).</t>
  </si>
  <si>
    <t xml:space="preserve">BUY STOP at 4305.20 filled at 4305.320 ($0.12 worse). SL $6.00 away = $48 risk. Closed by the EA itself (account guard / blackout / instant close) at 4305.670 after 4m45s: +$2.80 (+0.06R).</t>
  </si>
  <si>
    <t xml:space="preserve">BUY STOP at 4366.53 filled at 4366.560 ($0.03 worse). SL $6.00 away = $48 risk. Closed by the EA itself (account guard / blackout / instant close) at 4366.610 after 16m16s: +$0.40 (+0.01R).</t>
  </si>
  <si>
    <t xml:space="preserve">BUY STOP at 4377.93 filled at 4378.320 ($0.39 worse). SL $6.00 away = $48 risk. Closed by the EA itself (account guard / blackout / instant close) at 4378.810 after 3h42m: +$3.92 (+0.08R).</t>
  </si>
  <si>
    <t xml:space="preserve">SELL STOP at 4348.93 filled at 4348.910 ($0.02 worse). SL $6.00 away = $48 risk. Closed by the EA itself (account guard / blackout / instant close) at 4348.510 after 5m59s: +$3.20 (+0.07R).</t>
  </si>
  <si>
    <t xml:space="preserve">SELL STOP at 4334.11 filled at 4334.110 ($0.00 better). SL $6.00 away = $48 risk. Closed by the EA itself (account guard / blackout / instant close) at 4333.890 after 1m04s: +$1.76 (+0.04R).</t>
  </si>
  <si>
    <t xml:space="preserve">SELL STOP at 4322.34 filled at 4322.200 ($0.14 worse). SL $6.00 away = $48 risk. Closed by the EA itself (account guard / blackout / instant close) at 4321.700 after 1m10s: +$4.00 (+0.08R).</t>
  </si>
  <si>
    <t xml:space="preserve">SELL STOP at 4315.89 filled at 4315.760 ($0.13 worse). SL $6.00 away = $48 risk. Price went against it; stopped at 4321.920 after 38m18s: -$49.28 (-1.03R).</t>
  </si>
  <si>
    <t xml:space="preserve">SELL STOP at 4327.74 filled at 4327.630 ($0.11 worse). SL $6.00 away = $48 risk. Price went against it; stopped at 4334.610 after 23m43s: -$55.84 (-1.16R).</t>
  </si>
  <si>
    <t xml:space="preserve">SELL STOP at 4291.25 filled at 4290.770 ($0.48 worse). SL $6.00 away = $48 risk. Closed by the EA itself (account guard / blackout / instant close) at 4290.300 after 46s: +$3.76 (+0.08R).</t>
  </si>
  <si>
    <t xml:space="preserve">SELL STOP at 4274.22 filled at 4274.010 ($0.21 worse). SL $6.00 away = $48 risk. Price went against it; stopped at 4280.240 after 12m53s: -$49.84 (-1.04R).</t>
  </si>
  <si>
    <t xml:space="preserve">SELL STOP at 4277.27 filled at 4277.040 ($0.23 worse). SL $6.00 away = $48 risk. Closed by the EA itself (account guard / blackout / instant close) at 4276.550 after 11m34s: +$3.92 (+0.08R).</t>
  </si>
  <si>
    <t xml:space="preserve">BUY STOP at 4275.46 filled at 4275.460 ($0.00 better). SL $6.00 away = $48 risk. Closed by the EA itself (account guard / blackout / instant close) at 4275.880 after 11m10s: +$3.36 (+0.07R).</t>
  </si>
  <si>
    <t xml:space="preserve">BUY STOP at 4302.87 filled at 4303.060 ($0.19 worse). SL $6.00 away = $48 risk. Closed by the EA itself (account guard / blackout / instant close) at 4303.560 after 10m29s: +$4.00 (+0.08R).</t>
  </si>
  <si>
    <t xml:space="preserve">Test settings and what they mean</t>
  </si>
  <si>
    <t xml:space="preserve">Expert</t>
  </si>
  <si>
    <t xml:space="preserve">XAUUSD_Simple_Breakout_v7</t>
  </si>
  <si>
    <t xml:space="preserve">Symbol</t>
  </si>
  <si>
    <t xml:space="preserve">XAUUSD.T</t>
  </si>
  <si>
    <t xml:space="preserve">Period</t>
  </si>
  <si>
    <t xml:space="preserve">H1 (2022.04.01 - 2026.10.01)</t>
  </si>
  <si>
    <t xml:space="preserve">Initial deposit</t>
  </si>
  <si>
    <t xml:space="preserve">Leverage</t>
  </si>
  <si>
    <t xml:space="preserve">1:100</t>
  </si>
  <si>
    <t xml:space="preserve">History quality</t>
  </si>
  <si>
    <t xml:space="preserve">100% real ticks</t>
  </si>
  <si>
    <t xml:space="preserve">Input</t>
  </si>
  <si>
    <t xml:space="preserve">Meaning</t>
  </si>
  <si>
    <t xml:space="preserve">0. Symbol / units</t>
  </si>
  <si>
    <t xml:space="preserve">InpDistUnit</t>
  </si>
  <si>
    <t xml:space="preserve">0</t>
  </si>
  <si>
    <t xml:space="preserve">1. Setups (SERVER time, HH:MM)</t>
  </si>
  <si>
    <t xml:space="preserve">InpUsePDH</t>
  </si>
  <si>
    <t xml:space="preserve">true</t>
  </si>
  <si>
    <t xml:space="preserve">InpPDHStart</t>
  </si>
  <si>
    <t xml:space="preserve">01:15</t>
  </si>
  <si>
    <t xml:space="preserve">InpUseRange</t>
  </si>
  <si>
    <t xml:space="preserve">InpRangeStart</t>
  </si>
  <si>
    <t xml:space="preserve">07:00</t>
  </si>
  <si>
    <t xml:space="preserve">InpRangeEnd</t>
  </si>
  <si>
    <t xml:space="preserve">09:00</t>
  </si>
  <si>
    <t xml:space="preserve">InpRangeTZ</t>
  </si>
  <si>
    <t xml:space="preserve">InpServerUTCWinter</t>
  </si>
  <si>
    <t xml:space="preserve">2</t>
  </si>
  <si>
    <t xml:space="preserve">InpServerDST</t>
  </si>
  <si>
    <t xml:space="preserve">InpUse4H</t>
  </si>
  <si>
    <t xml:space="preserve">false</t>
  </si>
  <si>
    <t xml:space="preserve">InpH4From</t>
  </si>
  <si>
    <t xml:space="preserve">08:00</t>
  </si>
  <si>
    <t xml:space="preserve">InpH4To</t>
  </si>
  <si>
    <t xml:space="preserve">20:00</t>
  </si>
  <si>
    <t xml:space="preserve">InpTradeEnd</t>
  </si>
  <si>
    <t xml:space="preserve">22:00</t>
  </si>
  <si>
    <t xml:space="preserve">InpCloseTime</t>
  </si>
  <si>
    <t xml:space="preserve">22:15</t>
  </si>
  <si>
    <t xml:space="preserve">InpCloseMode</t>
  </si>
  <si>
    <t xml:space="preserve">2. Entry</t>
  </si>
  <si>
    <t xml:space="preserve">InpEntryMode</t>
  </si>
  <si>
    <t xml:space="preserve">InpEntryPDH</t>
  </si>
  <si>
    <t xml:space="preserve">InpEntryRange</t>
  </si>
  <si>
    <t xml:space="preserve">InpEntryH4</t>
  </si>
  <si>
    <t xml:space="preserve">InpDirection</t>
  </si>
  <si>
    <t xml:space="preserve">InpConfirmTF</t>
  </si>
  <si>
    <t xml:space="preserve">5</t>
  </si>
  <si>
    <t xml:space="preserve">InpBuffer_USD</t>
  </si>
  <si>
    <t xml:space="preserve">InpMaxSlip_USD</t>
  </si>
  <si>
    <t xml:space="preserve">0.5</t>
  </si>
  <si>
    <t xml:space="preserve">InpMaxChase_USD</t>
  </si>
  <si>
    <t xml:space="preserve">3</t>
  </si>
  <si>
    <t xml:space="preserve">InpMaxSpread_USD</t>
  </si>
  <si>
    <t xml:space="preserve">0.6</t>
  </si>
  <si>
    <t xml:space="preserve">InpSkipBroken</t>
  </si>
  <si>
    <t xml:space="preserve">InpBrokenTol_USD</t>
  </si>
  <si>
    <t xml:space="preserve">3. Exit (distances in the unit chosen in section 0)</t>
  </si>
  <si>
    <t xml:space="preserve">InpSL_USD</t>
  </si>
  <si>
    <t xml:space="preserve">6</t>
  </si>
  <si>
    <t xml:space="preserve">InpRR</t>
  </si>
  <si>
    <t xml:space="preserve">InpBE_Trigger_USD</t>
  </si>
  <si>
    <t xml:space="preserve">InpBE_Lock_USD</t>
  </si>
  <si>
    <t xml:space="preserve">InpTrailStart_USD</t>
  </si>
  <si>
    <t xml:space="preserve">InpTrailDist_USD</t>
  </si>
  <si>
    <t xml:space="preserve">4</t>
  </si>
  <si>
    <t xml:space="preserve">InpTrailStep_USD</t>
  </si>
  <si>
    <t xml:space="preserve">4. Filters</t>
  </si>
  <si>
    <t xml:space="preserve">InpTradeMon</t>
  </si>
  <si>
    <t xml:space="preserve">InpTradeTue</t>
  </si>
  <si>
    <t xml:space="preserve">InpTradeWed</t>
  </si>
  <si>
    <t xml:space="preserve">InpTradeThu</t>
  </si>
  <si>
    <t xml:space="preserve">InpTradeFri</t>
  </si>
  <si>
    <t xml:space="preserve">InpNoTrade1</t>
  </si>
  <si>
    <t xml:space="preserve">InpNoTrade2</t>
  </si>
  <si>
    <t xml:space="preserve">InpWindowCancel</t>
  </si>
  <si>
    <t xml:space="preserve">InpWindowClose</t>
  </si>
  <si>
    <t xml:space="preserve">InpNoTradeDates</t>
  </si>
  <si>
    <t xml:space="preserve">InpMinLevelRange_USD</t>
  </si>
  <si>
    <t xml:space="preserve">InpMaxLevelRange_USD</t>
  </si>
  <si>
    <t xml:space="preserve">5. Risk</t>
  </si>
  <si>
    <t xml:space="preserve">InpRiskPct</t>
  </si>
  <si>
    <t xml:space="preserve">1</t>
  </si>
  <si>
    <t xml:space="preserve">Risk % of balance per trade.</t>
  </si>
  <si>
    <t xml:space="preserve">InpMaxTradesDay</t>
  </si>
  <si>
    <t xml:space="preserve">InpMaxDailyLossPct</t>
  </si>
  <si>
    <t xml:space="preserve">2.5</t>
  </si>
  <si>
    <t xml:space="preserve">InpMagic</t>
  </si>
  <si>
    <t xml:space="preserve">700000</t>
  </si>
  <si>
    <t xml:space="preserve">6. Optimisation: Custom max (Strategy Tester only)</t>
  </si>
  <si>
    <t xml:space="preserve">InpScore</t>
  </si>
  <si>
    <t xml:space="preserve">InpMinTrades</t>
  </si>
  <si>
    <t xml:space="preserve">100</t>
  </si>
  <si>
    <t xml:space="preserve">InpScoreMaxDD</t>
  </si>
  <si>
    <t xml:space="preserve">10</t>
  </si>
  <si>
    <t xml:space="preserve">InpScoreWorstR</t>
  </si>
  <si>
    <t xml:space="preserve">7. Diagnostics</t>
  </si>
  <si>
    <t xml:space="preserve">InpTradeLog</t>
  </si>
  <si>
    <t xml:space="preserve">InpPostExitMin</t>
  </si>
  <si>
    <t xml:space="preserve">240</t>
  </si>
  <si>
    <t xml:space="preserve">InpLogTag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</si>
</sst>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-$&quot;#,##0.00;\-"/>
    <numFmt numFmtId="166" formatCode="0.0%;[RED]\-0.0%;\-"/>
    <numFmt numFmtId="167" formatCode="0"/>
    <numFmt numFmtId="168" formatCode="0.00"/>
    <numFmt numFmtId="169" formatCode="0.00\R;[RED]\-0.00\R;&quot;0R&quot;"/>
    <numFmt numFmtId="170" formatCode="\$#,##0"/>
    <numFmt numFmtId="171" formatCode="yyyy\-mm\-dd\ hh:mm:ss"/>
    <numFmt numFmtId="172" formatCode="0.000"/>
    <numFmt numFmtId="173" formatCode="0.00;[RED]\-0.0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Trades!Z1</c:f>
              <c:strCache>
                <c:ptCount val="1"/>
                <c:pt idx="0">
                  <c:v>Balance after</c:v>
                </c:pt>
              </c:strCache>
            </c:strRef>
          </c:tx>
          <c:spPr>
            <a:solidFill>
              <a:srgbClr val="2a78d6"/>
            </a:solidFill>
            <a:ln w="201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Trades!$Z$2:$Z$1846</c:f>
              <c:numCache>
                <c:formatCode>\$#,##0.00;[RED]"-$"#,##0.00;\-</c:formatCode>
                <c:ptCount val="1845"/>
                <c:pt idx="0">
                  <c:v>4951.84</c:v>
                </c:pt>
                <c:pt idx="1">
                  <c:v>4902.24</c:v>
                </c:pt>
                <c:pt idx="2">
                  <c:v>4906.08</c:v>
                </c:pt>
                <c:pt idx="3">
                  <c:v>4990.88</c:v>
                </c:pt>
                <c:pt idx="4">
                  <c:v>4942.88</c:v>
                </c:pt>
                <c:pt idx="5">
                  <c:v>4946.72</c:v>
                </c:pt>
                <c:pt idx="6">
                  <c:v>4896.56</c:v>
                </c:pt>
                <c:pt idx="7">
                  <c:v>4900.24</c:v>
                </c:pt>
                <c:pt idx="8">
                  <c:v>4903.44</c:v>
                </c:pt>
                <c:pt idx="9">
                  <c:v>4849.36</c:v>
                </c:pt>
                <c:pt idx="10">
                  <c:v>4853.28</c:v>
                </c:pt>
                <c:pt idx="11">
                  <c:v>4802.24</c:v>
                </c:pt>
                <c:pt idx="12">
                  <c:v>4806.24</c:v>
                </c:pt>
                <c:pt idx="13">
                  <c:v>4810.08</c:v>
                </c:pt>
                <c:pt idx="14">
                  <c:v>4762</c:v>
                </c:pt>
                <c:pt idx="15">
                  <c:v>4716.85</c:v>
                </c:pt>
                <c:pt idx="16">
                  <c:v>4673.66</c:v>
                </c:pt>
                <c:pt idx="17">
                  <c:v>4631.03</c:v>
                </c:pt>
                <c:pt idx="18">
                  <c:v>4634.32</c:v>
                </c:pt>
                <c:pt idx="19">
                  <c:v>4637.68</c:v>
                </c:pt>
                <c:pt idx="20">
                  <c:v>4781.95</c:v>
                </c:pt>
                <c:pt idx="21">
                  <c:v>4785.24</c:v>
                </c:pt>
                <c:pt idx="22">
                  <c:v>4742.96</c:v>
                </c:pt>
                <c:pt idx="23">
                  <c:v>4700.4</c:v>
                </c:pt>
                <c:pt idx="24">
                  <c:v>4703.34</c:v>
                </c:pt>
                <c:pt idx="25">
                  <c:v>4822.97</c:v>
                </c:pt>
                <c:pt idx="26">
                  <c:v>4826.09</c:v>
                </c:pt>
                <c:pt idx="27">
                  <c:v>4777.21</c:v>
                </c:pt>
                <c:pt idx="28">
                  <c:v>4779.94</c:v>
                </c:pt>
                <c:pt idx="29">
                  <c:v>4783.3</c:v>
                </c:pt>
                <c:pt idx="30">
                  <c:v>4786.17</c:v>
                </c:pt>
                <c:pt idx="31">
                  <c:v>4789.53</c:v>
                </c:pt>
                <c:pt idx="32">
                  <c:v>4898.87</c:v>
                </c:pt>
                <c:pt idx="33">
                  <c:v>4949.11</c:v>
                </c:pt>
                <c:pt idx="34">
                  <c:v>4953.03</c:v>
                </c:pt>
                <c:pt idx="35">
                  <c:v>4956.87</c:v>
                </c:pt>
                <c:pt idx="36">
                  <c:v>4960.87</c:v>
                </c:pt>
                <c:pt idx="37">
                  <c:v>4912.07</c:v>
                </c:pt>
                <c:pt idx="38">
                  <c:v>4916.07</c:v>
                </c:pt>
                <c:pt idx="39">
                  <c:v>4919.91</c:v>
                </c:pt>
                <c:pt idx="40">
                  <c:v>4923.75</c:v>
                </c:pt>
                <c:pt idx="41">
                  <c:v>4927.19</c:v>
                </c:pt>
                <c:pt idx="42">
                  <c:v>4930.23</c:v>
                </c:pt>
                <c:pt idx="43">
                  <c:v>4934.23</c:v>
                </c:pt>
                <c:pt idx="44">
                  <c:v>4885.67</c:v>
                </c:pt>
                <c:pt idx="45">
                  <c:v>4889.27</c:v>
                </c:pt>
                <c:pt idx="46">
                  <c:v>4893.27</c:v>
                </c:pt>
                <c:pt idx="47">
                  <c:v>4896.39</c:v>
                </c:pt>
                <c:pt idx="48">
                  <c:v>4848.07</c:v>
                </c:pt>
                <c:pt idx="49">
                  <c:v>4799.99</c:v>
                </c:pt>
                <c:pt idx="50">
                  <c:v>4803.21</c:v>
                </c:pt>
                <c:pt idx="51">
                  <c:v>4806.73</c:v>
                </c:pt>
                <c:pt idx="52">
                  <c:v>4810.17</c:v>
                </c:pt>
                <c:pt idx="53">
                  <c:v>4814.17</c:v>
                </c:pt>
                <c:pt idx="54">
                  <c:v>4817.77</c:v>
                </c:pt>
                <c:pt idx="55">
                  <c:v>4821.77</c:v>
                </c:pt>
                <c:pt idx="56">
                  <c:v>4773.77</c:v>
                </c:pt>
                <c:pt idx="57">
                  <c:v>4729.04</c:v>
                </c:pt>
                <c:pt idx="58">
                  <c:v>4732.54</c:v>
                </c:pt>
                <c:pt idx="59">
                  <c:v>4736.04</c:v>
                </c:pt>
                <c:pt idx="60">
                  <c:v>4691.87</c:v>
                </c:pt>
                <c:pt idx="61">
                  <c:v>4695.3</c:v>
                </c:pt>
                <c:pt idx="62">
                  <c:v>4696.91</c:v>
                </c:pt>
                <c:pt idx="63">
                  <c:v>4699.85</c:v>
                </c:pt>
                <c:pt idx="64">
                  <c:v>4702.86</c:v>
                </c:pt>
                <c:pt idx="65">
                  <c:v>4660.37</c:v>
                </c:pt>
                <c:pt idx="66">
                  <c:v>4663.73</c:v>
                </c:pt>
                <c:pt idx="67">
                  <c:v>4667.23</c:v>
                </c:pt>
                <c:pt idx="68">
                  <c:v>4624.6</c:v>
                </c:pt>
                <c:pt idx="69">
                  <c:v>4581.76</c:v>
                </c:pt>
                <c:pt idx="70">
                  <c:v>4584.98</c:v>
                </c:pt>
                <c:pt idx="71">
                  <c:v>4588.13</c:v>
                </c:pt>
                <c:pt idx="72">
                  <c:v>4545.92</c:v>
                </c:pt>
                <c:pt idx="73">
                  <c:v>4691.03</c:v>
                </c:pt>
                <c:pt idx="74">
                  <c:v>4694.32</c:v>
                </c:pt>
                <c:pt idx="75">
                  <c:v>4651.69</c:v>
                </c:pt>
                <c:pt idx="76">
                  <c:v>4655.12</c:v>
                </c:pt>
                <c:pt idx="77">
                  <c:v>4688.44</c:v>
                </c:pt>
                <c:pt idx="78">
                  <c:v>4646.23</c:v>
                </c:pt>
                <c:pt idx="79">
                  <c:v>4604.02</c:v>
                </c:pt>
                <c:pt idx="80">
                  <c:v>4607.45</c:v>
                </c:pt>
                <c:pt idx="81">
                  <c:v>4610.95</c:v>
                </c:pt>
                <c:pt idx="82">
                  <c:v>4568.46</c:v>
                </c:pt>
                <c:pt idx="83">
                  <c:v>4524.57</c:v>
                </c:pt>
                <c:pt idx="84">
                  <c:v>4527.79</c:v>
                </c:pt>
                <c:pt idx="85">
                  <c:v>4485.72</c:v>
                </c:pt>
                <c:pt idx="86">
                  <c:v>4437.28</c:v>
                </c:pt>
                <c:pt idx="87">
                  <c:v>4440.5</c:v>
                </c:pt>
                <c:pt idx="88">
                  <c:v>4443.93</c:v>
                </c:pt>
                <c:pt idx="89">
                  <c:v>4447.36</c:v>
                </c:pt>
                <c:pt idx="90">
                  <c:v>4450.44</c:v>
                </c:pt>
                <c:pt idx="91">
                  <c:v>4513.86</c:v>
                </c:pt>
                <c:pt idx="92">
                  <c:v>4517.08</c:v>
                </c:pt>
                <c:pt idx="93">
                  <c:v>4520.58</c:v>
                </c:pt>
                <c:pt idx="94">
                  <c:v>4524.08</c:v>
                </c:pt>
                <c:pt idx="95">
                  <c:v>4527.16</c:v>
                </c:pt>
                <c:pt idx="96">
                  <c:v>4530.52</c:v>
                </c:pt>
                <c:pt idx="97">
                  <c:v>4487.26</c:v>
                </c:pt>
                <c:pt idx="98">
                  <c:v>4490.69</c:v>
                </c:pt>
                <c:pt idx="99">
                  <c:v>4466.68</c:v>
                </c:pt>
                <c:pt idx="100">
                  <c:v>4424.19</c:v>
                </c:pt>
                <c:pt idx="101">
                  <c:v>4427.48</c:v>
                </c:pt>
                <c:pt idx="102">
                  <c:v>4430.7</c:v>
                </c:pt>
                <c:pt idx="103">
                  <c:v>4386.11</c:v>
                </c:pt>
                <c:pt idx="104">
                  <c:v>4389.47</c:v>
                </c:pt>
                <c:pt idx="105">
                  <c:v>4390.59</c:v>
                </c:pt>
                <c:pt idx="106">
                  <c:v>4346.56</c:v>
                </c:pt>
                <c:pt idx="107">
                  <c:v>4349.57</c:v>
                </c:pt>
                <c:pt idx="108">
                  <c:v>4352.79</c:v>
                </c:pt>
                <c:pt idx="109">
                  <c:v>4356.08</c:v>
                </c:pt>
                <c:pt idx="110">
                  <c:v>4577.77</c:v>
                </c:pt>
                <c:pt idx="111">
                  <c:v>4535.21</c:v>
                </c:pt>
                <c:pt idx="112">
                  <c:v>4538.57</c:v>
                </c:pt>
                <c:pt idx="113">
                  <c:v>4541.93</c:v>
                </c:pt>
                <c:pt idx="114">
                  <c:v>4499.23</c:v>
                </c:pt>
                <c:pt idx="115">
                  <c:v>4502.52</c:v>
                </c:pt>
                <c:pt idx="116">
                  <c:v>4506.02</c:v>
                </c:pt>
                <c:pt idx="117">
                  <c:v>4498.53</c:v>
                </c:pt>
                <c:pt idx="118">
                  <c:v>4502.03</c:v>
                </c:pt>
                <c:pt idx="119">
                  <c:v>4505.46</c:v>
                </c:pt>
                <c:pt idx="120">
                  <c:v>4463.39</c:v>
                </c:pt>
                <c:pt idx="121">
                  <c:v>4421.11</c:v>
                </c:pt>
                <c:pt idx="122">
                  <c:v>4423.91</c:v>
                </c:pt>
                <c:pt idx="123">
                  <c:v>4427.34</c:v>
                </c:pt>
                <c:pt idx="124">
                  <c:v>4430.84</c:v>
                </c:pt>
                <c:pt idx="125">
                  <c:v>4433.92</c:v>
                </c:pt>
                <c:pt idx="126">
                  <c:v>4391.92</c:v>
                </c:pt>
                <c:pt idx="127">
                  <c:v>4348.8</c:v>
                </c:pt>
                <c:pt idx="128">
                  <c:v>4380.65</c:v>
                </c:pt>
                <c:pt idx="129">
                  <c:v>4384.15</c:v>
                </c:pt>
                <c:pt idx="130">
                  <c:v>4387.16</c:v>
                </c:pt>
                <c:pt idx="131">
                  <c:v>4390.59</c:v>
                </c:pt>
                <c:pt idx="132">
                  <c:v>4394.09</c:v>
                </c:pt>
                <c:pt idx="133">
                  <c:v>4397.52</c:v>
                </c:pt>
                <c:pt idx="134">
                  <c:v>4400.88</c:v>
                </c:pt>
                <c:pt idx="135">
                  <c:v>4356.57</c:v>
                </c:pt>
                <c:pt idx="136">
                  <c:v>4359.65</c:v>
                </c:pt>
                <c:pt idx="137">
                  <c:v>4317.3</c:v>
                </c:pt>
                <c:pt idx="138">
                  <c:v>4274.11</c:v>
                </c:pt>
                <c:pt idx="139">
                  <c:v>4276.28</c:v>
                </c:pt>
                <c:pt idx="140">
                  <c:v>4279.71</c:v>
                </c:pt>
                <c:pt idx="141">
                  <c:v>4282.79</c:v>
                </c:pt>
                <c:pt idx="142">
                  <c:v>4286.22</c:v>
                </c:pt>
                <c:pt idx="143">
                  <c:v>4289.58</c:v>
                </c:pt>
                <c:pt idx="144">
                  <c:v>4292.87</c:v>
                </c:pt>
                <c:pt idx="145">
                  <c:v>4431.96</c:v>
                </c:pt>
                <c:pt idx="146">
                  <c:v>4389.75</c:v>
                </c:pt>
                <c:pt idx="147">
                  <c:v>4393.25</c:v>
                </c:pt>
                <c:pt idx="148">
                  <c:v>4396.33</c:v>
                </c:pt>
                <c:pt idx="149">
                  <c:v>4354.12</c:v>
                </c:pt>
                <c:pt idx="150">
                  <c:v>4311.63</c:v>
                </c:pt>
                <c:pt idx="151">
                  <c:v>4269.63</c:v>
                </c:pt>
                <c:pt idx="152">
                  <c:v>4272.08</c:v>
                </c:pt>
                <c:pt idx="153">
                  <c:v>4275.37</c:v>
                </c:pt>
                <c:pt idx="154">
                  <c:v>4277.33</c:v>
                </c:pt>
                <c:pt idx="155">
                  <c:v>4235.26</c:v>
                </c:pt>
                <c:pt idx="156">
                  <c:v>4238.2</c:v>
                </c:pt>
                <c:pt idx="157">
                  <c:v>4325.28</c:v>
                </c:pt>
                <c:pt idx="158">
                  <c:v>4283.14</c:v>
                </c:pt>
                <c:pt idx="159">
                  <c:v>4244.15</c:v>
                </c:pt>
                <c:pt idx="160">
                  <c:v>4247.37</c:v>
                </c:pt>
                <c:pt idx="161">
                  <c:v>4250.66</c:v>
                </c:pt>
                <c:pt idx="162">
                  <c:v>4208.31</c:v>
                </c:pt>
                <c:pt idx="163">
                  <c:v>4211.6</c:v>
                </c:pt>
                <c:pt idx="164">
                  <c:v>4215.1</c:v>
                </c:pt>
                <c:pt idx="165">
                  <c:v>4172.89</c:v>
                </c:pt>
                <c:pt idx="166">
                  <c:v>4203.79</c:v>
                </c:pt>
                <c:pt idx="167">
                  <c:v>4161.65</c:v>
                </c:pt>
                <c:pt idx="168">
                  <c:v>4164.29</c:v>
                </c:pt>
                <c:pt idx="169">
                  <c:v>4127.93</c:v>
                </c:pt>
                <c:pt idx="170">
                  <c:v>4091.63</c:v>
                </c:pt>
                <c:pt idx="171">
                  <c:v>4094.45</c:v>
                </c:pt>
                <c:pt idx="172">
                  <c:v>4096.73</c:v>
                </c:pt>
                <c:pt idx="173">
                  <c:v>4060.07</c:v>
                </c:pt>
                <c:pt idx="174">
                  <c:v>4062.59</c:v>
                </c:pt>
                <c:pt idx="175">
                  <c:v>4065.59</c:v>
                </c:pt>
                <c:pt idx="176">
                  <c:v>4068.53</c:v>
                </c:pt>
                <c:pt idx="177">
                  <c:v>4071.53</c:v>
                </c:pt>
                <c:pt idx="178">
                  <c:v>4073.45</c:v>
                </c:pt>
                <c:pt idx="179">
                  <c:v>4037.15</c:v>
                </c:pt>
                <c:pt idx="180">
                  <c:v>3986.33</c:v>
                </c:pt>
                <c:pt idx="181">
                  <c:v>3989.21</c:v>
                </c:pt>
                <c:pt idx="182">
                  <c:v>3992.21</c:v>
                </c:pt>
                <c:pt idx="183">
                  <c:v>3956.09</c:v>
                </c:pt>
                <c:pt idx="184">
                  <c:v>3959.09</c:v>
                </c:pt>
                <c:pt idx="185">
                  <c:v>3962.09</c:v>
                </c:pt>
                <c:pt idx="186">
                  <c:v>3965.09</c:v>
                </c:pt>
                <c:pt idx="187">
                  <c:v>3926.87</c:v>
                </c:pt>
                <c:pt idx="188">
                  <c:v>3890.27</c:v>
                </c:pt>
                <c:pt idx="189">
                  <c:v>3947.81</c:v>
                </c:pt>
                <c:pt idx="190">
                  <c:v>3950.51</c:v>
                </c:pt>
                <c:pt idx="191">
                  <c:v>3953.21</c:v>
                </c:pt>
                <c:pt idx="192">
                  <c:v>3916.91</c:v>
                </c:pt>
                <c:pt idx="193">
                  <c:v>3929.51</c:v>
                </c:pt>
                <c:pt idx="194">
                  <c:v>3931.67</c:v>
                </c:pt>
                <c:pt idx="195">
                  <c:v>3934.67</c:v>
                </c:pt>
                <c:pt idx="196">
                  <c:v>3937.13</c:v>
                </c:pt>
                <c:pt idx="197">
                  <c:v>3939.23</c:v>
                </c:pt>
                <c:pt idx="198">
                  <c:v>3942.23</c:v>
                </c:pt>
                <c:pt idx="199">
                  <c:v>3944.75</c:v>
                </c:pt>
                <c:pt idx="200">
                  <c:v>3946.19</c:v>
                </c:pt>
                <c:pt idx="201">
                  <c:v>3949.13</c:v>
                </c:pt>
                <c:pt idx="202">
                  <c:v>3913.13</c:v>
                </c:pt>
                <c:pt idx="203">
                  <c:v>3871.91</c:v>
                </c:pt>
                <c:pt idx="204">
                  <c:v>3874.79</c:v>
                </c:pt>
                <c:pt idx="205">
                  <c:v>3877.73</c:v>
                </c:pt>
                <c:pt idx="206">
                  <c:v>3880.67</c:v>
                </c:pt>
                <c:pt idx="207">
                  <c:v>3883.67</c:v>
                </c:pt>
                <c:pt idx="208">
                  <c:v>3886.55</c:v>
                </c:pt>
                <c:pt idx="209">
                  <c:v>3850.37</c:v>
                </c:pt>
                <c:pt idx="210">
                  <c:v>3853.19</c:v>
                </c:pt>
                <c:pt idx="211">
                  <c:v>3856.01</c:v>
                </c:pt>
                <c:pt idx="212">
                  <c:v>3850.01</c:v>
                </c:pt>
                <c:pt idx="213">
                  <c:v>3813.41</c:v>
                </c:pt>
                <c:pt idx="214">
                  <c:v>3939.71</c:v>
                </c:pt>
                <c:pt idx="215">
                  <c:v>3903.53</c:v>
                </c:pt>
                <c:pt idx="216">
                  <c:v>3906.23</c:v>
                </c:pt>
                <c:pt idx="217">
                  <c:v>3909.17</c:v>
                </c:pt>
                <c:pt idx="218">
                  <c:v>3949.67</c:v>
                </c:pt>
                <c:pt idx="219">
                  <c:v>3913.37</c:v>
                </c:pt>
                <c:pt idx="220">
                  <c:v>3915.05</c:v>
                </c:pt>
                <c:pt idx="221">
                  <c:v>4045.37</c:v>
                </c:pt>
                <c:pt idx="222">
                  <c:v>4048.31</c:v>
                </c:pt>
                <c:pt idx="223">
                  <c:v>4012.25</c:v>
                </c:pt>
                <c:pt idx="224">
                  <c:v>4015.19</c:v>
                </c:pt>
                <c:pt idx="225">
                  <c:v>3979.07</c:v>
                </c:pt>
                <c:pt idx="226">
                  <c:v>3981.89</c:v>
                </c:pt>
                <c:pt idx="227">
                  <c:v>3945.71</c:v>
                </c:pt>
                <c:pt idx="228">
                  <c:v>3952.43</c:v>
                </c:pt>
                <c:pt idx="229">
                  <c:v>3954.59</c:v>
                </c:pt>
                <c:pt idx="230">
                  <c:v>3957.53</c:v>
                </c:pt>
                <c:pt idx="231">
                  <c:v>3960.35</c:v>
                </c:pt>
                <c:pt idx="232">
                  <c:v>3962.99</c:v>
                </c:pt>
                <c:pt idx="233">
                  <c:v>3965.33</c:v>
                </c:pt>
                <c:pt idx="234">
                  <c:v>3967.73</c:v>
                </c:pt>
                <c:pt idx="235">
                  <c:v>3970.25</c:v>
                </c:pt>
                <c:pt idx="236">
                  <c:v>3973.19</c:v>
                </c:pt>
                <c:pt idx="237">
                  <c:v>3976.07</c:v>
                </c:pt>
                <c:pt idx="238">
                  <c:v>3979.01</c:v>
                </c:pt>
                <c:pt idx="239">
                  <c:v>3981.05</c:v>
                </c:pt>
                <c:pt idx="240">
                  <c:v>4074.71</c:v>
                </c:pt>
                <c:pt idx="241">
                  <c:v>4077.41</c:v>
                </c:pt>
                <c:pt idx="242">
                  <c:v>4041.17</c:v>
                </c:pt>
                <c:pt idx="243">
                  <c:v>4044.17</c:v>
                </c:pt>
                <c:pt idx="244">
                  <c:v>4007.69</c:v>
                </c:pt>
                <c:pt idx="245">
                  <c:v>4033.91</c:v>
                </c:pt>
                <c:pt idx="246">
                  <c:v>4213.49</c:v>
                </c:pt>
                <c:pt idx="247">
                  <c:v>4216.85</c:v>
                </c:pt>
                <c:pt idx="248">
                  <c:v>4174.29</c:v>
                </c:pt>
                <c:pt idx="249">
                  <c:v>4138.17</c:v>
                </c:pt>
                <c:pt idx="250">
                  <c:v>4318.95</c:v>
                </c:pt>
                <c:pt idx="251">
                  <c:v>4322.38</c:v>
                </c:pt>
                <c:pt idx="252">
                  <c:v>4325.88</c:v>
                </c:pt>
                <c:pt idx="253">
                  <c:v>4329.31</c:v>
                </c:pt>
                <c:pt idx="254">
                  <c:v>4538.19</c:v>
                </c:pt>
                <c:pt idx="255">
                  <c:v>4541.34</c:v>
                </c:pt>
                <c:pt idx="256">
                  <c:v>4544.84</c:v>
                </c:pt>
                <c:pt idx="257">
                  <c:v>4548.13</c:v>
                </c:pt>
                <c:pt idx="258">
                  <c:v>4551.35</c:v>
                </c:pt>
                <c:pt idx="259">
                  <c:v>4554.5</c:v>
                </c:pt>
                <c:pt idx="260">
                  <c:v>4557.93</c:v>
                </c:pt>
                <c:pt idx="261">
                  <c:v>4561.29</c:v>
                </c:pt>
                <c:pt idx="262">
                  <c:v>4564.58</c:v>
                </c:pt>
                <c:pt idx="263">
                  <c:v>4567.59</c:v>
                </c:pt>
                <c:pt idx="264">
                  <c:v>4570.25</c:v>
                </c:pt>
                <c:pt idx="265">
                  <c:v>4573.75</c:v>
                </c:pt>
                <c:pt idx="266">
                  <c:v>4531.61</c:v>
                </c:pt>
                <c:pt idx="267">
                  <c:v>4488.91</c:v>
                </c:pt>
                <c:pt idx="268">
                  <c:v>4492.06</c:v>
                </c:pt>
                <c:pt idx="269">
                  <c:v>4495.07</c:v>
                </c:pt>
                <c:pt idx="270">
                  <c:v>4498.57</c:v>
                </c:pt>
                <c:pt idx="271">
                  <c:v>4502</c:v>
                </c:pt>
                <c:pt idx="272">
                  <c:v>4505.22</c:v>
                </c:pt>
                <c:pt idx="273">
                  <c:v>4508.58</c:v>
                </c:pt>
                <c:pt idx="274">
                  <c:v>4511.87</c:v>
                </c:pt>
                <c:pt idx="275">
                  <c:v>4515.37</c:v>
                </c:pt>
                <c:pt idx="276">
                  <c:v>4518.73</c:v>
                </c:pt>
                <c:pt idx="277">
                  <c:v>4476.03</c:v>
                </c:pt>
                <c:pt idx="278">
                  <c:v>4478.97</c:v>
                </c:pt>
                <c:pt idx="279">
                  <c:v>4436.62</c:v>
                </c:pt>
                <c:pt idx="280">
                  <c:v>4439.91</c:v>
                </c:pt>
                <c:pt idx="281">
                  <c:v>4443.2</c:v>
                </c:pt>
                <c:pt idx="282">
                  <c:v>4446.28</c:v>
                </c:pt>
                <c:pt idx="283">
                  <c:v>4449.64</c:v>
                </c:pt>
                <c:pt idx="284">
                  <c:v>4553.52</c:v>
                </c:pt>
                <c:pt idx="285">
                  <c:v>4554.5</c:v>
                </c:pt>
                <c:pt idx="286">
                  <c:v>4512.15</c:v>
                </c:pt>
                <c:pt idx="287">
                  <c:v>4515.3</c:v>
                </c:pt>
                <c:pt idx="288">
                  <c:v>4518.8</c:v>
                </c:pt>
                <c:pt idx="289">
                  <c:v>4521.74</c:v>
                </c:pt>
                <c:pt idx="290">
                  <c:v>4525.17</c:v>
                </c:pt>
                <c:pt idx="291">
                  <c:v>4528.53</c:v>
                </c:pt>
                <c:pt idx="292">
                  <c:v>4530.28</c:v>
                </c:pt>
                <c:pt idx="293">
                  <c:v>4533.5</c:v>
                </c:pt>
                <c:pt idx="294">
                  <c:v>4536.93</c:v>
                </c:pt>
                <c:pt idx="295">
                  <c:v>4539.94</c:v>
                </c:pt>
                <c:pt idx="296">
                  <c:v>4497.52</c:v>
                </c:pt>
                <c:pt idx="297">
                  <c:v>4500.88</c:v>
                </c:pt>
                <c:pt idx="298">
                  <c:v>4504.38</c:v>
                </c:pt>
                <c:pt idx="299">
                  <c:v>4667.27</c:v>
                </c:pt>
                <c:pt idx="300">
                  <c:v>4625.27</c:v>
                </c:pt>
                <c:pt idx="301">
                  <c:v>4628.56</c:v>
                </c:pt>
                <c:pt idx="302">
                  <c:v>4585.72</c:v>
                </c:pt>
                <c:pt idx="303">
                  <c:v>4742.73</c:v>
                </c:pt>
                <c:pt idx="304">
                  <c:v>4746.23</c:v>
                </c:pt>
                <c:pt idx="305">
                  <c:v>4749.73</c:v>
                </c:pt>
                <c:pt idx="306">
                  <c:v>4753.09</c:v>
                </c:pt>
                <c:pt idx="307">
                  <c:v>4756.45</c:v>
                </c:pt>
                <c:pt idx="308">
                  <c:v>4759.67</c:v>
                </c:pt>
                <c:pt idx="309">
                  <c:v>4763.17</c:v>
                </c:pt>
                <c:pt idx="310">
                  <c:v>4766.6</c:v>
                </c:pt>
                <c:pt idx="311">
                  <c:v>4770.1</c:v>
                </c:pt>
                <c:pt idx="312">
                  <c:v>4773.53</c:v>
                </c:pt>
                <c:pt idx="313">
                  <c:v>4776.68</c:v>
                </c:pt>
                <c:pt idx="314">
                  <c:v>4780.18</c:v>
                </c:pt>
                <c:pt idx="315">
                  <c:v>4737.76</c:v>
                </c:pt>
                <c:pt idx="316">
                  <c:v>4741.12</c:v>
                </c:pt>
                <c:pt idx="317">
                  <c:v>4744.55</c:v>
                </c:pt>
                <c:pt idx="318">
                  <c:v>4701.99</c:v>
                </c:pt>
                <c:pt idx="319">
                  <c:v>4703.18</c:v>
                </c:pt>
                <c:pt idx="320">
                  <c:v>4706.61</c:v>
                </c:pt>
                <c:pt idx="321">
                  <c:v>4662.79</c:v>
                </c:pt>
                <c:pt idx="322">
                  <c:v>4665.38</c:v>
                </c:pt>
                <c:pt idx="323">
                  <c:v>4668.74</c:v>
                </c:pt>
                <c:pt idx="324">
                  <c:v>4672.24</c:v>
                </c:pt>
                <c:pt idx="325">
                  <c:v>4675.18</c:v>
                </c:pt>
                <c:pt idx="326">
                  <c:v>4677.77</c:v>
                </c:pt>
                <c:pt idx="327">
                  <c:v>4680.5</c:v>
                </c:pt>
                <c:pt idx="328">
                  <c:v>4638.43</c:v>
                </c:pt>
                <c:pt idx="329">
                  <c:v>4701.08</c:v>
                </c:pt>
                <c:pt idx="330">
                  <c:v>4658.45</c:v>
                </c:pt>
                <c:pt idx="331">
                  <c:v>4661.53</c:v>
                </c:pt>
                <c:pt idx="332">
                  <c:v>4619.53</c:v>
                </c:pt>
                <c:pt idx="333">
                  <c:v>4622.82</c:v>
                </c:pt>
                <c:pt idx="334">
                  <c:v>4626.11</c:v>
                </c:pt>
                <c:pt idx="335">
                  <c:v>4629.54</c:v>
                </c:pt>
                <c:pt idx="336">
                  <c:v>4644.94</c:v>
                </c:pt>
                <c:pt idx="337">
                  <c:v>4648.44</c:v>
                </c:pt>
                <c:pt idx="338">
                  <c:v>4600.14</c:v>
                </c:pt>
                <c:pt idx="339">
                  <c:v>4603.64</c:v>
                </c:pt>
                <c:pt idx="340">
                  <c:v>4558.21</c:v>
                </c:pt>
                <c:pt idx="341">
                  <c:v>4561.71</c:v>
                </c:pt>
                <c:pt idx="342">
                  <c:v>4564.65</c:v>
                </c:pt>
                <c:pt idx="343">
                  <c:v>4568.08</c:v>
                </c:pt>
                <c:pt idx="344">
                  <c:v>4571.58</c:v>
                </c:pt>
                <c:pt idx="345">
                  <c:v>4575.01</c:v>
                </c:pt>
                <c:pt idx="346">
                  <c:v>4578.02</c:v>
                </c:pt>
                <c:pt idx="347">
                  <c:v>4535.25</c:v>
                </c:pt>
                <c:pt idx="348">
                  <c:v>4493.11</c:v>
                </c:pt>
                <c:pt idx="349">
                  <c:v>4496.61</c:v>
                </c:pt>
                <c:pt idx="350">
                  <c:v>4499.55</c:v>
                </c:pt>
                <c:pt idx="351">
                  <c:v>4456.15</c:v>
                </c:pt>
                <c:pt idx="352">
                  <c:v>4413.52</c:v>
                </c:pt>
                <c:pt idx="353">
                  <c:v>4371.45</c:v>
                </c:pt>
                <c:pt idx="354">
                  <c:v>4329.17</c:v>
                </c:pt>
                <c:pt idx="355">
                  <c:v>4331.62</c:v>
                </c:pt>
                <c:pt idx="356">
                  <c:v>4335.12</c:v>
                </c:pt>
                <c:pt idx="357">
                  <c:v>4338.62</c:v>
                </c:pt>
                <c:pt idx="358">
                  <c:v>4342.61</c:v>
                </c:pt>
                <c:pt idx="359">
                  <c:v>4346.11</c:v>
                </c:pt>
                <c:pt idx="360">
                  <c:v>4302.57</c:v>
                </c:pt>
                <c:pt idx="361">
                  <c:v>4356.75</c:v>
                </c:pt>
                <c:pt idx="362">
                  <c:v>4360.11</c:v>
                </c:pt>
                <c:pt idx="363">
                  <c:v>4363.4</c:v>
                </c:pt>
                <c:pt idx="364">
                  <c:v>4366.62</c:v>
                </c:pt>
                <c:pt idx="365">
                  <c:v>4370.12</c:v>
                </c:pt>
                <c:pt idx="366">
                  <c:v>4373.62</c:v>
                </c:pt>
                <c:pt idx="367">
                  <c:v>4331.48</c:v>
                </c:pt>
                <c:pt idx="368">
                  <c:v>4334.07</c:v>
                </c:pt>
                <c:pt idx="369">
                  <c:v>4328.12</c:v>
                </c:pt>
                <c:pt idx="370">
                  <c:v>4331.48</c:v>
                </c:pt>
                <c:pt idx="371">
                  <c:v>4334.84</c:v>
                </c:pt>
                <c:pt idx="372">
                  <c:v>4292.63</c:v>
                </c:pt>
                <c:pt idx="373">
                  <c:v>4249.93</c:v>
                </c:pt>
                <c:pt idx="374">
                  <c:v>4253.36</c:v>
                </c:pt>
                <c:pt idx="375">
                  <c:v>4256.86</c:v>
                </c:pt>
                <c:pt idx="376">
                  <c:v>4214.09</c:v>
                </c:pt>
                <c:pt idx="377">
                  <c:v>4217.52</c:v>
                </c:pt>
                <c:pt idx="378">
                  <c:v>4220.74</c:v>
                </c:pt>
                <c:pt idx="379">
                  <c:v>4224.1</c:v>
                </c:pt>
                <c:pt idx="380">
                  <c:v>4181.82</c:v>
                </c:pt>
                <c:pt idx="381">
                  <c:v>4145.1</c:v>
                </c:pt>
                <c:pt idx="382">
                  <c:v>4147.92</c:v>
                </c:pt>
                <c:pt idx="383">
                  <c:v>4150.92</c:v>
                </c:pt>
                <c:pt idx="384">
                  <c:v>4153.86</c:v>
                </c:pt>
                <c:pt idx="385">
                  <c:v>4117.86</c:v>
                </c:pt>
                <c:pt idx="386">
                  <c:v>4120.8</c:v>
                </c:pt>
                <c:pt idx="387">
                  <c:v>4083.84</c:v>
                </c:pt>
                <c:pt idx="388">
                  <c:v>4086.72</c:v>
                </c:pt>
                <c:pt idx="389">
                  <c:v>4089.72</c:v>
                </c:pt>
                <c:pt idx="390">
                  <c:v>4092.42</c:v>
                </c:pt>
                <c:pt idx="391">
                  <c:v>4095.36</c:v>
                </c:pt>
                <c:pt idx="392">
                  <c:v>4098.3</c:v>
                </c:pt>
                <c:pt idx="393">
                  <c:v>4101.18</c:v>
                </c:pt>
                <c:pt idx="394">
                  <c:v>4280.94</c:v>
                </c:pt>
                <c:pt idx="395">
                  <c:v>4283.25</c:v>
                </c:pt>
                <c:pt idx="396">
                  <c:v>4286.26</c:v>
                </c:pt>
                <c:pt idx="397">
                  <c:v>4289.34</c:v>
                </c:pt>
                <c:pt idx="398">
                  <c:v>4292.49</c:v>
                </c:pt>
                <c:pt idx="399">
                  <c:v>4250.42</c:v>
                </c:pt>
                <c:pt idx="400">
                  <c:v>4253.85</c:v>
                </c:pt>
                <c:pt idx="401">
                  <c:v>4257.28</c:v>
                </c:pt>
                <c:pt idx="402">
                  <c:v>4260.71</c:v>
                </c:pt>
                <c:pt idx="403">
                  <c:v>4217.73</c:v>
                </c:pt>
                <c:pt idx="404">
                  <c:v>4221.23</c:v>
                </c:pt>
                <c:pt idx="405">
                  <c:v>4224.31</c:v>
                </c:pt>
                <c:pt idx="406">
                  <c:v>4182.1</c:v>
                </c:pt>
                <c:pt idx="407">
                  <c:v>4136.5</c:v>
                </c:pt>
                <c:pt idx="408">
                  <c:v>4139.38</c:v>
                </c:pt>
                <c:pt idx="409">
                  <c:v>4142.38</c:v>
                </c:pt>
                <c:pt idx="410">
                  <c:v>4145.38</c:v>
                </c:pt>
                <c:pt idx="411">
                  <c:v>4109.08</c:v>
                </c:pt>
                <c:pt idx="412">
                  <c:v>4112.08</c:v>
                </c:pt>
                <c:pt idx="413">
                  <c:v>4114.54</c:v>
                </c:pt>
                <c:pt idx="414">
                  <c:v>4074.46</c:v>
                </c:pt>
                <c:pt idx="415">
                  <c:v>4037.68</c:v>
                </c:pt>
                <c:pt idx="416">
                  <c:v>4040.68</c:v>
                </c:pt>
                <c:pt idx="417">
                  <c:v>4042.66</c:v>
                </c:pt>
                <c:pt idx="418">
                  <c:v>4045.66</c:v>
                </c:pt>
                <c:pt idx="419">
                  <c:v>4009.24</c:v>
                </c:pt>
                <c:pt idx="420">
                  <c:v>4012.12</c:v>
                </c:pt>
                <c:pt idx="421">
                  <c:v>4014.46</c:v>
                </c:pt>
                <c:pt idx="422">
                  <c:v>4017.4</c:v>
                </c:pt>
                <c:pt idx="423">
                  <c:v>4019.38</c:v>
                </c:pt>
                <c:pt idx="424">
                  <c:v>4021.96</c:v>
                </c:pt>
                <c:pt idx="425">
                  <c:v>4067.14</c:v>
                </c:pt>
                <c:pt idx="426">
                  <c:v>4070.14</c:v>
                </c:pt>
                <c:pt idx="427">
                  <c:v>4073.14</c:v>
                </c:pt>
                <c:pt idx="428">
                  <c:v>4075.48</c:v>
                </c:pt>
                <c:pt idx="429">
                  <c:v>4093.54</c:v>
                </c:pt>
                <c:pt idx="430">
                  <c:v>4095.88</c:v>
                </c:pt>
                <c:pt idx="431">
                  <c:v>4098.52</c:v>
                </c:pt>
                <c:pt idx="432">
                  <c:v>4101.4</c:v>
                </c:pt>
                <c:pt idx="433">
                  <c:v>4104.16</c:v>
                </c:pt>
                <c:pt idx="434">
                  <c:v>4107.16</c:v>
                </c:pt>
                <c:pt idx="435">
                  <c:v>4109.98</c:v>
                </c:pt>
                <c:pt idx="436">
                  <c:v>4112.98</c:v>
                </c:pt>
                <c:pt idx="437">
                  <c:v>4115.08</c:v>
                </c:pt>
                <c:pt idx="438">
                  <c:v>4117.96</c:v>
                </c:pt>
                <c:pt idx="439">
                  <c:v>4120.9</c:v>
                </c:pt>
                <c:pt idx="440">
                  <c:v>4123.36</c:v>
                </c:pt>
                <c:pt idx="441">
                  <c:v>4121.98</c:v>
                </c:pt>
                <c:pt idx="442">
                  <c:v>4124.92</c:v>
                </c:pt>
                <c:pt idx="443">
                  <c:v>4127.92</c:v>
                </c:pt>
                <c:pt idx="444">
                  <c:v>4091.92</c:v>
                </c:pt>
                <c:pt idx="445">
                  <c:v>4055.02</c:v>
                </c:pt>
                <c:pt idx="446">
                  <c:v>4058.02</c:v>
                </c:pt>
                <c:pt idx="447">
                  <c:v>4238.32</c:v>
                </c:pt>
                <c:pt idx="448">
                  <c:v>4196.11</c:v>
                </c:pt>
                <c:pt idx="449">
                  <c:v>4199.05</c:v>
                </c:pt>
                <c:pt idx="450">
                  <c:v>4201.87</c:v>
                </c:pt>
                <c:pt idx="451">
                  <c:v>4159.31</c:v>
                </c:pt>
                <c:pt idx="452">
                  <c:v>4162.25</c:v>
                </c:pt>
                <c:pt idx="453">
                  <c:v>4165.13</c:v>
                </c:pt>
                <c:pt idx="454">
                  <c:v>4167.41</c:v>
                </c:pt>
                <c:pt idx="455">
                  <c:v>4170.23</c:v>
                </c:pt>
                <c:pt idx="456">
                  <c:v>4173.23</c:v>
                </c:pt>
                <c:pt idx="457">
                  <c:v>4136.57</c:v>
                </c:pt>
                <c:pt idx="458">
                  <c:v>4139.51</c:v>
                </c:pt>
                <c:pt idx="459">
                  <c:v>4142.39</c:v>
                </c:pt>
                <c:pt idx="460">
                  <c:v>4145.39</c:v>
                </c:pt>
                <c:pt idx="461">
                  <c:v>4148.03</c:v>
                </c:pt>
                <c:pt idx="462">
                  <c:v>4111.85</c:v>
                </c:pt>
                <c:pt idx="463">
                  <c:v>4114.37</c:v>
                </c:pt>
                <c:pt idx="464">
                  <c:v>4117.31</c:v>
                </c:pt>
                <c:pt idx="465">
                  <c:v>4120.01</c:v>
                </c:pt>
                <c:pt idx="466">
                  <c:v>4083.89</c:v>
                </c:pt>
                <c:pt idx="467">
                  <c:v>4047.83</c:v>
                </c:pt>
                <c:pt idx="468">
                  <c:v>4011.77</c:v>
                </c:pt>
                <c:pt idx="469">
                  <c:v>4014.35</c:v>
                </c:pt>
                <c:pt idx="470">
                  <c:v>4017.35</c:v>
                </c:pt>
                <c:pt idx="471">
                  <c:v>4124.87</c:v>
                </c:pt>
                <c:pt idx="472">
                  <c:v>4088.81</c:v>
                </c:pt>
                <c:pt idx="473">
                  <c:v>4070.93</c:v>
                </c:pt>
                <c:pt idx="474">
                  <c:v>4073.87</c:v>
                </c:pt>
                <c:pt idx="475">
                  <c:v>4076.87</c:v>
                </c:pt>
                <c:pt idx="476">
                  <c:v>4040.51</c:v>
                </c:pt>
                <c:pt idx="477">
                  <c:v>4043.15</c:v>
                </c:pt>
                <c:pt idx="478">
                  <c:v>4007.09</c:v>
                </c:pt>
                <c:pt idx="479">
                  <c:v>3971.03</c:v>
                </c:pt>
                <c:pt idx="480">
                  <c:v>3935.03</c:v>
                </c:pt>
                <c:pt idx="481">
                  <c:v>3898.91</c:v>
                </c:pt>
                <c:pt idx="482">
                  <c:v>3901.91</c:v>
                </c:pt>
                <c:pt idx="483">
                  <c:v>3865.67</c:v>
                </c:pt>
                <c:pt idx="484">
                  <c:v>3868.49</c:v>
                </c:pt>
                <c:pt idx="485">
                  <c:v>3832.31</c:v>
                </c:pt>
                <c:pt idx="486">
                  <c:v>3834.77</c:v>
                </c:pt>
                <c:pt idx="487">
                  <c:v>3837.77</c:v>
                </c:pt>
                <c:pt idx="488">
                  <c:v>3838.67</c:v>
                </c:pt>
                <c:pt idx="489">
                  <c:v>3802.61</c:v>
                </c:pt>
                <c:pt idx="490">
                  <c:v>3765.83</c:v>
                </c:pt>
                <c:pt idx="491">
                  <c:v>3768.71</c:v>
                </c:pt>
                <c:pt idx="492">
                  <c:v>3732.59</c:v>
                </c:pt>
                <c:pt idx="493">
                  <c:v>3735.35</c:v>
                </c:pt>
                <c:pt idx="494">
                  <c:v>3699.29</c:v>
                </c:pt>
                <c:pt idx="495">
                  <c:v>3702.23</c:v>
                </c:pt>
                <c:pt idx="496">
                  <c:v>3704.75</c:v>
                </c:pt>
                <c:pt idx="497">
                  <c:v>3707.75</c:v>
                </c:pt>
                <c:pt idx="498">
                  <c:v>3710.39</c:v>
                </c:pt>
                <c:pt idx="499">
                  <c:v>3713.21</c:v>
                </c:pt>
                <c:pt idx="500">
                  <c:v>3716.03</c:v>
                </c:pt>
                <c:pt idx="501">
                  <c:v>3679.85</c:v>
                </c:pt>
                <c:pt idx="502">
                  <c:v>3643.67</c:v>
                </c:pt>
                <c:pt idx="503">
                  <c:v>3646.67</c:v>
                </c:pt>
                <c:pt idx="504">
                  <c:v>3649.07</c:v>
                </c:pt>
                <c:pt idx="505">
                  <c:v>3612.59</c:v>
                </c:pt>
                <c:pt idx="506">
                  <c:v>3576.35</c:v>
                </c:pt>
                <c:pt idx="507">
                  <c:v>3595.6</c:v>
                </c:pt>
                <c:pt idx="508">
                  <c:v>3565.2</c:v>
                </c:pt>
                <c:pt idx="509">
                  <c:v>3567.65</c:v>
                </c:pt>
                <c:pt idx="510">
                  <c:v>3569.7</c:v>
                </c:pt>
                <c:pt idx="511">
                  <c:v>3572.15</c:v>
                </c:pt>
                <c:pt idx="512">
                  <c:v>3574.6</c:v>
                </c:pt>
                <c:pt idx="513">
                  <c:v>3576.9</c:v>
                </c:pt>
                <c:pt idx="514">
                  <c:v>3579.4</c:v>
                </c:pt>
                <c:pt idx="515">
                  <c:v>3581.7</c:v>
                </c:pt>
                <c:pt idx="516">
                  <c:v>3583.25</c:v>
                </c:pt>
                <c:pt idx="517">
                  <c:v>3541.4</c:v>
                </c:pt>
                <c:pt idx="518">
                  <c:v>3510.65</c:v>
                </c:pt>
                <c:pt idx="519">
                  <c:v>3528.3</c:v>
                </c:pt>
                <c:pt idx="520">
                  <c:v>3530.05</c:v>
                </c:pt>
                <c:pt idx="521">
                  <c:v>3500</c:v>
                </c:pt>
                <c:pt idx="522">
                  <c:v>3502.5</c:v>
                </c:pt>
                <c:pt idx="523">
                  <c:v>3471.95</c:v>
                </c:pt>
                <c:pt idx="524">
                  <c:v>3441.05</c:v>
                </c:pt>
                <c:pt idx="525">
                  <c:v>3411</c:v>
                </c:pt>
                <c:pt idx="526">
                  <c:v>3380.75</c:v>
                </c:pt>
                <c:pt idx="527">
                  <c:v>3350.25</c:v>
                </c:pt>
                <c:pt idx="528">
                  <c:v>3438.45</c:v>
                </c:pt>
                <c:pt idx="529">
                  <c:v>3408.35</c:v>
                </c:pt>
                <c:pt idx="530">
                  <c:v>3410.85</c:v>
                </c:pt>
                <c:pt idx="531">
                  <c:v>3413.25</c:v>
                </c:pt>
                <c:pt idx="532">
                  <c:v>3382.7</c:v>
                </c:pt>
                <c:pt idx="533">
                  <c:v>3352.6</c:v>
                </c:pt>
                <c:pt idx="534">
                  <c:v>3355.1</c:v>
                </c:pt>
                <c:pt idx="535">
                  <c:v>3324.65</c:v>
                </c:pt>
                <c:pt idx="536">
                  <c:v>3294.35</c:v>
                </c:pt>
                <c:pt idx="537">
                  <c:v>3296.75</c:v>
                </c:pt>
                <c:pt idx="538">
                  <c:v>3299.05</c:v>
                </c:pt>
                <c:pt idx="539">
                  <c:v>3269</c:v>
                </c:pt>
                <c:pt idx="540">
                  <c:v>3271.45</c:v>
                </c:pt>
                <c:pt idx="541">
                  <c:v>3324.4</c:v>
                </c:pt>
                <c:pt idx="542">
                  <c:v>3326.9</c:v>
                </c:pt>
                <c:pt idx="543">
                  <c:v>3328.95</c:v>
                </c:pt>
                <c:pt idx="544">
                  <c:v>3331.4</c:v>
                </c:pt>
                <c:pt idx="545">
                  <c:v>3358.25</c:v>
                </c:pt>
                <c:pt idx="546">
                  <c:v>3360.3</c:v>
                </c:pt>
                <c:pt idx="547">
                  <c:v>3362.8</c:v>
                </c:pt>
                <c:pt idx="548">
                  <c:v>3320</c:v>
                </c:pt>
                <c:pt idx="549">
                  <c:v>3289.85</c:v>
                </c:pt>
                <c:pt idx="550">
                  <c:v>3292.25</c:v>
                </c:pt>
                <c:pt idx="551">
                  <c:v>3294.2</c:v>
                </c:pt>
                <c:pt idx="552">
                  <c:v>3263.8</c:v>
                </c:pt>
                <c:pt idx="553">
                  <c:v>3266.3</c:v>
                </c:pt>
                <c:pt idx="554">
                  <c:v>3235.95</c:v>
                </c:pt>
                <c:pt idx="555">
                  <c:v>3205.5</c:v>
                </c:pt>
                <c:pt idx="556">
                  <c:v>3175.45</c:v>
                </c:pt>
                <c:pt idx="557">
                  <c:v>3172.2</c:v>
                </c:pt>
                <c:pt idx="558">
                  <c:v>3174.7</c:v>
                </c:pt>
                <c:pt idx="559">
                  <c:v>3176.9</c:v>
                </c:pt>
                <c:pt idx="560">
                  <c:v>3179.4</c:v>
                </c:pt>
                <c:pt idx="561">
                  <c:v>3189.15</c:v>
                </c:pt>
                <c:pt idx="562">
                  <c:v>3158.75</c:v>
                </c:pt>
                <c:pt idx="563">
                  <c:v>3176.55</c:v>
                </c:pt>
                <c:pt idx="564">
                  <c:v>3179</c:v>
                </c:pt>
                <c:pt idx="565">
                  <c:v>3148.65</c:v>
                </c:pt>
                <c:pt idx="566">
                  <c:v>3118.55</c:v>
                </c:pt>
                <c:pt idx="567">
                  <c:v>3121.05</c:v>
                </c:pt>
                <c:pt idx="568">
                  <c:v>3123.55</c:v>
                </c:pt>
                <c:pt idx="569">
                  <c:v>3125.95</c:v>
                </c:pt>
                <c:pt idx="570">
                  <c:v>3128.05</c:v>
                </c:pt>
                <c:pt idx="571">
                  <c:v>3130.45</c:v>
                </c:pt>
                <c:pt idx="572">
                  <c:v>3099.4</c:v>
                </c:pt>
                <c:pt idx="573">
                  <c:v>3101.55</c:v>
                </c:pt>
                <c:pt idx="574">
                  <c:v>3071.4</c:v>
                </c:pt>
                <c:pt idx="575">
                  <c:v>3125</c:v>
                </c:pt>
                <c:pt idx="576">
                  <c:v>3094.7</c:v>
                </c:pt>
                <c:pt idx="577">
                  <c:v>3064.5</c:v>
                </c:pt>
                <c:pt idx="578">
                  <c:v>3034.35</c:v>
                </c:pt>
                <c:pt idx="579">
                  <c:v>3036.7</c:v>
                </c:pt>
                <c:pt idx="580">
                  <c:v>3006.3</c:v>
                </c:pt>
                <c:pt idx="581">
                  <c:v>3059.15</c:v>
                </c:pt>
                <c:pt idx="582">
                  <c:v>3061.6</c:v>
                </c:pt>
                <c:pt idx="583">
                  <c:v>3030.7</c:v>
                </c:pt>
                <c:pt idx="584">
                  <c:v>3000.45</c:v>
                </c:pt>
                <c:pt idx="585">
                  <c:v>3002.4</c:v>
                </c:pt>
                <c:pt idx="586">
                  <c:v>2971.45</c:v>
                </c:pt>
                <c:pt idx="587">
                  <c:v>2973.33</c:v>
                </c:pt>
                <c:pt idx="588">
                  <c:v>2999.29</c:v>
                </c:pt>
                <c:pt idx="589">
                  <c:v>3000.73</c:v>
                </c:pt>
                <c:pt idx="590">
                  <c:v>3003.18</c:v>
                </c:pt>
                <c:pt idx="591">
                  <c:v>3059.58</c:v>
                </c:pt>
                <c:pt idx="592">
                  <c:v>3029.58</c:v>
                </c:pt>
                <c:pt idx="593">
                  <c:v>3032.08</c:v>
                </c:pt>
                <c:pt idx="594">
                  <c:v>3034.58</c:v>
                </c:pt>
                <c:pt idx="595">
                  <c:v>3004.38</c:v>
                </c:pt>
                <c:pt idx="596">
                  <c:v>3006.83</c:v>
                </c:pt>
                <c:pt idx="597">
                  <c:v>3036.58</c:v>
                </c:pt>
                <c:pt idx="598">
                  <c:v>3039.08</c:v>
                </c:pt>
                <c:pt idx="599">
                  <c:v>3041.53</c:v>
                </c:pt>
                <c:pt idx="600">
                  <c:v>3042.48</c:v>
                </c:pt>
                <c:pt idx="601">
                  <c:v>3043.98</c:v>
                </c:pt>
                <c:pt idx="602">
                  <c:v>3013.73</c:v>
                </c:pt>
                <c:pt idx="603">
                  <c:v>3016.23</c:v>
                </c:pt>
                <c:pt idx="604">
                  <c:v>3102.38</c:v>
                </c:pt>
                <c:pt idx="605">
                  <c:v>3071.33</c:v>
                </c:pt>
                <c:pt idx="606">
                  <c:v>3073.73</c:v>
                </c:pt>
                <c:pt idx="607">
                  <c:v>3075.93</c:v>
                </c:pt>
                <c:pt idx="608">
                  <c:v>3045.78</c:v>
                </c:pt>
                <c:pt idx="609">
                  <c:v>3048.23</c:v>
                </c:pt>
                <c:pt idx="610">
                  <c:v>3050.43</c:v>
                </c:pt>
                <c:pt idx="611">
                  <c:v>3052.78</c:v>
                </c:pt>
                <c:pt idx="612">
                  <c:v>3055.28</c:v>
                </c:pt>
                <c:pt idx="613">
                  <c:v>3057.23</c:v>
                </c:pt>
                <c:pt idx="614">
                  <c:v>3086.08</c:v>
                </c:pt>
                <c:pt idx="615">
                  <c:v>3087.78</c:v>
                </c:pt>
                <c:pt idx="616">
                  <c:v>3090.28</c:v>
                </c:pt>
                <c:pt idx="617">
                  <c:v>3060.18</c:v>
                </c:pt>
                <c:pt idx="618">
                  <c:v>3029.98</c:v>
                </c:pt>
                <c:pt idx="619">
                  <c:v>3012.38</c:v>
                </c:pt>
                <c:pt idx="620">
                  <c:v>3078.63</c:v>
                </c:pt>
                <c:pt idx="621">
                  <c:v>3080.98</c:v>
                </c:pt>
                <c:pt idx="622">
                  <c:v>3083.48</c:v>
                </c:pt>
                <c:pt idx="623">
                  <c:v>3233.83</c:v>
                </c:pt>
                <c:pt idx="624">
                  <c:v>3235.83</c:v>
                </c:pt>
                <c:pt idx="625">
                  <c:v>3270.43</c:v>
                </c:pt>
                <c:pt idx="626">
                  <c:v>3420.58</c:v>
                </c:pt>
                <c:pt idx="627">
                  <c:v>3423.08</c:v>
                </c:pt>
                <c:pt idx="628">
                  <c:v>3489.93</c:v>
                </c:pt>
                <c:pt idx="629">
                  <c:v>3491.88</c:v>
                </c:pt>
                <c:pt idx="630">
                  <c:v>3494.23</c:v>
                </c:pt>
                <c:pt idx="631">
                  <c:v>3496.53</c:v>
                </c:pt>
                <c:pt idx="632">
                  <c:v>3466.33</c:v>
                </c:pt>
                <c:pt idx="633">
                  <c:v>3468.83</c:v>
                </c:pt>
                <c:pt idx="634">
                  <c:v>3438.78</c:v>
                </c:pt>
                <c:pt idx="635">
                  <c:v>3440.98</c:v>
                </c:pt>
                <c:pt idx="636">
                  <c:v>3443.43</c:v>
                </c:pt>
                <c:pt idx="637">
                  <c:v>3413.33</c:v>
                </c:pt>
                <c:pt idx="638">
                  <c:v>3383.18</c:v>
                </c:pt>
                <c:pt idx="639">
                  <c:v>3456.03</c:v>
                </c:pt>
                <c:pt idx="640">
                  <c:v>3458.53</c:v>
                </c:pt>
                <c:pt idx="641">
                  <c:v>3428.13</c:v>
                </c:pt>
                <c:pt idx="642">
                  <c:v>3430.58</c:v>
                </c:pt>
                <c:pt idx="643">
                  <c:v>3433.03</c:v>
                </c:pt>
                <c:pt idx="644">
                  <c:v>3435.18</c:v>
                </c:pt>
                <c:pt idx="645">
                  <c:v>3404.98</c:v>
                </c:pt>
                <c:pt idx="646">
                  <c:v>3374.68</c:v>
                </c:pt>
                <c:pt idx="647">
                  <c:v>3344.53</c:v>
                </c:pt>
                <c:pt idx="648">
                  <c:v>3314.13</c:v>
                </c:pt>
                <c:pt idx="649">
                  <c:v>3316.58</c:v>
                </c:pt>
                <c:pt idx="650">
                  <c:v>3360.73</c:v>
                </c:pt>
                <c:pt idx="651">
                  <c:v>3457.13</c:v>
                </c:pt>
                <c:pt idx="652">
                  <c:v>3427.08</c:v>
                </c:pt>
                <c:pt idx="653">
                  <c:v>3396.68</c:v>
                </c:pt>
                <c:pt idx="654">
                  <c:v>3399.08</c:v>
                </c:pt>
                <c:pt idx="655">
                  <c:v>3466.78</c:v>
                </c:pt>
                <c:pt idx="656">
                  <c:v>3469.28</c:v>
                </c:pt>
                <c:pt idx="657">
                  <c:v>3545.28</c:v>
                </c:pt>
                <c:pt idx="658">
                  <c:v>3547.63</c:v>
                </c:pt>
                <c:pt idx="659">
                  <c:v>3550.13</c:v>
                </c:pt>
                <c:pt idx="660">
                  <c:v>3552.63</c:v>
                </c:pt>
                <c:pt idx="661">
                  <c:v>3555.13</c:v>
                </c:pt>
                <c:pt idx="662">
                  <c:v>3557.58</c:v>
                </c:pt>
                <c:pt idx="663">
                  <c:v>3527.53</c:v>
                </c:pt>
                <c:pt idx="664">
                  <c:v>3530.03</c:v>
                </c:pt>
                <c:pt idx="665">
                  <c:v>3577.68</c:v>
                </c:pt>
                <c:pt idx="666">
                  <c:v>3547.23</c:v>
                </c:pt>
                <c:pt idx="667">
                  <c:v>3664.63</c:v>
                </c:pt>
                <c:pt idx="668">
                  <c:v>3667.57</c:v>
                </c:pt>
                <c:pt idx="669">
                  <c:v>3657.31</c:v>
                </c:pt>
                <c:pt idx="670">
                  <c:v>3660.13</c:v>
                </c:pt>
                <c:pt idx="671">
                  <c:v>3663.13</c:v>
                </c:pt>
                <c:pt idx="672">
                  <c:v>3626.47</c:v>
                </c:pt>
                <c:pt idx="673">
                  <c:v>3629.23</c:v>
                </c:pt>
                <c:pt idx="674">
                  <c:v>3631.99</c:v>
                </c:pt>
                <c:pt idx="675">
                  <c:v>3634.87</c:v>
                </c:pt>
                <c:pt idx="676">
                  <c:v>3637.87</c:v>
                </c:pt>
                <c:pt idx="677">
                  <c:v>3640.57</c:v>
                </c:pt>
                <c:pt idx="678">
                  <c:v>3643.57</c:v>
                </c:pt>
                <c:pt idx="679">
                  <c:v>3646.21</c:v>
                </c:pt>
                <c:pt idx="680">
                  <c:v>3609.97</c:v>
                </c:pt>
                <c:pt idx="681">
                  <c:v>3612.79</c:v>
                </c:pt>
                <c:pt idx="682">
                  <c:v>3615.79</c:v>
                </c:pt>
                <c:pt idx="683">
                  <c:v>3579.07</c:v>
                </c:pt>
                <c:pt idx="684">
                  <c:v>3549.07</c:v>
                </c:pt>
                <c:pt idx="685">
                  <c:v>3551.52</c:v>
                </c:pt>
                <c:pt idx="686">
                  <c:v>3553.92</c:v>
                </c:pt>
                <c:pt idx="687">
                  <c:v>3555.92</c:v>
                </c:pt>
                <c:pt idx="688">
                  <c:v>3525.77</c:v>
                </c:pt>
                <c:pt idx="689">
                  <c:v>3528.27</c:v>
                </c:pt>
                <c:pt idx="690">
                  <c:v>3530.72</c:v>
                </c:pt>
                <c:pt idx="691">
                  <c:v>3533.22</c:v>
                </c:pt>
                <c:pt idx="692">
                  <c:v>3535.62</c:v>
                </c:pt>
                <c:pt idx="693">
                  <c:v>3538.02</c:v>
                </c:pt>
                <c:pt idx="694">
                  <c:v>3507.77</c:v>
                </c:pt>
                <c:pt idx="695">
                  <c:v>3477.27</c:v>
                </c:pt>
                <c:pt idx="696">
                  <c:v>3479.22</c:v>
                </c:pt>
                <c:pt idx="697">
                  <c:v>3498.87</c:v>
                </c:pt>
                <c:pt idx="698">
                  <c:v>3468.62</c:v>
                </c:pt>
                <c:pt idx="699">
                  <c:v>3470.92</c:v>
                </c:pt>
                <c:pt idx="700">
                  <c:v>3473.22</c:v>
                </c:pt>
                <c:pt idx="701">
                  <c:v>3443.12</c:v>
                </c:pt>
                <c:pt idx="702">
                  <c:v>3412.92</c:v>
                </c:pt>
                <c:pt idx="703">
                  <c:v>3415.42</c:v>
                </c:pt>
                <c:pt idx="704">
                  <c:v>3417.77</c:v>
                </c:pt>
                <c:pt idx="705">
                  <c:v>3420.22</c:v>
                </c:pt>
                <c:pt idx="706">
                  <c:v>3422.72</c:v>
                </c:pt>
                <c:pt idx="707">
                  <c:v>3425.17</c:v>
                </c:pt>
                <c:pt idx="708">
                  <c:v>3427.52</c:v>
                </c:pt>
                <c:pt idx="709">
                  <c:v>3396.22</c:v>
                </c:pt>
                <c:pt idx="710">
                  <c:v>3398.52</c:v>
                </c:pt>
                <c:pt idx="711">
                  <c:v>3400.97</c:v>
                </c:pt>
                <c:pt idx="712">
                  <c:v>3403.37</c:v>
                </c:pt>
                <c:pt idx="713">
                  <c:v>3372.87</c:v>
                </c:pt>
                <c:pt idx="714">
                  <c:v>3375.32</c:v>
                </c:pt>
                <c:pt idx="715">
                  <c:v>3366.47</c:v>
                </c:pt>
                <c:pt idx="716">
                  <c:v>3368.97</c:v>
                </c:pt>
                <c:pt idx="717">
                  <c:v>3371.27</c:v>
                </c:pt>
                <c:pt idx="718">
                  <c:v>3373.42</c:v>
                </c:pt>
                <c:pt idx="719">
                  <c:v>3375.77</c:v>
                </c:pt>
                <c:pt idx="720">
                  <c:v>3463.37</c:v>
                </c:pt>
                <c:pt idx="721">
                  <c:v>3465.47</c:v>
                </c:pt>
                <c:pt idx="722">
                  <c:v>3435.37</c:v>
                </c:pt>
                <c:pt idx="723">
                  <c:v>3437.87</c:v>
                </c:pt>
                <c:pt idx="724">
                  <c:v>3440.22</c:v>
                </c:pt>
                <c:pt idx="725">
                  <c:v>3410.02</c:v>
                </c:pt>
                <c:pt idx="726">
                  <c:v>3412.47</c:v>
                </c:pt>
                <c:pt idx="727">
                  <c:v>3414.97</c:v>
                </c:pt>
                <c:pt idx="728">
                  <c:v>3417.12</c:v>
                </c:pt>
                <c:pt idx="729">
                  <c:v>3419.57</c:v>
                </c:pt>
                <c:pt idx="730">
                  <c:v>3420.47</c:v>
                </c:pt>
                <c:pt idx="731">
                  <c:v>3422.77</c:v>
                </c:pt>
                <c:pt idx="732">
                  <c:v>3381.82</c:v>
                </c:pt>
                <c:pt idx="733">
                  <c:v>3384.02</c:v>
                </c:pt>
                <c:pt idx="734">
                  <c:v>3386.42</c:v>
                </c:pt>
                <c:pt idx="735">
                  <c:v>3388.62</c:v>
                </c:pt>
                <c:pt idx="736">
                  <c:v>3390.87</c:v>
                </c:pt>
                <c:pt idx="737">
                  <c:v>3393.37</c:v>
                </c:pt>
                <c:pt idx="738">
                  <c:v>3362.82</c:v>
                </c:pt>
                <c:pt idx="739">
                  <c:v>3322.72</c:v>
                </c:pt>
                <c:pt idx="740">
                  <c:v>3292.22</c:v>
                </c:pt>
                <c:pt idx="741">
                  <c:v>3294.72</c:v>
                </c:pt>
                <c:pt idx="742">
                  <c:v>3297.22</c:v>
                </c:pt>
                <c:pt idx="743">
                  <c:v>3299.62</c:v>
                </c:pt>
                <c:pt idx="744">
                  <c:v>3301.87</c:v>
                </c:pt>
                <c:pt idx="745">
                  <c:v>3304.37</c:v>
                </c:pt>
                <c:pt idx="746">
                  <c:v>3274.17</c:v>
                </c:pt>
                <c:pt idx="747">
                  <c:v>3276.67</c:v>
                </c:pt>
                <c:pt idx="748">
                  <c:v>3246.42</c:v>
                </c:pt>
                <c:pt idx="749">
                  <c:v>3230.72</c:v>
                </c:pt>
                <c:pt idx="750">
                  <c:v>3325.67</c:v>
                </c:pt>
                <c:pt idx="751">
                  <c:v>3328.12</c:v>
                </c:pt>
                <c:pt idx="752">
                  <c:v>3297.87</c:v>
                </c:pt>
                <c:pt idx="753">
                  <c:v>3300.27</c:v>
                </c:pt>
                <c:pt idx="754">
                  <c:v>3302.47</c:v>
                </c:pt>
                <c:pt idx="755">
                  <c:v>3304.97</c:v>
                </c:pt>
                <c:pt idx="756">
                  <c:v>3274.57</c:v>
                </c:pt>
                <c:pt idx="757">
                  <c:v>3289.77</c:v>
                </c:pt>
                <c:pt idx="758">
                  <c:v>3259.77</c:v>
                </c:pt>
                <c:pt idx="759">
                  <c:v>3262.22</c:v>
                </c:pt>
                <c:pt idx="760">
                  <c:v>3246.57</c:v>
                </c:pt>
                <c:pt idx="761">
                  <c:v>3248.77</c:v>
                </c:pt>
                <c:pt idx="762">
                  <c:v>3251.17</c:v>
                </c:pt>
                <c:pt idx="763">
                  <c:v>3253.52</c:v>
                </c:pt>
                <c:pt idx="764">
                  <c:v>3255.92</c:v>
                </c:pt>
                <c:pt idx="765">
                  <c:v>3258.27</c:v>
                </c:pt>
                <c:pt idx="766">
                  <c:v>3260.77</c:v>
                </c:pt>
                <c:pt idx="767">
                  <c:v>3230.72</c:v>
                </c:pt>
                <c:pt idx="768">
                  <c:v>3200.32</c:v>
                </c:pt>
                <c:pt idx="769">
                  <c:v>3202.72</c:v>
                </c:pt>
                <c:pt idx="770">
                  <c:v>3172.47</c:v>
                </c:pt>
                <c:pt idx="771">
                  <c:v>3174.92</c:v>
                </c:pt>
                <c:pt idx="772">
                  <c:v>3177.42</c:v>
                </c:pt>
                <c:pt idx="773">
                  <c:v>3179.82</c:v>
                </c:pt>
                <c:pt idx="774">
                  <c:v>3182.12</c:v>
                </c:pt>
                <c:pt idx="775">
                  <c:v>3184.57</c:v>
                </c:pt>
                <c:pt idx="776">
                  <c:v>3184.92</c:v>
                </c:pt>
                <c:pt idx="777">
                  <c:v>3154.62</c:v>
                </c:pt>
                <c:pt idx="778">
                  <c:v>3155.72</c:v>
                </c:pt>
                <c:pt idx="779">
                  <c:v>3157.77</c:v>
                </c:pt>
                <c:pt idx="780">
                  <c:v>3226.97</c:v>
                </c:pt>
                <c:pt idx="781">
                  <c:v>3229.22</c:v>
                </c:pt>
                <c:pt idx="782">
                  <c:v>3231.52</c:v>
                </c:pt>
                <c:pt idx="783">
                  <c:v>3233.67</c:v>
                </c:pt>
                <c:pt idx="784">
                  <c:v>3292.77</c:v>
                </c:pt>
                <c:pt idx="785">
                  <c:v>3295.12</c:v>
                </c:pt>
                <c:pt idx="786">
                  <c:v>3297.52</c:v>
                </c:pt>
                <c:pt idx="787">
                  <c:v>3265.97</c:v>
                </c:pt>
                <c:pt idx="788">
                  <c:v>3268.42</c:v>
                </c:pt>
                <c:pt idx="789">
                  <c:v>3270.12</c:v>
                </c:pt>
                <c:pt idx="790">
                  <c:v>3272.47</c:v>
                </c:pt>
                <c:pt idx="791">
                  <c:v>3274.97</c:v>
                </c:pt>
                <c:pt idx="792">
                  <c:v>3277.42</c:v>
                </c:pt>
                <c:pt idx="793">
                  <c:v>3279.77</c:v>
                </c:pt>
                <c:pt idx="794">
                  <c:v>3282.17</c:v>
                </c:pt>
                <c:pt idx="795">
                  <c:v>3284.67</c:v>
                </c:pt>
                <c:pt idx="796">
                  <c:v>3287.12</c:v>
                </c:pt>
                <c:pt idx="797">
                  <c:v>3253.37</c:v>
                </c:pt>
                <c:pt idx="798">
                  <c:v>3248.32</c:v>
                </c:pt>
                <c:pt idx="799">
                  <c:v>3250.77</c:v>
                </c:pt>
                <c:pt idx="800">
                  <c:v>3253.27</c:v>
                </c:pt>
                <c:pt idx="801">
                  <c:v>3255.77</c:v>
                </c:pt>
                <c:pt idx="802">
                  <c:v>3257.72</c:v>
                </c:pt>
                <c:pt idx="803">
                  <c:v>3260.12</c:v>
                </c:pt>
                <c:pt idx="804">
                  <c:v>3230.07</c:v>
                </c:pt>
                <c:pt idx="805">
                  <c:v>3232.42</c:v>
                </c:pt>
                <c:pt idx="806">
                  <c:v>3202.42</c:v>
                </c:pt>
                <c:pt idx="807">
                  <c:v>3204.77</c:v>
                </c:pt>
                <c:pt idx="808">
                  <c:v>3206.87</c:v>
                </c:pt>
                <c:pt idx="809">
                  <c:v>3209.32</c:v>
                </c:pt>
                <c:pt idx="810">
                  <c:v>3360.12</c:v>
                </c:pt>
                <c:pt idx="811">
                  <c:v>3328.82</c:v>
                </c:pt>
                <c:pt idx="812">
                  <c:v>3331.17</c:v>
                </c:pt>
                <c:pt idx="813">
                  <c:v>3333.52</c:v>
                </c:pt>
                <c:pt idx="814">
                  <c:v>3335.62</c:v>
                </c:pt>
                <c:pt idx="815">
                  <c:v>3304.52</c:v>
                </c:pt>
                <c:pt idx="816">
                  <c:v>3274.17</c:v>
                </c:pt>
                <c:pt idx="817">
                  <c:v>3276.57</c:v>
                </c:pt>
                <c:pt idx="818">
                  <c:v>3278.72</c:v>
                </c:pt>
                <c:pt idx="819">
                  <c:v>3246.57</c:v>
                </c:pt>
                <c:pt idx="820">
                  <c:v>3248.92</c:v>
                </c:pt>
                <c:pt idx="821">
                  <c:v>3251.42</c:v>
                </c:pt>
                <c:pt idx="822">
                  <c:v>3396.17</c:v>
                </c:pt>
                <c:pt idx="823">
                  <c:v>3398.12</c:v>
                </c:pt>
                <c:pt idx="824">
                  <c:v>3367.97</c:v>
                </c:pt>
                <c:pt idx="825">
                  <c:v>3370.37</c:v>
                </c:pt>
                <c:pt idx="826">
                  <c:v>3372.62</c:v>
                </c:pt>
                <c:pt idx="827">
                  <c:v>3374.87</c:v>
                </c:pt>
                <c:pt idx="828">
                  <c:v>3377.27</c:v>
                </c:pt>
                <c:pt idx="829">
                  <c:v>3379.77</c:v>
                </c:pt>
                <c:pt idx="830">
                  <c:v>3382.27</c:v>
                </c:pt>
                <c:pt idx="831">
                  <c:v>3384.52</c:v>
                </c:pt>
                <c:pt idx="832">
                  <c:v>3387.02</c:v>
                </c:pt>
                <c:pt idx="833">
                  <c:v>3389.52</c:v>
                </c:pt>
                <c:pt idx="834">
                  <c:v>3540.57</c:v>
                </c:pt>
                <c:pt idx="835">
                  <c:v>3510.42</c:v>
                </c:pt>
                <c:pt idx="836">
                  <c:v>3512.62</c:v>
                </c:pt>
                <c:pt idx="837">
                  <c:v>3515.07</c:v>
                </c:pt>
                <c:pt idx="838">
                  <c:v>3569.22</c:v>
                </c:pt>
                <c:pt idx="839">
                  <c:v>3571.32</c:v>
                </c:pt>
                <c:pt idx="840">
                  <c:v>3573.82</c:v>
                </c:pt>
                <c:pt idx="841">
                  <c:v>3576.27</c:v>
                </c:pt>
                <c:pt idx="842">
                  <c:v>3578.57</c:v>
                </c:pt>
                <c:pt idx="843">
                  <c:v>3581.07</c:v>
                </c:pt>
                <c:pt idx="844">
                  <c:v>3583.27</c:v>
                </c:pt>
                <c:pt idx="845">
                  <c:v>3585.62</c:v>
                </c:pt>
                <c:pt idx="846">
                  <c:v>3588.12</c:v>
                </c:pt>
                <c:pt idx="847">
                  <c:v>3590.62</c:v>
                </c:pt>
                <c:pt idx="848">
                  <c:v>3587.47</c:v>
                </c:pt>
                <c:pt idx="849">
                  <c:v>3589.57</c:v>
                </c:pt>
                <c:pt idx="850">
                  <c:v>3592.07</c:v>
                </c:pt>
                <c:pt idx="851">
                  <c:v>3594.52</c:v>
                </c:pt>
                <c:pt idx="852">
                  <c:v>3596.97</c:v>
                </c:pt>
                <c:pt idx="853">
                  <c:v>3599.42</c:v>
                </c:pt>
                <c:pt idx="854">
                  <c:v>3569.02</c:v>
                </c:pt>
                <c:pt idx="855">
                  <c:v>3538.87</c:v>
                </c:pt>
                <c:pt idx="856">
                  <c:v>3507.92</c:v>
                </c:pt>
                <c:pt idx="857">
                  <c:v>3477.82</c:v>
                </c:pt>
                <c:pt idx="858">
                  <c:v>3444.92</c:v>
                </c:pt>
                <c:pt idx="859">
                  <c:v>3447.37</c:v>
                </c:pt>
                <c:pt idx="860">
                  <c:v>3449.72</c:v>
                </c:pt>
                <c:pt idx="861">
                  <c:v>3419.07</c:v>
                </c:pt>
                <c:pt idx="862">
                  <c:v>3421.57</c:v>
                </c:pt>
                <c:pt idx="863">
                  <c:v>3391.57</c:v>
                </c:pt>
                <c:pt idx="864">
                  <c:v>3360.97</c:v>
                </c:pt>
                <c:pt idx="865">
                  <c:v>3362.92</c:v>
                </c:pt>
                <c:pt idx="866">
                  <c:v>3365.32</c:v>
                </c:pt>
                <c:pt idx="867">
                  <c:v>3367.52</c:v>
                </c:pt>
                <c:pt idx="868">
                  <c:v>3369.97</c:v>
                </c:pt>
                <c:pt idx="869">
                  <c:v>3372.42</c:v>
                </c:pt>
                <c:pt idx="870">
                  <c:v>3342.37</c:v>
                </c:pt>
                <c:pt idx="871">
                  <c:v>3344.72</c:v>
                </c:pt>
                <c:pt idx="872">
                  <c:v>3347.12</c:v>
                </c:pt>
                <c:pt idx="873">
                  <c:v>3349.57</c:v>
                </c:pt>
                <c:pt idx="874">
                  <c:v>3319.12</c:v>
                </c:pt>
                <c:pt idx="875">
                  <c:v>3288.97</c:v>
                </c:pt>
                <c:pt idx="876">
                  <c:v>3291.12</c:v>
                </c:pt>
                <c:pt idx="877">
                  <c:v>3293.57</c:v>
                </c:pt>
                <c:pt idx="878">
                  <c:v>3296.07</c:v>
                </c:pt>
                <c:pt idx="879">
                  <c:v>3266.07</c:v>
                </c:pt>
                <c:pt idx="880">
                  <c:v>3418.02</c:v>
                </c:pt>
                <c:pt idx="881">
                  <c:v>3420.47</c:v>
                </c:pt>
                <c:pt idx="882">
                  <c:v>3422.97</c:v>
                </c:pt>
                <c:pt idx="883">
                  <c:v>3425.37</c:v>
                </c:pt>
                <c:pt idx="884">
                  <c:v>3385.07</c:v>
                </c:pt>
                <c:pt idx="885">
                  <c:v>3387.52</c:v>
                </c:pt>
                <c:pt idx="886">
                  <c:v>3389.87</c:v>
                </c:pt>
                <c:pt idx="887">
                  <c:v>3495.37</c:v>
                </c:pt>
                <c:pt idx="888">
                  <c:v>3465.37</c:v>
                </c:pt>
                <c:pt idx="889">
                  <c:v>3467.52</c:v>
                </c:pt>
                <c:pt idx="890">
                  <c:v>3451.17</c:v>
                </c:pt>
                <c:pt idx="891">
                  <c:v>3453.57</c:v>
                </c:pt>
                <c:pt idx="892">
                  <c:v>3423.22</c:v>
                </c:pt>
                <c:pt idx="893">
                  <c:v>3425.67</c:v>
                </c:pt>
                <c:pt idx="894">
                  <c:v>3395.57</c:v>
                </c:pt>
                <c:pt idx="895">
                  <c:v>3365.02</c:v>
                </c:pt>
                <c:pt idx="896">
                  <c:v>3367.42</c:v>
                </c:pt>
                <c:pt idx="897">
                  <c:v>3336.92</c:v>
                </c:pt>
                <c:pt idx="898">
                  <c:v>3339.42</c:v>
                </c:pt>
                <c:pt idx="899">
                  <c:v>3308.52</c:v>
                </c:pt>
                <c:pt idx="900">
                  <c:v>3311.02</c:v>
                </c:pt>
                <c:pt idx="901">
                  <c:v>3280.42</c:v>
                </c:pt>
                <c:pt idx="902">
                  <c:v>3249.72</c:v>
                </c:pt>
                <c:pt idx="903">
                  <c:v>3252.07</c:v>
                </c:pt>
                <c:pt idx="904">
                  <c:v>3254.57</c:v>
                </c:pt>
                <c:pt idx="905">
                  <c:v>3224.02</c:v>
                </c:pt>
                <c:pt idx="906">
                  <c:v>3226.52</c:v>
                </c:pt>
                <c:pt idx="907">
                  <c:v>3196.22</c:v>
                </c:pt>
                <c:pt idx="908">
                  <c:v>3198.72</c:v>
                </c:pt>
                <c:pt idx="909">
                  <c:v>3201.22</c:v>
                </c:pt>
                <c:pt idx="910">
                  <c:v>3203.62</c:v>
                </c:pt>
                <c:pt idx="911">
                  <c:v>3204.97</c:v>
                </c:pt>
                <c:pt idx="912">
                  <c:v>3207.47</c:v>
                </c:pt>
                <c:pt idx="913">
                  <c:v>3209.97</c:v>
                </c:pt>
                <c:pt idx="914">
                  <c:v>3179.57</c:v>
                </c:pt>
                <c:pt idx="915">
                  <c:v>3181.27</c:v>
                </c:pt>
                <c:pt idx="916">
                  <c:v>3331.22</c:v>
                </c:pt>
                <c:pt idx="917">
                  <c:v>3333.47</c:v>
                </c:pt>
                <c:pt idx="918">
                  <c:v>3335.92</c:v>
                </c:pt>
                <c:pt idx="919">
                  <c:v>3338.37</c:v>
                </c:pt>
                <c:pt idx="920">
                  <c:v>3340.82</c:v>
                </c:pt>
                <c:pt idx="921">
                  <c:v>3343.22</c:v>
                </c:pt>
                <c:pt idx="922">
                  <c:v>3345.47</c:v>
                </c:pt>
                <c:pt idx="923">
                  <c:v>3347.92</c:v>
                </c:pt>
                <c:pt idx="924">
                  <c:v>3317.92</c:v>
                </c:pt>
                <c:pt idx="925">
                  <c:v>3357.92</c:v>
                </c:pt>
                <c:pt idx="926">
                  <c:v>3508.42</c:v>
                </c:pt>
                <c:pt idx="927">
                  <c:v>3478.22</c:v>
                </c:pt>
                <c:pt idx="928">
                  <c:v>3447.97</c:v>
                </c:pt>
                <c:pt idx="929">
                  <c:v>3450.47</c:v>
                </c:pt>
                <c:pt idx="930">
                  <c:v>3419.92</c:v>
                </c:pt>
                <c:pt idx="931">
                  <c:v>3389.17</c:v>
                </c:pt>
                <c:pt idx="932">
                  <c:v>3357.87</c:v>
                </c:pt>
                <c:pt idx="933">
                  <c:v>3327.62</c:v>
                </c:pt>
                <c:pt idx="934">
                  <c:v>3330.12</c:v>
                </c:pt>
                <c:pt idx="935">
                  <c:v>3332.62</c:v>
                </c:pt>
                <c:pt idx="936">
                  <c:v>3334.97</c:v>
                </c:pt>
                <c:pt idx="937">
                  <c:v>3337.32</c:v>
                </c:pt>
                <c:pt idx="938">
                  <c:v>3433.27</c:v>
                </c:pt>
                <c:pt idx="939">
                  <c:v>3435.37</c:v>
                </c:pt>
                <c:pt idx="940">
                  <c:v>3404.97</c:v>
                </c:pt>
                <c:pt idx="941">
                  <c:v>3407.12</c:v>
                </c:pt>
                <c:pt idx="942">
                  <c:v>3409.37</c:v>
                </c:pt>
                <c:pt idx="943">
                  <c:v>3411.72</c:v>
                </c:pt>
                <c:pt idx="944">
                  <c:v>3568.02</c:v>
                </c:pt>
                <c:pt idx="945">
                  <c:v>3570.22</c:v>
                </c:pt>
                <c:pt idx="946">
                  <c:v>3538.72</c:v>
                </c:pt>
                <c:pt idx="947">
                  <c:v>3508.52</c:v>
                </c:pt>
                <c:pt idx="948">
                  <c:v>3511.02</c:v>
                </c:pt>
                <c:pt idx="949">
                  <c:v>3513.52</c:v>
                </c:pt>
                <c:pt idx="950">
                  <c:v>3483.37</c:v>
                </c:pt>
                <c:pt idx="951">
                  <c:v>3485.72</c:v>
                </c:pt>
                <c:pt idx="952">
                  <c:v>3488.12</c:v>
                </c:pt>
                <c:pt idx="953">
                  <c:v>3457.82</c:v>
                </c:pt>
                <c:pt idx="954">
                  <c:v>3460.32</c:v>
                </c:pt>
                <c:pt idx="955">
                  <c:v>3461.87</c:v>
                </c:pt>
                <c:pt idx="956">
                  <c:v>3464.37</c:v>
                </c:pt>
                <c:pt idx="957">
                  <c:v>3466.87</c:v>
                </c:pt>
                <c:pt idx="958">
                  <c:v>3616.87</c:v>
                </c:pt>
                <c:pt idx="959">
                  <c:v>3619.69</c:v>
                </c:pt>
                <c:pt idx="960">
                  <c:v>3583.27</c:v>
                </c:pt>
                <c:pt idx="961">
                  <c:v>3585.77</c:v>
                </c:pt>
                <c:pt idx="962">
                  <c:v>3554.87</c:v>
                </c:pt>
                <c:pt idx="963">
                  <c:v>3517.07</c:v>
                </c:pt>
                <c:pt idx="964">
                  <c:v>3518.87</c:v>
                </c:pt>
                <c:pt idx="965">
                  <c:v>3521.17</c:v>
                </c:pt>
                <c:pt idx="966">
                  <c:v>3491.17</c:v>
                </c:pt>
                <c:pt idx="967">
                  <c:v>3493.62</c:v>
                </c:pt>
                <c:pt idx="968">
                  <c:v>3495.87</c:v>
                </c:pt>
                <c:pt idx="969">
                  <c:v>3498.37</c:v>
                </c:pt>
                <c:pt idx="970">
                  <c:v>3500.82</c:v>
                </c:pt>
                <c:pt idx="971">
                  <c:v>3502.72</c:v>
                </c:pt>
                <c:pt idx="972">
                  <c:v>3471.97</c:v>
                </c:pt>
                <c:pt idx="973">
                  <c:v>3474.27</c:v>
                </c:pt>
                <c:pt idx="974">
                  <c:v>3443.97</c:v>
                </c:pt>
                <c:pt idx="975">
                  <c:v>3446.42</c:v>
                </c:pt>
                <c:pt idx="976">
                  <c:v>3448.77</c:v>
                </c:pt>
                <c:pt idx="977">
                  <c:v>3451.17</c:v>
                </c:pt>
                <c:pt idx="978">
                  <c:v>3453.32</c:v>
                </c:pt>
                <c:pt idx="979">
                  <c:v>3423.07</c:v>
                </c:pt>
                <c:pt idx="980">
                  <c:v>3425.57</c:v>
                </c:pt>
                <c:pt idx="981">
                  <c:v>3425.97</c:v>
                </c:pt>
                <c:pt idx="982">
                  <c:v>3500.02</c:v>
                </c:pt>
                <c:pt idx="983">
                  <c:v>3469.67</c:v>
                </c:pt>
                <c:pt idx="984">
                  <c:v>3470.52</c:v>
                </c:pt>
                <c:pt idx="985">
                  <c:v>3440.22</c:v>
                </c:pt>
                <c:pt idx="986">
                  <c:v>3409.97</c:v>
                </c:pt>
                <c:pt idx="987">
                  <c:v>3412.37</c:v>
                </c:pt>
                <c:pt idx="988">
                  <c:v>3414.17</c:v>
                </c:pt>
                <c:pt idx="989">
                  <c:v>3416.67</c:v>
                </c:pt>
                <c:pt idx="990">
                  <c:v>3418.72</c:v>
                </c:pt>
                <c:pt idx="991">
                  <c:v>3419.07</c:v>
                </c:pt>
                <c:pt idx="992">
                  <c:v>3421.47</c:v>
                </c:pt>
                <c:pt idx="993">
                  <c:v>3423.92</c:v>
                </c:pt>
                <c:pt idx="994">
                  <c:v>3426.42</c:v>
                </c:pt>
                <c:pt idx="995">
                  <c:v>3396.07</c:v>
                </c:pt>
                <c:pt idx="996">
                  <c:v>3363.77</c:v>
                </c:pt>
                <c:pt idx="997">
                  <c:v>3366.27</c:v>
                </c:pt>
                <c:pt idx="998">
                  <c:v>3368.67</c:v>
                </c:pt>
                <c:pt idx="999">
                  <c:v>3333.57</c:v>
                </c:pt>
                <c:pt idx="1000">
                  <c:v>3483.97</c:v>
                </c:pt>
                <c:pt idx="1001">
                  <c:v>3486.32</c:v>
                </c:pt>
                <c:pt idx="1002">
                  <c:v>3488.32</c:v>
                </c:pt>
                <c:pt idx="1003">
                  <c:v>3490.67</c:v>
                </c:pt>
                <c:pt idx="1004">
                  <c:v>3493.17</c:v>
                </c:pt>
                <c:pt idx="1005">
                  <c:v>3495.67</c:v>
                </c:pt>
                <c:pt idx="1006">
                  <c:v>3497.92</c:v>
                </c:pt>
                <c:pt idx="1007">
                  <c:v>3467.82</c:v>
                </c:pt>
                <c:pt idx="1008">
                  <c:v>3470.32</c:v>
                </c:pt>
                <c:pt idx="1009">
                  <c:v>3472.77</c:v>
                </c:pt>
                <c:pt idx="1010">
                  <c:v>3475.27</c:v>
                </c:pt>
                <c:pt idx="1011">
                  <c:v>3445.27</c:v>
                </c:pt>
                <c:pt idx="1012">
                  <c:v>3447.47</c:v>
                </c:pt>
                <c:pt idx="1013">
                  <c:v>3449.77</c:v>
                </c:pt>
                <c:pt idx="1014">
                  <c:v>3451.77</c:v>
                </c:pt>
                <c:pt idx="1015">
                  <c:v>3421.22</c:v>
                </c:pt>
                <c:pt idx="1016">
                  <c:v>3390.92</c:v>
                </c:pt>
                <c:pt idx="1017">
                  <c:v>3360.92</c:v>
                </c:pt>
                <c:pt idx="1018">
                  <c:v>3363.42</c:v>
                </c:pt>
                <c:pt idx="1019">
                  <c:v>3365.67</c:v>
                </c:pt>
                <c:pt idx="1020">
                  <c:v>3335.52</c:v>
                </c:pt>
                <c:pt idx="1021">
                  <c:v>3337.87</c:v>
                </c:pt>
                <c:pt idx="1022">
                  <c:v>3307.57</c:v>
                </c:pt>
                <c:pt idx="1023">
                  <c:v>3310.07</c:v>
                </c:pt>
                <c:pt idx="1024">
                  <c:v>3312.32</c:v>
                </c:pt>
                <c:pt idx="1025">
                  <c:v>3275.27</c:v>
                </c:pt>
                <c:pt idx="1026">
                  <c:v>3277.57</c:v>
                </c:pt>
                <c:pt idx="1027">
                  <c:v>3247.02</c:v>
                </c:pt>
                <c:pt idx="1028">
                  <c:v>3249.32</c:v>
                </c:pt>
                <c:pt idx="1029">
                  <c:v>3251.72</c:v>
                </c:pt>
                <c:pt idx="1030">
                  <c:v>3254.22</c:v>
                </c:pt>
                <c:pt idx="1031">
                  <c:v>3256.17</c:v>
                </c:pt>
                <c:pt idx="1032">
                  <c:v>3225.87</c:v>
                </c:pt>
                <c:pt idx="1033">
                  <c:v>3335.97</c:v>
                </c:pt>
                <c:pt idx="1034">
                  <c:v>3305.97</c:v>
                </c:pt>
                <c:pt idx="1035">
                  <c:v>3308.27</c:v>
                </c:pt>
                <c:pt idx="1036">
                  <c:v>3277.87</c:v>
                </c:pt>
                <c:pt idx="1037">
                  <c:v>3280.12</c:v>
                </c:pt>
                <c:pt idx="1038">
                  <c:v>3282.07</c:v>
                </c:pt>
                <c:pt idx="1039">
                  <c:v>3284.32</c:v>
                </c:pt>
                <c:pt idx="1040">
                  <c:v>3286.57</c:v>
                </c:pt>
                <c:pt idx="1041">
                  <c:v>3275.97</c:v>
                </c:pt>
                <c:pt idx="1042">
                  <c:v>3245.77</c:v>
                </c:pt>
                <c:pt idx="1043">
                  <c:v>3248.17</c:v>
                </c:pt>
                <c:pt idx="1044">
                  <c:v>3218.07</c:v>
                </c:pt>
                <c:pt idx="1045">
                  <c:v>3211.92</c:v>
                </c:pt>
                <c:pt idx="1046">
                  <c:v>3181.37</c:v>
                </c:pt>
                <c:pt idx="1047">
                  <c:v>3183.87</c:v>
                </c:pt>
                <c:pt idx="1048">
                  <c:v>3186.37</c:v>
                </c:pt>
                <c:pt idx="1049">
                  <c:v>3156.12</c:v>
                </c:pt>
                <c:pt idx="1050">
                  <c:v>3158.32</c:v>
                </c:pt>
                <c:pt idx="1051">
                  <c:v>3160.72</c:v>
                </c:pt>
                <c:pt idx="1052">
                  <c:v>3162.07</c:v>
                </c:pt>
                <c:pt idx="1053">
                  <c:v>3163.92</c:v>
                </c:pt>
                <c:pt idx="1054">
                  <c:v>3166.02</c:v>
                </c:pt>
                <c:pt idx="1055">
                  <c:v>3168.42</c:v>
                </c:pt>
                <c:pt idx="1056">
                  <c:v>3138.37</c:v>
                </c:pt>
                <c:pt idx="1057">
                  <c:v>3140.77</c:v>
                </c:pt>
                <c:pt idx="1058">
                  <c:v>3110.02</c:v>
                </c:pt>
                <c:pt idx="1059">
                  <c:v>3112.37</c:v>
                </c:pt>
                <c:pt idx="1060">
                  <c:v>3114.82</c:v>
                </c:pt>
                <c:pt idx="1061">
                  <c:v>3117.27</c:v>
                </c:pt>
                <c:pt idx="1062">
                  <c:v>3178.17</c:v>
                </c:pt>
                <c:pt idx="1063">
                  <c:v>3147.97</c:v>
                </c:pt>
                <c:pt idx="1064">
                  <c:v>3149.22</c:v>
                </c:pt>
                <c:pt idx="1065">
                  <c:v>3298.82</c:v>
                </c:pt>
                <c:pt idx="1066">
                  <c:v>3300.82</c:v>
                </c:pt>
                <c:pt idx="1067">
                  <c:v>3303.02</c:v>
                </c:pt>
                <c:pt idx="1068">
                  <c:v>3305.27</c:v>
                </c:pt>
                <c:pt idx="1069">
                  <c:v>3305.72</c:v>
                </c:pt>
                <c:pt idx="1070">
                  <c:v>3307.82</c:v>
                </c:pt>
                <c:pt idx="1071">
                  <c:v>3310.32</c:v>
                </c:pt>
                <c:pt idx="1072">
                  <c:v>3459.72</c:v>
                </c:pt>
                <c:pt idx="1073">
                  <c:v>3462.22</c:v>
                </c:pt>
                <c:pt idx="1074">
                  <c:v>3464.72</c:v>
                </c:pt>
                <c:pt idx="1075">
                  <c:v>3467.17</c:v>
                </c:pt>
                <c:pt idx="1076">
                  <c:v>3469.67</c:v>
                </c:pt>
                <c:pt idx="1077">
                  <c:v>3472.12</c:v>
                </c:pt>
                <c:pt idx="1078">
                  <c:v>3474.47</c:v>
                </c:pt>
                <c:pt idx="1079">
                  <c:v>3476.72</c:v>
                </c:pt>
                <c:pt idx="1080">
                  <c:v>3479.17</c:v>
                </c:pt>
                <c:pt idx="1081">
                  <c:v>3480.52</c:v>
                </c:pt>
                <c:pt idx="1082">
                  <c:v>3482.27</c:v>
                </c:pt>
                <c:pt idx="1083">
                  <c:v>3484.77</c:v>
                </c:pt>
                <c:pt idx="1084">
                  <c:v>3486.37</c:v>
                </c:pt>
                <c:pt idx="1085">
                  <c:v>3488.82</c:v>
                </c:pt>
                <c:pt idx="1086">
                  <c:v>3458.57</c:v>
                </c:pt>
                <c:pt idx="1087">
                  <c:v>3461.02</c:v>
                </c:pt>
                <c:pt idx="1088">
                  <c:v>3430.62</c:v>
                </c:pt>
                <c:pt idx="1089">
                  <c:v>3433.12</c:v>
                </c:pt>
                <c:pt idx="1090">
                  <c:v>3435.52</c:v>
                </c:pt>
                <c:pt idx="1091">
                  <c:v>3586.22</c:v>
                </c:pt>
                <c:pt idx="1092">
                  <c:v>3588.72</c:v>
                </c:pt>
                <c:pt idx="1093">
                  <c:v>3558.12</c:v>
                </c:pt>
                <c:pt idx="1094">
                  <c:v>3560.47</c:v>
                </c:pt>
                <c:pt idx="1095">
                  <c:v>3529.32</c:v>
                </c:pt>
                <c:pt idx="1096">
                  <c:v>3531.47</c:v>
                </c:pt>
                <c:pt idx="1097">
                  <c:v>3501.17</c:v>
                </c:pt>
                <c:pt idx="1098">
                  <c:v>3471.12</c:v>
                </c:pt>
                <c:pt idx="1099">
                  <c:v>3473.37</c:v>
                </c:pt>
                <c:pt idx="1100">
                  <c:v>3475.87</c:v>
                </c:pt>
                <c:pt idx="1101">
                  <c:v>3478.37</c:v>
                </c:pt>
                <c:pt idx="1102">
                  <c:v>3480.72</c:v>
                </c:pt>
                <c:pt idx="1103">
                  <c:v>3482.52</c:v>
                </c:pt>
                <c:pt idx="1104">
                  <c:v>3452.32</c:v>
                </c:pt>
                <c:pt idx="1105">
                  <c:v>3569.32</c:v>
                </c:pt>
                <c:pt idx="1106">
                  <c:v>3571.52</c:v>
                </c:pt>
                <c:pt idx="1107">
                  <c:v>3573.82</c:v>
                </c:pt>
                <c:pt idx="1108">
                  <c:v>3576.32</c:v>
                </c:pt>
                <c:pt idx="1109">
                  <c:v>3546.32</c:v>
                </c:pt>
                <c:pt idx="1110">
                  <c:v>3548.42</c:v>
                </c:pt>
                <c:pt idx="1111">
                  <c:v>3518.07</c:v>
                </c:pt>
                <c:pt idx="1112">
                  <c:v>3520.22</c:v>
                </c:pt>
                <c:pt idx="1113">
                  <c:v>3490.17</c:v>
                </c:pt>
                <c:pt idx="1114">
                  <c:v>3492.67</c:v>
                </c:pt>
                <c:pt idx="1115">
                  <c:v>3495.12</c:v>
                </c:pt>
                <c:pt idx="1116">
                  <c:v>3497.62</c:v>
                </c:pt>
                <c:pt idx="1117">
                  <c:v>3647.62</c:v>
                </c:pt>
                <c:pt idx="1118">
                  <c:v>3650.44</c:v>
                </c:pt>
                <c:pt idx="1119">
                  <c:v>3653.44</c:v>
                </c:pt>
                <c:pt idx="1120">
                  <c:v>3656.44</c:v>
                </c:pt>
                <c:pt idx="1121">
                  <c:v>3659.44</c:v>
                </c:pt>
                <c:pt idx="1122">
                  <c:v>3662.08</c:v>
                </c:pt>
                <c:pt idx="1123">
                  <c:v>3664.96</c:v>
                </c:pt>
                <c:pt idx="1124">
                  <c:v>3666.7</c:v>
                </c:pt>
                <c:pt idx="1125">
                  <c:v>3669.52</c:v>
                </c:pt>
                <c:pt idx="1126">
                  <c:v>3672.46</c:v>
                </c:pt>
                <c:pt idx="1127">
                  <c:v>3658.3</c:v>
                </c:pt>
                <c:pt idx="1128">
                  <c:v>3660.64</c:v>
                </c:pt>
                <c:pt idx="1129">
                  <c:v>3663.64</c:v>
                </c:pt>
                <c:pt idx="1130">
                  <c:v>3626.14</c:v>
                </c:pt>
                <c:pt idx="1131">
                  <c:v>3629.14</c:v>
                </c:pt>
                <c:pt idx="1132">
                  <c:v>3631.48</c:v>
                </c:pt>
                <c:pt idx="1133">
                  <c:v>3634.3</c:v>
                </c:pt>
                <c:pt idx="1134">
                  <c:v>3637</c:v>
                </c:pt>
                <c:pt idx="1135">
                  <c:v>3599.56</c:v>
                </c:pt>
                <c:pt idx="1136">
                  <c:v>3601.96</c:v>
                </c:pt>
                <c:pt idx="1137">
                  <c:v>3564.52</c:v>
                </c:pt>
                <c:pt idx="1138">
                  <c:v>3566.92</c:v>
                </c:pt>
                <c:pt idx="1139">
                  <c:v>3569.27</c:v>
                </c:pt>
                <c:pt idx="1140">
                  <c:v>3570.07</c:v>
                </c:pt>
                <c:pt idx="1141">
                  <c:v>3570.87</c:v>
                </c:pt>
                <c:pt idx="1142">
                  <c:v>3540.37</c:v>
                </c:pt>
                <c:pt idx="1143">
                  <c:v>3542.87</c:v>
                </c:pt>
                <c:pt idx="1144">
                  <c:v>3545.17</c:v>
                </c:pt>
                <c:pt idx="1145">
                  <c:v>3546.97</c:v>
                </c:pt>
                <c:pt idx="1146">
                  <c:v>3516.82</c:v>
                </c:pt>
                <c:pt idx="1147">
                  <c:v>3519.22</c:v>
                </c:pt>
                <c:pt idx="1148">
                  <c:v>3666.62</c:v>
                </c:pt>
                <c:pt idx="1149">
                  <c:v>3630.56</c:v>
                </c:pt>
                <c:pt idx="1150">
                  <c:v>3633.32</c:v>
                </c:pt>
                <c:pt idx="1151">
                  <c:v>3593.3</c:v>
                </c:pt>
                <c:pt idx="1152">
                  <c:v>3595.75</c:v>
                </c:pt>
                <c:pt idx="1153">
                  <c:v>3598.1</c:v>
                </c:pt>
                <c:pt idx="1154">
                  <c:v>3600.2</c:v>
                </c:pt>
                <c:pt idx="1155">
                  <c:v>3603.2</c:v>
                </c:pt>
                <c:pt idx="1156">
                  <c:v>3606.14</c:v>
                </c:pt>
                <c:pt idx="1157">
                  <c:v>3608.36</c:v>
                </c:pt>
                <c:pt idx="1158">
                  <c:v>3610.7</c:v>
                </c:pt>
                <c:pt idx="1159">
                  <c:v>3612.92</c:v>
                </c:pt>
                <c:pt idx="1160">
                  <c:v>3574.58</c:v>
                </c:pt>
                <c:pt idx="1161">
                  <c:v>3576.58</c:v>
                </c:pt>
                <c:pt idx="1162">
                  <c:v>3579.03</c:v>
                </c:pt>
                <c:pt idx="1163">
                  <c:v>3581.43</c:v>
                </c:pt>
                <c:pt idx="1164">
                  <c:v>3551.33</c:v>
                </c:pt>
                <c:pt idx="1165">
                  <c:v>3553.63</c:v>
                </c:pt>
                <c:pt idx="1166">
                  <c:v>3523.28</c:v>
                </c:pt>
                <c:pt idx="1167">
                  <c:v>3525.78</c:v>
                </c:pt>
                <c:pt idx="1168">
                  <c:v>3528.23</c:v>
                </c:pt>
                <c:pt idx="1169">
                  <c:v>3530.58</c:v>
                </c:pt>
                <c:pt idx="1170">
                  <c:v>3499.63</c:v>
                </c:pt>
                <c:pt idx="1171">
                  <c:v>3502.08</c:v>
                </c:pt>
                <c:pt idx="1172">
                  <c:v>3504.38</c:v>
                </c:pt>
                <c:pt idx="1173">
                  <c:v>3506.53</c:v>
                </c:pt>
                <c:pt idx="1174">
                  <c:v>3509.03</c:v>
                </c:pt>
                <c:pt idx="1175">
                  <c:v>3511.43</c:v>
                </c:pt>
                <c:pt idx="1176">
                  <c:v>3480.83</c:v>
                </c:pt>
                <c:pt idx="1177">
                  <c:v>3483.28</c:v>
                </c:pt>
                <c:pt idx="1178">
                  <c:v>3485.73</c:v>
                </c:pt>
                <c:pt idx="1179">
                  <c:v>3488.23</c:v>
                </c:pt>
                <c:pt idx="1180">
                  <c:v>3489.78</c:v>
                </c:pt>
                <c:pt idx="1181">
                  <c:v>3491.53</c:v>
                </c:pt>
                <c:pt idx="1182">
                  <c:v>3641.58</c:v>
                </c:pt>
                <c:pt idx="1183">
                  <c:v>3604.02</c:v>
                </c:pt>
                <c:pt idx="1184">
                  <c:v>3567.3</c:v>
                </c:pt>
                <c:pt idx="1185">
                  <c:v>3537</c:v>
                </c:pt>
                <c:pt idx="1186">
                  <c:v>3539.25</c:v>
                </c:pt>
                <c:pt idx="1187">
                  <c:v>3541.35</c:v>
                </c:pt>
                <c:pt idx="1188">
                  <c:v>3543.85</c:v>
                </c:pt>
                <c:pt idx="1189">
                  <c:v>3546</c:v>
                </c:pt>
                <c:pt idx="1190">
                  <c:v>3696.1</c:v>
                </c:pt>
                <c:pt idx="1191">
                  <c:v>3659.62</c:v>
                </c:pt>
                <c:pt idx="1192">
                  <c:v>3662.38</c:v>
                </c:pt>
                <c:pt idx="1193">
                  <c:v>3665.26</c:v>
                </c:pt>
                <c:pt idx="1194">
                  <c:v>3667.18</c:v>
                </c:pt>
                <c:pt idx="1195">
                  <c:v>3669.88</c:v>
                </c:pt>
                <c:pt idx="1196">
                  <c:v>3633.76</c:v>
                </c:pt>
                <c:pt idx="1197">
                  <c:v>3636.7</c:v>
                </c:pt>
                <c:pt idx="1198">
                  <c:v>3598.9</c:v>
                </c:pt>
                <c:pt idx="1199">
                  <c:v>3568.85</c:v>
                </c:pt>
                <c:pt idx="1200">
                  <c:v>3571.25</c:v>
                </c:pt>
                <c:pt idx="1201">
                  <c:v>3573.75</c:v>
                </c:pt>
                <c:pt idx="1202">
                  <c:v>3576.2</c:v>
                </c:pt>
                <c:pt idx="1203">
                  <c:v>3578.25</c:v>
                </c:pt>
                <c:pt idx="1204">
                  <c:v>3580.65</c:v>
                </c:pt>
                <c:pt idx="1205">
                  <c:v>3550</c:v>
                </c:pt>
                <c:pt idx="1206">
                  <c:v>3519.65</c:v>
                </c:pt>
                <c:pt idx="1207">
                  <c:v>3522</c:v>
                </c:pt>
                <c:pt idx="1208">
                  <c:v>3524.35</c:v>
                </c:pt>
                <c:pt idx="1209">
                  <c:v>3493.8</c:v>
                </c:pt>
                <c:pt idx="1210">
                  <c:v>3496.3</c:v>
                </c:pt>
                <c:pt idx="1211">
                  <c:v>3498.7</c:v>
                </c:pt>
                <c:pt idx="1212">
                  <c:v>3501.2</c:v>
                </c:pt>
                <c:pt idx="1213">
                  <c:v>3503.55</c:v>
                </c:pt>
                <c:pt idx="1214">
                  <c:v>3505.9</c:v>
                </c:pt>
                <c:pt idx="1215">
                  <c:v>3508.4</c:v>
                </c:pt>
                <c:pt idx="1216">
                  <c:v>3510.9</c:v>
                </c:pt>
                <c:pt idx="1217">
                  <c:v>3513.25</c:v>
                </c:pt>
                <c:pt idx="1218">
                  <c:v>3476.6</c:v>
                </c:pt>
                <c:pt idx="1219">
                  <c:v>3479.1</c:v>
                </c:pt>
                <c:pt idx="1220">
                  <c:v>3481.45</c:v>
                </c:pt>
                <c:pt idx="1221">
                  <c:v>3483.85</c:v>
                </c:pt>
                <c:pt idx="1222">
                  <c:v>3485.8</c:v>
                </c:pt>
                <c:pt idx="1223">
                  <c:v>3488.1</c:v>
                </c:pt>
                <c:pt idx="1224">
                  <c:v>3490.5</c:v>
                </c:pt>
                <c:pt idx="1225">
                  <c:v>3492.8</c:v>
                </c:pt>
                <c:pt idx="1226">
                  <c:v>3495.2</c:v>
                </c:pt>
                <c:pt idx="1227">
                  <c:v>3497.55</c:v>
                </c:pt>
                <c:pt idx="1228">
                  <c:v>3500.05</c:v>
                </c:pt>
                <c:pt idx="1229">
                  <c:v>3502.4</c:v>
                </c:pt>
                <c:pt idx="1230">
                  <c:v>3472</c:v>
                </c:pt>
                <c:pt idx="1231">
                  <c:v>3474.45</c:v>
                </c:pt>
                <c:pt idx="1232">
                  <c:v>3443.25</c:v>
                </c:pt>
                <c:pt idx="1233">
                  <c:v>3445.1</c:v>
                </c:pt>
                <c:pt idx="1234">
                  <c:v>3447.45</c:v>
                </c:pt>
                <c:pt idx="1235">
                  <c:v>3448.8</c:v>
                </c:pt>
                <c:pt idx="1236">
                  <c:v>3416.55</c:v>
                </c:pt>
                <c:pt idx="1237">
                  <c:v>3417.85</c:v>
                </c:pt>
                <c:pt idx="1238">
                  <c:v>3419.8</c:v>
                </c:pt>
                <c:pt idx="1239">
                  <c:v>3388.9</c:v>
                </c:pt>
                <c:pt idx="1240">
                  <c:v>3358.5</c:v>
                </c:pt>
                <c:pt idx="1241">
                  <c:v>3360.6</c:v>
                </c:pt>
                <c:pt idx="1242">
                  <c:v>3362.8</c:v>
                </c:pt>
                <c:pt idx="1243">
                  <c:v>3364.95</c:v>
                </c:pt>
                <c:pt idx="1244">
                  <c:v>3366.9</c:v>
                </c:pt>
                <c:pt idx="1245">
                  <c:v>3514.7</c:v>
                </c:pt>
                <c:pt idx="1246">
                  <c:v>3516.95</c:v>
                </c:pt>
                <c:pt idx="1247">
                  <c:v>3518.4</c:v>
                </c:pt>
                <c:pt idx="1248">
                  <c:v>3487.85</c:v>
                </c:pt>
                <c:pt idx="1249">
                  <c:v>3489.8</c:v>
                </c:pt>
                <c:pt idx="1250">
                  <c:v>3491.55</c:v>
                </c:pt>
                <c:pt idx="1251">
                  <c:v>3493.05</c:v>
                </c:pt>
                <c:pt idx="1252">
                  <c:v>3495.3</c:v>
                </c:pt>
                <c:pt idx="1253">
                  <c:v>3465.1</c:v>
                </c:pt>
                <c:pt idx="1254">
                  <c:v>3467.05</c:v>
                </c:pt>
                <c:pt idx="1255">
                  <c:v>3469.25</c:v>
                </c:pt>
                <c:pt idx="1256">
                  <c:v>3471.65</c:v>
                </c:pt>
                <c:pt idx="1257">
                  <c:v>3474.1</c:v>
                </c:pt>
                <c:pt idx="1258">
                  <c:v>3443.05</c:v>
                </c:pt>
                <c:pt idx="1259">
                  <c:v>3445.2</c:v>
                </c:pt>
                <c:pt idx="1260">
                  <c:v>3447.55</c:v>
                </c:pt>
                <c:pt idx="1261">
                  <c:v>3449.95</c:v>
                </c:pt>
                <c:pt idx="1262">
                  <c:v>3419.35</c:v>
                </c:pt>
                <c:pt idx="1263">
                  <c:v>3386.3</c:v>
                </c:pt>
                <c:pt idx="1264">
                  <c:v>3388.55</c:v>
                </c:pt>
                <c:pt idx="1265">
                  <c:v>3536.25</c:v>
                </c:pt>
                <c:pt idx="1266">
                  <c:v>3538</c:v>
                </c:pt>
                <c:pt idx="1267">
                  <c:v>3539.95</c:v>
                </c:pt>
                <c:pt idx="1268">
                  <c:v>3542</c:v>
                </c:pt>
                <c:pt idx="1269">
                  <c:v>3543.65</c:v>
                </c:pt>
                <c:pt idx="1270">
                  <c:v>3513.5</c:v>
                </c:pt>
                <c:pt idx="1271">
                  <c:v>3515.75</c:v>
                </c:pt>
                <c:pt idx="1272">
                  <c:v>3517.9</c:v>
                </c:pt>
                <c:pt idx="1273">
                  <c:v>3487.6</c:v>
                </c:pt>
                <c:pt idx="1274">
                  <c:v>3456.9</c:v>
                </c:pt>
                <c:pt idx="1275">
                  <c:v>3426.8</c:v>
                </c:pt>
                <c:pt idx="1276">
                  <c:v>3429.1</c:v>
                </c:pt>
                <c:pt idx="1277">
                  <c:v>3431.5</c:v>
                </c:pt>
                <c:pt idx="1278">
                  <c:v>3433.95</c:v>
                </c:pt>
                <c:pt idx="1279">
                  <c:v>3435.25</c:v>
                </c:pt>
                <c:pt idx="1280">
                  <c:v>3437.75</c:v>
                </c:pt>
                <c:pt idx="1281">
                  <c:v>3439.45</c:v>
                </c:pt>
                <c:pt idx="1282">
                  <c:v>3494.35</c:v>
                </c:pt>
                <c:pt idx="1283">
                  <c:v>3496.85</c:v>
                </c:pt>
                <c:pt idx="1284">
                  <c:v>3499.3</c:v>
                </c:pt>
                <c:pt idx="1285">
                  <c:v>3467.5</c:v>
                </c:pt>
                <c:pt idx="1286">
                  <c:v>3436.95</c:v>
                </c:pt>
                <c:pt idx="1287">
                  <c:v>3438.1</c:v>
                </c:pt>
                <c:pt idx="1288">
                  <c:v>3586.4</c:v>
                </c:pt>
                <c:pt idx="1289">
                  <c:v>3555.9</c:v>
                </c:pt>
                <c:pt idx="1290">
                  <c:v>3558.35</c:v>
                </c:pt>
                <c:pt idx="1291">
                  <c:v>3528.25</c:v>
                </c:pt>
                <c:pt idx="1292">
                  <c:v>3679.05</c:v>
                </c:pt>
                <c:pt idx="1293">
                  <c:v>3681.81</c:v>
                </c:pt>
                <c:pt idx="1294">
                  <c:v>3684.75</c:v>
                </c:pt>
                <c:pt idx="1295">
                  <c:v>3686.43</c:v>
                </c:pt>
                <c:pt idx="1296">
                  <c:v>3688.77</c:v>
                </c:pt>
                <c:pt idx="1297">
                  <c:v>3691.65</c:v>
                </c:pt>
                <c:pt idx="1298">
                  <c:v>3694.41</c:v>
                </c:pt>
                <c:pt idx="1299">
                  <c:v>3657.21</c:v>
                </c:pt>
                <c:pt idx="1300">
                  <c:v>3620.97</c:v>
                </c:pt>
                <c:pt idx="1301">
                  <c:v>3623.79</c:v>
                </c:pt>
                <c:pt idx="1302">
                  <c:v>3626.31</c:v>
                </c:pt>
                <c:pt idx="1303">
                  <c:v>3628.89</c:v>
                </c:pt>
                <c:pt idx="1304">
                  <c:v>3631.05</c:v>
                </c:pt>
                <c:pt idx="1305">
                  <c:v>3633.75</c:v>
                </c:pt>
                <c:pt idx="1306">
                  <c:v>3636.51</c:v>
                </c:pt>
                <c:pt idx="1307">
                  <c:v>3639.15</c:v>
                </c:pt>
                <c:pt idx="1308">
                  <c:v>3639.81</c:v>
                </c:pt>
                <c:pt idx="1309">
                  <c:v>3602.67</c:v>
                </c:pt>
                <c:pt idx="1310">
                  <c:v>3565.65</c:v>
                </c:pt>
                <c:pt idx="1311">
                  <c:v>3568.1</c:v>
                </c:pt>
                <c:pt idx="1312">
                  <c:v>3570.35</c:v>
                </c:pt>
                <c:pt idx="1313">
                  <c:v>3572.5</c:v>
                </c:pt>
                <c:pt idx="1314">
                  <c:v>3542.2</c:v>
                </c:pt>
                <c:pt idx="1315">
                  <c:v>3543.95</c:v>
                </c:pt>
                <c:pt idx="1316">
                  <c:v>3512.4</c:v>
                </c:pt>
                <c:pt idx="1317">
                  <c:v>3662.25</c:v>
                </c:pt>
                <c:pt idx="1318">
                  <c:v>3664.89</c:v>
                </c:pt>
                <c:pt idx="1319">
                  <c:v>3667.53</c:v>
                </c:pt>
                <c:pt idx="1320">
                  <c:v>3670.41</c:v>
                </c:pt>
                <c:pt idx="1321">
                  <c:v>3673.23</c:v>
                </c:pt>
                <c:pt idx="1322">
                  <c:v>3676.23</c:v>
                </c:pt>
                <c:pt idx="1323">
                  <c:v>3678.81</c:v>
                </c:pt>
                <c:pt idx="1324">
                  <c:v>3681.69</c:v>
                </c:pt>
                <c:pt idx="1325">
                  <c:v>3684.57</c:v>
                </c:pt>
                <c:pt idx="1326">
                  <c:v>3686.55</c:v>
                </c:pt>
                <c:pt idx="1327">
                  <c:v>3650.49</c:v>
                </c:pt>
                <c:pt idx="1328">
                  <c:v>3653.49</c:v>
                </c:pt>
                <c:pt idx="1329">
                  <c:v>3655.95</c:v>
                </c:pt>
                <c:pt idx="1330">
                  <c:v>3618.45</c:v>
                </c:pt>
                <c:pt idx="1331">
                  <c:v>3621.45</c:v>
                </c:pt>
                <c:pt idx="1332">
                  <c:v>3624.45</c:v>
                </c:pt>
                <c:pt idx="1333">
                  <c:v>3627.03</c:v>
                </c:pt>
                <c:pt idx="1334">
                  <c:v>3590.79</c:v>
                </c:pt>
                <c:pt idx="1335">
                  <c:v>3592.99</c:v>
                </c:pt>
                <c:pt idx="1336">
                  <c:v>3595.39</c:v>
                </c:pt>
                <c:pt idx="1337">
                  <c:v>3564.84</c:v>
                </c:pt>
                <c:pt idx="1338">
                  <c:v>3567.34</c:v>
                </c:pt>
                <c:pt idx="1339">
                  <c:v>3569.44</c:v>
                </c:pt>
                <c:pt idx="1340">
                  <c:v>3538.94</c:v>
                </c:pt>
                <c:pt idx="1341">
                  <c:v>3541.14</c:v>
                </c:pt>
                <c:pt idx="1342">
                  <c:v>3543.59</c:v>
                </c:pt>
                <c:pt idx="1343">
                  <c:v>3513.14</c:v>
                </c:pt>
                <c:pt idx="1344">
                  <c:v>3515.64</c:v>
                </c:pt>
                <c:pt idx="1345">
                  <c:v>3665.54</c:v>
                </c:pt>
                <c:pt idx="1346">
                  <c:v>3628.7</c:v>
                </c:pt>
                <c:pt idx="1347">
                  <c:v>3591.92</c:v>
                </c:pt>
                <c:pt idx="1348">
                  <c:v>3561.32</c:v>
                </c:pt>
                <c:pt idx="1349">
                  <c:v>3563.52</c:v>
                </c:pt>
                <c:pt idx="1350">
                  <c:v>3532.37</c:v>
                </c:pt>
                <c:pt idx="1351">
                  <c:v>3534.52</c:v>
                </c:pt>
                <c:pt idx="1352">
                  <c:v>3607.52</c:v>
                </c:pt>
                <c:pt idx="1353">
                  <c:v>3571.1</c:v>
                </c:pt>
                <c:pt idx="1354">
                  <c:v>3541.1</c:v>
                </c:pt>
                <c:pt idx="1355">
                  <c:v>3510.75</c:v>
                </c:pt>
                <c:pt idx="1356">
                  <c:v>3513.2</c:v>
                </c:pt>
                <c:pt idx="1357">
                  <c:v>3515.5</c:v>
                </c:pt>
                <c:pt idx="1358">
                  <c:v>3516.15</c:v>
                </c:pt>
                <c:pt idx="1359">
                  <c:v>3485.75</c:v>
                </c:pt>
                <c:pt idx="1360">
                  <c:v>3455.75</c:v>
                </c:pt>
                <c:pt idx="1361">
                  <c:v>3457.85</c:v>
                </c:pt>
                <c:pt idx="1362">
                  <c:v>3460.35</c:v>
                </c:pt>
                <c:pt idx="1363">
                  <c:v>3462.6</c:v>
                </c:pt>
                <c:pt idx="1364">
                  <c:v>3431.8</c:v>
                </c:pt>
                <c:pt idx="1365">
                  <c:v>3434.2</c:v>
                </c:pt>
                <c:pt idx="1366">
                  <c:v>3584.7</c:v>
                </c:pt>
                <c:pt idx="1367">
                  <c:v>3586.55</c:v>
                </c:pt>
                <c:pt idx="1368">
                  <c:v>3588.8</c:v>
                </c:pt>
                <c:pt idx="1369">
                  <c:v>3591.15</c:v>
                </c:pt>
                <c:pt idx="1370">
                  <c:v>3593.55</c:v>
                </c:pt>
                <c:pt idx="1371">
                  <c:v>3563.05</c:v>
                </c:pt>
                <c:pt idx="1372">
                  <c:v>3532.95</c:v>
                </c:pt>
                <c:pt idx="1373">
                  <c:v>3535.4</c:v>
                </c:pt>
                <c:pt idx="1374">
                  <c:v>3505.35</c:v>
                </c:pt>
                <c:pt idx="1375">
                  <c:v>3507.6</c:v>
                </c:pt>
                <c:pt idx="1376">
                  <c:v>3509.9</c:v>
                </c:pt>
                <c:pt idx="1377">
                  <c:v>3511.7</c:v>
                </c:pt>
                <c:pt idx="1378">
                  <c:v>3513.65</c:v>
                </c:pt>
                <c:pt idx="1379">
                  <c:v>3483.25</c:v>
                </c:pt>
                <c:pt idx="1380">
                  <c:v>3484.4</c:v>
                </c:pt>
                <c:pt idx="1381">
                  <c:v>3486.85</c:v>
                </c:pt>
                <c:pt idx="1382">
                  <c:v>3489.35</c:v>
                </c:pt>
                <c:pt idx="1383">
                  <c:v>3491.85</c:v>
                </c:pt>
                <c:pt idx="1384">
                  <c:v>3461.55</c:v>
                </c:pt>
                <c:pt idx="1385">
                  <c:v>3592.45</c:v>
                </c:pt>
                <c:pt idx="1386">
                  <c:v>3594.6</c:v>
                </c:pt>
                <c:pt idx="1387">
                  <c:v>3597.05</c:v>
                </c:pt>
                <c:pt idx="1388">
                  <c:v>3747.15</c:v>
                </c:pt>
                <c:pt idx="1389">
                  <c:v>3749.43</c:v>
                </c:pt>
                <c:pt idx="1390">
                  <c:v>3749.19</c:v>
                </c:pt>
                <c:pt idx="1391">
                  <c:v>3752.19</c:v>
                </c:pt>
                <c:pt idx="1392">
                  <c:v>3753.81</c:v>
                </c:pt>
                <c:pt idx="1393">
                  <c:v>3755.13</c:v>
                </c:pt>
                <c:pt idx="1394">
                  <c:v>3756.63</c:v>
                </c:pt>
                <c:pt idx="1395">
                  <c:v>3719.67</c:v>
                </c:pt>
                <c:pt idx="1396">
                  <c:v>3722.37</c:v>
                </c:pt>
                <c:pt idx="1397">
                  <c:v>3718.59</c:v>
                </c:pt>
                <c:pt idx="1398">
                  <c:v>3899.07</c:v>
                </c:pt>
                <c:pt idx="1399">
                  <c:v>3901.71</c:v>
                </c:pt>
                <c:pt idx="1400">
                  <c:v>3904.47</c:v>
                </c:pt>
                <c:pt idx="1401">
                  <c:v>3907.35</c:v>
                </c:pt>
                <c:pt idx="1402">
                  <c:v>3871.17</c:v>
                </c:pt>
                <c:pt idx="1403">
                  <c:v>3873.99</c:v>
                </c:pt>
                <c:pt idx="1404">
                  <c:v>3876.93</c:v>
                </c:pt>
                <c:pt idx="1405">
                  <c:v>3879.93</c:v>
                </c:pt>
                <c:pt idx="1406">
                  <c:v>3882.63</c:v>
                </c:pt>
                <c:pt idx="1407">
                  <c:v>3885.27</c:v>
                </c:pt>
                <c:pt idx="1408">
                  <c:v>3887.79</c:v>
                </c:pt>
                <c:pt idx="1409">
                  <c:v>3890.79</c:v>
                </c:pt>
                <c:pt idx="1410">
                  <c:v>3854.79</c:v>
                </c:pt>
                <c:pt idx="1411">
                  <c:v>3857.79</c:v>
                </c:pt>
                <c:pt idx="1412">
                  <c:v>3860.67</c:v>
                </c:pt>
                <c:pt idx="1413">
                  <c:v>3863.49</c:v>
                </c:pt>
                <c:pt idx="1414">
                  <c:v>3866.37</c:v>
                </c:pt>
                <c:pt idx="1415">
                  <c:v>4045.05</c:v>
                </c:pt>
                <c:pt idx="1416">
                  <c:v>4047.93</c:v>
                </c:pt>
                <c:pt idx="1417">
                  <c:v>4227.75</c:v>
                </c:pt>
                <c:pt idx="1418">
                  <c:v>4230.41</c:v>
                </c:pt>
                <c:pt idx="1419">
                  <c:v>4233.56</c:v>
                </c:pt>
                <c:pt idx="1420">
                  <c:v>4236.99</c:v>
                </c:pt>
                <c:pt idx="1421">
                  <c:v>4192.4</c:v>
                </c:pt>
                <c:pt idx="1422">
                  <c:v>4193.96</c:v>
                </c:pt>
                <c:pt idx="1423">
                  <c:v>4196.24</c:v>
                </c:pt>
                <c:pt idx="1424">
                  <c:v>4198.22</c:v>
                </c:pt>
                <c:pt idx="1425">
                  <c:v>4200.5</c:v>
                </c:pt>
                <c:pt idx="1426">
                  <c:v>4158.01</c:v>
                </c:pt>
                <c:pt idx="1427">
                  <c:v>4160.59</c:v>
                </c:pt>
                <c:pt idx="1428">
                  <c:v>4163.59</c:v>
                </c:pt>
                <c:pt idx="1429">
                  <c:v>4124.95</c:v>
                </c:pt>
                <c:pt idx="1430">
                  <c:v>4127.89</c:v>
                </c:pt>
                <c:pt idx="1431">
                  <c:v>4130.77</c:v>
                </c:pt>
                <c:pt idx="1432">
                  <c:v>4132.63</c:v>
                </c:pt>
                <c:pt idx="1433">
                  <c:v>4095.73</c:v>
                </c:pt>
                <c:pt idx="1434">
                  <c:v>4098.25</c:v>
                </c:pt>
                <c:pt idx="1435">
                  <c:v>4101.25</c:v>
                </c:pt>
                <c:pt idx="1436">
                  <c:v>4102.93</c:v>
                </c:pt>
                <c:pt idx="1437">
                  <c:v>4104.97</c:v>
                </c:pt>
                <c:pt idx="1438">
                  <c:v>4106.95</c:v>
                </c:pt>
                <c:pt idx="1439">
                  <c:v>4070.05</c:v>
                </c:pt>
                <c:pt idx="1440">
                  <c:v>4248.79</c:v>
                </c:pt>
                <c:pt idx="1441">
                  <c:v>4251.38</c:v>
                </c:pt>
                <c:pt idx="1442">
                  <c:v>4253.13</c:v>
                </c:pt>
                <c:pt idx="1443">
                  <c:v>4210.92</c:v>
                </c:pt>
                <c:pt idx="1444">
                  <c:v>4214.07</c:v>
                </c:pt>
                <c:pt idx="1445">
                  <c:v>4217.22</c:v>
                </c:pt>
                <c:pt idx="1446">
                  <c:v>4219.32</c:v>
                </c:pt>
                <c:pt idx="1447">
                  <c:v>4211.34</c:v>
                </c:pt>
                <c:pt idx="1448">
                  <c:v>4214.42</c:v>
                </c:pt>
                <c:pt idx="1449">
                  <c:v>4171.79</c:v>
                </c:pt>
                <c:pt idx="1450">
                  <c:v>4119.89</c:v>
                </c:pt>
                <c:pt idx="1451">
                  <c:v>4114.61</c:v>
                </c:pt>
                <c:pt idx="1452">
                  <c:v>4116.89</c:v>
                </c:pt>
                <c:pt idx="1453">
                  <c:v>4118.45</c:v>
                </c:pt>
                <c:pt idx="1454">
                  <c:v>4121.21</c:v>
                </c:pt>
                <c:pt idx="1455">
                  <c:v>4082.03</c:v>
                </c:pt>
                <c:pt idx="1456">
                  <c:v>4085.03</c:v>
                </c:pt>
                <c:pt idx="1457">
                  <c:v>4087.97</c:v>
                </c:pt>
                <c:pt idx="1458">
                  <c:v>4090.31</c:v>
                </c:pt>
                <c:pt idx="1459">
                  <c:v>4093.19</c:v>
                </c:pt>
                <c:pt idx="1460">
                  <c:v>4056.23</c:v>
                </c:pt>
                <c:pt idx="1461">
                  <c:v>4058.45</c:v>
                </c:pt>
                <c:pt idx="1462">
                  <c:v>4060.07</c:v>
                </c:pt>
                <c:pt idx="1463">
                  <c:v>4062.23</c:v>
                </c:pt>
                <c:pt idx="1464">
                  <c:v>4064.21</c:v>
                </c:pt>
                <c:pt idx="1465">
                  <c:v>4067.21</c:v>
                </c:pt>
                <c:pt idx="1466">
                  <c:v>4068.77</c:v>
                </c:pt>
                <c:pt idx="1467">
                  <c:v>4242.95</c:v>
                </c:pt>
                <c:pt idx="1468">
                  <c:v>4245.96</c:v>
                </c:pt>
                <c:pt idx="1469">
                  <c:v>4203.12</c:v>
                </c:pt>
                <c:pt idx="1470">
                  <c:v>4206.41</c:v>
                </c:pt>
                <c:pt idx="1471">
                  <c:v>4208.51</c:v>
                </c:pt>
                <c:pt idx="1472">
                  <c:v>4211.66</c:v>
                </c:pt>
                <c:pt idx="1473">
                  <c:v>4422.43</c:v>
                </c:pt>
                <c:pt idx="1474">
                  <c:v>4380.15</c:v>
                </c:pt>
                <c:pt idx="1475">
                  <c:v>4337.59</c:v>
                </c:pt>
                <c:pt idx="1476">
                  <c:v>4544.65</c:v>
                </c:pt>
                <c:pt idx="1477">
                  <c:v>4547.94</c:v>
                </c:pt>
                <c:pt idx="1478">
                  <c:v>4551.3</c:v>
                </c:pt>
                <c:pt idx="1479">
                  <c:v>4507.76</c:v>
                </c:pt>
                <c:pt idx="1480">
                  <c:v>4510.28</c:v>
                </c:pt>
                <c:pt idx="1481">
                  <c:v>4513.71</c:v>
                </c:pt>
                <c:pt idx="1482">
                  <c:v>4468.35</c:v>
                </c:pt>
                <c:pt idx="1483">
                  <c:v>4424.11</c:v>
                </c:pt>
                <c:pt idx="1484">
                  <c:v>4425.09</c:v>
                </c:pt>
                <c:pt idx="1485">
                  <c:v>4428.38</c:v>
                </c:pt>
                <c:pt idx="1486">
                  <c:v>4639.64</c:v>
                </c:pt>
                <c:pt idx="1487">
                  <c:v>4642.09</c:v>
                </c:pt>
                <c:pt idx="1488">
                  <c:v>4645.45</c:v>
                </c:pt>
                <c:pt idx="1489">
                  <c:v>4648.95</c:v>
                </c:pt>
                <c:pt idx="1490">
                  <c:v>4652.24</c:v>
                </c:pt>
                <c:pt idx="1491">
                  <c:v>4609.33</c:v>
                </c:pt>
                <c:pt idx="1492">
                  <c:v>4754.86</c:v>
                </c:pt>
                <c:pt idx="1493">
                  <c:v>4758.15</c:v>
                </c:pt>
                <c:pt idx="1494">
                  <c:v>4761.37</c:v>
                </c:pt>
                <c:pt idx="1495">
                  <c:v>4763.4</c:v>
                </c:pt>
                <c:pt idx="1496">
                  <c:v>4721.26</c:v>
                </c:pt>
                <c:pt idx="1497">
                  <c:v>4724.76</c:v>
                </c:pt>
                <c:pt idx="1498">
                  <c:v>4708.24</c:v>
                </c:pt>
                <c:pt idx="1499">
                  <c:v>4711.67</c:v>
                </c:pt>
                <c:pt idx="1500">
                  <c:v>4714.12</c:v>
                </c:pt>
                <c:pt idx="1501">
                  <c:v>4715.17</c:v>
                </c:pt>
                <c:pt idx="1502">
                  <c:v>4718.32</c:v>
                </c:pt>
                <c:pt idx="1503">
                  <c:v>4721.68</c:v>
                </c:pt>
                <c:pt idx="1504">
                  <c:v>4724.76</c:v>
                </c:pt>
                <c:pt idx="1505">
                  <c:v>4728.19</c:v>
                </c:pt>
                <c:pt idx="1506">
                  <c:v>4731.62</c:v>
                </c:pt>
                <c:pt idx="1507">
                  <c:v>4733.93</c:v>
                </c:pt>
                <c:pt idx="1508">
                  <c:v>4734.35</c:v>
                </c:pt>
                <c:pt idx="1509">
                  <c:v>4692</c:v>
                </c:pt>
                <c:pt idx="1510">
                  <c:v>4695.22</c:v>
                </c:pt>
                <c:pt idx="1511">
                  <c:v>4698.51</c:v>
                </c:pt>
                <c:pt idx="1512">
                  <c:v>4908.51</c:v>
                </c:pt>
                <c:pt idx="1513">
                  <c:v>4912.19</c:v>
                </c:pt>
                <c:pt idx="1514">
                  <c:v>4915.95</c:v>
                </c:pt>
                <c:pt idx="1515">
                  <c:v>4919.63</c:v>
                </c:pt>
                <c:pt idx="1516">
                  <c:v>4921.87</c:v>
                </c:pt>
                <c:pt idx="1517">
                  <c:v>4925.71</c:v>
                </c:pt>
                <c:pt idx="1518">
                  <c:v>4927.87</c:v>
                </c:pt>
                <c:pt idx="1519">
                  <c:v>4931.47</c:v>
                </c:pt>
                <c:pt idx="1520">
                  <c:v>4934.91</c:v>
                </c:pt>
                <c:pt idx="1521">
                  <c:v>4937.31</c:v>
                </c:pt>
                <c:pt idx="1522">
                  <c:v>4940.99</c:v>
                </c:pt>
                <c:pt idx="1523">
                  <c:v>4891.63</c:v>
                </c:pt>
                <c:pt idx="1524">
                  <c:v>4895.07</c:v>
                </c:pt>
                <c:pt idx="1525">
                  <c:v>4844.27</c:v>
                </c:pt>
                <c:pt idx="1526">
                  <c:v>4847.71</c:v>
                </c:pt>
                <c:pt idx="1527">
                  <c:v>4851.47</c:v>
                </c:pt>
                <c:pt idx="1528">
                  <c:v>4855.47</c:v>
                </c:pt>
                <c:pt idx="1529">
                  <c:v>4859.23</c:v>
                </c:pt>
                <c:pt idx="1530">
                  <c:v>4862.43</c:v>
                </c:pt>
                <c:pt idx="1531">
                  <c:v>4812.75</c:v>
                </c:pt>
                <c:pt idx="1532">
                  <c:v>4756.43</c:v>
                </c:pt>
                <c:pt idx="1533">
                  <c:v>4759.93</c:v>
                </c:pt>
                <c:pt idx="1534">
                  <c:v>4681.6</c:v>
                </c:pt>
                <c:pt idx="1535">
                  <c:v>4684.12</c:v>
                </c:pt>
                <c:pt idx="1536">
                  <c:v>4687.13</c:v>
                </c:pt>
                <c:pt idx="1537">
                  <c:v>4689.93</c:v>
                </c:pt>
                <c:pt idx="1538">
                  <c:v>4693.36</c:v>
                </c:pt>
                <c:pt idx="1539">
                  <c:v>4695.6</c:v>
                </c:pt>
                <c:pt idx="1540">
                  <c:v>4652.13</c:v>
                </c:pt>
                <c:pt idx="1541">
                  <c:v>4655.28</c:v>
                </c:pt>
                <c:pt idx="1542">
                  <c:v>4611.95</c:v>
                </c:pt>
                <c:pt idx="1543">
                  <c:v>4565.12</c:v>
                </c:pt>
                <c:pt idx="1544">
                  <c:v>4568.06</c:v>
                </c:pt>
                <c:pt idx="1545">
                  <c:v>4524.45</c:v>
                </c:pt>
                <c:pt idx="1546">
                  <c:v>4527.88</c:v>
                </c:pt>
                <c:pt idx="1547">
                  <c:v>4529.98</c:v>
                </c:pt>
                <c:pt idx="1548">
                  <c:v>4532.92</c:v>
                </c:pt>
                <c:pt idx="1549">
                  <c:v>4536.42</c:v>
                </c:pt>
                <c:pt idx="1550">
                  <c:v>4492.95</c:v>
                </c:pt>
                <c:pt idx="1551">
                  <c:v>4495.82</c:v>
                </c:pt>
                <c:pt idx="1552">
                  <c:v>4452.56</c:v>
                </c:pt>
                <c:pt idx="1553">
                  <c:v>4407.06</c:v>
                </c:pt>
                <c:pt idx="1554">
                  <c:v>4404.54</c:v>
                </c:pt>
                <c:pt idx="1555">
                  <c:v>4361.21</c:v>
                </c:pt>
                <c:pt idx="1556">
                  <c:v>4364.64</c:v>
                </c:pt>
                <c:pt idx="1557">
                  <c:v>4368</c:v>
                </c:pt>
                <c:pt idx="1558">
                  <c:v>4576.88</c:v>
                </c:pt>
                <c:pt idx="1559">
                  <c:v>4579.96</c:v>
                </c:pt>
                <c:pt idx="1560">
                  <c:v>4583.18</c:v>
                </c:pt>
                <c:pt idx="1561">
                  <c:v>4537.68</c:v>
                </c:pt>
                <c:pt idx="1562">
                  <c:v>4540.34</c:v>
                </c:pt>
                <c:pt idx="1563">
                  <c:v>4498.34</c:v>
                </c:pt>
                <c:pt idx="1564">
                  <c:v>4501.77</c:v>
                </c:pt>
                <c:pt idx="1565">
                  <c:v>4505.06</c:v>
                </c:pt>
                <c:pt idx="1566">
                  <c:v>4505.83</c:v>
                </c:pt>
                <c:pt idx="1567">
                  <c:v>4707.5</c:v>
                </c:pt>
                <c:pt idx="1568">
                  <c:v>4932.06</c:v>
                </c:pt>
                <c:pt idx="1569">
                  <c:v>5103.66</c:v>
                </c:pt>
                <c:pt idx="1570">
                  <c:v>5103.82</c:v>
                </c:pt>
                <c:pt idx="1571">
                  <c:v>5106.86</c:v>
                </c:pt>
                <c:pt idx="1572">
                  <c:v>5054.3</c:v>
                </c:pt>
                <c:pt idx="1573">
                  <c:v>5001.9</c:v>
                </c:pt>
                <c:pt idx="1574">
                  <c:v>4950.54</c:v>
                </c:pt>
                <c:pt idx="1575">
                  <c:v>4840.06</c:v>
                </c:pt>
                <c:pt idx="1576">
                  <c:v>4837.42</c:v>
                </c:pt>
                <c:pt idx="1577">
                  <c:v>4789.34</c:v>
                </c:pt>
                <c:pt idx="1578">
                  <c:v>4792.42</c:v>
                </c:pt>
                <c:pt idx="1579">
                  <c:v>4795.5</c:v>
                </c:pt>
                <c:pt idx="1580">
                  <c:v>4796.62</c:v>
                </c:pt>
                <c:pt idx="1581">
                  <c:v>4793.26</c:v>
                </c:pt>
                <c:pt idx="1582">
                  <c:v>4750.49</c:v>
                </c:pt>
                <c:pt idx="1583">
                  <c:v>4751.68</c:v>
                </c:pt>
                <c:pt idx="1584">
                  <c:v>4754.34</c:v>
                </c:pt>
                <c:pt idx="1585">
                  <c:v>4756.51</c:v>
                </c:pt>
                <c:pt idx="1586">
                  <c:v>4938.09</c:v>
                </c:pt>
                <c:pt idx="1587">
                  <c:v>4936.41</c:v>
                </c:pt>
                <c:pt idx="1588">
                  <c:v>4938.73</c:v>
                </c:pt>
                <c:pt idx="1589">
                  <c:v>4941.69</c:v>
                </c:pt>
                <c:pt idx="1590">
                  <c:v>4945.69</c:v>
                </c:pt>
                <c:pt idx="1591">
                  <c:v>4893.77</c:v>
                </c:pt>
                <c:pt idx="1592">
                  <c:v>4896.25</c:v>
                </c:pt>
                <c:pt idx="1593">
                  <c:v>4899.77</c:v>
                </c:pt>
                <c:pt idx="1594">
                  <c:v>4849.13</c:v>
                </c:pt>
                <c:pt idx="1595">
                  <c:v>4850.73</c:v>
                </c:pt>
                <c:pt idx="1596">
                  <c:v>4780.25</c:v>
                </c:pt>
                <c:pt idx="1597">
                  <c:v>4736.43</c:v>
                </c:pt>
                <c:pt idx="1598">
                  <c:v>4739.79</c:v>
                </c:pt>
                <c:pt idx="1599">
                  <c:v>4743.29</c:v>
                </c:pt>
                <c:pt idx="1600">
                  <c:v>4952.73</c:v>
                </c:pt>
                <c:pt idx="1601">
                  <c:v>4956.25</c:v>
                </c:pt>
                <c:pt idx="1602">
                  <c:v>4959.53</c:v>
                </c:pt>
                <c:pt idx="1603">
                  <c:v>4880.09</c:v>
                </c:pt>
                <c:pt idx="1604">
                  <c:v>4883.69</c:v>
                </c:pt>
                <c:pt idx="1605">
                  <c:v>4887.69</c:v>
                </c:pt>
                <c:pt idx="1606">
                  <c:v>4793.85</c:v>
                </c:pt>
                <c:pt idx="1607">
                  <c:v>4797.14</c:v>
                </c:pt>
                <c:pt idx="1608">
                  <c:v>4796.86</c:v>
                </c:pt>
                <c:pt idx="1609">
                  <c:v>4753.67</c:v>
                </c:pt>
                <c:pt idx="1610">
                  <c:v>4755.98</c:v>
                </c:pt>
                <c:pt idx="1611">
                  <c:v>4759.34</c:v>
                </c:pt>
                <c:pt idx="1612">
                  <c:v>4762</c:v>
                </c:pt>
                <c:pt idx="1613">
                  <c:v>4719.23</c:v>
                </c:pt>
                <c:pt idx="1614">
                  <c:v>4722.38</c:v>
                </c:pt>
                <c:pt idx="1615">
                  <c:v>4724.06</c:v>
                </c:pt>
                <c:pt idx="1616">
                  <c:v>4726.93</c:v>
                </c:pt>
                <c:pt idx="1617">
                  <c:v>4730.36</c:v>
                </c:pt>
                <c:pt idx="1618">
                  <c:v>4732.39</c:v>
                </c:pt>
                <c:pt idx="1619">
                  <c:v>4734.21</c:v>
                </c:pt>
                <c:pt idx="1620">
                  <c:v>4690.04</c:v>
                </c:pt>
                <c:pt idx="1621">
                  <c:v>4693.47</c:v>
                </c:pt>
                <c:pt idx="1622">
                  <c:v>4647.13</c:v>
                </c:pt>
                <c:pt idx="1623">
                  <c:v>4601.07</c:v>
                </c:pt>
                <c:pt idx="1624">
                  <c:v>4811.14</c:v>
                </c:pt>
                <c:pt idx="1625">
                  <c:v>4754.34</c:v>
                </c:pt>
                <c:pt idx="1626">
                  <c:v>4757.77</c:v>
                </c:pt>
                <c:pt idx="1627">
                  <c:v>4760.57</c:v>
                </c:pt>
                <c:pt idx="1628">
                  <c:v>4716.54</c:v>
                </c:pt>
                <c:pt idx="1629">
                  <c:v>4718.71</c:v>
                </c:pt>
                <c:pt idx="1630">
                  <c:v>4721.86</c:v>
                </c:pt>
                <c:pt idx="1631">
                  <c:v>4724.8</c:v>
                </c:pt>
                <c:pt idx="1632">
                  <c:v>4726.27</c:v>
                </c:pt>
                <c:pt idx="1633">
                  <c:v>4726.83</c:v>
                </c:pt>
                <c:pt idx="1634">
                  <c:v>4730.05</c:v>
                </c:pt>
                <c:pt idx="1635">
                  <c:v>4731.52</c:v>
                </c:pt>
                <c:pt idx="1636">
                  <c:v>4734.11</c:v>
                </c:pt>
                <c:pt idx="1637">
                  <c:v>4737.19</c:v>
                </c:pt>
                <c:pt idx="1638">
                  <c:v>4739.71</c:v>
                </c:pt>
                <c:pt idx="1639">
                  <c:v>4691.48</c:v>
                </c:pt>
                <c:pt idx="1640">
                  <c:v>4692.04</c:v>
                </c:pt>
                <c:pt idx="1641">
                  <c:v>4645.42</c:v>
                </c:pt>
                <c:pt idx="1642">
                  <c:v>4601.6</c:v>
                </c:pt>
                <c:pt idx="1643">
                  <c:v>4604.47</c:v>
                </c:pt>
                <c:pt idx="1644">
                  <c:v>4560.79</c:v>
                </c:pt>
                <c:pt idx="1645">
                  <c:v>4564.29</c:v>
                </c:pt>
                <c:pt idx="1646">
                  <c:v>4517.39</c:v>
                </c:pt>
                <c:pt idx="1647">
                  <c:v>4467.41</c:v>
                </c:pt>
                <c:pt idx="1648">
                  <c:v>4398.88</c:v>
                </c:pt>
                <c:pt idx="1649">
                  <c:v>4401.61</c:v>
                </c:pt>
                <c:pt idx="1650">
                  <c:v>4403.15</c:v>
                </c:pt>
                <c:pt idx="1651">
                  <c:v>4401.89</c:v>
                </c:pt>
                <c:pt idx="1652">
                  <c:v>4403.29</c:v>
                </c:pt>
                <c:pt idx="1653">
                  <c:v>4360.1</c:v>
                </c:pt>
                <c:pt idx="1654">
                  <c:v>4358.49</c:v>
                </c:pt>
                <c:pt idx="1655">
                  <c:v>4361.57</c:v>
                </c:pt>
                <c:pt idx="1656">
                  <c:v>4364.65</c:v>
                </c:pt>
                <c:pt idx="1657">
                  <c:v>4367.8</c:v>
                </c:pt>
                <c:pt idx="1658">
                  <c:v>4325.03</c:v>
                </c:pt>
                <c:pt idx="1659">
                  <c:v>4281.7</c:v>
                </c:pt>
                <c:pt idx="1660">
                  <c:v>4238.51</c:v>
                </c:pt>
                <c:pt idx="1661">
                  <c:v>4242.01</c:v>
                </c:pt>
                <c:pt idx="1662">
                  <c:v>4451.31</c:v>
                </c:pt>
                <c:pt idx="1663">
                  <c:v>4660.19</c:v>
                </c:pt>
                <c:pt idx="1664">
                  <c:v>4870.75</c:v>
                </c:pt>
                <c:pt idx="1665">
                  <c:v>4874.59</c:v>
                </c:pt>
                <c:pt idx="1666">
                  <c:v>4878.27</c:v>
                </c:pt>
                <c:pt idx="1667">
                  <c:v>4882.19</c:v>
                </c:pt>
                <c:pt idx="1668">
                  <c:v>4830.59</c:v>
                </c:pt>
                <c:pt idx="1669">
                  <c:v>4834.59</c:v>
                </c:pt>
                <c:pt idx="1670">
                  <c:v>4783.55</c:v>
                </c:pt>
                <c:pt idx="1671">
                  <c:v>4995.02</c:v>
                </c:pt>
                <c:pt idx="1672">
                  <c:v>4999.02</c:v>
                </c:pt>
                <c:pt idx="1673">
                  <c:v>4948.94</c:v>
                </c:pt>
                <c:pt idx="1674">
                  <c:v>4899.74</c:v>
                </c:pt>
                <c:pt idx="1675">
                  <c:v>4903.18</c:v>
                </c:pt>
                <c:pt idx="1676">
                  <c:v>4906.94</c:v>
                </c:pt>
                <c:pt idx="1677">
                  <c:v>4910.78</c:v>
                </c:pt>
                <c:pt idx="1678">
                  <c:v>4850.78</c:v>
                </c:pt>
                <c:pt idx="1679">
                  <c:v>4854.62</c:v>
                </c:pt>
                <c:pt idx="1680">
                  <c:v>4796.3</c:v>
                </c:pt>
                <c:pt idx="1681">
                  <c:v>5000.14</c:v>
                </c:pt>
                <c:pt idx="1682">
                  <c:v>4949.66</c:v>
                </c:pt>
                <c:pt idx="1683">
                  <c:v>4952.78</c:v>
                </c:pt>
                <c:pt idx="1684">
                  <c:v>4956.78</c:v>
                </c:pt>
                <c:pt idx="1685">
                  <c:v>4960.62</c:v>
                </c:pt>
                <c:pt idx="1686">
                  <c:v>4909.42</c:v>
                </c:pt>
                <c:pt idx="1687">
                  <c:v>4849.5</c:v>
                </c:pt>
                <c:pt idx="1688">
                  <c:v>4853.18</c:v>
                </c:pt>
                <c:pt idx="1689">
                  <c:v>4856.94</c:v>
                </c:pt>
                <c:pt idx="1690">
                  <c:v>4808.38</c:v>
                </c:pt>
                <c:pt idx="1691">
                  <c:v>4759.58</c:v>
                </c:pt>
                <c:pt idx="1692">
                  <c:v>4713.94</c:v>
                </c:pt>
                <c:pt idx="1693">
                  <c:v>4714.85</c:v>
                </c:pt>
                <c:pt idx="1694">
                  <c:v>4718.28</c:v>
                </c:pt>
                <c:pt idx="1695">
                  <c:v>4675.86</c:v>
                </c:pt>
                <c:pt idx="1696">
                  <c:v>4679.08</c:v>
                </c:pt>
                <c:pt idx="1697">
                  <c:v>4677.68</c:v>
                </c:pt>
                <c:pt idx="1698">
                  <c:v>4681.11</c:v>
                </c:pt>
                <c:pt idx="1699">
                  <c:v>4684.47</c:v>
                </c:pt>
                <c:pt idx="1700">
                  <c:v>4687.69</c:v>
                </c:pt>
                <c:pt idx="1701">
                  <c:v>4640.02</c:v>
                </c:pt>
                <c:pt idx="1702">
                  <c:v>4597.18</c:v>
                </c:pt>
                <c:pt idx="1703">
                  <c:v>4550.63</c:v>
                </c:pt>
                <c:pt idx="1704">
                  <c:v>4508.14</c:v>
                </c:pt>
                <c:pt idx="1705">
                  <c:v>4510.94</c:v>
                </c:pt>
                <c:pt idx="1706">
                  <c:v>4514.37</c:v>
                </c:pt>
                <c:pt idx="1707">
                  <c:v>4470.83</c:v>
                </c:pt>
                <c:pt idx="1708">
                  <c:v>4424.21</c:v>
                </c:pt>
                <c:pt idx="1709">
                  <c:v>4427.08</c:v>
                </c:pt>
                <c:pt idx="1710">
                  <c:v>4429.46</c:v>
                </c:pt>
                <c:pt idx="1711">
                  <c:v>4432.47</c:v>
                </c:pt>
                <c:pt idx="1712">
                  <c:v>4435.55</c:v>
                </c:pt>
                <c:pt idx="1713">
                  <c:v>4392.36</c:v>
                </c:pt>
                <c:pt idx="1714">
                  <c:v>4395.58</c:v>
                </c:pt>
                <c:pt idx="1715">
                  <c:v>4353.51</c:v>
                </c:pt>
                <c:pt idx="1716">
                  <c:v>4307.45</c:v>
                </c:pt>
                <c:pt idx="1717">
                  <c:v>4310.88</c:v>
                </c:pt>
                <c:pt idx="1718">
                  <c:v>4314.24</c:v>
                </c:pt>
                <c:pt idx="1719">
                  <c:v>4316.2</c:v>
                </c:pt>
                <c:pt idx="1720">
                  <c:v>4319.14</c:v>
                </c:pt>
                <c:pt idx="1721">
                  <c:v>4322.43</c:v>
                </c:pt>
                <c:pt idx="1722">
                  <c:v>4320.61</c:v>
                </c:pt>
                <c:pt idx="1723">
                  <c:v>4323.76</c:v>
                </c:pt>
                <c:pt idx="1724">
                  <c:v>4326.98</c:v>
                </c:pt>
                <c:pt idx="1725">
                  <c:v>4330.27</c:v>
                </c:pt>
                <c:pt idx="1726">
                  <c:v>4332.93</c:v>
                </c:pt>
                <c:pt idx="1727">
                  <c:v>4335.45</c:v>
                </c:pt>
                <c:pt idx="1728">
                  <c:v>4337.62</c:v>
                </c:pt>
                <c:pt idx="1729">
                  <c:v>4340.42</c:v>
                </c:pt>
                <c:pt idx="1730">
                  <c:v>4343.36</c:v>
                </c:pt>
                <c:pt idx="1731">
                  <c:v>4299.19</c:v>
                </c:pt>
                <c:pt idx="1732">
                  <c:v>4509.12</c:v>
                </c:pt>
                <c:pt idx="1733">
                  <c:v>4511.43</c:v>
                </c:pt>
                <c:pt idx="1734">
                  <c:v>4514.23</c:v>
                </c:pt>
                <c:pt idx="1735">
                  <c:v>4516.89</c:v>
                </c:pt>
                <c:pt idx="1736">
                  <c:v>4519.62</c:v>
                </c:pt>
                <c:pt idx="1737">
                  <c:v>4510.45</c:v>
                </c:pt>
                <c:pt idx="1738">
                  <c:v>4719.54</c:v>
                </c:pt>
                <c:pt idx="1739">
                  <c:v>4722.76</c:v>
                </c:pt>
                <c:pt idx="1740">
                  <c:v>4724.93</c:v>
                </c:pt>
                <c:pt idx="1741">
                  <c:v>4680.69</c:v>
                </c:pt>
                <c:pt idx="1742">
                  <c:v>4631.48</c:v>
                </c:pt>
                <c:pt idx="1743">
                  <c:v>4634.91</c:v>
                </c:pt>
                <c:pt idx="1744">
                  <c:v>4590.18</c:v>
                </c:pt>
                <c:pt idx="1745">
                  <c:v>4592.56</c:v>
                </c:pt>
                <c:pt idx="1746">
                  <c:v>4806.41</c:v>
                </c:pt>
                <c:pt idx="1747">
                  <c:v>4754.97</c:v>
                </c:pt>
                <c:pt idx="1748">
                  <c:v>4755.88</c:v>
                </c:pt>
                <c:pt idx="1749">
                  <c:v>4758.75</c:v>
                </c:pt>
                <c:pt idx="1750">
                  <c:v>4715.84</c:v>
                </c:pt>
                <c:pt idx="1751">
                  <c:v>4625.47</c:v>
                </c:pt>
                <c:pt idx="1752">
                  <c:v>4581.93</c:v>
                </c:pt>
                <c:pt idx="1753">
                  <c:v>4536.71</c:v>
                </c:pt>
                <c:pt idx="1754">
                  <c:v>4538.81</c:v>
                </c:pt>
                <c:pt idx="1755">
                  <c:v>4540.63</c:v>
                </c:pt>
                <c:pt idx="1756">
                  <c:v>4543.15</c:v>
                </c:pt>
                <c:pt idx="1757">
                  <c:v>4546.3</c:v>
                </c:pt>
                <c:pt idx="1758">
                  <c:v>4549.66</c:v>
                </c:pt>
                <c:pt idx="1759">
                  <c:v>4552.67</c:v>
                </c:pt>
                <c:pt idx="1760">
                  <c:v>4555.75</c:v>
                </c:pt>
                <c:pt idx="1761">
                  <c:v>4509.97</c:v>
                </c:pt>
                <c:pt idx="1762">
                  <c:v>4720.04</c:v>
                </c:pt>
                <c:pt idx="1763">
                  <c:v>4723.12</c:v>
                </c:pt>
                <c:pt idx="1764">
                  <c:v>4680.21</c:v>
                </c:pt>
                <c:pt idx="1765">
                  <c:v>4682.03</c:v>
                </c:pt>
                <c:pt idx="1766">
                  <c:v>4682.87</c:v>
                </c:pt>
                <c:pt idx="1767">
                  <c:v>4685.25</c:v>
                </c:pt>
                <c:pt idx="1768">
                  <c:v>4688.68</c:v>
                </c:pt>
                <c:pt idx="1769">
                  <c:v>4641.85</c:v>
                </c:pt>
                <c:pt idx="1770">
                  <c:v>4644.37</c:v>
                </c:pt>
                <c:pt idx="1771">
                  <c:v>4647.38</c:v>
                </c:pt>
                <c:pt idx="1772">
                  <c:v>4650.39</c:v>
                </c:pt>
                <c:pt idx="1773">
                  <c:v>4607.9</c:v>
                </c:pt>
                <c:pt idx="1774">
                  <c:v>4606.92</c:v>
                </c:pt>
                <c:pt idx="1775">
                  <c:v>4564.36</c:v>
                </c:pt>
                <c:pt idx="1776">
                  <c:v>4521.94</c:v>
                </c:pt>
                <c:pt idx="1777">
                  <c:v>4525.37</c:v>
                </c:pt>
                <c:pt idx="1778">
                  <c:v>4528.73</c:v>
                </c:pt>
                <c:pt idx="1779">
                  <c:v>4732.92</c:v>
                </c:pt>
                <c:pt idx="1780">
                  <c:v>4690.22</c:v>
                </c:pt>
                <c:pt idx="1781">
                  <c:v>4687.49</c:v>
                </c:pt>
                <c:pt idx="1782">
                  <c:v>4644.23</c:v>
                </c:pt>
                <c:pt idx="1783">
                  <c:v>4647.73</c:v>
                </c:pt>
                <c:pt idx="1784">
                  <c:v>4651.02</c:v>
                </c:pt>
                <c:pt idx="1785">
                  <c:v>4654.52</c:v>
                </c:pt>
                <c:pt idx="1786">
                  <c:v>4719.34</c:v>
                </c:pt>
                <c:pt idx="1787">
                  <c:v>4722.07</c:v>
                </c:pt>
                <c:pt idx="1788">
                  <c:v>4678.88</c:v>
                </c:pt>
                <c:pt idx="1789">
                  <c:v>4681.26</c:v>
                </c:pt>
                <c:pt idx="1790">
                  <c:v>4684.06</c:v>
                </c:pt>
                <c:pt idx="1791">
                  <c:v>4579.34</c:v>
                </c:pt>
                <c:pt idx="1792">
                  <c:v>4582</c:v>
                </c:pt>
                <c:pt idx="1793">
                  <c:v>4585.15</c:v>
                </c:pt>
                <c:pt idx="1794">
                  <c:v>4588.23</c:v>
                </c:pt>
                <c:pt idx="1795">
                  <c:v>4544.13</c:v>
                </c:pt>
                <c:pt idx="1796">
                  <c:v>4547.63</c:v>
                </c:pt>
                <c:pt idx="1797">
                  <c:v>4500.17</c:v>
                </c:pt>
                <c:pt idx="1798">
                  <c:v>4502.62</c:v>
                </c:pt>
                <c:pt idx="1799">
                  <c:v>4460.62</c:v>
                </c:pt>
                <c:pt idx="1800">
                  <c:v>4463.98</c:v>
                </c:pt>
                <c:pt idx="1801">
                  <c:v>4421.49</c:v>
                </c:pt>
                <c:pt idx="1802">
                  <c:v>4424.99</c:v>
                </c:pt>
                <c:pt idx="1803">
                  <c:v>4426.46</c:v>
                </c:pt>
                <c:pt idx="1804">
                  <c:v>4429.47</c:v>
                </c:pt>
                <c:pt idx="1805">
                  <c:v>4430.52</c:v>
                </c:pt>
                <c:pt idx="1806">
                  <c:v>4388.31</c:v>
                </c:pt>
                <c:pt idx="1807">
                  <c:v>4390.48</c:v>
                </c:pt>
                <c:pt idx="1808">
                  <c:v>4601.11</c:v>
                </c:pt>
                <c:pt idx="1809">
                  <c:v>4603.49</c:v>
                </c:pt>
                <c:pt idx="1810">
                  <c:v>4605.87</c:v>
                </c:pt>
                <c:pt idx="1811">
                  <c:v>4604.47</c:v>
                </c:pt>
                <c:pt idx="1812">
                  <c:v>4607.2</c:v>
                </c:pt>
                <c:pt idx="1813">
                  <c:v>4609.86</c:v>
                </c:pt>
                <c:pt idx="1814">
                  <c:v>4613.36</c:v>
                </c:pt>
                <c:pt idx="1815">
                  <c:v>4570.94</c:v>
                </c:pt>
                <c:pt idx="1816">
                  <c:v>4574.16</c:v>
                </c:pt>
                <c:pt idx="1817">
                  <c:v>4577.03</c:v>
                </c:pt>
                <c:pt idx="1818">
                  <c:v>4477.77</c:v>
                </c:pt>
                <c:pt idx="1819">
                  <c:v>4480.57</c:v>
                </c:pt>
                <c:pt idx="1820">
                  <c:v>4688.05</c:v>
                </c:pt>
                <c:pt idx="1821">
                  <c:v>4640.1</c:v>
                </c:pt>
                <c:pt idx="1822">
                  <c:v>4643.46</c:v>
                </c:pt>
                <c:pt idx="1823">
                  <c:v>4585.36</c:v>
                </c:pt>
                <c:pt idx="1824">
                  <c:v>4543.29</c:v>
                </c:pt>
                <c:pt idx="1825">
                  <c:v>4500.45</c:v>
                </c:pt>
                <c:pt idx="1826">
                  <c:v>4503.6</c:v>
                </c:pt>
                <c:pt idx="1827">
                  <c:v>4506.75</c:v>
                </c:pt>
                <c:pt idx="1828">
                  <c:v>4716.68</c:v>
                </c:pt>
                <c:pt idx="1829">
                  <c:v>4720.11</c:v>
                </c:pt>
                <c:pt idx="1830">
                  <c:v>4933.96</c:v>
                </c:pt>
                <c:pt idx="1831">
                  <c:v>4936.28</c:v>
                </c:pt>
                <c:pt idx="1832">
                  <c:v>4939.08</c:v>
                </c:pt>
                <c:pt idx="1833">
                  <c:v>4939.48</c:v>
                </c:pt>
                <c:pt idx="1834">
                  <c:v>4943.4</c:v>
                </c:pt>
                <c:pt idx="1835">
                  <c:v>4946.6</c:v>
                </c:pt>
                <c:pt idx="1836">
                  <c:v>4948.36</c:v>
                </c:pt>
                <c:pt idx="1837">
                  <c:v>4952.36</c:v>
                </c:pt>
                <c:pt idx="1838">
                  <c:v>4903.08</c:v>
                </c:pt>
                <c:pt idx="1839">
                  <c:v>4847.24</c:v>
                </c:pt>
                <c:pt idx="1840">
                  <c:v>4851</c:v>
                </c:pt>
                <c:pt idx="1841">
                  <c:v>4801.16</c:v>
                </c:pt>
                <c:pt idx="1842">
                  <c:v>4805.08</c:v>
                </c:pt>
                <c:pt idx="1843">
                  <c:v>4808.44</c:v>
                </c:pt>
                <c:pt idx="1844">
                  <c:v>4812.44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286507"/>
        <c:axId val="90594908"/>
      </c:lineChart>
      <c:catAx>
        <c:axId val="35286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94908"/>
        <c:crosses val="autoZero"/>
        <c:auto val="1"/>
        <c:lblAlgn val="ctr"/>
        <c:lblOffset val="100"/>
        <c:noMultiLvlLbl val="0"/>
      </c:catAx>
      <c:valAx>
        <c:axId val="9059490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6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month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Monthly!H1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Monthly!$A$2:$A$55</c:f>
              <c:strCache>
                <c:ptCount val="54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  <c:pt idx="48">
                  <c:v>2026-04</c:v>
                </c:pt>
                <c:pt idx="49">
                  <c:v>2026-05</c:v>
                </c:pt>
                <c:pt idx="50">
                  <c:v>2026-06</c:v>
                </c:pt>
                <c:pt idx="51">
                  <c:v>2026-07</c:v>
                </c:pt>
                <c:pt idx="52">
                  <c:v>2026-08</c:v>
                </c:pt>
                <c:pt idx="53">
                  <c:v>2026-09</c:v>
                </c:pt>
              </c:strCache>
            </c:strRef>
          </c:cat>
          <c:val>
            <c:numRef>
              <c:f>Monthly!$H$2:$H$55</c:f>
              <c:numCache>
                <c:formatCode>\$#,##0.00;[RED]"-$"#,##0.00;\-</c:formatCode>
                <c:ptCount val="54"/>
                <c:pt idx="0">
                  <c:v>-50.89</c:v>
                </c:pt>
                <c:pt idx="1">
                  <c:v>-364.13</c:v>
                </c:pt>
                <c:pt idx="2">
                  <c:v>-238.42</c:v>
                </c:pt>
                <c:pt idx="3">
                  <c:v>-70.28</c:v>
                </c:pt>
                <c:pt idx="4">
                  <c:v>-204.75</c:v>
                </c:pt>
                <c:pt idx="5">
                  <c:v>-221.52</c:v>
                </c:pt>
                <c:pt idx="6">
                  <c:v>227.4</c:v>
                </c:pt>
                <c:pt idx="7">
                  <c:v>401.56</c:v>
                </c:pt>
                <c:pt idx="8">
                  <c:v>287.63</c:v>
                </c:pt>
                <c:pt idx="9">
                  <c:v>-198.52</c:v>
                </c:pt>
                <c:pt idx="10">
                  <c:v>-347.34</c:v>
                </c:pt>
                <c:pt idx="11">
                  <c:v>-78.36</c:v>
                </c:pt>
                <c:pt idx="12">
                  <c:v>-21.48</c:v>
                </c:pt>
                <c:pt idx="13">
                  <c:v>-49.97</c:v>
                </c:pt>
                <c:pt idx="14">
                  <c:v>-501.23</c:v>
                </c:pt>
                <c:pt idx="15">
                  <c:v>-245.3</c:v>
                </c:pt>
                <c:pt idx="16">
                  <c:v>-259.9</c:v>
                </c:pt>
                <c:pt idx="17">
                  <c:v>-18.72</c:v>
                </c:pt>
                <c:pt idx="18">
                  <c:v>384.8</c:v>
                </c:pt>
                <c:pt idx="19">
                  <c:v>232.55</c:v>
                </c:pt>
                <c:pt idx="20">
                  <c:v>-247.71</c:v>
                </c:pt>
                <c:pt idx="21">
                  <c:v>-24.55</c:v>
                </c:pt>
                <c:pt idx="22">
                  <c:v>-160.15</c:v>
                </c:pt>
                <c:pt idx="23">
                  <c:v>51.45</c:v>
                </c:pt>
                <c:pt idx="24">
                  <c:v>104.85</c:v>
                </c:pt>
                <c:pt idx="25">
                  <c:v>-39.9</c:v>
                </c:pt>
                <c:pt idx="26">
                  <c:v>-92.55</c:v>
                </c:pt>
                <c:pt idx="27">
                  <c:v>178.7</c:v>
                </c:pt>
                <c:pt idx="28">
                  <c:v>15.5000000000001</c:v>
                </c:pt>
                <c:pt idx="29">
                  <c:v>-1.30000000000001</c:v>
                </c:pt>
                <c:pt idx="30">
                  <c:v>-263.6</c:v>
                </c:pt>
                <c:pt idx="31">
                  <c:v>296.65</c:v>
                </c:pt>
                <c:pt idx="32">
                  <c:v>17.1</c:v>
                </c:pt>
                <c:pt idx="33">
                  <c:v>135.7</c:v>
                </c:pt>
                <c:pt idx="34">
                  <c:v>-91.97</c:v>
                </c:pt>
                <c:pt idx="35">
                  <c:v>-50.85</c:v>
                </c:pt>
                <c:pt idx="36">
                  <c:v>-23.45</c:v>
                </c:pt>
                <c:pt idx="37">
                  <c:v>-30.1</c:v>
                </c:pt>
                <c:pt idx="38">
                  <c:v>230.58</c:v>
                </c:pt>
                <c:pt idx="39">
                  <c:v>-154.33</c:v>
                </c:pt>
                <c:pt idx="40">
                  <c:v>83.85</c:v>
                </c:pt>
                <c:pt idx="41">
                  <c:v>560.96</c:v>
                </c:pt>
                <c:pt idx="42">
                  <c:v>-95.78</c:v>
                </c:pt>
                <c:pt idx="43">
                  <c:v>649.44</c:v>
                </c:pt>
                <c:pt idx="44">
                  <c:v>-27.55</c:v>
                </c:pt>
                <c:pt idx="45">
                  <c:v>247.94</c:v>
                </c:pt>
                <c:pt idx="46">
                  <c:v>20.67</c:v>
                </c:pt>
                <c:pt idx="47">
                  <c:v>-225.9</c:v>
                </c:pt>
                <c:pt idx="48">
                  <c:v>-66.64</c:v>
                </c:pt>
                <c:pt idx="49">
                  <c:v>17.49</c:v>
                </c:pt>
                <c:pt idx="50">
                  <c:v>-166.25</c:v>
                </c:pt>
                <c:pt idx="51">
                  <c:v>95.4899999999999</c:v>
                </c:pt>
                <c:pt idx="52">
                  <c:v>-1.05000000000007</c:v>
                </c:pt>
                <c:pt idx="53">
                  <c:v>206.57</c:v>
                </c:pt>
              </c:numCache>
            </c:numRef>
          </c:val>
        </c:ser>
        <c:gapWidth val="150"/>
        <c:overlap val="0"/>
        <c:axId val="43465436"/>
        <c:axId val="915820"/>
      </c:barChart>
      <c:catAx>
        <c:axId val="43465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20"/>
        <c:crosses val="autoZero"/>
        <c:auto val="1"/>
        <c:lblAlgn val="ctr"/>
        <c:lblOffset val="100"/>
        <c:noMultiLvlLbl val="0"/>
      </c:catAx>
      <c:valAx>
        <c:axId val="91582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65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160560</xdr:rowOff>
    </xdr:from>
    <xdr:to>
      <xdr:col>17</xdr:col>
      <xdr:colOff>292320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14360400" y="1333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58</xdr:row>
      <xdr:rowOff>0</xdr:rowOff>
    </xdr:from>
    <xdr:to>
      <xdr:col>10</xdr:col>
      <xdr:colOff>96480</xdr:colOff>
      <xdr:row>73</xdr:row>
      <xdr:rowOff>22320</xdr:rowOff>
    </xdr:to>
    <xdr:graphicFrame>
      <xdr:nvGraphicFramePr>
        <xdr:cNvPr id="1" name="Chart 1"/>
        <xdr:cNvGraphicFramePr/>
      </xdr:nvGraphicFramePr>
      <xdr:xfrm>
        <a:off x="0" y="112586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deList" displayName="TradeList" ref="A1:AD1846" headerRowCount="1" totalsRowCount="0" totalsRowShown="0">
  <autoFilter ref="A1:AD1846"/>
  <tableColumns count="30">
    <tableColumn id="1" name="#"/>
    <tableColumn id="2" name="Month"/>
    <tableColumn id="3" name="Entry time (server)"/>
    <tableColumn id="4" name="Weekday"/>
    <tableColumn id="5" name="Entry hour"/>
    <tableColumn id="6" name="Side"/>
    <tableColumn id="7" name="Setup"/>
    <tableColumn id="8" name="Lots"/>
    <tableColumn id="9" name="Order price (planned entry)"/>
    <tableColumn id="10" name="Filled entry"/>
    <tableColumn id="11" name="Entry slippage $"/>
    <tableColumn id="12" name="Initial SL"/>
    <tableColumn id="13" name="SL distance $"/>
    <tableColumn id="14" name="Planned risk $"/>
    <tableColumn id="15" name="Exit time"/>
    <tableColumn id="16" name="Hold (sec)"/>
    <tableColumn id="17" name="Hold bucket"/>
    <tableColumn id="18" name="Stop level hit"/>
    <tableColumn id="19" name="Exit price"/>
    <tableColumn id="20" name="Exit reason"/>
    <tableColumn id="21" name="Exit slippage $"/>
    <tableColumn id="22" name="Price move $"/>
    <tableColumn id="23" name="Profit $"/>
    <tableColumn id="24" name="R multiple"/>
    <tableColumn id="25" name="Result"/>
    <tableColumn id="26" name="Balance after"/>
    <tableColumn id="27" name="Peak balance"/>
    <tableColumn id="28" name="Drawdown $"/>
    <tableColumn id="29" name="Drawdown %"/>
    <tableColumn id="30" name="What happe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26.8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15" hidden="false" customHeight="false" outlineLevel="0" collapsed="false">
      <c r="A15" s="3" t="s">
        <v>23</v>
      </c>
      <c r="B15" s="4" t="s">
        <v>24</v>
      </c>
    </row>
    <row r="16" customFormat="false" ht="15" hidden="false" customHeight="false" outlineLevel="0" collapsed="false">
      <c r="A16" s="3" t="s">
        <v>25</v>
      </c>
      <c r="B16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2"/>
      <c r="B1" s="1" t="s">
        <v>27</v>
      </c>
      <c r="C1" s="2"/>
      <c r="D1" s="2"/>
      <c r="E1" s="2"/>
    </row>
    <row r="2" customFormat="false" ht="15" hidden="false" customHeight="false" outlineLevel="0" collapsed="false">
      <c r="A2" s="2"/>
      <c r="B2" s="2" t="s">
        <v>28</v>
      </c>
      <c r="C2" s="2"/>
      <c r="D2" s="2"/>
      <c r="E2" s="2"/>
    </row>
    <row r="3" customFormat="false" ht="15" hidden="false" customHeight="false" outlineLevel="0" collapsed="false">
      <c r="A3" s="2"/>
      <c r="B3" s="5" t="s">
        <v>29</v>
      </c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/>
      <c r="B5" s="2" t="s">
        <v>30</v>
      </c>
      <c r="C5" s="6" t="n">
        <v>5000</v>
      </c>
      <c r="D5" s="2"/>
      <c r="E5" s="2" t="s">
        <v>31</v>
      </c>
    </row>
    <row r="6" customFormat="false" ht="15" hidden="false" customHeight="false" outlineLevel="0" collapsed="false">
      <c r="A6" s="2"/>
      <c r="B6" s="2" t="s">
        <v>32</v>
      </c>
      <c r="C6" s="7" t="n">
        <v>100</v>
      </c>
      <c r="D6" s="2"/>
      <c r="E6" s="2" t="s">
        <v>33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8" t="s">
        <v>34</v>
      </c>
      <c r="C8" s="8" t="s">
        <v>35</v>
      </c>
      <c r="D8" s="8" t="s">
        <v>36</v>
      </c>
      <c r="E8" s="8" t="s">
        <v>37</v>
      </c>
    </row>
    <row r="9" customFormat="false" ht="15" hidden="false" customHeight="false" outlineLevel="0" collapsed="false">
      <c r="A9" s="2"/>
      <c r="B9" s="9" t="s">
        <v>38</v>
      </c>
      <c r="C9" s="10"/>
      <c r="D9" s="10"/>
      <c r="E9" s="10"/>
    </row>
    <row r="10" customFormat="false" ht="15" hidden="false" customHeight="false" outlineLevel="0" collapsed="false">
      <c r="A10" s="2"/>
      <c r="B10" s="11" t="s">
        <v>39</v>
      </c>
      <c r="C10" s="12" t="n">
        <f aca="false">SUM(Trades!$W$2:$W$1846)</f>
        <v>-187.56</v>
      </c>
      <c r="D10" s="13" t="str">
        <f aca="false">IF(C10&gt;0,"Profitable","Losing")</f>
        <v>Losing</v>
      </c>
      <c r="E10" s="14" t="s">
        <v>40</v>
      </c>
    </row>
    <row r="11" customFormat="false" ht="15" hidden="false" customHeight="false" outlineLevel="0" collapsed="false">
      <c r="A11" s="2"/>
      <c r="B11" s="11" t="s">
        <v>41</v>
      </c>
      <c r="C11" s="12" t="n">
        <f aca="false">C5+C10</f>
        <v>4812.44</v>
      </c>
      <c r="D11" s="15"/>
      <c r="E11" s="14" t="s">
        <v>42</v>
      </c>
    </row>
    <row r="12" customFormat="false" ht="15" hidden="false" customHeight="false" outlineLevel="0" collapsed="false">
      <c r="A12" s="2"/>
      <c r="B12" s="11" t="s">
        <v>43</v>
      </c>
      <c r="C12" s="16" t="n">
        <f aca="false">IFERROR(C10/C5,0)</f>
        <v>-0.037512</v>
      </c>
      <c r="D12" s="15"/>
      <c r="E12" s="14" t="s">
        <v>44</v>
      </c>
    </row>
    <row r="13" customFormat="false" ht="15" hidden="false" customHeight="false" outlineLevel="0" collapsed="false">
      <c r="A13" s="2"/>
      <c r="B13" s="11" t="s">
        <v>45</v>
      </c>
      <c r="C13" s="12" t="n">
        <f aca="false">MAX(Trades!$AB$2:$AB$1846)</f>
        <v>2028.55</v>
      </c>
      <c r="D13" s="15"/>
      <c r="E13" s="14" t="s">
        <v>46</v>
      </c>
    </row>
    <row r="14" customFormat="false" ht="15" hidden="false" customHeight="false" outlineLevel="0" collapsed="false">
      <c r="A14" s="2"/>
      <c r="B14" s="11" t="s">
        <v>47</v>
      </c>
      <c r="C14" s="16" t="n">
        <f aca="false">MAX(Trades!$AC$2:$AC$1846)</f>
        <v>0.40571</v>
      </c>
      <c r="D14" s="13" t="str">
        <f aca="false">IF(C14&lt;=0.08,"OK for prop","Too deep")</f>
        <v>Too deep</v>
      </c>
      <c r="E14" s="14" t="s">
        <v>48</v>
      </c>
    </row>
    <row r="15" customFormat="false" ht="15" hidden="false" customHeight="false" outlineLevel="0" collapsed="false">
      <c r="A15" s="2"/>
      <c r="B15" s="9" t="s">
        <v>49</v>
      </c>
      <c r="C15" s="10"/>
      <c r="D15" s="10"/>
      <c r="E15" s="10"/>
    </row>
    <row r="16" customFormat="false" ht="15" hidden="false" customHeight="false" outlineLevel="0" collapsed="false">
      <c r="A16" s="2"/>
      <c r="B16" s="11" t="s">
        <v>50</v>
      </c>
      <c r="C16" s="17" t="n">
        <f aca="false">COUNT(Trades!$W$2:$W$1846)</f>
        <v>1845</v>
      </c>
      <c r="D16" s="15"/>
      <c r="E16" s="14" t="s">
        <v>51</v>
      </c>
    </row>
    <row r="17" customFormat="false" ht="15" hidden="false" customHeight="false" outlineLevel="0" collapsed="false">
      <c r="A17" s="2"/>
      <c r="B17" s="11" t="s">
        <v>52</v>
      </c>
      <c r="C17" s="17" t="n">
        <f aca="false">COUNTIF(Trades!$Y$2:$Y$1846,"Win")</f>
        <v>1311</v>
      </c>
      <c r="D17" s="15"/>
      <c r="E17" s="14"/>
    </row>
    <row r="18" customFormat="false" ht="15" hidden="false" customHeight="false" outlineLevel="0" collapsed="false">
      <c r="A18" s="2"/>
      <c r="B18" s="11" t="s">
        <v>53</v>
      </c>
      <c r="C18" s="17" t="n">
        <f aca="false">COUNTIF(Trades!$Y$2:$Y$1846,"Loss")</f>
        <v>534</v>
      </c>
      <c r="D18" s="15"/>
      <c r="E18" s="14"/>
    </row>
    <row r="19" customFormat="false" ht="15" hidden="false" customHeight="false" outlineLevel="0" collapsed="false">
      <c r="A19" s="2"/>
      <c r="B19" s="11" t="s">
        <v>54</v>
      </c>
      <c r="C19" s="16" t="n">
        <f aca="false">IFERROR(C17/C16,0)</f>
        <v>0.710569105691057</v>
      </c>
      <c r="D19" s="13" t="str">
        <f aca="false">IF(C19&gt;=C23,"Above break-even","Below break-even")</f>
        <v>Below break-even</v>
      </c>
      <c r="E19" s="14" t="s">
        <v>55</v>
      </c>
    </row>
    <row r="20" customFormat="false" ht="15" hidden="false" customHeight="false" outlineLevel="0" collapsed="false">
      <c r="A20" s="2"/>
      <c r="B20" s="11" t="s">
        <v>56</v>
      </c>
      <c r="C20" s="12" t="n">
        <f aca="false">IFERROR(AVERAGEIF(Trades!$W$2:$W$1846,"&gt;0"),0)</f>
        <v>14.6613119755912</v>
      </c>
      <c r="D20" s="15"/>
      <c r="E20" s="14" t="s">
        <v>57</v>
      </c>
    </row>
    <row r="21" customFormat="false" ht="15" hidden="false" customHeight="false" outlineLevel="0" collapsed="false">
      <c r="A21" s="2"/>
      <c r="B21" s="11" t="s">
        <v>58</v>
      </c>
      <c r="C21" s="12" t="n">
        <f aca="false">IFERROR(AVERAGEIF(Trades!$W$2:$W$1846,"&lt;0"),0)</f>
        <v>-36.3455805243446</v>
      </c>
      <c r="D21" s="15"/>
      <c r="E21" s="14" t="s">
        <v>59</v>
      </c>
    </row>
    <row r="22" customFormat="false" ht="15" hidden="false" customHeight="false" outlineLevel="0" collapsed="false">
      <c r="A22" s="2"/>
      <c r="B22" s="11" t="s">
        <v>60</v>
      </c>
      <c r="C22" s="18" t="n">
        <f aca="false">IFERROR(C20/-C21,0)</f>
        <v>0.403386375016651</v>
      </c>
      <c r="D22" s="15"/>
      <c r="E22" s="14" t="s">
        <v>61</v>
      </c>
    </row>
    <row r="23" customFormat="false" ht="15" hidden="false" customHeight="false" outlineLevel="0" collapsed="false">
      <c r="A23" s="2"/>
      <c r="B23" s="11" t="s">
        <v>62</v>
      </c>
      <c r="C23" s="16" t="n">
        <f aca="false">IFERROR(-C21/(C20-C21),0)</f>
        <v>0.712562140977131</v>
      </c>
      <c r="D23" s="13" t="str">
        <f aca="false">IF(C23&lt;C19,"Achieved","Not achieved")</f>
        <v>Not achieved</v>
      </c>
      <c r="E23" s="14" t="s">
        <v>63</v>
      </c>
    </row>
    <row r="24" customFormat="false" ht="15" hidden="false" customHeight="false" outlineLevel="0" collapsed="false">
      <c r="A24" s="2"/>
      <c r="B24" s="11" t="s">
        <v>64</v>
      </c>
      <c r="C24" s="18" t="n">
        <f aca="false">IFERROR(SUMIF(Trades!$W$2:$W$1846,"&gt;0")/-SUMIF(Trades!$W$2:$W$1846,"&lt;0"),0)</f>
        <v>0.990336212821778</v>
      </c>
      <c r="D24" s="13" t="str">
        <f aca="false">IF(C24&gt;=1.3,"Good",IF(C24&gt;=1,"Weak","Losing"))</f>
        <v>Losing</v>
      </c>
      <c r="E24" s="14" t="s">
        <v>65</v>
      </c>
    </row>
    <row r="25" customFormat="false" ht="15" hidden="false" customHeight="false" outlineLevel="0" collapsed="false">
      <c r="A25" s="2"/>
      <c r="B25" s="11" t="s">
        <v>66</v>
      </c>
      <c r="C25" s="12" t="n">
        <f aca="false">IFERROR(C10/C16,0)</f>
        <v>-0.101658536585366</v>
      </c>
      <c r="D25" s="15"/>
      <c r="E25" s="14" t="s">
        <v>67</v>
      </c>
    </row>
    <row r="26" customFormat="false" ht="15" hidden="false" customHeight="false" outlineLevel="0" collapsed="false">
      <c r="A26" s="2"/>
      <c r="B26" s="9" t="s">
        <v>68</v>
      </c>
      <c r="C26" s="10"/>
      <c r="D26" s="10"/>
      <c r="E26" s="10"/>
    </row>
    <row r="27" customFormat="false" ht="15" hidden="false" customHeight="false" outlineLevel="0" collapsed="false">
      <c r="A27" s="2"/>
      <c r="B27" s="11" t="s">
        <v>69</v>
      </c>
      <c r="C27" s="12" t="n">
        <f aca="false">AVERAGE(Trades!$N$2:$N$1846)</f>
        <v>36.1268292682927</v>
      </c>
      <c r="D27" s="15"/>
      <c r="E27" s="14" t="s">
        <v>70</v>
      </c>
    </row>
    <row r="28" customFormat="false" ht="15" hidden="false" customHeight="false" outlineLevel="0" collapsed="false">
      <c r="A28" s="2"/>
      <c r="B28" s="11" t="s">
        <v>71</v>
      </c>
      <c r="C28" s="12" t="n">
        <f aca="false">AVERAGE(Trades!$M$2:$M$1846)</f>
        <v>6</v>
      </c>
      <c r="D28" s="15"/>
      <c r="E28" s="14" t="s">
        <v>72</v>
      </c>
    </row>
    <row r="29" customFormat="false" ht="15" hidden="false" customHeight="false" outlineLevel="0" collapsed="false">
      <c r="A29" s="2"/>
      <c r="B29" s="11" t="s">
        <v>73</v>
      </c>
      <c r="C29" s="12" t="n">
        <f aca="false">AVERAGE(Trades!$K$2:$K$1846)</f>
        <v>0.188883468834695</v>
      </c>
      <c r="D29" s="15"/>
      <c r="E29" s="14" t="s">
        <v>74</v>
      </c>
    </row>
    <row r="30" customFormat="false" ht="15" hidden="false" customHeight="false" outlineLevel="0" collapsed="false">
      <c r="A30" s="2"/>
      <c r="B30" s="11" t="s">
        <v>75</v>
      </c>
      <c r="C30" s="16" t="n">
        <f aca="false">IFERROR(C29/C28,0)</f>
        <v>0.0314805781391159</v>
      </c>
      <c r="D30" s="13" t="str">
        <f aca="false">IF(C30&gt;0.2,"Too high","OK")</f>
        <v>OK</v>
      </c>
      <c r="E30" s="14" t="s">
        <v>76</v>
      </c>
    </row>
    <row r="31" customFormat="false" ht="15" hidden="false" customHeight="false" outlineLevel="0" collapsed="false">
      <c r="A31" s="2"/>
      <c r="B31" s="11" t="s">
        <v>77</v>
      </c>
      <c r="C31" s="19" t="n">
        <f aca="false">IFERROR(AVERAGEIF(Trades!$Y$2:$Y$1846,"Loss",Trades!$X$2:$X$1846),0)</f>
        <v>-0.994275905118602</v>
      </c>
      <c r="D31" s="13" t="str">
        <f aca="false">IF(C31&lt;-1.05,"Losses overshoot","OK")</f>
        <v>OK</v>
      </c>
      <c r="E31" s="14" t="s">
        <v>78</v>
      </c>
    </row>
    <row r="32" customFormat="false" ht="15" hidden="false" customHeight="false" outlineLevel="0" collapsed="false">
      <c r="A32" s="2"/>
      <c r="B32" s="11" t="s">
        <v>79</v>
      </c>
      <c r="C32" s="17" t="n">
        <f aca="false">COUNTIF(Trades!$X$2:$X$1846,"&lt;-1.05")</f>
        <v>92</v>
      </c>
      <c r="D32" s="15"/>
      <c r="E32" s="14" t="s">
        <v>80</v>
      </c>
    </row>
    <row r="33" customFormat="false" ht="15" hidden="false" customHeight="false" outlineLevel="0" collapsed="false">
      <c r="A33" s="2"/>
      <c r="B33" s="11" t="s">
        <v>81</v>
      </c>
      <c r="C33" s="19" t="n">
        <f aca="false">IFERROR(AVERAGEIF(Trades!$Y$2:$Y$1846,"Win",Trades!$X$2:$X$1846),0)</f>
        <v>0.411695906432748</v>
      </c>
      <c r="D33" s="15"/>
      <c r="E33" s="14" t="s">
        <v>82</v>
      </c>
    </row>
    <row r="34" customFormat="false" ht="15" hidden="false" customHeight="false" outlineLevel="0" collapsed="false">
      <c r="A34" s="2"/>
      <c r="B34" s="9" t="s">
        <v>83</v>
      </c>
      <c r="C34" s="10"/>
      <c r="D34" s="10"/>
      <c r="E34" s="10"/>
    </row>
    <row r="35" customFormat="false" ht="15" hidden="false" customHeight="false" outlineLevel="0" collapsed="false">
      <c r="A35" s="2"/>
      <c r="B35" s="11" t="s">
        <v>84</v>
      </c>
      <c r="C35" s="17" t="n">
        <f aca="false">MEDIAN(Trades!$P$2:$P$1846)</f>
        <v>2496</v>
      </c>
      <c r="D35" s="13" t="str">
        <f aca="false">IF(C35&lt;60,"Too short","OK")</f>
        <v>OK</v>
      </c>
      <c r="E35" s="14" t="s">
        <v>85</v>
      </c>
    </row>
    <row r="36" customFormat="false" ht="15" hidden="false" customHeight="false" outlineLevel="0" collapsed="false">
      <c r="A36" s="2"/>
      <c r="B36" s="11" t="s">
        <v>86</v>
      </c>
      <c r="C36" s="17" t="n">
        <f aca="false">COUNTIF(Trades!$P$2:$P$1846,"&lt;10")</f>
        <v>39</v>
      </c>
      <c r="D36" s="15"/>
      <c r="E36" s="14" t="s">
        <v>87</v>
      </c>
    </row>
    <row r="37" customFormat="false" ht="15" hidden="false" customHeight="false" outlineLevel="0" collapsed="false">
      <c r="A37" s="2"/>
      <c r="B37" s="11" t="s">
        <v>88</v>
      </c>
      <c r="C37" s="17" t="n">
        <f aca="false">COUNTIF(Trades!$P$2:$P$1846,"&lt;60")</f>
        <v>134</v>
      </c>
      <c r="D37" s="15"/>
      <c r="E37" s="14"/>
    </row>
    <row r="38" customFormat="false" ht="15" hidden="false" customHeight="false" outlineLevel="0" collapsed="false">
      <c r="A38" s="2"/>
      <c r="B38" s="9" t="s">
        <v>89</v>
      </c>
      <c r="C38" s="10"/>
      <c r="D38" s="10"/>
      <c r="E38" s="10"/>
    </row>
    <row r="39" customFormat="false" ht="15" hidden="false" customHeight="false" outlineLevel="0" collapsed="false">
      <c r="A39" s="2"/>
      <c r="B39" s="11" t="s">
        <v>90</v>
      </c>
      <c r="C39" s="17" t="n">
        <f aca="false">COUNTIF(Trades!$T$2:$T$1846,"Take profit")</f>
        <v>62</v>
      </c>
      <c r="D39" s="15"/>
      <c r="E39" s="14" t="s">
        <v>91</v>
      </c>
    </row>
    <row r="40" customFormat="false" ht="15" hidden="false" customHeight="false" outlineLevel="0" collapsed="false">
      <c r="A40" s="2"/>
      <c r="B40" s="11" t="s">
        <v>92</v>
      </c>
      <c r="C40" s="17" t="n">
        <f aca="false">COUNTIF(Trades!$T$2:$T$1846,"Initial stop loss")</f>
        <v>496</v>
      </c>
      <c r="D40" s="15"/>
      <c r="E40" s="14" t="s">
        <v>93</v>
      </c>
    </row>
    <row r="41" customFormat="false" ht="15" hidden="false" customHeight="false" outlineLevel="0" collapsed="false">
      <c r="A41" s="2"/>
      <c r="B41" s="11" t="s">
        <v>94</v>
      </c>
      <c r="C41" s="12" t="n">
        <f aca="false">SUMIF(Trades!$T$2:$T$1846,"Initial stop loss",Trades!$W$2:$W$1846)</f>
        <v>-19025.05</v>
      </c>
      <c r="D41" s="15"/>
      <c r="E41" s="14"/>
    </row>
    <row r="42" customFormat="false" ht="15" hidden="false" customHeight="false" outlineLevel="0" collapsed="false">
      <c r="A42" s="2"/>
      <c r="B42" s="11" t="s">
        <v>95</v>
      </c>
      <c r="C42" s="17" t="n">
        <f aca="false">COUNTIF(Trades!$T$2:$T$1846,"Breakeven/trailing stop")</f>
        <v>1204</v>
      </c>
      <c r="D42" s="15"/>
      <c r="E42" s="14" t="s">
        <v>96</v>
      </c>
    </row>
    <row r="43" customFormat="false" ht="15" hidden="false" customHeight="false" outlineLevel="0" collapsed="false">
      <c r="A43" s="2"/>
      <c r="B43" s="11" t="s">
        <v>97</v>
      </c>
      <c r="C43" s="12" t="n">
        <f aca="false">SUMIF(Trades!$T$2:$T$1846,"Breakeven/trailing stop",Trades!$W$2:$W$1846)</f>
        <v>2954.52</v>
      </c>
      <c r="D43" s="15"/>
      <c r="E43" s="14"/>
    </row>
    <row r="44" customFormat="false" ht="15" hidden="false" customHeight="false" outlineLevel="0" collapsed="false">
      <c r="A44" s="2"/>
      <c r="B44" s="11" t="s">
        <v>98</v>
      </c>
      <c r="C44" s="17" t="n">
        <f aca="false">COUNTIF(Trades!$T$2:$T$1846,"Closed by EA (no SL)")</f>
        <v>83</v>
      </c>
      <c r="D44" s="15"/>
      <c r="E44" s="14" t="s">
        <v>99</v>
      </c>
    </row>
    <row r="45" customFormat="false" ht="15" hidden="false" customHeight="false" outlineLevel="0" collapsed="false">
      <c r="A45" s="2"/>
      <c r="B45" s="11" t="s">
        <v>100</v>
      </c>
      <c r="C45" s="12" t="n">
        <f aca="false">SUMIF(Trades!$T$2:$T$1846,"Closed by EA (no SL)",Trades!$W$2:$W$1846)</f>
        <v>4761.72</v>
      </c>
      <c r="D45" s="15"/>
      <c r="E45" s="14"/>
    </row>
    <row r="46" customFormat="false" ht="15" hidden="false" customHeight="false" outlineLevel="0" collapsed="false">
      <c r="A46" s="2"/>
      <c r="B46" s="2"/>
      <c r="C46" s="2"/>
      <c r="D46" s="2"/>
      <c r="E46" s="2"/>
    </row>
    <row r="47" customFormat="false" ht="17.35" hidden="false" customHeight="false" outlineLevel="0" collapsed="false">
      <c r="A47" s="2"/>
      <c r="B47" s="1" t="s">
        <v>101</v>
      </c>
      <c r="C47" s="2"/>
      <c r="D47" s="2"/>
      <c r="E47" s="2"/>
    </row>
    <row r="48" customFormat="false" ht="31.5" hidden="false" customHeight="true" outlineLevel="0" collapsed="false">
      <c r="A48" s="2"/>
      <c r="B48" s="20" t="s">
        <v>102</v>
      </c>
      <c r="C48" s="20"/>
      <c r="D48" s="20"/>
      <c r="E48" s="20"/>
    </row>
    <row r="49" customFormat="false" ht="31.5" hidden="false" customHeight="true" outlineLevel="0" collapsed="false">
      <c r="A49" s="2"/>
      <c r="B49" s="20" t="s">
        <v>103</v>
      </c>
      <c r="C49" s="20"/>
      <c r="D49" s="20"/>
      <c r="E49" s="20"/>
    </row>
    <row r="50" customFormat="false" ht="31.5" hidden="false" customHeight="true" outlineLevel="0" collapsed="false">
      <c r="A50" s="2"/>
      <c r="B50" s="20" t="s">
        <v>104</v>
      </c>
      <c r="C50" s="20"/>
      <c r="D50" s="20"/>
      <c r="E50" s="20"/>
    </row>
    <row r="51" customFormat="false" ht="31.5" hidden="false" customHeight="true" outlineLevel="0" collapsed="false">
      <c r="A51" s="2"/>
      <c r="B51" s="20" t="s">
        <v>105</v>
      </c>
      <c r="C51" s="20"/>
      <c r="D51" s="20"/>
      <c r="E51" s="20"/>
    </row>
    <row r="52" customFormat="false" ht="31.5" hidden="false" customHeight="true" outlineLevel="0" collapsed="false">
      <c r="A52" s="2"/>
      <c r="B52" s="20" t="s">
        <v>106</v>
      </c>
      <c r="C52" s="20"/>
      <c r="D52" s="20"/>
      <c r="E52" s="20"/>
    </row>
    <row r="53" customFormat="false" ht="31.5" hidden="false" customHeight="true" outlineLevel="0" collapsed="false">
      <c r="A53" s="2"/>
      <c r="B53" s="20" t="s">
        <v>107</v>
      </c>
      <c r="C53" s="20"/>
      <c r="D53" s="20"/>
      <c r="E53" s="20"/>
    </row>
  </sheetData>
  <mergeCells count="6">
    <mergeCell ref="B48:E48"/>
    <mergeCell ref="B49:E49"/>
    <mergeCell ref="B50:E50"/>
    <mergeCell ref="B51:E51"/>
    <mergeCell ref="B52:E52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1"/>
    <col collapsed="false" customWidth="true" hidden="false" outlineLevel="0" max="9" min="9" style="0" width="8"/>
    <col collapsed="false" customWidth="true" hidden="false" outlineLevel="0" max="13" min="10" style="0" width="10"/>
    <col collapsed="false" customWidth="true" hidden="false" outlineLevel="0" max="14" min="14" style="0" width="8"/>
    <col collapsed="false" customWidth="true" hidden="false" outlineLevel="0" max="16" min="15" style="0" width="12"/>
    <col collapsed="false" customWidth="true" hidden="false" outlineLevel="0" max="17" min="17" style="0" width="9"/>
    <col collapsed="false" customWidth="true" hidden="false" outlineLevel="0" max="18" min="18" style="0" width="34"/>
  </cols>
  <sheetData>
    <row r="1" customFormat="false" ht="31.5" hidden="false" customHeight="true" outlineLevel="0" collapsed="false">
      <c r="A1" s="21" t="s">
        <v>108</v>
      </c>
      <c r="B1" s="21" t="s">
        <v>7</v>
      </c>
      <c r="C1" s="21" t="s">
        <v>109</v>
      </c>
      <c r="D1" s="21" t="s">
        <v>110</v>
      </c>
      <c r="E1" s="21" t="s">
        <v>54</v>
      </c>
      <c r="F1" s="21" t="s">
        <v>111</v>
      </c>
      <c r="G1" s="21" t="s">
        <v>112</v>
      </c>
      <c r="H1" s="21" t="s">
        <v>39</v>
      </c>
      <c r="I1" s="21" t="s">
        <v>64</v>
      </c>
      <c r="J1" s="21" t="s">
        <v>56</v>
      </c>
      <c r="K1" s="21" t="s">
        <v>58</v>
      </c>
      <c r="L1" s="21" t="s">
        <v>113</v>
      </c>
      <c r="M1" s="21" t="s">
        <v>114</v>
      </c>
      <c r="N1" s="21" t="s">
        <v>115</v>
      </c>
      <c r="O1" s="21" t="s">
        <v>116</v>
      </c>
      <c r="P1" s="21" t="s">
        <v>117</v>
      </c>
      <c r="Q1" s="21" t="s">
        <v>118</v>
      </c>
      <c r="R1" s="21" t="s">
        <v>119</v>
      </c>
    </row>
    <row r="2" customFormat="false" ht="15" hidden="false" customHeight="false" outlineLevel="0" collapsed="false">
      <c r="A2" s="22" t="s">
        <v>120</v>
      </c>
      <c r="B2" s="22" t="n">
        <f aca="false">COUNTIFS(Trades!$B$2:$B$1846,$A2)</f>
        <v>34</v>
      </c>
      <c r="C2" s="22" t="n">
        <f aca="false">COUNTIFS(Trades!$B$2:$B$1846,$A2,Trades!$Y$2:$Y$1846,"Win")</f>
        <v>21</v>
      </c>
      <c r="D2" s="22" t="n">
        <f aca="false">COUNTIFS(Trades!$B$2:$B$1846,$A2,Trades!$Y$2:$Y$1846,"Loss")</f>
        <v>13</v>
      </c>
      <c r="E2" s="23" t="n">
        <f aca="false">IFERROR(C2/B2,0)</f>
        <v>0.617647058823529</v>
      </c>
      <c r="F2" s="24" t="n">
        <f aca="false">SUMIFS(Trades!$W$2:$W$1846,Trades!$B$2:$B$1846,$A2,Trades!$W$2:$W$1846,"&gt;0")</f>
        <v>562.92</v>
      </c>
      <c r="G2" s="24" t="n">
        <f aca="false">SUMIFS(Trades!$W$2:$W$1846,Trades!$B$2:$B$1846,$A2,Trades!$W$2:$W$1846,"&lt;0")</f>
        <v>-613.81</v>
      </c>
      <c r="H2" s="24" t="n">
        <f aca="false">F2+G2</f>
        <v>-50.89</v>
      </c>
      <c r="I2" s="25" t="n">
        <f aca="false">IFERROR(F2/-G2,"no losses")</f>
        <v>0.91709160815236</v>
      </c>
      <c r="J2" s="24" t="n">
        <f aca="false">IFERROR(F2/C2,0)</f>
        <v>26.8057142857143</v>
      </c>
      <c r="K2" s="24" t="n">
        <f aca="false">IFERROR(G2/D2,0)</f>
        <v>-47.2161538461538</v>
      </c>
      <c r="L2" s="24" t="n">
        <f aca="false">_xlfn.MAXIFS(Trades!$W$2:$W$1846,Trades!$B$2:$B$1846,$A2)</f>
        <v>144.27</v>
      </c>
      <c r="M2" s="24" t="n">
        <f aca="false">_xlfn.MINIFS(Trades!$W$2:$W$1846,Trades!$B$2:$B$1846,$A2)</f>
        <v>-54.08</v>
      </c>
      <c r="N2" s="26" t="n">
        <f aca="false">IFERROR(AVERAGEIFS(Trades!$X$2:$X$1846,Trades!$B$2:$B$1846,$A2),0)</f>
        <v>-0.0151960784313726</v>
      </c>
      <c r="O2" s="24" t="n">
        <f aca="false">Summary!$C$5</f>
        <v>5000</v>
      </c>
      <c r="P2" s="24" t="n">
        <f aca="false">O2+H2</f>
        <v>4949.11</v>
      </c>
      <c r="Q2" s="23" t="n">
        <f aca="false">IFERROR(H2/O2,0)</f>
        <v>-0.010178</v>
      </c>
      <c r="R2" s="22" t="str">
        <f aca="false">IF(H2&gt;0,"Up month",IF(H2&lt;0,"Down month","Flat"))&amp;" | "&amp;B2&amp;" trades, "&amp;TEXT(E2,"0%")&amp;" won"</f>
        <v>Down month | 34 trades, 62% won</v>
      </c>
    </row>
    <row r="3" customFormat="false" ht="15" hidden="false" customHeight="false" outlineLevel="0" collapsed="false">
      <c r="A3" s="22" t="s">
        <v>121</v>
      </c>
      <c r="B3" s="22" t="n">
        <f aca="false">COUNTIFS(Trades!$B$2:$B$1846,$A3)</f>
        <v>37</v>
      </c>
      <c r="C3" s="22" t="n">
        <f aca="false">COUNTIFS(Trades!$B$2:$B$1846,$A3,Trades!$Y$2:$Y$1846,"Win")</f>
        <v>27</v>
      </c>
      <c r="D3" s="22" t="n">
        <f aca="false">COUNTIFS(Trades!$B$2:$B$1846,$A3,Trades!$Y$2:$Y$1846,"Loss")</f>
        <v>10</v>
      </c>
      <c r="E3" s="23" t="n">
        <f aca="false">IFERROR(C3/B3,0)</f>
        <v>0.72972972972973</v>
      </c>
      <c r="F3" s="24" t="n">
        <f aca="false">SUMIFS(Trades!$W$2:$W$1846,Trades!$B$2:$B$1846,$A3,Trades!$W$2:$W$1846,"&gt;0")</f>
        <v>94.49</v>
      </c>
      <c r="G3" s="24" t="n">
        <f aca="false">SUMIFS(Trades!$W$2:$W$1846,Trades!$B$2:$B$1846,$A3,Trades!$W$2:$W$1846,"&lt;0")</f>
        <v>-458.62</v>
      </c>
      <c r="H3" s="24" t="n">
        <f aca="false">F3+G3</f>
        <v>-364.13</v>
      </c>
      <c r="I3" s="25" t="n">
        <f aca="false">IFERROR(F3/-G3,"no losses")</f>
        <v>0.206031136888928</v>
      </c>
      <c r="J3" s="24" t="n">
        <f aca="false">IFERROR(F3/C3,0)</f>
        <v>3.49962962962963</v>
      </c>
      <c r="K3" s="24" t="n">
        <f aca="false">IFERROR(G3/D3,0)</f>
        <v>-45.862</v>
      </c>
      <c r="L3" s="24" t="n">
        <f aca="false">_xlfn.MAXIFS(Trades!$W$2:$W$1846,Trades!$B$2:$B$1846,$A3)</f>
        <v>4</v>
      </c>
      <c r="M3" s="24" t="n">
        <f aca="false">_xlfn.MINIFS(Trades!$W$2:$W$1846,Trades!$B$2:$B$1846,$A3)</f>
        <v>-48.8</v>
      </c>
      <c r="N3" s="26" t="n">
        <f aca="false">IFERROR(AVERAGEIFS(Trades!$X$2:$X$1846,Trades!$B$2:$B$1846,$A3),0)</f>
        <v>-0.219954954954955</v>
      </c>
      <c r="O3" s="24" t="n">
        <f aca="false">P2</f>
        <v>4949.11</v>
      </c>
      <c r="P3" s="24" t="n">
        <f aca="false">O3+H3</f>
        <v>4584.98</v>
      </c>
      <c r="Q3" s="23" t="n">
        <f aca="false">IFERROR(H3/O3,0)</f>
        <v>-0.0735748447700698</v>
      </c>
      <c r="R3" s="22" t="str">
        <f aca="false">IF(H3&gt;0,"Up month",IF(H3&lt;0,"Down month","Flat"))&amp;" | "&amp;B3&amp;" trades, "&amp;TEXT(E3,"0%")&amp;" won"</f>
        <v>Down month | 37 trades, 73% won</v>
      </c>
    </row>
    <row r="4" customFormat="false" ht="15" hidden="false" customHeight="false" outlineLevel="0" collapsed="false">
      <c r="A4" s="22" t="s">
        <v>122</v>
      </c>
      <c r="B4" s="22" t="n">
        <f aca="false">COUNTIFS(Trades!$B$2:$B$1846,$A4)</f>
        <v>36</v>
      </c>
      <c r="C4" s="22" t="n">
        <f aca="false">COUNTIFS(Trades!$B$2:$B$1846,$A4,Trades!$Y$2:$Y$1846,"Win")</f>
        <v>23</v>
      </c>
      <c r="D4" s="22" t="n">
        <f aca="false">COUNTIFS(Trades!$B$2:$B$1846,$A4,Trades!$Y$2:$Y$1846,"Loss")</f>
        <v>13</v>
      </c>
      <c r="E4" s="23" t="n">
        <f aca="false">IFERROR(C4/B4,0)</f>
        <v>0.638888888888889</v>
      </c>
      <c r="F4" s="24" t="n">
        <f aca="false">SUMIFS(Trades!$W$2:$W$1846,Trades!$B$2:$B$1846,$A4,Trades!$W$2:$W$1846,"&gt;0")</f>
        <v>306.11</v>
      </c>
      <c r="G4" s="24" t="n">
        <f aca="false">SUMIFS(Trades!$W$2:$W$1846,Trades!$B$2:$B$1846,$A4,Trades!$W$2:$W$1846,"&lt;0")</f>
        <v>-544.53</v>
      </c>
      <c r="H4" s="24" t="n">
        <f aca="false">F4+G4</f>
        <v>-238.42</v>
      </c>
      <c r="I4" s="25" t="n">
        <f aca="false">IFERROR(F4/-G4,"no losses")</f>
        <v>0.562154518575653</v>
      </c>
      <c r="J4" s="24" t="n">
        <f aca="false">IFERROR(F4/C4,0)</f>
        <v>13.3091304347826</v>
      </c>
      <c r="K4" s="24" t="n">
        <f aca="false">IFERROR(G4/D4,0)</f>
        <v>-41.8869230769231</v>
      </c>
      <c r="L4" s="24" t="n">
        <f aca="false">_xlfn.MAXIFS(Trades!$W$2:$W$1846,Trades!$B$2:$B$1846,$A4)</f>
        <v>145.11</v>
      </c>
      <c r="M4" s="24" t="n">
        <f aca="false">_xlfn.MINIFS(Trades!$W$2:$W$1846,Trades!$B$2:$B$1846,$A4)</f>
        <v>-48.44</v>
      </c>
      <c r="N4" s="26" t="n">
        <f aca="false">IFERROR(AVERAGEIFS(Trades!$X$2:$X$1846,Trades!$B$2:$B$1846,$A4),0)</f>
        <v>-0.157685185185185</v>
      </c>
      <c r="O4" s="24" t="n">
        <f aca="false">P3</f>
        <v>4584.98</v>
      </c>
      <c r="P4" s="24" t="n">
        <f aca="false">O4+H4</f>
        <v>4346.56</v>
      </c>
      <c r="Q4" s="23" t="n">
        <f aca="false">IFERROR(H4/O4,0)</f>
        <v>-0.0520002268275979</v>
      </c>
      <c r="R4" s="22" t="str">
        <f aca="false">IF(H4&gt;0,"Up month",IF(H4&lt;0,"Down month","Flat"))&amp;" | "&amp;B4&amp;" trades, "&amp;TEXT(E4,"0%")&amp;" won"</f>
        <v>Down month | 36 trades, 64% won</v>
      </c>
    </row>
    <row r="5" customFormat="false" ht="15" hidden="false" customHeight="false" outlineLevel="0" collapsed="false">
      <c r="A5" s="22" t="s">
        <v>123</v>
      </c>
      <c r="B5" s="22" t="n">
        <f aca="false">COUNTIFS(Trades!$B$2:$B$1846,$A5)</f>
        <v>33</v>
      </c>
      <c r="C5" s="22" t="n">
        <f aca="false">COUNTIFS(Trades!$B$2:$B$1846,$A5,Trades!$Y$2:$Y$1846,"Win")</f>
        <v>23</v>
      </c>
      <c r="D5" s="22" t="n">
        <f aca="false">COUNTIFS(Trades!$B$2:$B$1846,$A5,Trades!$Y$2:$Y$1846,"Loss")</f>
        <v>10</v>
      </c>
      <c r="E5" s="23" t="n">
        <f aca="false">IFERROR(C5/B5,0)</f>
        <v>0.696969696969697</v>
      </c>
      <c r="F5" s="24" t="n">
        <f aca="false">SUMIFS(Trades!$W$2:$W$1846,Trades!$B$2:$B$1846,$A5,Trades!$W$2:$W$1846,"&gt;0")</f>
        <v>321.79</v>
      </c>
      <c r="G5" s="24" t="n">
        <f aca="false">SUMIFS(Trades!$W$2:$W$1846,Trades!$B$2:$B$1846,$A5,Trades!$W$2:$W$1846,"&lt;0")</f>
        <v>-392.07</v>
      </c>
      <c r="H5" s="24" t="n">
        <f aca="false">F5+G5</f>
        <v>-70.28</v>
      </c>
      <c r="I5" s="25" t="n">
        <f aca="false">IFERROR(F5/-G5,"no losses")</f>
        <v>0.82074629530441</v>
      </c>
      <c r="J5" s="24" t="n">
        <f aca="false">IFERROR(F5/C5,0)</f>
        <v>13.9908695652174</v>
      </c>
      <c r="K5" s="24" t="n">
        <f aca="false">IFERROR(G5/D5,0)</f>
        <v>-39.207</v>
      </c>
      <c r="L5" s="24" t="n">
        <f aca="false">_xlfn.MAXIFS(Trades!$W$2:$W$1846,Trades!$B$2:$B$1846,$A5)</f>
        <v>221.69</v>
      </c>
      <c r="M5" s="24" t="n">
        <f aca="false">_xlfn.MINIFS(Trades!$W$2:$W$1846,Trades!$B$2:$B$1846,$A5)</f>
        <v>-44.31</v>
      </c>
      <c r="N5" s="26" t="n">
        <f aca="false">IFERROR(AVERAGEIFS(Trades!$X$2:$X$1846,Trades!$B$2:$B$1846,$A5),0)</f>
        <v>-0.0507070707070707</v>
      </c>
      <c r="O5" s="24" t="n">
        <f aca="false">P4</f>
        <v>4346.56</v>
      </c>
      <c r="P5" s="24" t="n">
        <f aca="false">O5+H5</f>
        <v>4276.28</v>
      </c>
      <c r="Q5" s="23" t="n">
        <f aca="false">IFERROR(H5/O5,0)</f>
        <v>-0.016169108444379</v>
      </c>
      <c r="R5" s="22" t="str">
        <f aca="false">IF(H5&gt;0,"Up month",IF(H5&lt;0,"Down month","Flat"))&amp;" | "&amp;B5&amp;" trades, "&amp;TEXT(E5,"0%")&amp;" won"</f>
        <v>Down month | 33 trades, 70% won</v>
      </c>
    </row>
    <row r="6" customFormat="false" ht="15" hidden="false" customHeight="false" outlineLevel="0" collapsed="false">
      <c r="A6" s="22" t="s">
        <v>124</v>
      </c>
      <c r="B6" s="22" t="n">
        <f aca="false">COUNTIFS(Trades!$B$2:$B$1846,$A6)</f>
        <v>38</v>
      </c>
      <c r="C6" s="22" t="n">
        <f aca="false">COUNTIFS(Trades!$B$2:$B$1846,$A6,Trades!$Y$2:$Y$1846,"Win")</f>
        <v>25</v>
      </c>
      <c r="D6" s="22" t="n">
        <f aca="false">COUNTIFS(Trades!$B$2:$B$1846,$A6,Trades!$Y$2:$Y$1846,"Loss")</f>
        <v>13</v>
      </c>
      <c r="E6" s="23" t="n">
        <f aca="false">IFERROR(C6/B6,0)</f>
        <v>0.657894736842105</v>
      </c>
      <c r="F6" s="24" t="n">
        <f aca="false">SUMIFS(Trades!$W$2:$W$1846,Trades!$B$2:$B$1846,$A6,Trades!$W$2:$W$1846,"&gt;0")</f>
        <v>323.38</v>
      </c>
      <c r="G6" s="24" t="n">
        <f aca="false">SUMIFS(Trades!$W$2:$W$1846,Trades!$B$2:$B$1846,$A6,Trades!$W$2:$W$1846,"&lt;0")</f>
        <v>-528.13</v>
      </c>
      <c r="H6" s="24" t="n">
        <f aca="false">F6+G6</f>
        <v>-204.75</v>
      </c>
      <c r="I6" s="25" t="n">
        <f aca="false">IFERROR(F6/-G6,"no losses")</f>
        <v>0.612311362732661</v>
      </c>
      <c r="J6" s="24" t="n">
        <f aca="false">IFERROR(F6/C6,0)</f>
        <v>12.9352</v>
      </c>
      <c r="K6" s="24" t="n">
        <f aca="false">IFERROR(G6/D6,0)</f>
        <v>-40.6253846153846</v>
      </c>
      <c r="L6" s="24" t="n">
        <f aca="false">_xlfn.MAXIFS(Trades!$W$2:$W$1846,Trades!$B$2:$B$1846,$A6)</f>
        <v>139.09</v>
      </c>
      <c r="M6" s="24" t="n">
        <f aca="false">_xlfn.MINIFS(Trades!$W$2:$W$1846,Trades!$B$2:$B$1846,$A6)</f>
        <v>-42.49</v>
      </c>
      <c r="N6" s="26" t="n">
        <f aca="false">IFERROR(AVERAGEIFS(Trades!$X$2:$X$1846,Trades!$B$2:$B$1846,$A6),0)</f>
        <v>-0.134473684210526</v>
      </c>
      <c r="O6" s="24" t="n">
        <f aca="false">P5</f>
        <v>4276.28</v>
      </c>
      <c r="P6" s="24" t="n">
        <f aca="false">O6+H6</f>
        <v>4071.53</v>
      </c>
      <c r="Q6" s="23" t="n">
        <f aca="false">IFERROR(H6/O6,0)</f>
        <v>-0.047880400722123</v>
      </c>
      <c r="R6" s="22" t="str">
        <f aca="false">IF(H6&gt;0,"Up month",IF(H6&lt;0,"Down month","Flat"))&amp;" | "&amp;B6&amp;" trades, "&amp;TEXT(E6,"0%")&amp;" won"</f>
        <v>Down month | 38 trades, 66% won</v>
      </c>
    </row>
    <row r="7" customFormat="false" ht="15" hidden="false" customHeight="false" outlineLevel="0" collapsed="false">
      <c r="A7" s="22" t="s">
        <v>125</v>
      </c>
      <c r="B7" s="22" t="n">
        <f aca="false">COUNTIFS(Trades!$B$2:$B$1846,$A7)</f>
        <v>35</v>
      </c>
      <c r="C7" s="22" t="n">
        <f aca="false">COUNTIFS(Trades!$B$2:$B$1846,$A7,Trades!$Y$2:$Y$1846,"Win")</f>
        <v>25</v>
      </c>
      <c r="D7" s="22" t="n">
        <f aca="false">COUNTIFS(Trades!$B$2:$B$1846,$A7,Trades!$Y$2:$Y$1846,"Loss")</f>
        <v>10</v>
      </c>
      <c r="E7" s="23" t="n">
        <f aca="false">IFERROR(C7/B7,0)</f>
        <v>0.714285714285714</v>
      </c>
      <c r="F7" s="24" t="n">
        <f aca="false">SUMIFS(Trades!$W$2:$W$1846,Trades!$B$2:$B$1846,$A7,Trades!$W$2:$W$1846,"&gt;0")</f>
        <v>132.24</v>
      </c>
      <c r="G7" s="24" t="n">
        <f aca="false">SUMIFS(Trades!$W$2:$W$1846,Trades!$B$2:$B$1846,$A7,Trades!$W$2:$W$1846,"&lt;0")</f>
        <v>-353.76</v>
      </c>
      <c r="H7" s="24" t="n">
        <f aca="false">F7+G7</f>
        <v>-221.52</v>
      </c>
      <c r="I7" s="25" t="n">
        <f aca="false">IFERROR(F7/-G7,"no losses")</f>
        <v>0.373812754409769</v>
      </c>
      <c r="J7" s="24" t="n">
        <f aca="false">IFERROR(F7/C7,0)</f>
        <v>5.2896</v>
      </c>
      <c r="K7" s="24" t="n">
        <f aca="false">IFERROR(G7/D7,0)</f>
        <v>-35.376</v>
      </c>
      <c r="L7" s="24" t="n">
        <f aca="false">_xlfn.MAXIFS(Trades!$W$2:$W$1846,Trades!$B$2:$B$1846,$A7)</f>
        <v>57.54</v>
      </c>
      <c r="M7" s="24" t="n">
        <f aca="false">_xlfn.MINIFS(Trades!$W$2:$W$1846,Trades!$B$2:$B$1846,$A7)</f>
        <v>-50.82</v>
      </c>
      <c r="N7" s="26" t="n">
        <f aca="false">IFERROR(AVERAGEIFS(Trades!$X$2:$X$1846,Trades!$B$2:$B$1846,$A7),0)</f>
        <v>-0.175809523809524</v>
      </c>
      <c r="O7" s="24" t="n">
        <f aca="false">P6</f>
        <v>4071.53</v>
      </c>
      <c r="P7" s="24" t="n">
        <f aca="false">O7+H7</f>
        <v>3850.01</v>
      </c>
      <c r="Q7" s="23" t="n">
        <f aca="false">IFERROR(H7/O7,0)</f>
        <v>-0.05440706564854</v>
      </c>
      <c r="R7" s="22" t="str">
        <f aca="false">IF(H7&gt;0,"Up month",IF(H7&lt;0,"Down month","Flat"))&amp;" | "&amp;B7&amp;" trades, "&amp;TEXT(E7,"0%")&amp;" won"</f>
        <v>Down month | 35 trades, 71% won</v>
      </c>
    </row>
    <row r="8" customFormat="false" ht="15" hidden="false" customHeight="false" outlineLevel="0" collapsed="false">
      <c r="A8" s="22" t="s">
        <v>126</v>
      </c>
      <c r="B8" s="22" t="n">
        <f aca="false">COUNTIFS(Trades!$B$2:$B$1846,$A8)</f>
        <v>29</v>
      </c>
      <c r="C8" s="22" t="n">
        <f aca="false">COUNTIFS(Trades!$B$2:$B$1846,$A8,Trades!$Y$2:$Y$1846,"Win")</f>
        <v>23</v>
      </c>
      <c r="D8" s="22" t="n">
        <f aca="false">COUNTIFS(Trades!$B$2:$B$1846,$A8,Trades!$Y$2:$Y$1846,"Loss")</f>
        <v>6</v>
      </c>
      <c r="E8" s="23" t="n">
        <f aca="false">IFERROR(C8/B8,0)</f>
        <v>0.793103448275862</v>
      </c>
      <c r="F8" s="24" t="n">
        <f aca="false">SUMIFS(Trades!$W$2:$W$1846,Trades!$B$2:$B$1846,$A8,Trades!$W$2:$W$1846,"&gt;0")</f>
        <v>444.84</v>
      </c>
      <c r="G8" s="24" t="n">
        <f aca="false">SUMIFS(Trades!$W$2:$W$1846,Trades!$B$2:$B$1846,$A8,Trades!$W$2:$W$1846,"&lt;0")</f>
        <v>-217.44</v>
      </c>
      <c r="H8" s="24" t="n">
        <f aca="false">F8+G8</f>
        <v>227.4</v>
      </c>
      <c r="I8" s="25" t="n">
        <f aca="false">IFERROR(F8/-G8,"no losses")</f>
        <v>2.04580573951435</v>
      </c>
      <c r="J8" s="24" t="n">
        <f aca="false">IFERROR(F8/C8,0)</f>
        <v>19.3408695652174</v>
      </c>
      <c r="K8" s="24" t="n">
        <f aca="false">IFERROR(G8/D8,0)</f>
        <v>-36.24</v>
      </c>
      <c r="L8" s="24" t="n">
        <f aca="false">_xlfn.MAXIFS(Trades!$W$2:$W$1846,Trades!$B$2:$B$1846,$A8)</f>
        <v>130.32</v>
      </c>
      <c r="M8" s="24" t="n">
        <f aca="false">_xlfn.MINIFS(Trades!$W$2:$W$1846,Trades!$B$2:$B$1846,$A8)</f>
        <v>-36.6</v>
      </c>
      <c r="N8" s="26" t="n">
        <f aca="false">IFERROR(AVERAGEIFS(Trades!$X$2:$X$1846,Trades!$B$2:$B$1846,$A8),0)</f>
        <v>0.217816091954023</v>
      </c>
      <c r="O8" s="24" t="n">
        <f aca="false">P7</f>
        <v>3850.01</v>
      </c>
      <c r="P8" s="24" t="n">
        <f aca="false">O8+H8</f>
        <v>4077.41</v>
      </c>
      <c r="Q8" s="23" t="n">
        <f aca="false">IFERROR(H8/O8,0)</f>
        <v>0.0590647816499178</v>
      </c>
      <c r="R8" s="22" t="str">
        <f aca="false">IF(H8&gt;0,"Up month",IF(H8&lt;0,"Down month","Flat"))&amp;" | "&amp;B8&amp;" trades, "&amp;TEXT(E8,"0%")&amp;" won"</f>
        <v>Up month | 29 trades, 79% won</v>
      </c>
    </row>
    <row r="9" customFormat="false" ht="15" hidden="false" customHeight="false" outlineLevel="0" collapsed="false">
      <c r="A9" s="22" t="s">
        <v>127</v>
      </c>
      <c r="B9" s="22" t="n">
        <f aca="false">COUNTIFS(Trades!$B$2:$B$1846,$A9)</f>
        <v>37</v>
      </c>
      <c r="C9" s="22" t="n">
        <f aca="false">COUNTIFS(Trades!$B$2:$B$1846,$A9,Trades!$Y$2:$Y$1846,"Win")</f>
        <v>30</v>
      </c>
      <c r="D9" s="22" t="n">
        <f aca="false">COUNTIFS(Trades!$B$2:$B$1846,$A9,Trades!$Y$2:$Y$1846,"Loss")</f>
        <v>7</v>
      </c>
      <c r="E9" s="23" t="n">
        <f aca="false">IFERROR(C9/B9,0)</f>
        <v>0.810810810810811</v>
      </c>
      <c r="F9" s="24" t="n">
        <f aca="false">SUMIFS(Trades!$W$2:$W$1846,Trades!$B$2:$B$1846,$A9,Trades!$W$2:$W$1846,"&gt;0")</f>
        <v>680.5</v>
      </c>
      <c r="G9" s="24" t="n">
        <f aca="false">SUMIFS(Trades!$W$2:$W$1846,Trades!$B$2:$B$1846,$A9,Trades!$W$2:$W$1846,"&lt;0")</f>
        <v>-278.94</v>
      </c>
      <c r="H9" s="24" t="n">
        <f aca="false">F9+G9</f>
        <v>401.56</v>
      </c>
      <c r="I9" s="25" t="n">
        <f aca="false">IFERROR(F9/-G9,"no losses")</f>
        <v>2.43959274395927</v>
      </c>
      <c r="J9" s="24" t="n">
        <f aca="false">IFERROR(F9/C9,0)</f>
        <v>22.6833333333333</v>
      </c>
      <c r="K9" s="24" t="n">
        <f aca="false">IFERROR(G9/D9,0)</f>
        <v>-39.8485714285714</v>
      </c>
      <c r="L9" s="24" t="n">
        <f aca="false">_xlfn.MAXIFS(Trades!$W$2:$W$1846,Trades!$B$2:$B$1846,$A9)</f>
        <v>208.88</v>
      </c>
      <c r="M9" s="24" t="n">
        <f aca="false">_xlfn.MINIFS(Trades!$W$2:$W$1846,Trades!$B$2:$B$1846,$A9)</f>
        <v>-42.7</v>
      </c>
      <c r="N9" s="26" t="n">
        <f aca="false">IFERROR(AVERAGEIFS(Trades!$X$2:$X$1846,Trades!$B$2:$B$1846,$A9),0)</f>
        <v>0.288513513513514</v>
      </c>
      <c r="O9" s="24" t="n">
        <f aca="false">P8</f>
        <v>4077.41</v>
      </c>
      <c r="P9" s="24" t="n">
        <f aca="false">O9+H9</f>
        <v>4478.97</v>
      </c>
      <c r="Q9" s="23" t="n">
        <f aca="false">IFERROR(H9/O9,0)</f>
        <v>0.0984840867119078</v>
      </c>
      <c r="R9" s="22" t="str">
        <f aca="false">IF(H9&gt;0,"Up month",IF(H9&lt;0,"Down month","Flat"))&amp;" | "&amp;B9&amp;" trades, "&amp;TEXT(E9,"0%")&amp;" won"</f>
        <v>Up month | 37 trades, 81% won</v>
      </c>
    </row>
    <row r="10" customFormat="false" ht="15" hidden="false" customHeight="false" outlineLevel="0" collapsed="false">
      <c r="A10" s="22" t="s">
        <v>128</v>
      </c>
      <c r="B10" s="22" t="n">
        <f aca="false">COUNTIFS(Trades!$B$2:$B$1846,$A10)</f>
        <v>32</v>
      </c>
      <c r="C10" s="22" t="n">
        <f aca="false">COUNTIFS(Trades!$B$2:$B$1846,$A10,Trades!$Y$2:$Y$1846,"Win")</f>
        <v>27</v>
      </c>
      <c r="D10" s="22" t="n">
        <f aca="false">COUNTIFS(Trades!$B$2:$B$1846,$A10,Trades!$Y$2:$Y$1846,"Loss")</f>
        <v>5</v>
      </c>
      <c r="E10" s="23" t="n">
        <f aca="false">IFERROR(C10/B10,0)</f>
        <v>0.84375</v>
      </c>
      <c r="F10" s="24" t="n">
        <f aca="false">SUMIFS(Trades!$W$2:$W$1846,Trades!$B$2:$B$1846,$A10,Trades!$W$2:$W$1846,"&gt;0")</f>
        <v>499.59</v>
      </c>
      <c r="G10" s="24" t="n">
        <f aca="false">SUMIFS(Trades!$W$2:$W$1846,Trades!$B$2:$B$1846,$A10,Trades!$W$2:$W$1846,"&lt;0")</f>
        <v>-211.96</v>
      </c>
      <c r="H10" s="24" t="n">
        <f aca="false">F10+G10</f>
        <v>287.63</v>
      </c>
      <c r="I10" s="25" t="n">
        <f aca="false">IFERROR(F10/-G10,"no losses")</f>
        <v>2.35700132100396</v>
      </c>
      <c r="J10" s="24" t="n">
        <f aca="false">IFERROR(F10/C10,0)</f>
        <v>18.5033333333333</v>
      </c>
      <c r="K10" s="24" t="n">
        <f aca="false">IFERROR(G10/D10,0)</f>
        <v>-42.392</v>
      </c>
      <c r="L10" s="24" t="n">
        <f aca="false">_xlfn.MAXIFS(Trades!$W$2:$W$1846,Trades!$B$2:$B$1846,$A10)</f>
        <v>162.89</v>
      </c>
      <c r="M10" s="24" t="n">
        <f aca="false">_xlfn.MINIFS(Trades!$W$2:$W$1846,Trades!$B$2:$B$1846,$A10)</f>
        <v>-42.84</v>
      </c>
      <c r="N10" s="26" t="n">
        <f aca="false">IFERROR(AVERAGEIFS(Trades!$X$2:$X$1846,Trades!$B$2:$B$1846,$A10),0)</f>
        <v>0.214010416666667</v>
      </c>
      <c r="O10" s="24" t="n">
        <f aca="false">P9</f>
        <v>4478.97</v>
      </c>
      <c r="P10" s="24" t="n">
        <f aca="false">O10+H10</f>
        <v>4766.6</v>
      </c>
      <c r="Q10" s="23" t="n">
        <f aca="false">IFERROR(H10/O10,0)</f>
        <v>0.0642178893808175</v>
      </c>
      <c r="R10" s="22" t="str">
        <f aca="false">IF(H10&gt;0,"Up month",IF(H10&lt;0,"Down month","Flat"))&amp;" | "&amp;B10&amp;" trades, "&amp;TEXT(E10,"0%")&amp;" won"</f>
        <v>Up month | 32 trades, 84% won</v>
      </c>
    </row>
    <row r="11" customFormat="false" ht="15" hidden="false" customHeight="false" outlineLevel="0" collapsed="false">
      <c r="A11" s="22" t="s">
        <v>129</v>
      </c>
      <c r="B11" s="22" t="n">
        <f aca="false">COUNTIFS(Trades!$B$2:$B$1846,$A11)</f>
        <v>33</v>
      </c>
      <c r="C11" s="22" t="n">
        <f aca="false">COUNTIFS(Trades!$B$2:$B$1846,$A11,Trades!$Y$2:$Y$1846,"Win")</f>
        <v>25</v>
      </c>
      <c r="D11" s="22" t="n">
        <f aca="false">COUNTIFS(Trades!$B$2:$B$1846,$A11,Trades!$Y$2:$Y$1846,"Loss")</f>
        <v>8</v>
      </c>
      <c r="E11" s="23" t="n">
        <f aca="false">IFERROR(C11/B11,0)</f>
        <v>0.757575757575758</v>
      </c>
      <c r="F11" s="24" t="n">
        <f aca="false">SUMIFS(Trades!$W$2:$W$1846,Trades!$B$2:$B$1846,$A11,Trades!$W$2:$W$1846,"&gt;0")</f>
        <v>150.71</v>
      </c>
      <c r="G11" s="24" t="n">
        <f aca="false">SUMIFS(Trades!$W$2:$W$1846,Trades!$B$2:$B$1846,$A11,Trades!$W$2:$W$1846,"&lt;0")</f>
        <v>-349.23</v>
      </c>
      <c r="H11" s="24" t="n">
        <f aca="false">F11+G11</f>
        <v>-198.52</v>
      </c>
      <c r="I11" s="25" t="n">
        <f aca="false">IFERROR(F11/-G11,"no losses")</f>
        <v>0.431549408699138</v>
      </c>
      <c r="J11" s="24" t="n">
        <f aca="false">IFERROR(F11/C11,0)</f>
        <v>6.0284</v>
      </c>
      <c r="K11" s="24" t="n">
        <f aca="false">IFERROR(G11/D11,0)</f>
        <v>-43.65375</v>
      </c>
      <c r="L11" s="24" t="n">
        <f aca="false">_xlfn.MAXIFS(Trades!$W$2:$W$1846,Trades!$B$2:$B$1846,$A11)</f>
        <v>62.65</v>
      </c>
      <c r="M11" s="24" t="n">
        <f aca="false">_xlfn.MINIFS(Trades!$W$2:$W$1846,Trades!$B$2:$B$1846,$A11)</f>
        <v>-48.3</v>
      </c>
      <c r="N11" s="26" t="n">
        <f aca="false">IFERROR(AVERAGEIFS(Trades!$X$2:$X$1846,Trades!$B$2:$B$1846,$A11),0)</f>
        <v>-0.143232323232323</v>
      </c>
      <c r="O11" s="24" t="n">
        <f aca="false">P10</f>
        <v>4766.6</v>
      </c>
      <c r="P11" s="24" t="n">
        <f aca="false">O11+H11</f>
        <v>4568.08</v>
      </c>
      <c r="Q11" s="23" t="n">
        <f aca="false">IFERROR(H11/O11,0)</f>
        <v>-0.0416481349389502</v>
      </c>
      <c r="R11" s="22" t="str">
        <f aca="false">IF(H11&gt;0,"Up month",IF(H11&lt;0,"Down month","Flat"))&amp;" | "&amp;B11&amp;" trades, "&amp;TEXT(E11,"0%")&amp;" won"</f>
        <v>Down month | 33 trades, 76% won</v>
      </c>
    </row>
    <row r="12" customFormat="false" ht="15" hidden="false" customHeight="false" outlineLevel="0" collapsed="false">
      <c r="A12" s="22" t="s">
        <v>130</v>
      </c>
      <c r="B12" s="22" t="n">
        <f aca="false">COUNTIFS(Trades!$B$2:$B$1846,$A12)</f>
        <v>35</v>
      </c>
      <c r="C12" s="22" t="n">
        <f aca="false">COUNTIFS(Trades!$B$2:$B$1846,$A12,Trades!$Y$2:$Y$1846,"Win")</f>
        <v>23</v>
      </c>
      <c r="D12" s="22" t="n">
        <f aca="false">COUNTIFS(Trades!$B$2:$B$1846,$A12,Trades!$Y$2:$Y$1846,"Loss")</f>
        <v>12</v>
      </c>
      <c r="E12" s="23" t="n">
        <f aca="false">IFERROR(C12/B12,0)</f>
        <v>0.657142857142857</v>
      </c>
      <c r="F12" s="24" t="n">
        <f aca="false">SUMIFS(Trades!$W$2:$W$1846,Trades!$B$2:$B$1846,$A12,Trades!$W$2:$W$1846,"&gt;0")</f>
        <v>127.26</v>
      </c>
      <c r="G12" s="24" t="n">
        <f aca="false">SUMIFS(Trades!$W$2:$W$1846,Trades!$B$2:$B$1846,$A12,Trades!$W$2:$W$1846,"&lt;0")</f>
        <v>-474.6</v>
      </c>
      <c r="H12" s="24" t="n">
        <f aca="false">F12+G12</f>
        <v>-347.34</v>
      </c>
      <c r="I12" s="25" t="n">
        <f aca="false">IFERROR(F12/-G12,"no losses")</f>
        <v>0.268141592920354</v>
      </c>
      <c r="J12" s="24" t="n">
        <f aca="false">IFERROR(F12/C12,0)</f>
        <v>5.53304347826087</v>
      </c>
      <c r="K12" s="24" t="n">
        <f aca="false">IFERROR(G12/D12,0)</f>
        <v>-39.55</v>
      </c>
      <c r="L12" s="24" t="n">
        <f aca="false">_xlfn.MAXIFS(Trades!$W$2:$W$1846,Trades!$B$2:$B$1846,$A12)</f>
        <v>54.18</v>
      </c>
      <c r="M12" s="24" t="n">
        <f aca="false">_xlfn.MINIFS(Trades!$W$2:$W$1846,Trades!$B$2:$B$1846,$A12)</f>
        <v>-43.54</v>
      </c>
      <c r="N12" s="26" t="n">
        <f aca="false">IFERROR(AVERAGEIFS(Trades!$X$2:$X$1846,Trades!$B$2:$B$1846,$A12),0)</f>
        <v>-0.236285714285714</v>
      </c>
      <c r="O12" s="24" t="n">
        <f aca="false">P11</f>
        <v>4568.08</v>
      </c>
      <c r="P12" s="24" t="n">
        <f aca="false">O12+H12</f>
        <v>4220.74</v>
      </c>
      <c r="Q12" s="23" t="n">
        <f aca="false">IFERROR(H12/O12,0)</f>
        <v>-0.0760363216055761</v>
      </c>
      <c r="R12" s="22" t="str">
        <f aca="false">IF(H12&gt;0,"Up month",IF(H12&lt;0,"Down month","Flat"))&amp;" | "&amp;B12&amp;" trades, "&amp;TEXT(E12,"0%")&amp;" won"</f>
        <v>Down month | 35 trades, 66% won</v>
      </c>
    </row>
    <row r="13" customFormat="false" ht="15" hidden="false" customHeight="false" outlineLevel="0" collapsed="false">
      <c r="A13" s="22" t="s">
        <v>131</v>
      </c>
      <c r="B13" s="22" t="n">
        <f aca="false">COUNTIFS(Trades!$B$2:$B$1846,$A13)</f>
        <v>31</v>
      </c>
      <c r="C13" s="22" t="n">
        <f aca="false">COUNTIFS(Trades!$B$2:$B$1846,$A13,Trades!$Y$2:$Y$1846,"Win")</f>
        <v>23</v>
      </c>
      <c r="D13" s="22" t="n">
        <f aca="false">COUNTIFS(Trades!$B$2:$B$1846,$A13,Trades!$Y$2:$Y$1846,"Loss")</f>
        <v>8</v>
      </c>
      <c r="E13" s="23" t="n">
        <f aca="false">IFERROR(C13/B13,0)</f>
        <v>0.741935483870968</v>
      </c>
      <c r="F13" s="24" t="n">
        <f aca="false">SUMIFS(Trades!$W$2:$W$1846,Trades!$B$2:$B$1846,$A13,Trades!$W$2:$W$1846,"&gt;0")</f>
        <v>246.46</v>
      </c>
      <c r="G13" s="24" t="n">
        <f aca="false">SUMIFS(Trades!$W$2:$W$1846,Trades!$B$2:$B$1846,$A13,Trades!$W$2:$W$1846,"&lt;0")</f>
        <v>-324.82</v>
      </c>
      <c r="H13" s="24" t="n">
        <f aca="false">F13+G13</f>
        <v>-78.36</v>
      </c>
      <c r="I13" s="25" t="n">
        <f aca="false">IFERROR(F13/-G13,"no losses")</f>
        <v>0.758758697124561</v>
      </c>
      <c r="J13" s="24" t="n">
        <f aca="false">IFERROR(F13/C13,0)</f>
        <v>10.715652173913</v>
      </c>
      <c r="K13" s="24" t="n">
        <f aca="false">IFERROR(G13/D13,0)</f>
        <v>-40.6025</v>
      </c>
      <c r="L13" s="24" t="n">
        <f aca="false">_xlfn.MAXIFS(Trades!$W$2:$W$1846,Trades!$B$2:$B$1846,$A13)</f>
        <v>179.76</v>
      </c>
      <c r="M13" s="24" t="n">
        <f aca="false">_xlfn.MINIFS(Trades!$W$2:$W$1846,Trades!$B$2:$B$1846,$A13)</f>
        <v>-45.6</v>
      </c>
      <c r="N13" s="26" t="n">
        <f aca="false">IFERROR(AVERAGEIFS(Trades!$X$2:$X$1846,Trades!$B$2:$B$1846,$A13),0)</f>
        <v>-0.0525806451612903</v>
      </c>
      <c r="O13" s="24" t="n">
        <f aca="false">P12</f>
        <v>4220.74</v>
      </c>
      <c r="P13" s="24" t="n">
        <f aca="false">O13+H13</f>
        <v>4142.38</v>
      </c>
      <c r="Q13" s="23" t="n">
        <f aca="false">IFERROR(H13/O13,0)</f>
        <v>-0.0185654648237039</v>
      </c>
      <c r="R13" s="22" t="str">
        <f aca="false">IF(H13&gt;0,"Up month",IF(H13&lt;0,"Down month","Flat"))&amp;" | "&amp;B13&amp;" trades, "&amp;TEXT(E13,"0%")&amp;" won"</f>
        <v>Down month | 31 trades, 74% won</v>
      </c>
    </row>
    <row r="14" customFormat="false" ht="15" hidden="false" customHeight="false" outlineLevel="0" collapsed="false">
      <c r="A14" s="22" t="s">
        <v>132</v>
      </c>
      <c r="B14" s="22" t="n">
        <f aca="false">COUNTIFS(Trades!$B$2:$B$1846,$A14)</f>
        <v>30</v>
      </c>
      <c r="C14" s="22" t="n">
        <f aca="false">COUNTIFS(Trades!$B$2:$B$1846,$A14,Trades!$Y$2:$Y$1846,"Win")</f>
        <v>26</v>
      </c>
      <c r="D14" s="22" t="n">
        <f aca="false">COUNTIFS(Trades!$B$2:$B$1846,$A14,Trades!$Y$2:$Y$1846,"Loss")</f>
        <v>4</v>
      </c>
      <c r="E14" s="23" t="n">
        <f aca="false">IFERROR(C14/B14,0)</f>
        <v>0.866666666666667</v>
      </c>
      <c r="F14" s="24" t="n">
        <f aca="false">SUMIFS(Trades!$W$2:$W$1846,Trades!$B$2:$B$1846,$A14,Trades!$W$2:$W$1846,"&gt;0")</f>
        <v>128.1</v>
      </c>
      <c r="G14" s="24" t="n">
        <f aca="false">SUMIFS(Trades!$W$2:$W$1846,Trades!$B$2:$B$1846,$A14,Trades!$W$2:$W$1846,"&lt;0")</f>
        <v>-149.58</v>
      </c>
      <c r="H14" s="24" t="n">
        <f aca="false">F14+G14</f>
        <v>-21.48</v>
      </c>
      <c r="I14" s="25" t="n">
        <f aca="false">IFERROR(F14/-G14,"no losses")</f>
        <v>0.856397914159647</v>
      </c>
      <c r="J14" s="24" t="n">
        <f aca="false">IFERROR(F14/C14,0)</f>
        <v>4.92692307692308</v>
      </c>
      <c r="K14" s="24" t="n">
        <f aca="false">IFERROR(G14/D14,0)</f>
        <v>-37.395</v>
      </c>
      <c r="L14" s="24" t="n">
        <f aca="false">_xlfn.MAXIFS(Trades!$W$2:$W$1846,Trades!$B$2:$B$1846,$A14)</f>
        <v>45.18</v>
      </c>
      <c r="M14" s="24" t="n">
        <f aca="false">_xlfn.MINIFS(Trades!$W$2:$W$1846,Trades!$B$2:$B$1846,$A14)</f>
        <v>-40.08</v>
      </c>
      <c r="N14" s="26" t="n">
        <f aca="false">IFERROR(AVERAGEIFS(Trades!$X$2:$X$1846,Trades!$B$2:$B$1846,$A14),0)</f>
        <v>-0.0198888888888889</v>
      </c>
      <c r="O14" s="24" t="n">
        <f aca="false">P13</f>
        <v>4142.38</v>
      </c>
      <c r="P14" s="24" t="n">
        <f aca="false">O14+H14</f>
        <v>4120.9</v>
      </c>
      <c r="Q14" s="23" t="n">
        <f aca="false">IFERROR(H14/O14,0)</f>
        <v>-0.00518542480409812</v>
      </c>
      <c r="R14" s="22" t="str">
        <f aca="false">IF(H14&gt;0,"Up month",IF(H14&lt;0,"Down month","Flat"))&amp;" | "&amp;B14&amp;" trades, "&amp;TEXT(E14,"0%")&amp;" won"</f>
        <v>Down month | 30 trades, 87% won</v>
      </c>
    </row>
    <row r="15" customFormat="false" ht="15" hidden="false" customHeight="false" outlineLevel="0" collapsed="false">
      <c r="A15" s="22" t="s">
        <v>133</v>
      </c>
      <c r="B15" s="22" t="n">
        <f aca="false">COUNTIFS(Trades!$B$2:$B$1846,$A15)</f>
        <v>34</v>
      </c>
      <c r="C15" s="22" t="n">
        <f aca="false">COUNTIFS(Trades!$B$2:$B$1846,$A15,Trades!$Y$2:$Y$1846,"Win")</f>
        <v>22</v>
      </c>
      <c r="D15" s="22" t="n">
        <f aca="false">COUNTIFS(Trades!$B$2:$B$1846,$A15,Trades!$Y$2:$Y$1846,"Loss")</f>
        <v>12</v>
      </c>
      <c r="E15" s="23" t="n">
        <f aca="false">IFERROR(C15/B15,0)</f>
        <v>0.647058823529412</v>
      </c>
      <c r="F15" s="24" t="n">
        <f aca="false">SUMIFS(Trades!$W$2:$W$1846,Trades!$B$2:$B$1846,$A15,Trades!$W$2:$W$1846,"&gt;0")</f>
        <v>344.1</v>
      </c>
      <c r="G15" s="24" t="n">
        <f aca="false">SUMIFS(Trades!$W$2:$W$1846,Trades!$B$2:$B$1846,$A15,Trades!$W$2:$W$1846,"&lt;0")</f>
        <v>-394.07</v>
      </c>
      <c r="H15" s="24" t="n">
        <f aca="false">F15+G15</f>
        <v>-49.97</v>
      </c>
      <c r="I15" s="25" t="n">
        <f aca="false">IFERROR(F15/-G15,"no losses")</f>
        <v>0.873195117618697</v>
      </c>
      <c r="J15" s="24" t="n">
        <f aca="false">IFERROR(F15/C15,0)</f>
        <v>15.6409090909091</v>
      </c>
      <c r="K15" s="24" t="n">
        <f aca="false">IFERROR(G15/D15,0)</f>
        <v>-32.8391666666667</v>
      </c>
      <c r="L15" s="24" t="n">
        <f aca="false">_xlfn.MAXIFS(Trades!$W$2:$W$1846,Trades!$B$2:$B$1846,$A15)</f>
        <v>180.3</v>
      </c>
      <c r="M15" s="24" t="n">
        <f aca="false">_xlfn.MINIFS(Trades!$W$2:$W$1846,Trades!$B$2:$B$1846,$A15)</f>
        <v>-42.56</v>
      </c>
      <c r="N15" s="26" t="n">
        <f aca="false">IFERROR(AVERAGEIFS(Trades!$X$2:$X$1846,Trades!$B$2:$B$1846,$A15),0)</f>
        <v>-0.0309313725490196</v>
      </c>
      <c r="O15" s="24" t="n">
        <f aca="false">P14</f>
        <v>4120.9</v>
      </c>
      <c r="P15" s="24" t="n">
        <f aca="false">O15+H15</f>
        <v>4070.93</v>
      </c>
      <c r="Q15" s="23" t="n">
        <f aca="false">IFERROR(H15/O15,0)</f>
        <v>-0.0121259918949744</v>
      </c>
      <c r="R15" s="22" t="str">
        <f aca="false">IF(H15&gt;0,"Up month",IF(H15&lt;0,"Down month","Flat"))&amp;" | "&amp;B15&amp;" trades, "&amp;TEXT(E15,"0%")&amp;" won"</f>
        <v>Down month | 34 trades, 65% won</v>
      </c>
    </row>
    <row r="16" customFormat="false" ht="15" hidden="false" customHeight="false" outlineLevel="0" collapsed="false">
      <c r="A16" s="22" t="s">
        <v>134</v>
      </c>
      <c r="B16" s="22" t="n">
        <f aca="false">COUNTIFS(Trades!$B$2:$B$1846,$A16)</f>
        <v>37</v>
      </c>
      <c r="C16" s="22" t="n">
        <f aca="false">COUNTIFS(Trades!$B$2:$B$1846,$A16,Trades!$Y$2:$Y$1846,"Win")</f>
        <v>21</v>
      </c>
      <c r="D16" s="22" t="n">
        <f aca="false">COUNTIFS(Trades!$B$2:$B$1846,$A16,Trades!$Y$2:$Y$1846,"Loss")</f>
        <v>16</v>
      </c>
      <c r="E16" s="23" t="n">
        <f aca="false">IFERROR(C16/B16,0)</f>
        <v>0.567567567567568</v>
      </c>
      <c r="F16" s="24" t="n">
        <f aca="false">SUMIFS(Trades!$W$2:$W$1846,Trades!$B$2:$B$1846,$A16,Trades!$W$2:$W$1846,"&gt;0")</f>
        <v>72.29</v>
      </c>
      <c r="G16" s="24" t="n">
        <f aca="false">SUMIFS(Trades!$W$2:$W$1846,Trades!$B$2:$B$1846,$A16,Trades!$W$2:$W$1846,"&lt;0")</f>
        <v>-573.52</v>
      </c>
      <c r="H16" s="24" t="n">
        <f aca="false">F16+G16</f>
        <v>-501.23</v>
      </c>
      <c r="I16" s="25" t="n">
        <f aca="false">IFERROR(F16/-G16,"no losses")</f>
        <v>0.126046171014088</v>
      </c>
      <c r="J16" s="24" t="n">
        <f aca="false">IFERROR(F16/C16,0)</f>
        <v>3.44238095238095</v>
      </c>
      <c r="K16" s="24" t="n">
        <f aca="false">IFERROR(G16/D16,0)</f>
        <v>-35.845</v>
      </c>
      <c r="L16" s="24" t="n">
        <f aca="false">_xlfn.MAXIFS(Trades!$W$2:$W$1846,Trades!$B$2:$B$1846,$A16)</f>
        <v>19.25</v>
      </c>
      <c r="M16" s="24" t="n">
        <f aca="false">_xlfn.MINIFS(Trades!$W$2:$W$1846,Trades!$B$2:$B$1846,$A16)</f>
        <v>-36.78</v>
      </c>
      <c r="N16" s="26" t="n">
        <f aca="false">IFERROR(AVERAGEIFS(Trades!$X$2:$X$1846,Trades!$B$2:$B$1846,$A16),0)</f>
        <v>-0.377297297297297</v>
      </c>
      <c r="O16" s="24" t="n">
        <f aca="false">P15</f>
        <v>4070.93</v>
      </c>
      <c r="P16" s="24" t="n">
        <f aca="false">O16+H16</f>
        <v>3569.7</v>
      </c>
      <c r="Q16" s="23" t="n">
        <f aca="false">IFERROR(H16/O16,0)</f>
        <v>-0.123124200121348</v>
      </c>
      <c r="R16" s="22" t="str">
        <f aca="false">IF(H16&gt;0,"Up month",IF(H16&lt;0,"Down month","Flat"))&amp;" | "&amp;B16&amp;" trades, "&amp;TEXT(E16,"0%")&amp;" won"</f>
        <v>Down month | 37 trades, 57% won</v>
      </c>
    </row>
    <row r="17" customFormat="false" ht="15" hidden="false" customHeight="false" outlineLevel="0" collapsed="false">
      <c r="A17" s="22" t="s">
        <v>135</v>
      </c>
      <c r="B17" s="22" t="n">
        <f aca="false">COUNTIFS(Trades!$B$2:$B$1846,$A17)</f>
        <v>31</v>
      </c>
      <c r="C17" s="22" t="n">
        <f aca="false">COUNTIFS(Trades!$B$2:$B$1846,$A17,Trades!$Y$2:$Y$1846,"Win")</f>
        <v>17</v>
      </c>
      <c r="D17" s="22" t="n">
        <f aca="false">COUNTIFS(Trades!$B$2:$B$1846,$A17,Trades!$Y$2:$Y$1846,"Loss")</f>
        <v>14</v>
      </c>
      <c r="E17" s="23" t="n">
        <f aca="false">IFERROR(C17/B17,0)</f>
        <v>0.548387096774194</v>
      </c>
      <c r="F17" s="24" t="n">
        <f aca="false">SUMIFS(Trades!$W$2:$W$1846,Trades!$B$2:$B$1846,$A17,Trades!$W$2:$W$1846,"&gt;0")</f>
        <v>191.15</v>
      </c>
      <c r="G17" s="24" t="n">
        <f aca="false">SUMIFS(Trades!$W$2:$W$1846,Trades!$B$2:$B$1846,$A17,Trades!$W$2:$W$1846,"&lt;0")</f>
        <v>-436.45</v>
      </c>
      <c r="H17" s="24" t="n">
        <f aca="false">F17+G17</f>
        <v>-245.3</v>
      </c>
      <c r="I17" s="25" t="n">
        <f aca="false">IFERROR(F17/-G17,"no losses")</f>
        <v>0.43796540268072</v>
      </c>
      <c r="J17" s="24" t="n">
        <f aca="false">IFERROR(F17/C17,0)</f>
        <v>11.2441176470588</v>
      </c>
      <c r="K17" s="24" t="n">
        <f aca="false">IFERROR(G17/D17,0)</f>
        <v>-31.175</v>
      </c>
      <c r="L17" s="24" t="n">
        <f aca="false">_xlfn.MAXIFS(Trades!$W$2:$W$1846,Trades!$B$2:$B$1846,$A17)</f>
        <v>88.2</v>
      </c>
      <c r="M17" s="24" t="n">
        <f aca="false">_xlfn.MINIFS(Trades!$W$2:$W$1846,Trades!$B$2:$B$1846,$A17)</f>
        <v>-41.85</v>
      </c>
      <c r="N17" s="26" t="n">
        <f aca="false">IFERROR(AVERAGEIFS(Trades!$X$2:$X$1846,Trades!$B$2:$B$1846,$A17),0)</f>
        <v>-0.263763440860215</v>
      </c>
      <c r="O17" s="24" t="n">
        <f aca="false">P16</f>
        <v>3569.7</v>
      </c>
      <c r="P17" s="24" t="n">
        <f aca="false">O17+H17</f>
        <v>3324.4</v>
      </c>
      <c r="Q17" s="23" t="n">
        <f aca="false">IFERROR(H17/O17,0)</f>
        <v>-0.0687172591534302</v>
      </c>
      <c r="R17" s="22" t="str">
        <f aca="false">IF(H17&gt;0,"Up month",IF(H17&lt;0,"Down month","Flat"))&amp;" | "&amp;B17&amp;" trades, "&amp;TEXT(E17,"0%")&amp;" won"</f>
        <v>Down month | 31 trades, 55% won</v>
      </c>
    </row>
    <row r="18" customFormat="false" ht="15" hidden="false" customHeight="false" outlineLevel="0" collapsed="false">
      <c r="A18" s="22" t="s">
        <v>136</v>
      </c>
      <c r="B18" s="22" t="n">
        <f aca="false">COUNTIFS(Trades!$B$2:$B$1846,$A18)</f>
        <v>36</v>
      </c>
      <c r="C18" s="22" t="n">
        <f aca="false">COUNTIFS(Trades!$B$2:$B$1846,$A18,Trades!$Y$2:$Y$1846,"Win")</f>
        <v>22</v>
      </c>
      <c r="D18" s="22" t="n">
        <f aca="false">COUNTIFS(Trades!$B$2:$B$1846,$A18,Trades!$Y$2:$Y$1846,"Loss")</f>
        <v>14</v>
      </c>
      <c r="E18" s="23" t="n">
        <f aca="false">IFERROR(C18/B18,0)</f>
        <v>0.611111111111111</v>
      </c>
      <c r="F18" s="24" t="n">
        <f aca="false">SUMIFS(Trades!$W$2:$W$1846,Trades!$B$2:$B$1846,$A18,Trades!$W$2:$W$1846,"&gt;0")</f>
        <v>150.1</v>
      </c>
      <c r="G18" s="24" t="n">
        <f aca="false">SUMIFS(Trades!$W$2:$W$1846,Trades!$B$2:$B$1846,$A18,Trades!$W$2:$W$1846,"&lt;0")</f>
        <v>-410</v>
      </c>
      <c r="H18" s="24" t="n">
        <f aca="false">F18+G18</f>
        <v>-259.9</v>
      </c>
      <c r="I18" s="25" t="n">
        <f aca="false">IFERROR(F18/-G18,"no losses")</f>
        <v>0.36609756097561</v>
      </c>
      <c r="J18" s="24" t="n">
        <f aca="false">IFERROR(F18/C18,0)</f>
        <v>6.82272727272727</v>
      </c>
      <c r="K18" s="24" t="n">
        <f aca="false">IFERROR(G18/D18,0)</f>
        <v>-29.2857142857143</v>
      </c>
      <c r="L18" s="24" t="n">
        <f aca="false">_xlfn.MAXIFS(Trades!$W$2:$W$1846,Trades!$B$2:$B$1846,$A18)</f>
        <v>53.6</v>
      </c>
      <c r="M18" s="24" t="n">
        <f aca="false">_xlfn.MINIFS(Trades!$W$2:$W$1846,Trades!$B$2:$B$1846,$A18)</f>
        <v>-42.8</v>
      </c>
      <c r="N18" s="26" t="n">
        <f aca="false">IFERROR(AVERAGEIFS(Trades!$X$2:$X$1846,Trades!$B$2:$B$1846,$A18),0)</f>
        <v>-0.240648148148148</v>
      </c>
      <c r="O18" s="24" t="n">
        <f aca="false">P17</f>
        <v>3324.4</v>
      </c>
      <c r="P18" s="24" t="n">
        <f aca="false">O18+H18</f>
        <v>3064.5</v>
      </c>
      <c r="Q18" s="23" t="n">
        <f aca="false">IFERROR(H18/O18,0)</f>
        <v>-0.0781795211165925</v>
      </c>
      <c r="R18" s="22" t="str">
        <f aca="false">IF(H18&gt;0,"Up month",IF(H18&lt;0,"Down month","Flat"))&amp;" | "&amp;B18&amp;" trades, "&amp;TEXT(E18,"0%")&amp;" won"</f>
        <v>Down month | 36 trades, 61% won</v>
      </c>
    </row>
    <row r="19" customFormat="false" ht="15" hidden="false" customHeight="false" outlineLevel="0" collapsed="false">
      <c r="A19" s="22" t="s">
        <v>137</v>
      </c>
      <c r="B19" s="22" t="n">
        <f aca="false">COUNTIFS(Trades!$B$2:$B$1846,$A19)</f>
        <v>31</v>
      </c>
      <c r="C19" s="22" t="n">
        <f aca="false">COUNTIFS(Trades!$B$2:$B$1846,$A19,Trades!$Y$2:$Y$1846,"Win")</f>
        <v>21</v>
      </c>
      <c r="D19" s="22" t="n">
        <f aca="false">COUNTIFS(Trades!$B$2:$B$1846,$A19,Trades!$Y$2:$Y$1846,"Loss")</f>
        <v>10</v>
      </c>
      <c r="E19" s="23" t="n">
        <f aca="false">IFERROR(C19/B19,0)</f>
        <v>0.67741935483871</v>
      </c>
      <c r="F19" s="24" t="n">
        <f aca="false">SUMIFS(Trades!$W$2:$W$1846,Trades!$B$2:$B$1846,$A19,Trades!$W$2:$W$1846,"&gt;0")</f>
        <v>285.58</v>
      </c>
      <c r="G19" s="24" t="n">
        <f aca="false">SUMIFS(Trades!$W$2:$W$1846,Trades!$B$2:$B$1846,$A19,Trades!$W$2:$W$1846,"&lt;0")</f>
        <v>-304.3</v>
      </c>
      <c r="H19" s="24" t="n">
        <f aca="false">F19+G19</f>
        <v>-18.72</v>
      </c>
      <c r="I19" s="25" t="n">
        <f aca="false">IFERROR(F19/-G19,"no losses")</f>
        <v>0.938481761419652</v>
      </c>
      <c r="J19" s="24" t="n">
        <f aca="false">IFERROR(F19/C19,0)</f>
        <v>13.5990476190476</v>
      </c>
      <c r="K19" s="24" t="n">
        <f aca="false">IFERROR(G19/D19,0)</f>
        <v>-30.43</v>
      </c>
      <c r="L19" s="24" t="n">
        <f aca="false">_xlfn.MAXIFS(Trades!$W$2:$W$1846,Trades!$B$2:$B$1846,$A19)</f>
        <v>86.15</v>
      </c>
      <c r="M19" s="24" t="n">
        <f aca="false">_xlfn.MINIFS(Trades!$W$2:$W$1846,Trades!$B$2:$B$1846,$A19)</f>
        <v>-31.05</v>
      </c>
      <c r="N19" s="26" t="n">
        <f aca="false">IFERROR(AVERAGEIFS(Trades!$X$2:$X$1846,Trades!$B$2:$B$1846,$A19),0)</f>
        <v>-0.012258064516129</v>
      </c>
      <c r="O19" s="24" t="n">
        <f aca="false">P18</f>
        <v>3064.5</v>
      </c>
      <c r="P19" s="24" t="n">
        <f aca="false">O19+H19</f>
        <v>3045.78</v>
      </c>
      <c r="Q19" s="23" t="n">
        <f aca="false">IFERROR(H19/O19,0)</f>
        <v>-0.00610866372980911</v>
      </c>
      <c r="R19" s="22" t="str">
        <f aca="false">IF(H19&gt;0,"Up month",IF(H19&lt;0,"Down month","Flat"))&amp;" | "&amp;B19&amp;" trades, "&amp;TEXT(E19,"0%")&amp;" won"</f>
        <v>Down month | 31 trades, 68% won</v>
      </c>
    </row>
    <row r="20" customFormat="false" ht="15" hidden="false" customHeight="false" outlineLevel="0" collapsed="false">
      <c r="A20" s="22" t="s">
        <v>138</v>
      </c>
      <c r="B20" s="22" t="n">
        <f aca="false">COUNTIFS(Trades!$B$2:$B$1846,$A20)</f>
        <v>34</v>
      </c>
      <c r="C20" s="22" t="n">
        <f aca="false">COUNTIFS(Trades!$B$2:$B$1846,$A20,Trades!$Y$2:$Y$1846,"Win")</f>
        <v>26</v>
      </c>
      <c r="D20" s="22" t="n">
        <f aca="false">COUNTIFS(Trades!$B$2:$B$1846,$A20,Trades!$Y$2:$Y$1846,"Loss")</f>
        <v>8</v>
      </c>
      <c r="E20" s="23" t="n">
        <f aca="false">IFERROR(C20/B20,0)</f>
        <v>0.764705882352941</v>
      </c>
      <c r="F20" s="24" t="n">
        <f aca="false">SUMIFS(Trades!$W$2:$W$1846,Trades!$B$2:$B$1846,$A20,Trades!$W$2:$W$1846,"&gt;0")</f>
        <v>613.6</v>
      </c>
      <c r="G20" s="24" t="n">
        <f aca="false">SUMIFS(Trades!$W$2:$W$1846,Trades!$B$2:$B$1846,$A20,Trades!$W$2:$W$1846,"&lt;0")</f>
        <v>-228.8</v>
      </c>
      <c r="H20" s="24" t="n">
        <f aca="false">F20+G20</f>
        <v>384.8</v>
      </c>
      <c r="I20" s="25" t="n">
        <f aca="false">IFERROR(F20/-G20,"no losses")</f>
        <v>2.68181818181818</v>
      </c>
      <c r="J20" s="24" t="n">
        <f aca="false">IFERROR(F20/C20,0)</f>
        <v>23.6</v>
      </c>
      <c r="K20" s="24" t="n">
        <f aca="false">IFERROR(G20/D20,0)</f>
        <v>-28.6</v>
      </c>
      <c r="L20" s="24" t="n">
        <f aca="false">_xlfn.MAXIFS(Trades!$W$2:$W$1846,Trades!$B$2:$B$1846,$A20)</f>
        <v>150.35</v>
      </c>
      <c r="M20" s="24" t="n">
        <f aca="false">_xlfn.MINIFS(Trades!$W$2:$W$1846,Trades!$B$2:$B$1846,$A20)</f>
        <v>-30.4</v>
      </c>
      <c r="N20" s="26" t="n">
        <f aca="false">IFERROR(AVERAGEIFS(Trades!$X$2:$X$1846,Trades!$B$2:$B$1846,$A20),0)</f>
        <v>0.377254901960784</v>
      </c>
      <c r="O20" s="24" t="n">
        <f aca="false">P19</f>
        <v>3045.78</v>
      </c>
      <c r="P20" s="24" t="n">
        <f aca="false">O20+H20</f>
        <v>3430.58</v>
      </c>
      <c r="Q20" s="23" t="n">
        <f aca="false">IFERROR(H20/O20,0)</f>
        <v>0.126338737531929</v>
      </c>
      <c r="R20" s="22" t="str">
        <f aca="false">IF(H20&gt;0,"Up month",IF(H20&lt;0,"Down month","Flat"))&amp;" | "&amp;B20&amp;" trades, "&amp;TEXT(E20,"0%")&amp;" won"</f>
        <v>Up month | 34 trades, 76% won</v>
      </c>
    </row>
    <row r="21" customFormat="false" ht="15" hidden="false" customHeight="false" outlineLevel="0" collapsed="false">
      <c r="A21" s="22" t="s">
        <v>139</v>
      </c>
      <c r="B21" s="22" t="n">
        <f aca="false">COUNTIFS(Trades!$B$2:$B$1846,$A21)</f>
        <v>29</v>
      </c>
      <c r="C21" s="22" t="n">
        <f aca="false">COUNTIFS(Trades!$B$2:$B$1846,$A21,Trades!$Y$2:$Y$1846,"Win")</f>
        <v>20</v>
      </c>
      <c r="D21" s="22" t="n">
        <f aca="false">COUNTIFS(Trades!$B$2:$B$1846,$A21,Trades!$Y$2:$Y$1846,"Loss")</f>
        <v>9</v>
      </c>
      <c r="E21" s="23" t="n">
        <f aca="false">IFERROR(C21/B21,0)</f>
        <v>0.689655172413793</v>
      </c>
      <c r="F21" s="24" t="n">
        <f aca="false">SUMIFS(Trades!$W$2:$W$1846,Trades!$B$2:$B$1846,$A21,Trades!$W$2:$W$1846,"&gt;0")</f>
        <v>484.81</v>
      </c>
      <c r="G21" s="24" t="n">
        <f aca="false">SUMIFS(Trades!$W$2:$W$1846,Trades!$B$2:$B$1846,$A21,Trades!$W$2:$W$1846,"&lt;0")</f>
        <v>-252.26</v>
      </c>
      <c r="H21" s="24" t="n">
        <f aca="false">F21+G21</f>
        <v>232.55</v>
      </c>
      <c r="I21" s="25" t="n">
        <f aca="false">IFERROR(F21/-G21,"no losses")</f>
        <v>1.92186632839134</v>
      </c>
      <c r="J21" s="24" t="n">
        <f aca="false">IFERROR(F21/C21,0)</f>
        <v>24.2405</v>
      </c>
      <c r="K21" s="24" t="n">
        <f aca="false">IFERROR(G21/D21,0)</f>
        <v>-28.0288888888889</v>
      </c>
      <c r="L21" s="24" t="n">
        <f aca="false">_xlfn.MAXIFS(Trades!$W$2:$W$1846,Trades!$B$2:$B$1846,$A21)</f>
        <v>117.4</v>
      </c>
      <c r="M21" s="24" t="n">
        <f aca="false">_xlfn.MINIFS(Trades!$W$2:$W$1846,Trades!$B$2:$B$1846,$A21)</f>
        <v>-30.45</v>
      </c>
      <c r="N21" s="26" t="n">
        <f aca="false">IFERROR(AVERAGEIFS(Trades!$X$2:$X$1846,Trades!$B$2:$B$1846,$A21),0)</f>
        <v>0.267586206896552</v>
      </c>
      <c r="O21" s="24" t="n">
        <f aca="false">P20</f>
        <v>3430.58</v>
      </c>
      <c r="P21" s="24" t="n">
        <f aca="false">O21+H21</f>
        <v>3663.13</v>
      </c>
      <c r="Q21" s="23" t="n">
        <f aca="false">IFERROR(H21/O21,0)</f>
        <v>0.0677873712316868</v>
      </c>
      <c r="R21" s="22" t="str">
        <f aca="false">IF(H21&gt;0,"Up month",IF(H21&lt;0,"Down month","Flat"))&amp;" | "&amp;B21&amp;" trades, "&amp;TEXT(E21,"0%")&amp;" won"</f>
        <v>Up month | 29 trades, 69% won</v>
      </c>
    </row>
    <row r="22" customFormat="false" ht="15" hidden="false" customHeight="false" outlineLevel="0" collapsed="false">
      <c r="A22" s="22" t="s">
        <v>140</v>
      </c>
      <c r="B22" s="22" t="n">
        <f aca="false">COUNTIFS(Trades!$B$2:$B$1846,$A22)</f>
        <v>32</v>
      </c>
      <c r="C22" s="22" t="n">
        <f aca="false">COUNTIFS(Trades!$B$2:$B$1846,$A22,Trades!$Y$2:$Y$1846,"Win")</f>
        <v>22</v>
      </c>
      <c r="D22" s="22" t="n">
        <f aca="false">COUNTIFS(Trades!$B$2:$B$1846,$A22,Trades!$Y$2:$Y$1846,"Loss")</f>
        <v>10</v>
      </c>
      <c r="E22" s="23" t="n">
        <f aca="false">IFERROR(C22/B22,0)</f>
        <v>0.6875</v>
      </c>
      <c r="F22" s="24" t="n">
        <f aca="false">SUMIFS(Trades!$W$2:$W$1846,Trades!$B$2:$B$1846,$A22,Trades!$W$2:$W$1846,"&gt;0")</f>
        <v>73.36</v>
      </c>
      <c r="G22" s="24" t="n">
        <f aca="false">SUMIFS(Trades!$W$2:$W$1846,Trades!$B$2:$B$1846,$A22,Trades!$W$2:$W$1846,"&lt;0")</f>
        <v>-321.07</v>
      </c>
      <c r="H22" s="24" t="n">
        <f aca="false">F22+G22</f>
        <v>-247.71</v>
      </c>
      <c r="I22" s="25" t="n">
        <f aca="false">IFERROR(F22/-G22,"no losses")</f>
        <v>0.228485999937708</v>
      </c>
      <c r="J22" s="24" t="n">
        <f aca="false">IFERROR(F22/C22,0)</f>
        <v>3.33454545454545</v>
      </c>
      <c r="K22" s="24" t="n">
        <f aca="false">IFERROR(G22/D22,0)</f>
        <v>-32.107</v>
      </c>
      <c r="L22" s="24" t="n">
        <f aca="false">_xlfn.MAXIFS(Trades!$W$2:$W$1846,Trades!$B$2:$B$1846,$A22)</f>
        <v>19.65</v>
      </c>
      <c r="M22" s="24" t="n">
        <f aca="false">_xlfn.MINIFS(Trades!$W$2:$W$1846,Trades!$B$2:$B$1846,$A22)</f>
        <v>-36.72</v>
      </c>
      <c r="N22" s="26" t="n">
        <f aca="false">IFERROR(AVERAGEIFS(Trades!$X$2:$X$1846,Trades!$B$2:$B$1846,$A22),0)</f>
        <v>-0.243437500000001</v>
      </c>
      <c r="O22" s="24" t="n">
        <f aca="false">P21</f>
        <v>3663.13</v>
      </c>
      <c r="P22" s="24" t="n">
        <f aca="false">O22+H22</f>
        <v>3415.42</v>
      </c>
      <c r="Q22" s="23" t="n">
        <f aca="false">IFERROR(H22/O22,0)</f>
        <v>-0.0676224977000543</v>
      </c>
      <c r="R22" s="22" t="str">
        <f aca="false">IF(H22&gt;0,"Up month",IF(H22&lt;0,"Down month","Flat"))&amp;" | "&amp;B22&amp;" trades, "&amp;TEXT(E22,"0%")&amp;" won"</f>
        <v>Down month | 32 trades, 69% won</v>
      </c>
    </row>
    <row r="23" customFormat="false" ht="15" hidden="false" customHeight="false" outlineLevel="0" collapsed="false">
      <c r="A23" s="22" t="s">
        <v>141</v>
      </c>
      <c r="B23" s="22" t="n">
        <f aca="false">COUNTIFS(Trades!$B$2:$B$1846,$A23)</f>
        <v>33</v>
      </c>
      <c r="C23" s="22" t="n">
        <f aca="false">COUNTIFS(Trades!$B$2:$B$1846,$A23,Trades!$Y$2:$Y$1846,"Win")</f>
        <v>27</v>
      </c>
      <c r="D23" s="22" t="n">
        <f aca="false">COUNTIFS(Trades!$B$2:$B$1846,$A23,Trades!$Y$2:$Y$1846,"Loss")</f>
        <v>6</v>
      </c>
      <c r="E23" s="23" t="n">
        <f aca="false">IFERROR(C23/B23,0)</f>
        <v>0.818181818181818</v>
      </c>
      <c r="F23" s="24" t="n">
        <f aca="false">SUMIFS(Trades!$W$2:$W$1846,Trades!$B$2:$B$1846,$A23,Trades!$W$2:$W$1846,"&gt;0")</f>
        <v>147.35</v>
      </c>
      <c r="G23" s="24" t="n">
        <f aca="false">SUMIFS(Trades!$W$2:$W$1846,Trades!$B$2:$B$1846,$A23,Trades!$W$2:$W$1846,"&lt;0")</f>
        <v>-171.9</v>
      </c>
      <c r="H23" s="24" t="n">
        <f aca="false">F23+G23</f>
        <v>-24.55</v>
      </c>
      <c r="I23" s="25" t="n">
        <f aca="false">IFERROR(F23/-G23,"no losses")</f>
        <v>0.85718440954043</v>
      </c>
      <c r="J23" s="24" t="n">
        <f aca="false">IFERROR(F23/C23,0)</f>
        <v>5.45740740740741</v>
      </c>
      <c r="K23" s="24" t="n">
        <f aca="false">IFERROR(G23/D23,0)</f>
        <v>-28.65</v>
      </c>
      <c r="L23" s="24" t="n">
        <f aca="false">_xlfn.MAXIFS(Trades!$W$2:$W$1846,Trades!$B$2:$B$1846,$A23)</f>
        <v>87.6</v>
      </c>
      <c r="M23" s="24" t="n">
        <f aca="false">_xlfn.MINIFS(Trades!$W$2:$W$1846,Trades!$B$2:$B$1846,$A23)</f>
        <v>-40.95</v>
      </c>
      <c r="N23" s="26" t="n">
        <f aca="false">IFERROR(AVERAGEIFS(Trades!$X$2:$X$1846,Trades!$B$2:$B$1846,$A23),0)</f>
        <v>-0.0247979797979798</v>
      </c>
      <c r="O23" s="24" t="n">
        <f aca="false">P22</f>
        <v>3415.42</v>
      </c>
      <c r="P23" s="24" t="n">
        <f aca="false">O23+H23</f>
        <v>3390.87</v>
      </c>
      <c r="Q23" s="23" t="n">
        <f aca="false">IFERROR(H23/O23,0)</f>
        <v>-0.00718798859291098</v>
      </c>
      <c r="R23" s="22" t="str">
        <f aca="false">IF(H23&gt;0,"Up month",IF(H23&lt;0,"Down month","Flat"))&amp;" | "&amp;B23&amp;" trades, "&amp;TEXT(E23,"0%")&amp;" won"</f>
        <v>Down month | 33 trades, 82% won</v>
      </c>
    </row>
    <row r="24" customFormat="false" ht="15" hidden="false" customHeight="false" outlineLevel="0" collapsed="false">
      <c r="A24" s="22" t="s">
        <v>142</v>
      </c>
      <c r="B24" s="22" t="n">
        <f aca="false">COUNTIFS(Trades!$B$2:$B$1846,$A24)</f>
        <v>31</v>
      </c>
      <c r="C24" s="22" t="n">
        <f aca="false">COUNTIFS(Trades!$B$2:$B$1846,$A24,Trades!$Y$2:$Y$1846,"Win")</f>
        <v>20</v>
      </c>
      <c r="D24" s="22" t="n">
        <f aca="false">COUNTIFS(Trades!$B$2:$B$1846,$A24,Trades!$Y$2:$Y$1846,"Loss")</f>
        <v>11</v>
      </c>
      <c r="E24" s="23" t="n">
        <f aca="false">IFERROR(C24/B24,0)</f>
        <v>0.645161290322581</v>
      </c>
      <c r="F24" s="24" t="n">
        <f aca="false">SUMIFS(Trades!$W$2:$W$1846,Trades!$B$2:$B$1846,$A24,Trades!$W$2:$W$1846,"&gt;0")</f>
        <v>153.5</v>
      </c>
      <c r="G24" s="24" t="n">
        <f aca="false">SUMIFS(Trades!$W$2:$W$1846,Trades!$B$2:$B$1846,$A24,Trades!$W$2:$W$1846,"&lt;0")</f>
        <v>-313.65</v>
      </c>
      <c r="H24" s="24" t="n">
        <f aca="false">F24+G24</f>
        <v>-160.15</v>
      </c>
      <c r="I24" s="25" t="n">
        <f aca="false">IFERROR(F24/-G24,"no losses")</f>
        <v>0.489399011637175</v>
      </c>
      <c r="J24" s="24" t="n">
        <f aca="false">IFERROR(F24/C24,0)</f>
        <v>7.675</v>
      </c>
      <c r="K24" s="24" t="n">
        <f aca="false">IFERROR(G24/D24,0)</f>
        <v>-28.5136363636364</v>
      </c>
      <c r="L24" s="24" t="n">
        <f aca="false">_xlfn.MAXIFS(Trades!$W$2:$W$1846,Trades!$B$2:$B$1846,$A24)</f>
        <v>94.95</v>
      </c>
      <c r="M24" s="24" t="n">
        <f aca="false">_xlfn.MINIFS(Trades!$W$2:$W$1846,Trades!$B$2:$B$1846,$A24)</f>
        <v>-40.1</v>
      </c>
      <c r="N24" s="26" t="n">
        <f aca="false">IFERROR(AVERAGEIFS(Trades!$X$2:$X$1846,Trades!$B$2:$B$1846,$A24),0)</f>
        <v>-0.172204301075269</v>
      </c>
      <c r="O24" s="24" t="n">
        <f aca="false">P23</f>
        <v>3390.87</v>
      </c>
      <c r="P24" s="24" t="n">
        <f aca="false">O24+H24</f>
        <v>3230.72</v>
      </c>
      <c r="Q24" s="23" t="n">
        <f aca="false">IFERROR(H24/O24,0)</f>
        <v>-0.0472297669919519</v>
      </c>
      <c r="R24" s="22" t="str">
        <f aca="false">IF(H24&gt;0,"Up month",IF(H24&lt;0,"Down month","Flat"))&amp;" | "&amp;B24&amp;" trades, "&amp;TEXT(E24,"0%")&amp;" won"</f>
        <v>Down month | 31 trades, 65% won</v>
      </c>
    </row>
    <row r="25" customFormat="false" ht="15" hidden="false" customHeight="false" outlineLevel="0" collapsed="false">
      <c r="A25" s="22" t="s">
        <v>143</v>
      </c>
      <c r="B25" s="22" t="n">
        <f aca="false">COUNTIFS(Trades!$B$2:$B$1846,$A25)</f>
        <v>27</v>
      </c>
      <c r="C25" s="22" t="n">
        <f aca="false">COUNTIFS(Trades!$B$2:$B$1846,$A25,Trades!$Y$2:$Y$1846,"Win")</f>
        <v>23</v>
      </c>
      <c r="D25" s="22" t="n">
        <f aca="false">COUNTIFS(Trades!$B$2:$B$1846,$A25,Trades!$Y$2:$Y$1846,"Loss")</f>
        <v>4</v>
      </c>
      <c r="E25" s="23" t="n">
        <f aca="false">IFERROR(C25/B25,0)</f>
        <v>0.851851851851852</v>
      </c>
      <c r="F25" s="24" t="n">
        <f aca="false">SUMIFS(Trades!$W$2:$W$1846,Trades!$B$2:$B$1846,$A25,Trades!$W$2:$W$1846,"&gt;0")</f>
        <v>173.95</v>
      </c>
      <c r="G25" s="24" t="n">
        <f aca="false">SUMIFS(Trades!$W$2:$W$1846,Trades!$B$2:$B$1846,$A25,Trades!$W$2:$W$1846,"&lt;0")</f>
        <v>-122.5</v>
      </c>
      <c r="H25" s="24" t="n">
        <f aca="false">F25+G25</f>
        <v>51.45</v>
      </c>
      <c r="I25" s="25" t="n">
        <f aca="false">IFERROR(F25/-G25,"no losses")</f>
        <v>1.42</v>
      </c>
      <c r="J25" s="24" t="n">
        <f aca="false">IFERROR(F25/C25,0)</f>
        <v>7.56304347826087</v>
      </c>
      <c r="K25" s="24" t="n">
        <f aca="false">IFERROR(G25/D25,0)</f>
        <v>-30.625</v>
      </c>
      <c r="L25" s="24" t="n">
        <f aca="false">_xlfn.MAXIFS(Trades!$W$2:$W$1846,Trades!$B$2:$B$1846,$A25)</f>
        <v>69.2</v>
      </c>
      <c r="M25" s="24" t="n">
        <f aca="false">_xlfn.MINIFS(Trades!$W$2:$W$1846,Trades!$B$2:$B$1846,$A25)</f>
        <v>-31.55</v>
      </c>
      <c r="N25" s="26" t="n">
        <f aca="false">IFERROR(AVERAGEIFS(Trades!$X$2:$X$1846,Trades!$B$2:$B$1846,$A25),0)</f>
        <v>0.0635185185185184</v>
      </c>
      <c r="O25" s="24" t="n">
        <f aca="false">P24</f>
        <v>3230.72</v>
      </c>
      <c r="P25" s="24" t="n">
        <f aca="false">O25+H25</f>
        <v>3282.17</v>
      </c>
      <c r="Q25" s="23" t="n">
        <f aca="false">IFERROR(H25/O25,0)</f>
        <v>0.0159252426703645</v>
      </c>
      <c r="R25" s="22" t="str">
        <f aca="false">IF(H25&gt;0,"Up month",IF(H25&lt;0,"Down month","Flat"))&amp;" | "&amp;B25&amp;" trades, "&amp;TEXT(E25,"0%")&amp;" won"</f>
        <v>Up month | 27 trades, 85% won</v>
      </c>
    </row>
    <row r="26" customFormat="false" ht="15" hidden="false" customHeight="false" outlineLevel="0" collapsed="false">
      <c r="A26" s="22" t="s">
        <v>144</v>
      </c>
      <c r="B26" s="22" t="n">
        <f aca="false">COUNTIFS(Trades!$B$2:$B$1846,$A26)</f>
        <v>38</v>
      </c>
      <c r="C26" s="22" t="n">
        <f aca="false">COUNTIFS(Trades!$B$2:$B$1846,$A26,Trades!$Y$2:$Y$1846,"Win")</f>
        <v>29</v>
      </c>
      <c r="D26" s="22" t="n">
        <f aca="false">COUNTIFS(Trades!$B$2:$B$1846,$A26,Trades!$Y$2:$Y$1846,"Loss")</f>
        <v>9</v>
      </c>
      <c r="E26" s="23" t="n">
        <f aca="false">IFERROR(C26/B26,0)</f>
        <v>0.763157894736842</v>
      </c>
      <c r="F26" s="24" t="n">
        <f aca="false">SUMIFS(Trades!$W$2:$W$1846,Trades!$B$2:$B$1846,$A26,Trades!$W$2:$W$1846,"&gt;0")</f>
        <v>358.75</v>
      </c>
      <c r="G26" s="24" t="n">
        <f aca="false">SUMIFS(Trades!$W$2:$W$1846,Trades!$B$2:$B$1846,$A26,Trades!$W$2:$W$1846,"&lt;0")</f>
        <v>-253.9</v>
      </c>
      <c r="H26" s="24" t="n">
        <f aca="false">F26+G26</f>
        <v>104.85</v>
      </c>
      <c r="I26" s="25" t="n">
        <f aca="false">IFERROR(F26/-G26,"no losses")</f>
        <v>1.41295785742418</v>
      </c>
      <c r="J26" s="24" t="n">
        <f aca="false">IFERROR(F26/C26,0)</f>
        <v>12.3706896551724</v>
      </c>
      <c r="K26" s="24" t="n">
        <f aca="false">IFERROR(G26/D26,0)</f>
        <v>-28.2111111111111</v>
      </c>
      <c r="L26" s="24" t="n">
        <f aca="false">_xlfn.MAXIFS(Trades!$W$2:$W$1846,Trades!$B$2:$B$1846,$A26)</f>
        <v>150.8</v>
      </c>
      <c r="M26" s="24" t="n">
        <f aca="false">_xlfn.MINIFS(Trades!$W$2:$W$1846,Trades!$B$2:$B$1846,$A26)</f>
        <v>-33.75</v>
      </c>
      <c r="N26" s="26" t="n">
        <f aca="false">IFERROR(AVERAGEIFS(Trades!$X$2:$X$1846,Trades!$B$2:$B$1846,$A26),0)</f>
        <v>0.0919736842105263</v>
      </c>
      <c r="O26" s="24" t="n">
        <f aca="false">P25</f>
        <v>3282.17</v>
      </c>
      <c r="P26" s="24" t="n">
        <f aca="false">O26+H26</f>
        <v>3387.02</v>
      </c>
      <c r="Q26" s="23" t="n">
        <f aca="false">IFERROR(H26/O26,0)</f>
        <v>0.0319453288525579</v>
      </c>
      <c r="R26" s="22" t="str">
        <f aca="false">IF(H26&gt;0,"Up month",IF(H26&lt;0,"Down month","Flat"))&amp;" | "&amp;B26&amp;" trades, "&amp;TEXT(E26,"0%")&amp;" won"</f>
        <v>Up month | 38 trades, 76% won</v>
      </c>
    </row>
    <row r="27" customFormat="false" ht="15" hidden="false" customHeight="false" outlineLevel="0" collapsed="false">
      <c r="A27" s="22" t="s">
        <v>145</v>
      </c>
      <c r="B27" s="22" t="n">
        <f aca="false">COUNTIFS(Trades!$B$2:$B$1846,$A27)</f>
        <v>40</v>
      </c>
      <c r="C27" s="22" t="n">
        <f aca="false">COUNTIFS(Trades!$B$2:$B$1846,$A27,Trades!$Y$2:$Y$1846,"Win")</f>
        <v>29</v>
      </c>
      <c r="D27" s="22" t="n">
        <f aca="false">COUNTIFS(Trades!$B$2:$B$1846,$A27,Trades!$Y$2:$Y$1846,"Loss")</f>
        <v>11</v>
      </c>
      <c r="E27" s="23" t="n">
        <f aca="false">IFERROR(C27/B27,0)</f>
        <v>0.725</v>
      </c>
      <c r="F27" s="24" t="n">
        <f aca="false">SUMIFS(Trades!$W$2:$W$1846,Trades!$B$2:$B$1846,$A27,Trades!$W$2:$W$1846,"&gt;0")</f>
        <v>269.2</v>
      </c>
      <c r="G27" s="24" t="n">
        <f aca="false">SUMIFS(Trades!$W$2:$W$1846,Trades!$B$2:$B$1846,$A27,Trades!$W$2:$W$1846,"&lt;0")</f>
        <v>-309.1</v>
      </c>
      <c r="H27" s="24" t="n">
        <f aca="false">F27+G27</f>
        <v>-39.9</v>
      </c>
      <c r="I27" s="25" t="n">
        <f aca="false">IFERROR(F27/-G27,"no losses")</f>
        <v>0.87091556130702</v>
      </c>
      <c r="J27" s="24" t="n">
        <f aca="false">IFERROR(F27/C27,0)</f>
        <v>9.28275862068966</v>
      </c>
      <c r="K27" s="24" t="n">
        <f aca="false">IFERROR(G27/D27,0)</f>
        <v>-28.1</v>
      </c>
      <c r="L27" s="24" t="n">
        <f aca="false">_xlfn.MAXIFS(Trades!$W$2:$W$1846,Trades!$B$2:$B$1846,$A27)</f>
        <v>151.05</v>
      </c>
      <c r="M27" s="24" t="n">
        <f aca="false">_xlfn.MINIFS(Trades!$W$2:$W$1846,Trades!$B$2:$B$1846,$A27)</f>
        <v>-32.9</v>
      </c>
      <c r="N27" s="26" t="n">
        <f aca="false">IFERROR(AVERAGEIFS(Trades!$X$2:$X$1846,Trades!$B$2:$B$1846,$A27),0)</f>
        <v>-0.03325</v>
      </c>
      <c r="O27" s="24" t="n">
        <f aca="false">P26</f>
        <v>3387.02</v>
      </c>
      <c r="P27" s="24" t="n">
        <f aca="false">O27+H27</f>
        <v>3347.12</v>
      </c>
      <c r="Q27" s="23" t="n">
        <f aca="false">IFERROR(H27/O27,0)</f>
        <v>-0.0117802670193858</v>
      </c>
      <c r="R27" s="22" t="str">
        <f aca="false">IF(H27&gt;0,"Up month",IF(H27&lt;0,"Down month","Flat"))&amp;" | "&amp;B27&amp;" trades, "&amp;TEXT(E27,"0%")&amp;" won"</f>
        <v>Down month | 40 trades, 73% won</v>
      </c>
    </row>
    <row r="28" customFormat="false" ht="15" hidden="false" customHeight="false" outlineLevel="0" collapsed="false">
      <c r="A28" s="22" t="s">
        <v>146</v>
      </c>
      <c r="B28" s="22" t="n">
        <f aca="false">COUNTIFS(Trades!$B$2:$B$1846,$A28)</f>
        <v>32</v>
      </c>
      <c r="C28" s="22" t="n">
        <f aca="false">COUNTIFS(Trades!$B$2:$B$1846,$A28,Trades!$Y$2:$Y$1846,"Win")</f>
        <v>19</v>
      </c>
      <c r="D28" s="22" t="n">
        <f aca="false">COUNTIFS(Trades!$B$2:$B$1846,$A28,Trades!$Y$2:$Y$1846,"Loss")</f>
        <v>13</v>
      </c>
      <c r="E28" s="23" t="n">
        <f aca="false">IFERROR(C28/B28,0)</f>
        <v>0.59375</v>
      </c>
      <c r="F28" s="24" t="n">
        <f aca="false">SUMIFS(Trades!$W$2:$W$1846,Trades!$B$2:$B$1846,$A28,Trades!$W$2:$W$1846,"&gt;0")</f>
        <v>298.4</v>
      </c>
      <c r="G28" s="24" t="n">
        <f aca="false">SUMIFS(Trades!$W$2:$W$1846,Trades!$B$2:$B$1846,$A28,Trades!$W$2:$W$1846,"&lt;0")</f>
        <v>-390.95</v>
      </c>
      <c r="H28" s="24" t="n">
        <f aca="false">F28+G28</f>
        <v>-92.55</v>
      </c>
      <c r="I28" s="25" t="n">
        <f aca="false">IFERROR(F28/-G28,"no losses")</f>
        <v>0.763268960225093</v>
      </c>
      <c r="J28" s="24" t="n">
        <f aca="false">IFERROR(F28/C28,0)</f>
        <v>15.7052631578947</v>
      </c>
      <c r="K28" s="24" t="n">
        <f aca="false">IFERROR(G28/D28,0)</f>
        <v>-30.0730769230769</v>
      </c>
      <c r="L28" s="24" t="n">
        <f aca="false">_xlfn.MAXIFS(Trades!$W$2:$W$1846,Trades!$B$2:$B$1846,$A28)</f>
        <v>151.95</v>
      </c>
      <c r="M28" s="24" t="n">
        <f aca="false">_xlfn.MINIFS(Trades!$W$2:$W$1846,Trades!$B$2:$B$1846,$A28)</f>
        <v>-40.3</v>
      </c>
      <c r="N28" s="26" t="n">
        <f aca="false">IFERROR(AVERAGEIFS(Trades!$X$2:$X$1846,Trades!$B$2:$B$1846,$A28),0)</f>
        <v>-0.09640625</v>
      </c>
      <c r="O28" s="24" t="n">
        <f aca="false">P27</f>
        <v>3347.12</v>
      </c>
      <c r="P28" s="24" t="n">
        <f aca="false">O28+H28</f>
        <v>3254.57</v>
      </c>
      <c r="Q28" s="23" t="n">
        <f aca="false">IFERROR(H28/O28,0)</f>
        <v>-0.0276506369655107</v>
      </c>
      <c r="R28" s="22" t="str">
        <f aca="false">IF(H28&gt;0,"Up month",IF(H28&lt;0,"Down month","Flat"))&amp;" | "&amp;B28&amp;" trades, "&amp;TEXT(E28,"0%")&amp;" won"</f>
        <v>Down month | 32 trades, 59% won</v>
      </c>
    </row>
    <row r="29" customFormat="false" ht="15" hidden="false" customHeight="false" outlineLevel="0" collapsed="false">
      <c r="A29" s="22" t="s">
        <v>147</v>
      </c>
      <c r="B29" s="22" t="n">
        <f aca="false">COUNTIFS(Trades!$B$2:$B$1846,$A29)</f>
        <v>34</v>
      </c>
      <c r="C29" s="22" t="n">
        <f aca="false">COUNTIFS(Trades!$B$2:$B$1846,$A29,Trades!$Y$2:$Y$1846,"Win")</f>
        <v>24</v>
      </c>
      <c r="D29" s="22" t="n">
        <f aca="false">COUNTIFS(Trades!$B$2:$B$1846,$A29,Trades!$Y$2:$Y$1846,"Loss")</f>
        <v>10</v>
      </c>
      <c r="E29" s="23" t="n">
        <f aca="false">IFERROR(C29/B29,0)</f>
        <v>0.705882352941177</v>
      </c>
      <c r="F29" s="24" t="n">
        <f aca="false">SUMIFS(Trades!$W$2:$W$1846,Trades!$B$2:$B$1846,$A29,Trades!$W$2:$W$1846,"&gt;0")</f>
        <v>483.25</v>
      </c>
      <c r="G29" s="24" t="n">
        <f aca="false">SUMIFS(Trades!$W$2:$W$1846,Trades!$B$2:$B$1846,$A29,Trades!$W$2:$W$1846,"&lt;0")</f>
        <v>-304.55</v>
      </c>
      <c r="H29" s="24" t="n">
        <f aca="false">F29+G29</f>
        <v>178.7</v>
      </c>
      <c r="I29" s="25" t="n">
        <f aca="false">IFERROR(F29/-G29,"no losses")</f>
        <v>1.58676736168117</v>
      </c>
      <c r="J29" s="24" t="n">
        <f aca="false">IFERROR(F29/C29,0)</f>
        <v>20.1354166666667</v>
      </c>
      <c r="K29" s="24" t="n">
        <f aca="false">IFERROR(G29/D29,0)</f>
        <v>-30.455</v>
      </c>
      <c r="L29" s="24" t="n">
        <f aca="false">_xlfn.MAXIFS(Trades!$W$2:$W$1846,Trades!$B$2:$B$1846,$A29)</f>
        <v>150.5</v>
      </c>
      <c r="M29" s="24" t="n">
        <f aca="false">_xlfn.MINIFS(Trades!$W$2:$W$1846,Trades!$B$2:$B$1846,$A29)</f>
        <v>-31.3</v>
      </c>
      <c r="N29" s="26" t="n">
        <f aca="false">IFERROR(AVERAGEIFS(Trades!$X$2:$X$1846,Trades!$B$2:$B$1846,$A29),0)</f>
        <v>0.175196078431373</v>
      </c>
      <c r="O29" s="24" t="n">
        <f aca="false">P28</f>
        <v>3254.57</v>
      </c>
      <c r="P29" s="24" t="n">
        <f aca="false">O29+H29</f>
        <v>3433.27</v>
      </c>
      <c r="Q29" s="23" t="n">
        <f aca="false">IFERROR(H29/O29,0)</f>
        <v>0.0549074071229072</v>
      </c>
      <c r="R29" s="22" t="str">
        <f aca="false">IF(H29&gt;0,"Up month",IF(H29&lt;0,"Down month","Flat"))&amp;" | "&amp;B29&amp;" trades, "&amp;TEXT(E29,"0%")&amp;" won"</f>
        <v>Up month | 34 trades, 71% won</v>
      </c>
    </row>
    <row r="30" customFormat="false" ht="15" hidden="false" customHeight="false" outlineLevel="0" collapsed="false">
      <c r="A30" s="22" t="s">
        <v>148</v>
      </c>
      <c r="B30" s="22" t="n">
        <f aca="false">COUNTIFS(Trades!$B$2:$B$1846,$A30)</f>
        <v>38</v>
      </c>
      <c r="C30" s="22" t="n">
        <f aca="false">COUNTIFS(Trades!$B$2:$B$1846,$A30,Trades!$Y$2:$Y$1846,"Win")</f>
        <v>27</v>
      </c>
      <c r="D30" s="22" t="n">
        <f aca="false">COUNTIFS(Trades!$B$2:$B$1846,$A30,Trades!$Y$2:$Y$1846,"Loss")</f>
        <v>11</v>
      </c>
      <c r="E30" s="23" t="n">
        <f aca="false">IFERROR(C30/B30,0)</f>
        <v>0.710526315789474</v>
      </c>
      <c r="F30" s="24" t="n">
        <f aca="false">SUMIFS(Trades!$W$2:$W$1846,Trades!$B$2:$B$1846,$A30,Trades!$W$2:$W$1846,"&gt;0")</f>
        <v>364.22</v>
      </c>
      <c r="G30" s="24" t="n">
        <f aca="false">SUMIFS(Trades!$W$2:$W$1846,Trades!$B$2:$B$1846,$A30,Trades!$W$2:$W$1846,"&lt;0")</f>
        <v>-348.72</v>
      </c>
      <c r="H30" s="24" t="n">
        <f aca="false">F30+G30</f>
        <v>15.5000000000001</v>
      </c>
      <c r="I30" s="25" t="n">
        <f aca="false">IFERROR(F30/-G30,"no losses")</f>
        <v>1.04444826795137</v>
      </c>
      <c r="J30" s="24" t="n">
        <f aca="false">IFERROR(F30/C30,0)</f>
        <v>13.4896296296296</v>
      </c>
      <c r="K30" s="24" t="n">
        <f aca="false">IFERROR(G30/D30,0)</f>
        <v>-31.7018181818182</v>
      </c>
      <c r="L30" s="24" t="n">
        <f aca="false">_xlfn.MAXIFS(Trades!$W$2:$W$1846,Trades!$B$2:$B$1846,$A30)</f>
        <v>156.3</v>
      </c>
      <c r="M30" s="24" t="n">
        <f aca="false">_xlfn.MINIFS(Trades!$W$2:$W$1846,Trades!$B$2:$B$1846,$A30)</f>
        <v>-37.8</v>
      </c>
      <c r="N30" s="26" t="n">
        <f aca="false">IFERROR(AVERAGEIFS(Trades!$X$2:$X$1846,Trades!$B$2:$B$1846,$A30),0)</f>
        <v>0.0185087719298246</v>
      </c>
      <c r="O30" s="24" t="n">
        <f aca="false">P29</f>
        <v>3433.27</v>
      </c>
      <c r="P30" s="24" t="n">
        <f aca="false">O30+H30</f>
        <v>3448.77</v>
      </c>
      <c r="Q30" s="23" t="n">
        <f aca="false">IFERROR(H30/O30,0)</f>
        <v>0.00451464638668094</v>
      </c>
      <c r="R30" s="22" t="str">
        <f aca="false">IF(H30&gt;0,"Up month",IF(H30&lt;0,"Down month","Flat"))&amp;" | "&amp;B30&amp;" trades, "&amp;TEXT(E30,"0%")&amp;" won"</f>
        <v>Up month | 38 trades, 71% won</v>
      </c>
    </row>
    <row r="31" customFormat="false" ht="15" hidden="false" customHeight="false" outlineLevel="0" collapsed="false">
      <c r="A31" s="22" t="s">
        <v>149</v>
      </c>
      <c r="B31" s="22" t="n">
        <f aca="false">COUNTIFS(Trades!$B$2:$B$1846,$A31)</f>
        <v>36</v>
      </c>
      <c r="C31" s="22" t="n">
        <f aca="false">COUNTIFS(Trades!$B$2:$B$1846,$A31,Trades!$Y$2:$Y$1846,"Win")</f>
        <v>27</v>
      </c>
      <c r="D31" s="22" t="n">
        <f aca="false">COUNTIFS(Trades!$B$2:$B$1846,$A31,Trades!$Y$2:$Y$1846,"Loss")</f>
        <v>9</v>
      </c>
      <c r="E31" s="23" t="n">
        <f aca="false">IFERROR(C31/B31,0)</f>
        <v>0.75</v>
      </c>
      <c r="F31" s="24" t="n">
        <f aca="false">SUMIFS(Trades!$W$2:$W$1846,Trades!$B$2:$B$1846,$A31,Trades!$W$2:$W$1846,"&gt;0")</f>
        <v>277.7</v>
      </c>
      <c r="G31" s="24" t="n">
        <f aca="false">SUMIFS(Trades!$W$2:$W$1846,Trades!$B$2:$B$1846,$A31,Trades!$W$2:$W$1846,"&lt;0")</f>
        <v>-279</v>
      </c>
      <c r="H31" s="24" t="n">
        <f aca="false">F31+G31</f>
        <v>-1.30000000000001</v>
      </c>
      <c r="I31" s="25" t="n">
        <f aca="false">IFERROR(F31/-G31,"no losses")</f>
        <v>0.995340501792115</v>
      </c>
      <c r="J31" s="24" t="n">
        <f aca="false">IFERROR(F31/C31,0)</f>
        <v>10.2851851851852</v>
      </c>
      <c r="K31" s="24" t="n">
        <f aca="false">IFERROR(G31/D31,0)</f>
        <v>-31</v>
      </c>
      <c r="L31" s="24" t="n">
        <f aca="false">_xlfn.MAXIFS(Trades!$W$2:$W$1846,Trades!$B$2:$B$1846,$A31)</f>
        <v>150.4</v>
      </c>
      <c r="M31" s="24" t="n">
        <f aca="false">_xlfn.MINIFS(Trades!$W$2:$W$1846,Trades!$B$2:$B$1846,$A31)</f>
        <v>-35.1</v>
      </c>
      <c r="N31" s="26" t="n">
        <f aca="false">IFERROR(AVERAGEIFS(Trades!$X$2:$X$1846,Trades!$B$2:$B$1846,$A31),0)</f>
        <v>-0.00120370370370371</v>
      </c>
      <c r="O31" s="24" t="n">
        <f aca="false">P30</f>
        <v>3448.77</v>
      </c>
      <c r="P31" s="24" t="n">
        <f aca="false">O31+H31</f>
        <v>3447.47</v>
      </c>
      <c r="Q31" s="23" t="n">
        <f aca="false">IFERROR(H31/O31,0)</f>
        <v>-0.000376945983640548</v>
      </c>
      <c r="R31" s="22" t="str">
        <f aca="false">IF(H31&gt;0,"Up month",IF(H31&lt;0,"Down month","Flat"))&amp;" | "&amp;B31&amp;" trades, "&amp;TEXT(E31,"0%")&amp;" won"</f>
        <v>Down month | 36 trades, 75% won</v>
      </c>
    </row>
    <row r="32" customFormat="false" ht="15" hidden="false" customHeight="false" outlineLevel="0" collapsed="false">
      <c r="A32" s="22" t="s">
        <v>150</v>
      </c>
      <c r="B32" s="22" t="n">
        <f aca="false">COUNTIFS(Trades!$B$2:$B$1846,$A32)</f>
        <v>35</v>
      </c>
      <c r="C32" s="22" t="n">
        <f aca="false">COUNTIFS(Trades!$B$2:$B$1846,$A32,Trades!$Y$2:$Y$1846,"Win")</f>
        <v>20</v>
      </c>
      <c r="D32" s="22" t="n">
        <f aca="false">COUNTIFS(Trades!$B$2:$B$1846,$A32,Trades!$Y$2:$Y$1846,"Loss")</f>
        <v>15</v>
      </c>
      <c r="E32" s="23" t="n">
        <f aca="false">IFERROR(C32/B32,0)</f>
        <v>0.571428571428571</v>
      </c>
      <c r="F32" s="24" t="n">
        <f aca="false">SUMIFS(Trades!$W$2:$W$1846,Trades!$B$2:$B$1846,$A32,Trades!$W$2:$W$1846,"&gt;0")</f>
        <v>153.6</v>
      </c>
      <c r="G32" s="24" t="n">
        <f aca="false">SUMIFS(Trades!$W$2:$W$1846,Trades!$B$2:$B$1846,$A32,Trades!$W$2:$W$1846,"&lt;0")</f>
        <v>-417.2</v>
      </c>
      <c r="H32" s="24" t="n">
        <f aca="false">F32+G32</f>
        <v>-263.6</v>
      </c>
      <c r="I32" s="25" t="n">
        <f aca="false">IFERROR(F32/-G32,"no losses")</f>
        <v>0.36816874400767</v>
      </c>
      <c r="J32" s="24" t="n">
        <f aca="false">IFERROR(F32/C32,0)</f>
        <v>7.68</v>
      </c>
      <c r="K32" s="24" t="n">
        <f aca="false">IFERROR(G32/D32,0)</f>
        <v>-27.8133333333333</v>
      </c>
      <c r="L32" s="24" t="n">
        <f aca="false">_xlfn.MAXIFS(Trades!$W$2:$W$1846,Trades!$B$2:$B$1846,$A32)</f>
        <v>110.1</v>
      </c>
      <c r="M32" s="24" t="n">
        <f aca="false">_xlfn.MINIFS(Trades!$W$2:$W$1846,Trades!$B$2:$B$1846,$A32)</f>
        <v>-37.05</v>
      </c>
      <c r="N32" s="26" t="n">
        <f aca="false">IFERROR(AVERAGEIFS(Trades!$X$2:$X$1846,Trades!$B$2:$B$1846,$A32),0)</f>
        <v>-0.251047619047619</v>
      </c>
      <c r="O32" s="24" t="n">
        <f aca="false">P31</f>
        <v>3447.47</v>
      </c>
      <c r="P32" s="24" t="n">
        <f aca="false">O32+H32</f>
        <v>3183.87</v>
      </c>
      <c r="Q32" s="23" t="n">
        <f aca="false">IFERROR(H32/O32,0)</f>
        <v>-0.0764618691388178</v>
      </c>
      <c r="R32" s="22" t="str">
        <f aca="false">IF(H32&gt;0,"Up month",IF(H32&lt;0,"Down month","Flat"))&amp;" | "&amp;B32&amp;" trades, "&amp;TEXT(E32,"0%")&amp;" won"</f>
        <v>Down month | 35 trades, 57% won</v>
      </c>
    </row>
    <row r="33" customFormat="false" ht="15" hidden="false" customHeight="false" outlineLevel="0" collapsed="false">
      <c r="A33" s="22" t="s">
        <v>151</v>
      </c>
      <c r="B33" s="22" t="n">
        <f aca="false">COUNTIFS(Trades!$B$2:$B$1846,$A33)</f>
        <v>34</v>
      </c>
      <c r="C33" s="22" t="n">
        <f aca="false">COUNTIFS(Trades!$B$2:$B$1846,$A33,Trades!$Y$2:$Y$1846,"Win")</f>
        <v>30</v>
      </c>
      <c r="D33" s="22" t="n">
        <f aca="false">COUNTIFS(Trades!$B$2:$B$1846,$A33,Trades!$Y$2:$Y$1846,"Loss")</f>
        <v>4</v>
      </c>
      <c r="E33" s="23" t="n">
        <f aca="false">IFERROR(C33/B33,0)</f>
        <v>0.882352941176471</v>
      </c>
      <c r="F33" s="24" t="n">
        <f aca="false">SUMIFS(Trades!$W$2:$W$1846,Trades!$B$2:$B$1846,$A33,Trades!$W$2:$W$1846,"&gt;0")</f>
        <v>417.9</v>
      </c>
      <c r="G33" s="24" t="n">
        <f aca="false">SUMIFS(Trades!$W$2:$W$1846,Trades!$B$2:$B$1846,$A33,Trades!$W$2:$W$1846,"&lt;0")</f>
        <v>-121.25</v>
      </c>
      <c r="H33" s="24" t="n">
        <f aca="false">F33+G33</f>
        <v>296.65</v>
      </c>
      <c r="I33" s="25" t="n">
        <f aca="false">IFERROR(F33/-G33,"no losses")</f>
        <v>3.44659793814433</v>
      </c>
      <c r="J33" s="24" t="n">
        <f aca="false">IFERROR(F33/C33,0)</f>
        <v>13.93</v>
      </c>
      <c r="K33" s="24" t="n">
        <f aca="false">IFERROR(G33/D33,0)</f>
        <v>-30.3125</v>
      </c>
      <c r="L33" s="24" t="n">
        <f aca="false">_xlfn.MAXIFS(Trades!$W$2:$W$1846,Trades!$B$2:$B$1846,$A33)</f>
        <v>149.6</v>
      </c>
      <c r="M33" s="24" t="n">
        <f aca="false">_xlfn.MINIFS(Trades!$W$2:$W$1846,Trades!$B$2:$B$1846,$A33)</f>
        <v>-30.75</v>
      </c>
      <c r="N33" s="26" t="n">
        <f aca="false">IFERROR(AVERAGEIFS(Trades!$X$2:$X$1846,Trades!$B$2:$B$1846,$A33),0)</f>
        <v>0.290833333333333</v>
      </c>
      <c r="O33" s="24" t="n">
        <f aca="false">P32</f>
        <v>3183.87</v>
      </c>
      <c r="P33" s="24" t="n">
        <f aca="false">O33+H33</f>
        <v>3480.52</v>
      </c>
      <c r="Q33" s="23" t="n">
        <f aca="false">IFERROR(H33/O33,0)</f>
        <v>0.0931727740140144</v>
      </c>
      <c r="R33" s="22" t="str">
        <f aca="false">IF(H33&gt;0,"Up month",IF(H33&lt;0,"Down month","Flat"))&amp;" | "&amp;B33&amp;" trades, "&amp;TEXT(E33,"0%")&amp;" won"</f>
        <v>Up month | 34 trades, 88% won</v>
      </c>
    </row>
    <row r="34" customFormat="false" ht="15" hidden="false" customHeight="false" outlineLevel="0" collapsed="false">
      <c r="A34" s="22" t="s">
        <v>152</v>
      </c>
      <c r="B34" s="22" t="n">
        <f aca="false">COUNTIFS(Trades!$B$2:$B$1846,$A34)</f>
        <v>35</v>
      </c>
      <c r="C34" s="22" t="n">
        <f aca="false">COUNTIFS(Trades!$B$2:$B$1846,$A34,Trades!$Y$2:$Y$1846,"Win")</f>
        <v>25</v>
      </c>
      <c r="D34" s="22" t="n">
        <f aca="false">COUNTIFS(Trades!$B$2:$B$1846,$A34,Trades!$Y$2:$Y$1846,"Loss")</f>
        <v>10</v>
      </c>
      <c r="E34" s="23" t="n">
        <f aca="false">IFERROR(C34/B34,0)</f>
        <v>0.714285714285714</v>
      </c>
      <c r="F34" s="24" t="n">
        <f aca="false">SUMIFS(Trades!$W$2:$W$1846,Trades!$B$2:$B$1846,$A34,Trades!$W$2:$W$1846,"&gt;0")</f>
        <v>320.45</v>
      </c>
      <c r="G34" s="24" t="n">
        <f aca="false">SUMIFS(Trades!$W$2:$W$1846,Trades!$B$2:$B$1846,$A34,Trades!$W$2:$W$1846,"&lt;0")</f>
        <v>-303.35</v>
      </c>
      <c r="H34" s="24" t="n">
        <f aca="false">F34+G34</f>
        <v>17.1</v>
      </c>
      <c r="I34" s="25" t="n">
        <f aca="false">IFERROR(F34/-G34,"no losses")</f>
        <v>1.05637052909181</v>
      </c>
      <c r="J34" s="24" t="n">
        <f aca="false">IFERROR(F34/C34,0)</f>
        <v>12.818</v>
      </c>
      <c r="K34" s="24" t="n">
        <f aca="false">IFERROR(G34/D34,0)</f>
        <v>-30.335</v>
      </c>
      <c r="L34" s="24" t="n">
        <f aca="false">_xlfn.MAXIFS(Trades!$W$2:$W$1846,Trades!$B$2:$B$1846,$A34)</f>
        <v>150.7</v>
      </c>
      <c r="M34" s="24" t="n">
        <f aca="false">_xlfn.MINIFS(Trades!$W$2:$W$1846,Trades!$B$2:$B$1846,$A34)</f>
        <v>-31.15</v>
      </c>
      <c r="N34" s="26" t="n">
        <f aca="false">IFERROR(AVERAGEIFS(Trades!$X$2:$X$1846,Trades!$B$2:$B$1846,$A34),0)</f>
        <v>0.0162857142857143</v>
      </c>
      <c r="O34" s="24" t="n">
        <f aca="false">P33</f>
        <v>3480.52</v>
      </c>
      <c r="P34" s="24" t="n">
        <f aca="false">O34+H34</f>
        <v>3497.62</v>
      </c>
      <c r="Q34" s="23" t="n">
        <f aca="false">IFERROR(H34/O34,0)</f>
        <v>0.00491305896820014</v>
      </c>
      <c r="R34" s="22" t="str">
        <f aca="false">IF(H34&gt;0,"Up month",IF(H34&lt;0,"Down month","Flat"))&amp;" | "&amp;B34&amp;" trades, "&amp;TEXT(E34,"0%")&amp;" won"</f>
        <v>Up month | 35 trades, 71% won</v>
      </c>
    </row>
    <row r="35" customFormat="false" ht="15" hidden="false" customHeight="false" outlineLevel="0" collapsed="false">
      <c r="A35" s="22" t="s">
        <v>153</v>
      </c>
      <c r="B35" s="22" t="n">
        <f aca="false">COUNTIFS(Trades!$B$2:$B$1846,$A35)</f>
        <v>34</v>
      </c>
      <c r="C35" s="22" t="n">
        <f aca="false">COUNTIFS(Trades!$B$2:$B$1846,$A35,Trades!$Y$2:$Y$1846,"Win")</f>
        <v>27</v>
      </c>
      <c r="D35" s="22" t="n">
        <f aca="false">COUNTIFS(Trades!$B$2:$B$1846,$A35,Trades!$Y$2:$Y$1846,"Loss")</f>
        <v>7</v>
      </c>
      <c r="E35" s="23" t="n">
        <f aca="false">IFERROR(C35/B35,0)</f>
        <v>0.794117647058824</v>
      </c>
      <c r="F35" s="24" t="n">
        <f aca="false">SUMIFS(Trades!$W$2:$W$1846,Trades!$B$2:$B$1846,$A35,Trades!$W$2:$W$1846,"&gt;0")</f>
        <v>358.95</v>
      </c>
      <c r="G35" s="24" t="n">
        <f aca="false">SUMIFS(Trades!$W$2:$W$1846,Trades!$B$2:$B$1846,$A35,Trades!$W$2:$W$1846,"&lt;0")</f>
        <v>-223.25</v>
      </c>
      <c r="H35" s="24" t="n">
        <f aca="false">F35+G35</f>
        <v>135.7</v>
      </c>
      <c r="I35" s="25" t="n">
        <f aca="false">IFERROR(F35/-G35,"no losses")</f>
        <v>1.60783874580067</v>
      </c>
      <c r="J35" s="24" t="n">
        <f aca="false">IFERROR(F35/C35,0)</f>
        <v>13.2944444444444</v>
      </c>
      <c r="K35" s="24" t="n">
        <f aca="false">IFERROR(G35/D35,0)</f>
        <v>-31.8928571428571</v>
      </c>
      <c r="L35" s="24" t="n">
        <f aca="false">_xlfn.MAXIFS(Trades!$W$2:$W$1846,Trades!$B$2:$B$1846,$A35)</f>
        <v>150</v>
      </c>
      <c r="M35" s="24" t="n">
        <f aca="false">_xlfn.MINIFS(Trades!$W$2:$W$1846,Trades!$B$2:$B$1846,$A35)</f>
        <v>-37.5</v>
      </c>
      <c r="N35" s="26" t="n">
        <f aca="false">IFERROR(AVERAGEIFS(Trades!$X$2:$X$1846,Trades!$B$2:$B$1846,$A35),0)</f>
        <v>0.152450980392157</v>
      </c>
      <c r="O35" s="24" t="n">
        <f aca="false">P34</f>
        <v>3497.62</v>
      </c>
      <c r="P35" s="24" t="n">
        <f aca="false">O35+H35</f>
        <v>3633.32</v>
      </c>
      <c r="Q35" s="23" t="n">
        <f aca="false">IFERROR(H35/O35,0)</f>
        <v>0.038797811082965</v>
      </c>
      <c r="R35" s="22" t="str">
        <f aca="false">IF(H35&gt;0,"Up month",IF(H35&lt;0,"Down month","Flat"))&amp;" | "&amp;B35&amp;" trades, "&amp;TEXT(E35,"0%")&amp;" won"</f>
        <v>Up month | 34 trades, 79% won</v>
      </c>
    </row>
    <row r="36" customFormat="false" ht="15" hidden="false" customHeight="false" outlineLevel="0" collapsed="false">
      <c r="A36" s="22" t="s">
        <v>154</v>
      </c>
      <c r="B36" s="22" t="n">
        <f aca="false">COUNTIFS(Trades!$B$2:$B$1846,$A36)</f>
        <v>37</v>
      </c>
      <c r="C36" s="22" t="n">
        <f aca="false">COUNTIFS(Trades!$B$2:$B$1846,$A36,Trades!$Y$2:$Y$1846,"Win")</f>
        <v>28</v>
      </c>
      <c r="D36" s="22" t="n">
        <f aca="false">COUNTIFS(Trades!$B$2:$B$1846,$A36,Trades!$Y$2:$Y$1846,"Loss")</f>
        <v>9</v>
      </c>
      <c r="E36" s="23" t="n">
        <f aca="false">IFERROR(C36/B36,0)</f>
        <v>0.756756756756757</v>
      </c>
      <c r="F36" s="24" t="n">
        <f aca="false">SUMIFS(Trades!$W$2:$W$1846,Trades!$B$2:$B$1846,$A36,Trades!$W$2:$W$1846,"&gt;0")</f>
        <v>212.97</v>
      </c>
      <c r="G36" s="24" t="n">
        <f aca="false">SUMIFS(Trades!$W$2:$W$1846,Trades!$B$2:$B$1846,$A36,Trades!$W$2:$W$1846,"&lt;0")</f>
        <v>-304.94</v>
      </c>
      <c r="H36" s="24" t="n">
        <f aca="false">F36+G36</f>
        <v>-91.97</v>
      </c>
      <c r="I36" s="25" t="n">
        <f aca="false">IFERROR(F36/-G36,"no losses")</f>
        <v>0.698399685183971</v>
      </c>
      <c r="J36" s="24" t="n">
        <f aca="false">IFERROR(F36/C36,0)</f>
        <v>7.60607142857143</v>
      </c>
      <c r="K36" s="24" t="n">
        <f aca="false">IFERROR(G36/D36,0)</f>
        <v>-33.8822222222222</v>
      </c>
      <c r="L36" s="24" t="n">
        <f aca="false">_xlfn.MAXIFS(Trades!$W$2:$W$1846,Trades!$B$2:$B$1846,$A36)</f>
        <v>150.05</v>
      </c>
      <c r="M36" s="24" t="n">
        <f aca="false">_xlfn.MINIFS(Trades!$W$2:$W$1846,Trades!$B$2:$B$1846,$A36)</f>
        <v>-40.02</v>
      </c>
      <c r="N36" s="26" t="n">
        <f aca="false">IFERROR(AVERAGEIFS(Trades!$X$2:$X$1846,Trades!$B$2:$B$1846,$A36),0)</f>
        <v>-0.0618468468468469</v>
      </c>
      <c r="O36" s="24" t="n">
        <f aca="false">P35</f>
        <v>3633.32</v>
      </c>
      <c r="P36" s="24" t="n">
        <f aca="false">O36+H36</f>
        <v>3541.35</v>
      </c>
      <c r="Q36" s="23" t="n">
        <f aca="false">IFERROR(H36/O36,0)</f>
        <v>-0.0253129369282089</v>
      </c>
      <c r="R36" s="22" t="str">
        <f aca="false">IF(H36&gt;0,"Up month",IF(H36&lt;0,"Down month","Flat"))&amp;" | "&amp;B36&amp;" trades, "&amp;TEXT(E36,"0%")&amp;" won"</f>
        <v>Down month | 37 trades, 76% won</v>
      </c>
    </row>
    <row r="37" customFormat="false" ht="15" hidden="false" customHeight="false" outlineLevel="0" collapsed="false">
      <c r="A37" s="22" t="s">
        <v>155</v>
      </c>
      <c r="B37" s="22" t="n">
        <f aca="false">COUNTIFS(Trades!$B$2:$B$1846,$A37)</f>
        <v>37</v>
      </c>
      <c r="C37" s="22" t="n">
        <f aca="false">COUNTIFS(Trades!$B$2:$B$1846,$A37,Trades!$Y$2:$Y$1846,"Win")</f>
        <v>29</v>
      </c>
      <c r="D37" s="22" t="n">
        <f aca="false">COUNTIFS(Trades!$B$2:$B$1846,$A37,Trades!$Y$2:$Y$1846,"Loss")</f>
        <v>8</v>
      </c>
      <c r="E37" s="23" t="n">
        <f aca="false">IFERROR(C37/B37,0)</f>
        <v>0.783783783783784</v>
      </c>
      <c r="F37" s="24" t="n">
        <f aca="false">SUMIFS(Trades!$W$2:$W$1846,Trades!$B$2:$B$1846,$A37,Trades!$W$2:$W$1846,"&gt;0")</f>
        <v>217.8</v>
      </c>
      <c r="G37" s="24" t="n">
        <f aca="false">SUMIFS(Trades!$W$2:$W$1846,Trades!$B$2:$B$1846,$A37,Trades!$W$2:$W$1846,"&lt;0")</f>
        <v>-268.65</v>
      </c>
      <c r="H37" s="24" t="n">
        <f aca="false">F37+G37</f>
        <v>-50.85</v>
      </c>
      <c r="I37" s="25" t="n">
        <f aca="false">IFERROR(F37/-G37,"no losses")</f>
        <v>0.8107202680067</v>
      </c>
      <c r="J37" s="24" t="n">
        <f aca="false">IFERROR(F37/C37,0)</f>
        <v>7.51034482758621</v>
      </c>
      <c r="K37" s="24" t="n">
        <f aca="false">IFERROR(G37/D37,0)</f>
        <v>-33.58125</v>
      </c>
      <c r="L37" s="24" t="n">
        <f aca="false">_xlfn.MAXIFS(Trades!$W$2:$W$1846,Trades!$B$2:$B$1846,$A37)</f>
        <v>150.1</v>
      </c>
      <c r="M37" s="24" t="n">
        <f aca="false">_xlfn.MINIFS(Trades!$W$2:$W$1846,Trades!$B$2:$B$1846,$A37)</f>
        <v>-37.8</v>
      </c>
      <c r="N37" s="26" t="n">
        <f aca="false">IFERROR(AVERAGEIFS(Trades!$X$2:$X$1846,Trades!$B$2:$B$1846,$A37),0)</f>
        <v>-0.0312162162162162</v>
      </c>
      <c r="O37" s="24" t="n">
        <f aca="false">P36</f>
        <v>3541.35</v>
      </c>
      <c r="P37" s="24" t="n">
        <f aca="false">O37+H37</f>
        <v>3490.5</v>
      </c>
      <c r="Q37" s="23" t="n">
        <f aca="false">IFERROR(H37/O37,0)</f>
        <v>-0.014358930916176</v>
      </c>
      <c r="R37" s="22" t="str">
        <f aca="false">IF(H37&gt;0,"Up month",IF(H37&lt;0,"Down month","Flat"))&amp;" | "&amp;B37&amp;" trades, "&amp;TEXT(E37,"0%")&amp;" won"</f>
        <v>Down month | 37 trades, 78% won</v>
      </c>
    </row>
    <row r="38" customFormat="false" ht="15" hidden="false" customHeight="false" outlineLevel="0" collapsed="false">
      <c r="A38" s="22" t="s">
        <v>156</v>
      </c>
      <c r="B38" s="22" t="n">
        <f aca="false">COUNTIFS(Trades!$B$2:$B$1846,$A38)</f>
        <v>30</v>
      </c>
      <c r="C38" s="22" t="n">
        <f aca="false">COUNTIFS(Trades!$B$2:$B$1846,$A38,Trades!$Y$2:$Y$1846,"Win")</f>
        <v>23</v>
      </c>
      <c r="D38" s="22" t="n">
        <f aca="false">COUNTIFS(Trades!$B$2:$B$1846,$A38,Trades!$Y$2:$Y$1846,"Loss")</f>
        <v>7</v>
      </c>
      <c r="E38" s="23" t="n">
        <f aca="false">IFERROR(C38/B38,0)</f>
        <v>0.766666666666667</v>
      </c>
      <c r="F38" s="24" t="n">
        <f aca="false">SUMIFS(Trades!$W$2:$W$1846,Trades!$B$2:$B$1846,$A38,Trades!$W$2:$W$1846,"&gt;0")</f>
        <v>192.45</v>
      </c>
      <c r="G38" s="24" t="n">
        <f aca="false">SUMIFS(Trades!$W$2:$W$1846,Trades!$B$2:$B$1846,$A38,Trades!$W$2:$W$1846,"&lt;0")</f>
        <v>-215.9</v>
      </c>
      <c r="H38" s="24" t="n">
        <f aca="false">F38+G38</f>
        <v>-23.45</v>
      </c>
      <c r="I38" s="25" t="n">
        <f aca="false">IFERROR(F38/-G38,"no losses")</f>
        <v>0.89138490041686</v>
      </c>
      <c r="J38" s="24" t="n">
        <f aca="false">IFERROR(F38/C38,0)</f>
        <v>8.36739130434783</v>
      </c>
      <c r="K38" s="24" t="n">
        <f aca="false">IFERROR(G38/D38,0)</f>
        <v>-30.8428571428571</v>
      </c>
      <c r="L38" s="24" t="n">
        <f aca="false">_xlfn.MAXIFS(Trades!$W$2:$W$1846,Trades!$B$2:$B$1846,$A38)</f>
        <v>147.8</v>
      </c>
      <c r="M38" s="24" t="n">
        <f aca="false">_xlfn.MINIFS(Trades!$W$2:$W$1846,Trades!$B$2:$B$1846,$A38)</f>
        <v>-32.25</v>
      </c>
      <c r="N38" s="26" t="n">
        <f aca="false">IFERROR(AVERAGEIFS(Trades!$X$2:$X$1846,Trades!$B$2:$B$1846,$A38),0)</f>
        <v>-0.0260555555555555</v>
      </c>
      <c r="O38" s="24" t="n">
        <f aca="false">P37</f>
        <v>3490.5</v>
      </c>
      <c r="P38" s="24" t="n">
        <f aca="false">O38+H38</f>
        <v>3467.05</v>
      </c>
      <c r="Q38" s="23" t="n">
        <f aca="false">IFERROR(H38/O38,0)</f>
        <v>-0.00671823520985532</v>
      </c>
      <c r="R38" s="22" t="str">
        <f aca="false">IF(H38&gt;0,"Up month",IF(H38&lt;0,"Down month","Flat"))&amp;" | "&amp;B38&amp;" trades, "&amp;TEXT(E38,"0%")&amp;" won"</f>
        <v>Down month | 30 trades, 77% won</v>
      </c>
    </row>
    <row r="39" customFormat="false" ht="15" hidden="false" customHeight="false" outlineLevel="0" collapsed="false">
      <c r="A39" s="22" t="s">
        <v>157</v>
      </c>
      <c r="B39" s="22" t="n">
        <f aca="false">COUNTIFS(Trades!$B$2:$B$1846,$A39)</f>
        <v>32</v>
      </c>
      <c r="C39" s="22" t="n">
        <f aca="false">COUNTIFS(Trades!$B$2:$B$1846,$A39,Trades!$Y$2:$Y$1846,"Win")</f>
        <v>23</v>
      </c>
      <c r="D39" s="22" t="n">
        <f aca="false">COUNTIFS(Trades!$B$2:$B$1846,$A39,Trades!$Y$2:$Y$1846,"Loss")</f>
        <v>9</v>
      </c>
      <c r="E39" s="23" t="n">
        <f aca="false">IFERROR(C39/B39,0)</f>
        <v>0.71875</v>
      </c>
      <c r="F39" s="24" t="n">
        <f aca="false">SUMIFS(Trades!$W$2:$W$1846,Trades!$B$2:$B$1846,$A39,Trades!$W$2:$W$1846,"&gt;0")</f>
        <v>248.2</v>
      </c>
      <c r="G39" s="24" t="n">
        <f aca="false">SUMIFS(Trades!$W$2:$W$1846,Trades!$B$2:$B$1846,$A39,Trades!$W$2:$W$1846,"&lt;0")</f>
        <v>-278.3</v>
      </c>
      <c r="H39" s="24" t="n">
        <f aca="false">F39+G39</f>
        <v>-30.1</v>
      </c>
      <c r="I39" s="25" t="n">
        <f aca="false">IFERROR(F39/-G39,"no losses")</f>
        <v>0.891843334531081</v>
      </c>
      <c r="J39" s="24" t="n">
        <f aca="false">IFERROR(F39/C39,0)</f>
        <v>10.7913043478261</v>
      </c>
      <c r="K39" s="24" t="n">
        <f aca="false">IFERROR(G39/D39,0)</f>
        <v>-30.9222222222222</v>
      </c>
      <c r="L39" s="24" t="n">
        <f aca="false">_xlfn.MAXIFS(Trades!$W$2:$W$1846,Trades!$B$2:$B$1846,$A39)</f>
        <v>147.7</v>
      </c>
      <c r="M39" s="24" t="n">
        <f aca="false">_xlfn.MINIFS(Trades!$W$2:$W$1846,Trades!$B$2:$B$1846,$A39)</f>
        <v>-33.05</v>
      </c>
      <c r="N39" s="26" t="n">
        <f aca="false">IFERROR(AVERAGEIFS(Trades!$X$2:$X$1846,Trades!$B$2:$B$1846,$A39),0)</f>
        <v>-0.0313541666666667</v>
      </c>
      <c r="O39" s="24" t="n">
        <f aca="false">P38</f>
        <v>3467.05</v>
      </c>
      <c r="P39" s="24" t="n">
        <f aca="false">O39+H39</f>
        <v>3436.95</v>
      </c>
      <c r="Q39" s="23" t="n">
        <f aca="false">IFERROR(H39/O39,0)</f>
        <v>-0.00868173230844667</v>
      </c>
      <c r="R39" s="22" t="str">
        <f aca="false">IF(H39&gt;0,"Up month",IF(H39&lt;0,"Down month","Flat"))&amp;" | "&amp;B39&amp;" trades, "&amp;TEXT(E39,"0%")&amp;" won"</f>
        <v>Down month | 32 trades, 72% won</v>
      </c>
    </row>
    <row r="40" customFormat="false" ht="15" hidden="false" customHeight="false" outlineLevel="0" collapsed="false">
      <c r="A40" s="22" t="s">
        <v>158</v>
      </c>
      <c r="B40" s="22" t="n">
        <f aca="false">COUNTIFS(Trades!$B$2:$B$1846,$A40)</f>
        <v>33</v>
      </c>
      <c r="C40" s="22" t="n">
        <f aca="false">COUNTIFS(Trades!$B$2:$B$1846,$A40,Trades!$Y$2:$Y$1846,"Win")</f>
        <v>25</v>
      </c>
      <c r="D40" s="22" t="n">
        <f aca="false">COUNTIFS(Trades!$B$2:$B$1846,$A40,Trades!$Y$2:$Y$1846,"Loss")</f>
        <v>8</v>
      </c>
      <c r="E40" s="23" t="n">
        <f aca="false">IFERROR(C40/B40,0)</f>
        <v>0.757575757575758</v>
      </c>
      <c r="F40" s="24" t="n">
        <f aca="false">SUMIFS(Trades!$W$2:$W$1846,Trades!$B$2:$B$1846,$A40,Trades!$W$2:$W$1846,"&gt;0")</f>
        <v>500.63</v>
      </c>
      <c r="G40" s="24" t="n">
        <f aca="false">SUMIFS(Trades!$W$2:$W$1846,Trades!$B$2:$B$1846,$A40,Trades!$W$2:$W$1846,"&lt;0")</f>
        <v>-270.05</v>
      </c>
      <c r="H40" s="24" t="n">
        <f aca="false">F40+G40</f>
        <v>230.58</v>
      </c>
      <c r="I40" s="25" t="n">
        <f aca="false">IFERROR(F40/-G40,"no losses")</f>
        <v>1.85384188113312</v>
      </c>
      <c r="J40" s="24" t="n">
        <f aca="false">IFERROR(F40/C40,0)</f>
        <v>20.0252</v>
      </c>
      <c r="K40" s="24" t="n">
        <f aca="false">IFERROR(G40/D40,0)</f>
        <v>-33.75625</v>
      </c>
      <c r="L40" s="24" t="n">
        <f aca="false">_xlfn.MAXIFS(Trades!$W$2:$W$1846,Trades!$B$2:$B$1846,$A40)</f>
        <v>150.8</v>
      </c>
      <c r="M40" s="24" t="n">
        <f aca="false">_xlfn.MINIFS(Trades!$W$2:$W$1846,Trades!$B$2:$B$1846,$A40)</f>
        <v>-37.2</v>
      </c>
      <c r="N40" s="26" t="n">
        <f aca="false">IFERROR(AVERAGEIFS(Trades!$X$2:$X$1846,Trades!$B$2:$B$1846,$A40),0)</f>
        <v>0.251111111111111</v>
      </c>
      <c r="O40" s="24" t="n">
        <f aca="false">P39</f>
        <v>3436.95</v>
      </c>
      <c r="P40" s="24" t="n">
        <f aca="false">O40+H40</f>
        <v>3667.53</v>
      </c>
      <c r="Q40" s="23" t="n">
        <f aca="false">IFERROR(H40/O40,0)</f>
        <v>0.0670885523501942</v>
      </c>
      <c r="R40" s="22" t="str">
        <f aca="false">IF(H40&gt;0,"Up month",IF(H40&lt;0,"Down month","Flat"))&amp;" | "&amp;B40&amp;" trades, "&amp;TEXT(E40,"0%")&amp;" won"</f>
        <v>Up month | 33 trades, 76% won</v>
      </c>
    </row>
    <row r="41" customFormat="false" ht="15" hidden="false" customHeight="false" outlineLevel="0" collapsed="false">
      <c r="A41" s="22" t="s">
        <v>159</v>
      </c>
      <c r="B41" s="22" t="n">
        <f aca="false">COUNTIFS(Trades!$B$2:$B$1846,$A41)</f>
        <v>37</v>
      </c>
      <c r="C41" s="22" t="n">
        <f aca="false">COUNTIFS(Trades!$B$2:$B$1846,$A41,Trades!$Y$2:$Y$1846,"Win")</f>
        <v>24</v>
      </c>
      <c r="D41" s="22" t="n">
        <f aca="false">COUNTIFS(Trades!$B$2:$B$1846,$A41,Trades!$Y$2:$Y$1846,"Loss")</f>
        <v>13</v>
      </c>
      <c r="E41" s="23" t="n">
        <f aca="false">IFERROR(C41/B41,0)</f>
        <v>0.648648648648649</v>
      </c>
      <c r="F41" s="24" t="n">
        <f aca="false">SUMIFS(Trades!$W$2:$W$1846,Trades!$B$2:$B$1846,$A41,Trades!$W$2:$W$1846,"&gt;0")</f>
        <v>279.11</v>
      </c>
      <c r="G41" s="24" t="n">
        <f aca="false">SUMIFS(Trades!$W$2:$W$1846,Trades!$B$2:$B$1846,$A41,Trades!$W$2:$W$1846,"&lt;0")</f>
        <v>-433.44</v>
      </c>
      <c r="H41" s="24" t="n">
        <f aca="false">F41+G41</f>
        <v>-154.33</v>
      </c>
      <c r="I41" s="25" t="n">
        <f aca="false">IFERROR(F41/-G41,"no losses")</f>
        <v>0.643941491325212</v>
      </c>
      <c r="J41" s="24" t="n">
        <f aca="false">IFERROR(F41/C41,0)</f>
        <v>11.6295833333333</v>
      </c>
      <c r="K41" s="24" t="n">
        <f aca="false">IFERROR(G41/D41,0)</f>
        <v>-33.3415384615385</v>
      </c>
      <c r="L41" s="24" t="n">
        <f aca="false">_xlfn.MAXIFS(Trades!$W$2:$W$1846,Trades!$B$2:$B$1846,$A41)</f>
        <v>149.9</v>
      </c>
      <c r="M41" s="24" t="n">
        <f aca="false">_xlfn.MINIFS(Trades!$W$2:$W$1846,Trades!$B$2:$B$1846,$A41)</f>
        <v>-37.5</v>
      </c>
      <c r="N41" s="26" t="n">
        <f aca="false">IFERROR(AVERAGEIFS(Trades!$X$2:$X$1846,Trades!$B$2:$B$1846,$A41),0)</f>
        <v>-0.110990990990991</v>
      </c>
      <c r="O41" s="24" t="n">
        <f aca="false">P40</f>
        <v>3667.53</v>
      </c>
      <c r="P41" s="24" t="n">
        <f aca="false">O41+H41</f>
        <v>3513.2</v>
      </c>
      <c r="Q41" s="23" t="n">
        <f aca="false">IFERROR(H41/O41,0)</f>
        <v>-0.0420800920510534</v>
      </c>
      <c r="R41" s="22" t="str">
        <f aca="false">IF(H41&gt;0,"Up month",IF(H41&lt;0,"Down month","Flat"))&amp;" | "&amp;B41&amp;" trades, "&amp;TEXT(E41,"0%")&amp;" won"</f>
        <v>Down month | 37 trades, 65% won</v>
      </c>
    </row>
    <row r="42" customFormat="false" ht="15" hidden="false" customHeight="false" outlineLevel="0" collapsed="false">
      <c r="A42" s="22" t="s">
        <v>160</v>
      </c>
      <c r="B42" s="22" t="n">
        <f aca="false">COUNTIFS(Trades!$B$2:$B$1846,$A42)</f>
        <v>31</v>
      </c>
      <c r="C42" s="22" t="n">
        <f aca="false">COUNTIFS(Trades!$B$2:$B$1846,$A42,Trades!$Y$2:$Y$1846,"Win")</f>
        <v>23</v>
      </c>
      <c r="D42" s="22" t="n">
        <f aca="false">COUNTIFS(Trades!$B$2:$B$1846,$A42,Trades!$Y$2:$Y$1846,"Loss")</f>
        <v>8</v>
      </c>
      <c r="E42" s="23" t="n">
        <f aca="false">IFERROR(C42/B42,0)</f>
        <v>0.741935483870968</v>
      </c>
      <c r="F42" s="24" t="n">
        <f aca="false">SUMIFS(Trades!$W$2:$W$1846,Trades!$B$2:$B$1846,$A42,Trades!$W$2:$W$1846,"&gt;0")</f>
        <v>326.4</v>
      </c>
      <c r="G42" s="24" t="n">
        <f aca="false">SUMIFS(Trades!$W$2:$W$1846,Trades!$B$2:$B$1846,$A42,Trades!$W$2:$W$1846,"&lt;0")</f>
        <v>-242.55</v>
      </c>
      <c r="H42" s="24" t="n">
        <f aca="false">F42+G42</f>
        <v>83.85</v>
      </c>
      <c r="I42" s="25" t="n">
        <f aca="false">IFERROR(F42/-G42,"no losses")</f>
        <v>1.34570191713049</v>
      </c>
      <c r="J42" s="24" t="n">
        <f aca="false">IFERROR(F42/C42,0)</f>
        <v>14.1913043478261</v>
      </c>
      <c r="K42" s="24" t="n">
        <f aca="false">IFERROR(G42/D42,0)</f>
        <v>-30.31875</v>
      </c>
      <c r="L42" s="24" t="n">
        <f aca="false">_xlfn.MAXIFS(Trades!$W$2:$W$1846,Trades!$B$2:$B$1846,$A42)</f>
        <v>150.5</v>
      </c>
      <c r="M42" s="24" t="n">
        <f aca="false">_xlfn.MINIFS(Trades!$W$2:$W$1846,Trades!$B$2:$B$1846,$A42)</f>
        <v>-30.8</v>
      </c>
      <c r="N42" s="26" t="n">
        <f aca="false">IFERROR(AVERAGEIFS(Trades!$X$2:$X$1846,Trades!$B$2:$B$1846,$A42),0)</f>
        <v>0.0901612903225806</v>
      </c>
      <c r="O42" s="24" t="n">
        <f aca="false">P41</f>
        <v>3513.2</v>
      </c>
      <c r="P42" s="24" t="n">
        <f aca="false">O42+H42</f>
        <v>3597.05</v>
      </c>
      <c r="Q42" s="23" t="n">
        <f aca="false">IFERROR(H42/O42,0)</f>
        <v>0.0238671296823409</v>
      </c>
      <c r="R42" s="22" t="str">
        <f aca="false">IF(H42&gt;0,"Up month",IF(H42&lt;0,"Down month","Flat"))&amp;" | "&amp;B42&amp;" trades, "&amp;TEXT(E42,"0%")&amp;" won"</f>
        <v>Up month | 31 trades, 74% won</v>
      </c>
    </row>
    <row r="43" customFormat="false" ht="15" hidden="false" customHeight="false" outlineLevel="0" collapsed="false">
      <c r="A43" s="22" t="s">
        <v>161</v>
      </c>
      <c r="B43" s="22" t="n">
        <f aca="false">COUNTIFS(Trades!$B$2:$B$1846,$A43)</f>
        <v>39</v>
      </c>
      <c r="C43" s="22" t="n">
        <f aca="false">COUNTIFS(Trades!$B$2:$B$1846,$A43,Trades!$Y$2:$Y$1846,"Win")</f>
        <v>32</v>
      </c>
      <c r="D43" s="22" t="n">
        <f aca="false">COUNTIFS(Trades!$B$2:$B$1846,$A43,Trades!$Y$2:$Y$1846,"Loss")</f>
        <v>7</v>
      </c>
      <c r="E43" s="23" t="n">
        <f aca="false">IFERROR(C43/B43,0)</f>
        <v>0.820512820512821</v>
      </c>
      <c r="F43" s="24" t="n">
        <f aca="false">SUMIFS(Trades!$W$2:$W$1846,Trades!$B$2:$B$1846,$A43,Trades!$W$2:$W$1846,"&gt;0")</f>
        <v>761.2</v>
      </c>
      <c r="G43" s="24" t="n">
        <f aca="false">SUMIFS(Trades!$W$2:$W$1846,Trades!$B$2:$B$1846,$A43,Trades!$W$2:$W$1846,"&lt;0")</f>
        <v>-200.24</v>
      </c>
      <c r="H43" s="24" t="n">
        <f aca="false">F43+G43</f>
        <v>560.96</v>
      </c>
      <c r="I43" s="25" t="n">
        <f aca="false">IFERROR(F43/-G43,"no losses")</f>
        <v>3.80143827407111</v>
      </c>
      <c r="J43" s="24" t="n">
        <f aca="false">IFERROR(F43/C43,0)</f>
        <v>23.7875</v>
      </c>
      <c r="K43" s="24" t="n">
        <f aca="false">IFERROR(G43/D43,0)</f>
        <v>-28.6057142857143</v>
      </c>
      <c r="L43" s="24" t="n">
        <f aca="false">_xlfn.MAXIFS(Trades!$W$2:$W$1846,Trades!$B$2:$B$1846,$A43)</f>
        <v>180.48</v>
      </c>
      <c r="M43" s="24" t="n">
        <f aca="false">_xlfn.MINIFS(Trades!$W$2:$W$1846,Trades!$B$2:$B$1846,$A43)</f>
        <v>-44.59</v>
      </c>
      <c r="N43" s="26" t="n">
        <f aca="false">IFERROR(AVERAGEIFS(Trades!$X$2:$X$1846,Trades!$B$2:$B$1846,$A43),0)</f>
        <v>0.428846153846154</v>
      </c>
      <c r="O43" s="24" t="n">
        <f aca="false">P42</f>
        <v>3597.05</v>
      </c>
      <c r="P43" s="24" t="n">
        <f aca="false">O43+H43</f>
        <v>4158.01</v>
      </c>
      <c r="Q43" s="23" t="n">
        <f aca="false">IFERROR(H43/O43,0)</f>
        <v>0.155950014595293</v>
      </c>
      <c r="R43" s="22" t="str">
        <f aca="false">IF(H43&gt;0,"Up month",IF(H43&lt;0,"Down month","Flat"))&amp;" | "&amp;B43&amp;" trades, "&amp;TEXT(E43,"0%")&amp;" won"</f>
        <v>Up month | 39 trades, 82% won</v>
      </c>
    </row>
    <row r="44" customFormat="false" ht="15" hidden="false" customHeight="false" outlineLevel="0" collapsed="false">
      <c r="A44" s="22" t="s">
        <v>162</v>
      </c>
      <c r="B44" s="22" t="n">
        <f aca="false">COUNTIFS(Trades!$B$2:$B$1846,$A44)</f>
        <v>37</v>
      </c>
      <c r="C44" s="22" t="n">
        <f aca="false">COUNTIFS(Trades!$B$2:$B$1846,$A44,Trades!$Y$2:$Y$1846,"Win")</f>
        <v>27</v>
      </c>
      <c r="D44" s="22" t="n">
        <f aca="false">COUNTIFS(Trades!$B$2:$B$1846,$A44,Trades!$Y$2:$Y$1846,"Loss")</f>
        <v>10</v>
      </c>
      <c r="E44" s="23" t="n">
        <f aca="false">IFERROR(C44/B44,0)</f>
        <v>0.72972972972973</v>
      </c>
      <c r="F44" s="24" t="n">
        <f aca="false">SUMIFS(Trades!$W$2:$W$1846,Trades!$B$2:$B$1846,$A44,Trades!$W$2:$W$1846,"&gt;0")</f>
        <v>242.8</v>
      </c>
      <c r="G44" s="24" t="n">
        <f aca="false">SUMIFS(Trades!$W$2:$W$1846,Trades!$B$2:$B$1846,$A44,Trades!$W$2:$W$1846,"&lt;0")</f>
        <v>-338.58</v>
      </c>
      <c r="H44" s="24" t="n">
        <f aca="false">F44+G44</f>
        <v>-95.78</v>
      </c>
      <c r="I44" s="25" t="n">
        <f aca="false">IFERROR(F44/-G44,"no losses")</f>
        <v>0.717112646937208</v>
      </c>
      <c r="J44" s="24" t="n">
        <f aca="false">IFERROR(F44/C44,0)</f>
        <v>8.99259259259259</v>
      </c>
      <c r="K44" s="24" t="n">
        <f aca="false">IFERROR(G44/D44,0)</f>
        <v>-33.858</v>
      </c>
      <c r="L44" s="24" t="n">
        <f aca="false">_xlfn.MAXIFS(Trades!$W$2:$W$1846,Trades!$B$2:$B$1846,$A44)</f>
        <v>178.74</v>
      </c>
      <c r="M44" s="24" t="n">
        <f aca="false">_xlfn.MINIFS(Trades!$W$2:$W$1846,Trades!$B$2:$B$1846,$A44)</f>
        <v>-51.9</v>
      </c>
      <c r="N44" s="26" t="n">
        <f aca="false">IFERROR(AVERAGEIFS(Trades!$X$2:$X$1846,Trades!$B$2:$B$1846,$A44),0)</f>
        <v>-0.0636486486486486</v>
      </c>
      <c r="O44" s="24" t="n">
        <f aca="false">P43</f>
        <v>4158.01</v>
      </c>
      <c r="P44" s="24" t="n">
        <f aca="false">O44+H44</f>
        <v>4062.23</v>
      </c>
      <c r="Q44" s="23" t="n">
        <f aca="false">IFERROR(H44/O44,0)</f>
        <v>-0.023035057635744</v>
      </c>
      <c r="R44" s="22" t="str">
        <f aca="false">IF(H44&gt;0,"Up month",IF(H44&lt;0,"Down month","Flat"))&amp;" | "&amp;B44&amp;" trades, "&amp;TEXT(E44,"0%")&amp;" won"</f>
        <v>Down month | 37 trades, 73% won</v>
      </c>
    </row>
    <row r="45" customFormat="false" ht="15" hidden="false" customHeight="false" outlineLevel="0" collapsed="false">
      <c r="A45" s="22" t="s">
        <v>163</v>
      </c>
      <c r="B45" s="22" t="n">
        <f aca="false">COUNTIFS(Trades!$B$2:$B$1846,$A45)</f>
        <v>36</v>
      </c>
      <c r="C45" s="22" t="n">
        <f aca="false">COUNTIFS(Trades!$B$2:$B$1846,$A45,Trades!$Y$2:$Y$1846,"Win")</f>
        <v>27</v>
      </c>
      <c r="D45" s="22" t="n">
        <f aca="false">COUNTIFS(Trades!$B$2:$B$1846,$A45,Trades!$Y$2:$Y$1846,"Loss")</f>
        <v>9</v>
      </c>
      <c r="E45" s="23" t="n">
        <f aca="false">IFERROR(C45/B45,0)</f>
        <v>0.75</v>
      </c>
      <c r="F45" s="24" t="n">
        <f aca="false">SUMIFS(Trades!$W$2:$W$1846,Trades!$B$2:$B$1846,$A45,Trades!$W$2:$W$1846,"&gt;0")</f>
        <v>1011.83</v>
      </c>
      <c r="G45" s="24" t="n">
        <f aca="false">SUMIFS(Trades!$W$2:$W$1846,Trades!$B$2:$B$1846,$A45,Trades!$W$2:$W$1846,"&lt;0")</f>
        <v>-362.39</v>
      </c>
      <c r="H45" s="24" t="n">
        <f aca="false">F45+G45</f>
        <v>649.44</v>
      </c>
      <c r="I45" s="25" t="n">
        <f aca="false">IFERROR(F45/-G45,"no losses")</f>
        <v>2.79210243108254</v>
      </c>
      <c r="J45" s="24" t="n">
        <f aca="false">IFERROR(F45/C45,0)</f>
        <v>37.4751851851852</v>
      </c>
      <c r="K45" s="24" t="n">
        <f aca="false">IFERROR(G45/D45,0)</f>
        <v>-40.2655555555556</v>
      </c>
      <c r="L45" s="24" t="n">
        <f aca="false">_xlfn.MAXIFS(Trades!$W$2:$W$1846,Trades!$B$2:$B$1846,$A45)</f>
        <v>211.26</v>
      </c>
      <c r="M45" s="24" t="n">
        <f aca="false">_xlfn.MINIFS(Trades!$W$2:$W$1846,Trades!$B$2:$B$1846,$A45)</f>
        <v>-45.36</v>
      </c>
      <c r="N45" s="26" t="n">
        <f aca="false">IFERROR(AVERAGEIFS(Trades!$X$2:$X$1846,Trades!$B$2:$B$1846,$A45),0)</f>
        <v>0.449444444444444</v>
      </c>
      <c r="O45" s="24" t="n">
        <f aca="false">P44</f>
        <v>4062.23</v>
      </c>
      <c r="P45" s="24" t="n">
        <f aca="false">O45+H45</f>
        <v>4711.67</v>
      </c>
      <c r="Q45" s="23" t="n">
        <f aca="false">IFERROR(H45/O45,0)</f>
        <v>0.15987277923702</v>
      </c>
      <c r="R45" s="22" t="str">
        <f aca="false">IF(H45&gt;0,"Up month",IF(H45&lt;0,"Down month","Flat"))&amp;" | "&amp;B45&amp;" trades, "&amp;TEXT(E45,"0%")&amp;" won"</f>
        <v>Up month | 36 trades, 75% won</v>
      </c>
    </row>
    <row r="46" customFormat="false" ht="15" hidden="false" customHeight="false" outlineLevel="0" collapsed="false">
      <c r="A46" s="22" t="s">
        <v>164</v>
      </c>
      <c r="B46" s="22" t="n">
        <f aca="false">COUNTIFS(Trades!$B$2:$B$1846,$A46)</f>
        <v>36</v>
      </c>
      <c r="C46" s="22" t="n">
        <f aca="false">COUNTIFS(Trades!$B$2:$B$1846,$A46,Trades!$Y$2:$Y$1846,"Win")</f>
        <v>30</v>
      </c>
      <c r="D46" s="22" t="n">
        <f aca="false">COUNTIFS(Trades!$B$2:$B$1846,$A46,Trades!$Y$2:$Y$1846,"Loss")</f>
        <v>6</v>
      </c>
      <c r="E46" s="23" t="n">
        <f aca="false">IFERROR(C46/B46,0)</f>
        <v>0.833333333333333</v>
      </c>
      <c r="F46" s="24" t="n">
        <f aca="false">SUMIFS(Trades!$W$2:$W$1846,Trades!$B$2:$B$1846,$A46,Trades!$W$2:$W$1846,"&gt;0")</f>
        <v>299.29</v>
      </c>
      <c r="G46" s="24" t="n">
        <f aca="false">SUMIFS(Trades!$W$2:$W$1846,Trades!$B$2:$B$1846,$A46,Trades!$W$2:$W$1846,"&lt;0")</f>
        <v>-326.84</v>
      </c>
      <c r="H46" s="24" t="n">
        <f aca="false">F46+G46</f>
        <v>-27.55</v>
      </c>
      <c r="I46" s="25" t="n">
        <f aca="false">IFERROR(F46/-G46,"no losses")</f>
        <v>0.915707991677885</v>
      </c>
      <c r="J46" s="24" t="n">
        <f aca="false">IFERROR(F46/C46,0)</f>
        <v>9.97633333333334</v>
      </c>
      <c r="K46" s="24" t="n">
        <f aca="false">IFERROR(G46/D46,0)</f>
        <v>-54.4733333333333</v>
      </c>
      <c r="L46" s="24" t="n">
        <f aca="false">_xlfn.MAXIFS(Trades!$W$2:$W$1846,Trades!$B$2:$B$1846,$A46)</f>
        <v>210</v>
      </c>
      <c r="M46" s="24" t="n">
        <f aca="false">_xlfn.MINIFS(Trades!$W$2:$W$1846,Trades!$B$2:$B$1846,$A46)</f>
        <v>-78.33</v>
      </c>
      <c r="N46" s="26" t="n">
        <f aca="false">IFERROR(AVERAGEIFS(Trades!$X$2:$X$1846,Trades!$B$2:$B$1846,$A46),0)</f>
        <v>-0.00564814814814816</v>
      </c>
      <c r="O46" s="24" t="n">
        <f aca="false">P45</f>
        <v>4711.67</v>
      </c>
      <c r="P46" s="24" t="n">
        <f aca="false">O46+H46</f>
        <v>4684.12</v>
      </c>
      <c r="Q46" s="23" t="n">
        <f aca="false">IFERROR(H46/O46,0)</f>
        <v>-0.00584718369495316</v>
      </c>
      <c r="R46" s="22" t="str">
        <f aca="false">IF(H46&gt;0,"Up month",IF(H46&lt;0,"Down month","Flat"))&amp;" | "&amp;B46&amp;" trades, "&amp;TEXT(E46,"0%")&amp;" won"</f>
        <v>Down month | 36 trades, 83% won</v>
      </c>
    </row>
    <row r="47" customFormat="false" ht="15" hidden="false" customHeight="false" outlineLevel="0" collapsed="false">
      <c r="A47" s="22" t="s">
        <v>165</v>
      </c>
      <c r="B47" s="22" t="n">
        <f aca="false">COUNTIFS(Trades!$B$2:$B$1846,$A47)</f>
        <v>33</v>
      </c>
      <c r="C47" s="22" t="n">
        <f aca="false">COUNTIFS(Trades!$B$2:$B$1846,$A47,Trades!$Y$2:$Y$1846,"Win")</f>
        <v>22</v>
      </c>
      <c r="D47" s="22" t="n">
        <f aca="false">COUNTIFS(Trades!$B$2:$B$1846,$A47,Trades!$Y$2:$Y$1846,"Loss")</f>
        <v>11</v>
      </c>
      <c r="E47" s="23" t="n">
        <f aca="false">IFERROR(C47/B47,0)</f>
        <v>0.666666666666667</v>
      </c>
      <c r="F47" s="24" t="n">
        <f aca="false">SUMIFS(Trades!$W$2:$W$1846,Trades!$B$2:$B$1846,$A47,Trades!$W$2:$W$1846,"&gt;0")</f>
        <v>690.76</v>
      </c>
      <c r="G47" s="24" t="n">
        <f aca="false">SUMIFS(Trades!$W$2:$W$1846,Trades!$B$2:$B$1846,$A47,Trades!$W$2:$W$1846,"&lt;0")</f>
        <v>-442.82</v>
      </c>
      <c r="H47" s="24" t="n">
        <f aca="false">F47+G47</f>
        <v>247.94</v>
      </c>
      <c r="I47" s="25" t="n">
        <f aca="false">IFERROR(F47/-G47,"no losses")</f>
        <v>1.55991147644641</v>
      </c>
      <c r="J47" s="24" t="n">
        <f aca="false">IFERROR(F47/C47,0)</f>
        <v>31.3981818181818</v>
      </c>
      <c r="K47" s="24" t="n">
        <f aca="false">IFERROR(G47/D47,0)</f>
        <v>-40.2563636363636</v>
      </c>
      <c r="L47" s="24" t="n">
        <f aca="false">_xlfn.MAXIFS(Trades!$W$2:$W$1846,Trades!$B$2:$B$1846,$A47)</f>
        <v>224.56</v>
      </c>
      <c r="M47" s="24" t="n">
        <f aca="false">_xlfn.MINIFS(Trades!$W$2:$W$1846,Trades!$B$2:$B$1846,$A47)</f>
        <v>-46.83</v>
      </c>
      <c r="N47" s="26" t="n">
        <f aca="false">IFERROR(AVERAGEIFS(Trades!$X$2:$X$1846,Trades!$B$2:$B$1846,$A47),0)</f>
        <v>0.178888888888889</v>
      </c>
      <c r="O47" s="24" t="n">
        <f aca="false">P46</f>
        <v>4684.12</v>
      </c>
      <c r="P47" s="24" t="n">
        <f aca="false">O47+H47</f>
        <v>4932.06</v>
      </c>
      <c r="Q47" s="23" t="n">
        <f aca="false">IFERROR(H47/O47,0)</f>
        <v>0.0529320341921215</v>
      </c>
      <c r="R47" s="22" t="str">
        <f aca="false">IF(H47&gt;0,"Up month",IF(H47&lt;0,"Down month","Flat"))&amp;" | "&amp;B47&amp;" trades, "&amp;TEXT(E47,"0%")&amp;" won"</f>
        <v>Up month | 33 trades, 67% won</v>
      </c>
    </row>
    <row r="48" customFormat="false" ht="15" hidden="false" customHeight="false" outlineLevel="0" collapsed="false">
      <c r="A48" s="22" t="s">
        <v>166</v>
      </c>
      <c r="B48" s="22" t="n">
        <f aca="false">COUNTIFS(Trades!$B$2:$B$1846,$A48)</f>
        <v>32</v>
      </c>
      <c r="C48" s="22" t="n">
        <f aca="false">COUNTIFS(Trades!$B$2:$B$1846,$A48,Trades!$Y$2:$Y$1846,"Win")</f>
        <v>19</v>
      </c>
      <c r="D48" s="22" t="n">
        <f aca="false">COUNTIFS(Trades!$B$2:$B$1846,$A48,Trades!$Y$2:$Y$1846,"Loss")</f>
        <v>13</v>
      </c>
      <c r="E48" s="23" t="n">
        <f aca="false">IFERROR(C48/B48,0)</f>
        <v>0.59375</v>
      </c>
      <c r="F48" s="24" t="n">
        <f aca="false">SUMIFS(Trades!$W$2:$W$1846,Trades!$B$2:$B$1846,$A48,Trades!$W$2:$W$1846,"&gt;0")</f>
        <v>602.86</v>
      </c>
      <c r="G48" s="24" t="n">
        <f aca="false">SUMIFS(Trades!$W$2:$W$1846,Trades!$B$2:$B$1846,$A48,Trades!$W$2:$W$1846,"&lt;0")</f>
        <v>-582.19</v>
      </c>
      <c r="H48" s="24" t="n">
        <f aca="false">F48+G48</f>
        <v>20.67</v>
      </c>
      <c r="I48" s="25" t="n">
        <f aca="false">IFERROR(F48/-G48,"no losses")</f>
        <v>1.03550387330597</v>
      </c>
      <c r="J48" s="24" t="n">
        <f aca="false">IFERROR(F48/C48,0)</f>
        <v>31.7294736842105</v>
      </c>
      <c r="K48" s="24" t="n">
        <f aca="false">IFERROR(G48/D48,0)</f>
        <v>-44.7838461538462</v>
      </c>
      <c r="L48" s="24" t="n">
        <f aca="false">_xlfn.MAXIFS(Trades!$W$2:$W$1846,Trades!$B$2:$B$1846,$A48)</f>
        <v>209.44</v>
      </c>
      <c r="M48" s="24" t="n">
        <f aca="false">_xlfn.MINIFS(Trades!$W$2:$W$1846,Trades!$B$2:$B$1846,$A48)</f>
        <v>-110.48</v>
      </c>
      <c r="N48" s="26" t="n">
        <f aca="false">IFERROR(AVERAGEIFS(Trades!$X$2:$X$1846,Trades!$B$2:$B$1846,$A48),0)</f>
        <v>0.0433333333333333</v>
      </c>
      <c r="O48" s="24" t="n">
        <f aca="false">P47</f>
        <v>4932.06</v>
      </c>
      <c r="P48" s="24" t="n">
        <f aca="false">O48+H48</f>
        <v>4952.73</v>
      </c>
      <c r="Q48" s="23" t="n">
        <f aca="false">IFERROR(H48/O48,0)</f>
        <v>0.00419094658215836</v>
      </c>
      <c r="R48" s="22" t="str">
        <f aca="false">IF(H48&gt;0,"Up month",IF(H48&lt;0,"Down month","Flat"))&amp;" | "&amp;B48&amp;" trades, "&amp;TEXT(E48,"0%")&amp;" won"</f>
        <v>Up month | 32 trades, 59% won</v>
      </c>
    </row>
    <row r="49" customFormat="false" ht="15" hidden="false" customHeight="false" outlineLevel="0" collapsed="false">
      <c r="A49" s="22" t="s">
        <v>167</v>
      </c>
      <c r="B49" s="22" t="n">
        <f aca="false">COUNTIFS(Trades!$B$2:$B$1846,$A49)</f>
        <v>33</v>
      </c>
      <c r="C49" s="22" t="n">
        <f aca="false">COUNTIFS(Trades!$B$2:$B$1846,$A49,Trades!$Y$2:$Y$1846,"Win")</f>
        <v>23</v>
      </c>
      <c r="D49" s="22" t="n">
        <f aca="false">COUNTIFS(Trades!$B$2:$B$1846,$A49,Trades!$Y$2:$Y$1846,"Loss")</f>
        <v>10</v>
      </c>
      <c r="E49" s="23" t="n">
        <f aca="false">IFERROR(C49/B49,0)</f>
        <v>0.696969696969697</v>
      </c>
      <c r="F49" s="24" t="n">
        <f aca="false">SUMIFS(Trades!$W$2:$W$1846,Trades!$B$2:$B$1846,$A49,Trades!$W$2:$W$1846,"&gt;0")</f>
        <v>271.02</v>
      </c>
      <c r="G49" s="24" t="n">
        <f aca="false">SUMIFS(Trades!$W$2:$W$1846,Trades!$B$2:$B$1846,$A49,Trades!$W$2:$W$1846,"&lt;0")</f>
        <v>-496.92</v>
      </c>
      <c r="H49" s="24" t="n">
        <f aca="false">F49+G49</f>
        <v>-225.9</v>
      </c>
      <c r="I49" s="25" t="n">
        <f aca="false">IFERROR(F49/-G49,"no losses")</f>
        <v>0.545399661917411</v>
      </c>
      <c r="J49" s="24" t="n">
        <f aca="false">IFERROR(F49/C49,0)</f>
        <v>11.7834782608696</v>
      </c>
      <c r="K49" s="24" t="n">
        <f aca="false">IFERROR(G49/D49,0)</f>
        <v>-49.692</v>
      </c>
      <c r="L49" s="24" t="n">
        <f aca="false">_xlfn.MAXIFS(Trades!$W$2:$W$1846,Trades!$B$2:$B$1846,$A49)</f>
        <v>210.07</v>
      </c>
      <c r="M49" s="24" t="n">
        <f aca="false">_xlfn.MINIFS(Trades!$W$2:$W$1846,Trades!$B$2:$B$1846,$A49)</f>
        <v>-93.84</v>
      </c>
      <c r="N49" s="26" t="n">
        <f aca="false">IFERROR(AVERAGEIFS(Trades!$X$2:$X$1846,Trades!$B$2:$B$1846,$A49),0)</f>
        <v>-0.143535353535354</v>
      </c>
      <c r="O49" s="24" t="n">
        <f aca="false">P48</f>
        <v>4952.73</v>
      </c>
      <c r="P49" s="24" t="n">
        <f aca="false">O49+H49</f>
        <v>4726.83</v>
      </c>
      <c r="Q49" s="23" t="n">
        <f aca="false">IFERROR(H49/O49,0)</f>
        <v>-0.0456112083638721</v>
      </c>
      <c r="R49" s="22" t="str">
        <f aca="false">IF(H49&gt;0,"Up month",IF(H49&lt;0,"Down month","Flat"))&amp;" | "&amp;B49&amp;" trades, "&amp;TEXT(E49,"0%")&amp;" won"</f>
        <v>Down month | 33 trades, 70% won</v>
      </c>
    </row>
    <row r="50" customFormat="false" ht="15" hidden="false" customHeight="false" outlineLevel="0" collapsed="false">
      <c r="A50" s="22" t="s">
        <v>168</v>
      </c>
      <c r="B50" s="22" t="n">
        <f aca="false">COUNTIFS(Trades!$B$2:$B$1846,$A50)</f>
        <v>30</v>
      </c>
      <c r="C50" s="22" t="n">
        <f aca="false">COUNTIFS(Trades!$B$2:$B$1846,$A50,Trades!$Y$2:$Y$1846,"Win")</f>
        <v>17</v>
      </c>
      <c r="D50" s="22" t="n">
        <f aca="false">COUNTIFS(Trades!$B$2:$B$1846,$A50,Trades!$Y$2:$Y$1846,"Loss")</f>
        <v>13</v>
      </c>
      <c r="E50" s="23" t="n">
        <f aca="false">IFERROR(C50/B50,0)</f>
        <v>0.566666666666667</v>
      </c>
      <c r="F50" s="24" t="n">
        <f aca="false">SUMIFS(Trades!$W$2:$W$1846,Trades!$B$2:$B$1846,$A50,Trades!$W$2:$W$1846,"&gt;0")</f>
        <v>456.47</v>
      </c>
      <c r="G50" s="24" t="n">
        <f aca="false">SUMIFS(Trades!$W$2:$W$1846,Trades!$B$2:$B$1846,$A50,Trades!$W$2:$W$1846,"&lt;0")</f>
        <v>-523.11</v>
      </c>
      <c r="H50" s="24" t="n">
        <f aca="false">F50+G50</f>
        <v>-66.64</v>
      </c>
      <c r="I50" s="25" t="n">
        <f aca="false">IFERROR(F50/-G50,"no losses")</f>
        <v>0.872608055667068</v>
      </c>
      <c r="J50" s="24" t="n">
        <f aca="false">IFERROR(F50/C50,0)</f>
        <v>26.8511764705882</v>
      </c>
      <c r="K50" s="24" t="n">
        <f aca="false">IFERROR(G50/D50,0)</f>
        <v>-40.2392307692308</v>
      </c>
      <c r="L50" s="24" t="n">
        <f aca="false">_xlfn.MAXIFS(Trades!$W$2:$W$1846,Trades!$B$2:$B$1846,$A50)</f>
        <v>209.3</v>
      </c>
      <c r="M50" s="24" t="n">
        <f aca="false">_xlfn.MINIFS(Trades!$W$2:$W$1846,Trades!$B$2:$B$1846,$A50)</f>
        <v>-68.53</v>
      </c>
      <c r="N50" s="26" t="n">
        <f aca="false">IFERROR(AVERAGEIFS(Trades!$X$2:$X$1846,Trades!$B$2:$B$1846,$A50),0)</f>
        <v>-0.0528888888888889</v>
      </c>
      <c r="O50" s="24" t="n">
        <f aca="false">P49</f>
        <v>4726.83</v>
      </c>
      <c r="P50" s="24" t="n">
        <f aca="false">O50+H50</f>
        <v>4660.19</v>
      </c>
      <c r="Q50" s="23" t="n">
        <f aca="false">IFERROR(H50/O50,0)</f>
        <v>-0.0140982434316445</v>
      </c>
      <c r="R50" s="22" t="str">
        <f aca="false">IF(H50&gt;0,"Up month",IF(H50&lt;0,"Down month","Flat"))&amp;" | "&amp;B50&amp;" trades, "&amp;TEXT(E50,"0%")&amp;" won"</f>
        <v>Down month | 30 trades, 57% won</v>
      </c>
    </row>
    <row r="51" customFormat="false" ht="15" hidden="false" customHeight="false" outlineLevel="0" collapsed="false">
      <c r="A51" s="22" t="s">
        <v>169</v>
      </c>
      <c r="B51" s="22" t="n">
        <f aca="false">COUNTIFS(Trades!$B$2:$B$1846,$A51)</f>
        <v>34</v>
      </c>
      <c r="C51" s="22" t="n">
        <f aca="false">COUNTIFS(Trades!$B$2:$B$1846,$A51,Trades!$Y$2:$Y$1846,"Win")</f>
        <v>20</v>
      </c>
      <c r="D51" s="22" t="n">
        <f aca="false">COUNTIFS(Trades!$B$2:$B$1846,$A51,Trades!$Y$2:$Y$1846,"Loss")</f>
        <v>14</v>
      </c>
      <c r="E51" s="23" t="n">
        <f aca="false">IFERROR(C51/B51,0)</f>
        <v>0.588235294117647</v>
      </c>
      <c r="F51" s="24" t="n">
        <f aca="false">SUMIFS(Trades!$W$2:$W$1846,Trades!$B$2:$B$1846,$A51,Trades!$W$2:$W$1846,"&gt;0")</f>
        <v>686.15</v>
      </c>
      <c r="G51" s="24" t="n">
        <f aca="false">SUMIFS(Trades!$W$2:$W$1846,Trades!$B$2:$B$1846,$A51,Trades!$W$2:$W$1846,"&lt;0")</f>
        <v>-668.66</v>
      </c>
      <c r="H51" s="24" t="n">
        <f aca="false">F51+G51</f>
        <v>17.49</v>
      </c>
      <c r="I51" s="25" t="n">
        <f aca="false">IFERROR(F51/-G51,"no losses")</f>
        <v>1.02615679119433</v>
      </c>
      <c r="J51" s="24" t="n">
        <f aca="false">IFERROR(F51/C51,0)</f>
        <v>34.3075</v>
      </c>
      <c r="K51" s="24" t="n">
        <f aca="false">IFERROR(G51/D51,0)</f>
        <v>-47.7614285714286</v>
      </c>
      <c r="L51" s="24" t="n">
        <f aca="false">_xlfn.MAXIFS(Trades!$W$2:$W$1846,Trades!$B$2:$B$1846,$A51)</f>
        <v>211.47</v>
      </c>
      <c r="M51" s="24" t="n">
        <f aca="false">_xlfn.MINIFS(Trades!$W$2:$W$1846,Trades!$B$2:$B$1846,$A51)</f>
        <v>-60</v>
      </c>
      <c r="N51" s="26" t="n">
        <f aca="false">IFERROR(AVERAGEIFS(Trades!$X$2:$X$1846,Trades!$B$2:$B$1846,$A51),0)</f>
        <v>0.0583333333333333</v>
      </c>
      <c r="O51" s="24" t="n">
        <f aca="false">P50</f>
        <v>4660.19</v>
      </c>
      <c r="P51" s="24" t="n">
        <f aca="false">O51+H51</f>
        <v>4677.68</v>
      </c>
      <c r="Q51" s="23" t="n">
        <f aca="false">IFERROR(H51/O51,0)</f>
        <v>0.0037530658621215</v>
      </c>
      <c r="R51" s="22" t="str">
        <f aca="false">IF(H51&gt;0,"Up month",IF(H51&lt;0,"Down month","Flat"))&amp;" | "&amp;B51&amp;" trades, "&amp;TEXT(E51,"0%")&amp;" won"</f>
        <v>Up month | 34 trades, 59% won</v>
      </c>
    </row>
    <row r="52" customFormat="false" ht="15" hidden="false" customHeight="false" outlineLevel="0" collapsed="false">
      <c r="A52" s="22" t="s">
        <v>170</v>
      </c>
      <c r="B52" s="22" t="n">
        <f aca="false">COUNTIFS(Trades!$B$2:$B$1846,$A52)</f>
        <v>36</v>
      </c>
      <c r="C52" s="22" t="n">
        <f aca="false">COUNTIFS(Trades!$B$2:$B$1846,$A52,Trades!$Y$2:$Y$1846,"Win")</f>
        <v>25</v>
      </c>
      <c r="D52" s="22" t="n">
        <f aca="false">COUNTIFS(Trades!$B$2:$B$1846,$A52,Trades!$Y$2:$Y$1846,"Loss")</f>
        <v>11</v>
      </c>
      <c r="E52" s="23" t="n">
        <f aca="false">IFERROR(C52/B52,0)</f>
        <v>0.694444444444444</v>
      </c>
      <c r="F52" s="24" t="n">
        <f aca="false">SUMIFS(Trades!$W$2:$W$1846,Trades!$B$2:$B$1846,$A52,Trades!$W$2:$W$1846,"&gt;0")</f>
        <v>280.77</v>
      </c>
      <c r="G52" s="24" t="n">
        <f aca="false">SUMIFS(Trades!$W$2:$W$1846,Trades!$B$2:$B$1846,$A52,Trades!$W$2:$W$1846,"&lt;0")</f>
        <v>-447.02</v>
      </c>
      <c r="H52" s="24" t="n">
        <f aca="false">F52+G52</f>
        <v>-166.25</v>
      </c>
      <c r="I52" s="25" t="n">
        <f aca="false">IFERROR(F52/-G52,"no losses")</f>
        <v>0.628092702787347</v>
      </c>
      <c r="J52" s="24" t="n">
        <f aca="false">IFERROR(F52/C52,0)</f>
        <v>11.2308</v>
      </c>
      <c r="K52" s="24" t="n">
        <f aca="false">IFERROR(G52/D52,0)</f>
        <v>-40.6381818181818</v>
      </c>
      <c r="L52" s="24" t="n">
        <f aca="false">_xlfn.MAXIFS(Trades!$W$2:$W$1846,Trades!$B$2:$B$1846,$A52)</f>
        <v>209.93</v>
      </c>
      <c r="M52" s="24" t="n">
        <f aca="false">_xlfn.MINIFS(Trades!$W$2:$W$1846,Trades!$B$2:$B$1846,$A52)</f>
        <v>-47.67</v>
      </c>
      <c r="N52" s="26" t="n">
        <f aca="false">IFERROR(AVERAGEIFS(Trades!$X$2:$X$1846,Trades!$B$2:$B$1846,$A52),0)</f>
        <v>-0.109953703703704</v>
      </c>
      <c r="O52" s="24" t="n">
        <f aca="false">P51</f>
        <v>4677.68</v>
      </c>
      <c r="P52" s="24" t="n">
        <f aca="false">O52+H52</f>
        <v>4511.43</v>
      </c>
      <c r="Q52" s="23" t="n">
        <f aca="false">IFERROR(H52/O52,0)</f>
        <v>-0.0355411229498384</v>
      </c>
      <c r="R52" s="22" t="str">
        <f aca="false">IF(H52&gt;0,"Up month",IF(H52&lt;0,"Down month","Flat"))&amp;" | "&amp;B52&amp;" trades, "&amp;TEXT(E52,"0%")&amp;" won"</f>
        <v>Down month | 36 trades, 69% won</v>
      </c>
    </row>
    <row r="53" customFormat="false" ht="15" hidden="false" customHeight="false" outlineLevel="0" collapsed="false">
      <c r="A53" s="22" t="s">
        <v>171</v>
      </c>
      <c r="B53" s="22" t="n">
        <f aca="false">COUNTIFS(Trades!$B$2:$B$1846,$A53)</f>
        <v>41</v>
      </c>
      <c r="C53" s="22" t="n">
        <f aca="false">COUNTIFS(Trades!$B$2:$B$1846,$A53,Trades!$Y$2:$Y$1846,"Win")</f>
        <v>27</v>
      </c>
      <c r="D53" s="22" t="n">
        <f aca="false">COUNTIFS(Trades!$B$2:$B$1846,$A53,Trades!$Y$2:$Y$1846,"Loss")</f>
        <v>14</v>
      </c>
      <c r="E53" s="23" t="n">
        <f aca="false">IFERROR(C53/B53,0)</f>
        <v>0.658536585365854</v>
      </c>
      <c r="F53" s="24" t="n">
        <f aca="false">SUMIFS(Trades!$W$2:$W$1846,Trades!$B$2:$B$1846,$A53,Trades!$W$2:$W$1846,"&gt;0")</f>
        <v>695.31</v>
      </c>
      <c r="G53" s="24" t="n">
        <f aca="false">SUMIFS(Trades!$W$2:$W$1846,Trades!$B$2:$B$1846,$A53,Trades!$W$2:$W$1846,"&lt;0")</f>
        <v>-599.82</v>
      </c>
      <c r="H53" s="24" t="n">
        <f aca="false">F53+G53</f>
        <v>95.4899999999999</v>
      </c>
      <c r="I53" s="25" t="n">
        <f aca="false">IFERROR(F53/-G53,"no losses")</f>
        <v>1.1591977593278</v>
      </c>
      <c r="J53" s="24" t="n">
        <f aca="false">IFERROR(F53/C53,0)</f>
        <v>25.7522222222222</v>
      </c>
      <c r="K53" s="24" t="n">
        <f aca="false">IFERROR(G53/D53,0)</f>
        <v>-42.8442857142857</v>
      </c>
      <c r="L53" s="24" t="n">
        <f aca="false">_xlfn.MAXIFS(Trades!$W$2:$W$1846,Trades!$B$2:$B$1846,$A53)</f>
        <v>213.85</v>
      </c>
      <c r="M53" s="24" t="n">
        <f aca="false">_xlfn.MINIFS(Trades!$W$2:$W$1846,Trades!$B$2:$B$1846,$A53)</f>
        <v>-90.37</v>
      </c>
      <c r="N53" s="26" t="n">
        <f aca="false">IFERROR(AVERAGEIFS(Trades!$X$2:$X$1846,Trades!$B$2:$B$1846,$A53),0)</f>
        <v>0.0591869918699186</v>
      </c>
      <c r="O53" s="24" t="n">
        <f aca="false">P52</f>
        <v>4511.43</v>
      </c>
      <c r="P53" s="24" t="n">
        <f aca="false">O53+H53</f>
        <v>4606.92</v>
      </c>
      <c r="Q53" s="23" t="n">
        <f aca="false">IFERROR(H53/O53,0)</f>
        <v>0.0211662377560995</v>
      </c>
      <c r="R53" s="22" t="str">
        <f aca="false">IF(H53&gt;0,"Up month",IF(H53&lt;0,"Down month","Flat"))&amp;" | "&amp;B53&amp;" trades, "&amp;TEXT(E53,"0%")&amp;" won"</f>
        <v>Up month | 41 trades, 66% won</v>
      </c>
    </row>
    <row r="54" customFormat="false" ht="15" hidden="false" customHeight="false" outlineLevel="0" collapsed="false">
      <c r="A54" s="22" t="s">
        <v>172</v>
      </c>
      <c r="B54" s="22" t="n">
        <f aca="false">COUNTIFS(Trades!$B$2:$B$1846,$A54)</f>
        <v>36</v>
      </c>
      <c r="C54" s="22" t="n">
        <f aca="false">COUNTIFS(Trades!$B$2:$B$1846,$A54,Trades!$Y$2:$Y$1846,"Win")</f>
        <v>24</v>
      </c>
      <c r="D54" s="22" t="n">
        <f aca="false">COUNTIFS(Trades!$B$2:$B$1846,$A54,Trades!$Y$2:$Y$1846,"Loss")</f>
        <v>12</v>
      </c>
      <c r="E54" s="23" t="n">
        <f aca="false">IFERROR(C54/B54,0)</f>
        <v>0.666666666666667</v>
      </c>
      <c r="F54" s="24" t="n">
        <f aca="false">SUMIFS(Trades!$W$2:$W$1846,Trades!$B$2:$B$1846,$A54,Trades!$W$2:$W$1846,"&gt;0")</f>
        <v>538.79</v>
      </c>
      <c r="G54" s="24" t="n">
        <f aca="false">SUMIFS(Trades!$W$2:$W$1846,Trades!$B$2:$B$1846,$A54,Trades!$W$2:$W$1846,"&lt;0")</f>
        <v>-539.84</v>
      </c>
      <c r="H54" s="24" t="n">
        <f aca="false">F54+G54</f>
        <v>-1.05000000000007</v>
      </c>
      <c r="I54" s="25" t="n">
        <f aca="false">IFERROR(F54/-G54,"no losses")</f>
        <v>0.998054979253112</v>
      </c>
      <c r="J54" s="24" t="n">
        <f aca="false">IFERROR(F54/C54,0)</f>
        <v>22.4495833333333</v>
      </c>
      <c r="K54" s="24" t="n">
        <f aca="false">IFERROR(G54/D54,0)</f>
        <v>-44.9866666666667</v>
      </c>
      <c r="L54" s="24" t="n">
        <f aca="false">_xlfn.MAXIFS(Trades!$W$2:$W$1846,Trades!$B$2:$B$1846,$A54)</f>
        <v>210.63</v>
      </c>
      <c r="M54" s="24" t="n">
        <f aca="false">_xlfn.MINIFS(Trades!$W$2:$W$1846,Trades!$B$2:$B$1846,$A54)</f>
        <v>-104.72</v>
      </c>
      <c r="N54" s="26" t="n">
        <f aca="false">IFERROR(AVERAGEIFS(Trades!$X$2:$X$1846,Trades!$B$2:$B$1846,$A54),0)</f>
        <v>-0.000694444444444465</v>
      </c>
      <c r="O54" s="24" t="n">
        <f aca="false">P53</f>
        <v>4606.92</v>
      </c>
      <c r="P54" s="24" t="n">
        <f aca="false">O54+H54</f>
        <v>4605.87</v>
      </c>
      <c r="Q54" s="23" t="n">
        <f aca="false">IFERROR(H54/O54,0)</f>
        <v>-0.000227918001614977</v>
      </c>
      <c r="R54" s="22" t="str">
        <f aca="false">IF(H54&gt;0,"Up month",IF(H54&lt;0,"Down month","Flat"))&amp;" | "&amp;B54&amp;" trades, "&amp;TEXT(E54,"0%")&amp;" won"</f>
        <v>Down month | 36 trades, 67% won</v>
      </c>
    </row>
    <row r="55" customFormat="false" ht="15" hidden="false" customHeight="false" outlineLevel="0" collapsed="false">
      <c r="A55" s="22" t="s">
        <v>173</v>
      </c>
      <c r="B55" s="22" t="n">
        <f aca="false">COUNTIFS(Trades!$B$2:$B$1846,$A55)</f>
        <v>34</v>
      </c>
      <c r="C55" s="22" t="n">
        <f aca="false">COUNTIFS(Trades!$B$2:$B$1846,$A55,Trades!$Y$2:$Y$1846,"Win")</f>
        <v>24</v>
      </c>
      <c r="D55" s="22" t="n">
        <f aca="false">COUNTIFS(Trades!$B$2:$B$1846,$A55,Trades!$Y$2:$Y$1846,"Loss")</f>
        <v>10</v>
      </c>
      <c r="E55" s="23" t="n">
        <f aca="false">IFERROR(C55/B55,0)</f>
        <v>0.705882352941177</v>
      </c>
      <c r="F55" s="24" t="n">
        <f aca="false">SUMIFS(Trades!$W$2:$W$1846,Trades!$B$2:$B$1846,$A55,Trades!$W$2:$W$1846,"&gt;0")</f>
        <v>695.57</v>
      </c>
      <c r="G55" s="24" t="n">
        <f aca="false">SUMIFS(Trades!$W$2:$W$1846,Trades!$B$2:$B$1846,$A55,Trades!$W$2:$W$1846,"&lt;0")</f>
        <v>-489</v>
      </c>
      <c r="H55" s="24" t="n">
        <f aca="false">F55+G55</f>
        <v>206.57</v>
      </c>
      <c r="I55" s="25" t="n">
        <f aca="false">IFERROR(F55/-G55,"no losses")</f>
        <v>1.42243353783231</v>
      </c>
      <c r="J55" s="24" t="n">
        <f aca="false">IFERROR(F55/C55,0)</f>
        <v>28.9820833333333</v>
      </c>
      <c r="K55" s="24" t="n">
        <f aca="false">IFERROR(G55/D55,0)</f>
        <v>-48.9</v>
      </c>
      <c r="L55" s="24" t="n">
        <f aca="false">_xlfn.MAXIFS(Trades!$W$2:$W$1846,Trades!$B$2:$B$1846,$A55)</f>
        <v>213.85</v>
      </c>
      <c r="M55" s="24" t="n">
        <f aca="false">_xlfn.MINIFS(Trades!$W$2:$W$1846,Trades!$B$2:$B$1846,$A55)</f>
        <v>-99.26</v>
      </c>
      <c r="N55" s="26" t="n">
        <f aca="false">IFERROR(AVERAGEIFS(Trades!$X$2:$X$1846,Trades!$B$2:$B$1846,$A55),0)</f>
        <v>0.155294117647059</v>
      </c>
      <c r="O55" s="24" t="n">
        <f aca="false">P54</f>
        <v>4605.87</v>
      </c>
      <c r="P55" s="24" t="n">
        <f aca="false">O55+H55</f>
        <v>4812.44</v>
      </c>
      <c r="Q55" s="23" t="n">
        <f aca="false">IFERROR(H55/O55,0)</f>
        <v>0.0448492901449672</v>
      </c>
      <c r="R55" s="22" t="str">
        <f aca="false">IF(H55&gt;0,"Up month",IF(H55&lt;0,"Down month","Flat"))&amp;" | "&amp;B55&amp;" trades, "&amp;TEXT(E55,"0%")&amp;" won"</f>
        <v>Up month | 34 trades, 71% won</v>
      </c>
    </row>
    <row r="56" customFormat="false" ht="15" hidden="false" customHeight="false" outlineLevel="0" collapsed="false">
      <c r="A56" s="27" t="s">
        <v>174</v>
      </c>
      <c r="B56" s="27" t="n">
        <f aca="false">SUM(B2:B55)</f>
        <v>1845</v>
      </c>
      <c r="C56" s="27" t="n">
        <f aca="false">SUM(C2:C55)</f>
        <v>1311</v>
      </c>
      <c r="D56" s="27" t="n">
        <f aca="false">SUM(D2:D55)</f>
        <v>534</v>
      </c>
      <c r="E56" s="28" t="n">
        <f aca="false">IFERROR(C56/B56,0)</f>
        <v>0.710569105691057</v>
      </c>
      <c r="F56" s="29" t="n">
        <f aca="false">SUM(F2:F55)</f>
        <v>19220.98</v>
      </c>
      <c r="G56" s="29" t="n">
        <f aca="false">SUM(G2:G55)</f>
        <v>-19408.54</v>
      </c>
      <c r="H56" s="29" t="n">
        <f aca="false">SUM(H2:H55)</f>
        <v>-187.56</v>
      </c>
      <c r="I56" s="30" t="n">
        <f aca="false">IFERROR(F56/-G56,0)</f>
        <v>0.990336212821778</v>
      </c>
      <c r="J56" s="31"/>
      <c r="K56" s="31"/>
      <c r="L56" s="31"/>
      <c r="M56" s="31"/>
      <c r="N56" s="31"/>
      <c r="O56" s="31"/>
      <c r="P56" s="32" t="n">
        <f aca="false">P55</f>
        <v>4812.44</v>
      </c>
      <c r="Q56" s="28" t="n">
        <f aca="false">IFERROR(H56/O2,0)</f>
        <v>-0.037512</v>
      </c>
      <c r="R56" s="31" t="str">
        <f aca="false">COUNTIF(H2:H55,"&gt;0")&amp;" up months / "&amp;COUNTIF(H2:H55,"&lt;0")&amp;" down months"</f>
        <v>21 up months / 33 down months</v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customFormat="false" ht="15" hidden="false" customHeight="false" outlineLevel="0" collapsed="false">
      <c r="A58" s="5" t="s">
        <v>175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176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177</v>
      </c>
      <c r="B3" s="2"/>
      <c r="C3" s="2"/>
      <c r="D3" s="2"/>
      <c r="E3" s="2"/>
      <c r="F3" s="2"/>
      <c r="G3" s="33" t="s">
        <v>178</v>
      </c>
    </row>
    <row r="4" customFormat="false" ht="15" hidden="false" customHeight="false" outlineLevel="0" collapsed="false">
      <c r="A4" s="8" t="s">
        <v>179</v>
      </c>
      <c r="B4" s="8" t="s">
        <v>7</v>
      </c>
      <c r="C4" s="8" t="s">
        <v>54</v>
      </c>
      <c r="D4" s="8" t="s">
        <v>39</v>
      </c>
      <c r="E4" s="8" t="s">
        <v>180</v>
      </c>
      <c r="F4" s="8" t="s">
        <v>115</v>
      </c>
      <c r="G4" s="2"/>
    </row>
    <row r="5" customFormat="false" ht="15" hidden="false" customHeight="false" outlineLevel="0" collapsed="false">
      <c r="A5" s="22" t="s">
        <v>181</v>
      </c>
      <c r="B5" s="2" t="n">
        <f aca="false">COUNTIFS(Trades!$F$2:$F$1846,$A5)</f>
        <v>951</v>
      </c>
      <c r="C5" s="34" t="n">
        <f aca="false">IFERROR(COUNTIFS(Trades!$F$2:$F$1846,$A5,Trades!$Y$2:$Y$1846,"Win")/B5,0)</f>
        <v>0.742376445846477</v>
      </c>
      <c r="D5" s="35" t="n">
        <f aca="false">SUMIFS(Trades!$W$2:$W$1846,Trades!$F$2:$F$1846,$A5)</f>
        <v>3145.18</v>
      </c>
      <c r="E5" s="35" t="n">
        <f aca="false">IFERROR(D5/B5,0)</f>
        <v>3.30723449001052</v>
      </c>
      <c r="F5" s="36" t="n">
        <f aca="false">IFERROR(AVERAGEIFS(Trades!$X$2:$X$1846,Trades!$F$2:$F$1846,$A5),0)</f>
        <v>0.0996161934805468</v>
      </c>
      <c r="G5" s="2"/>
    </row>
    <row r="6" customFormat="false" ht="15" hidden="false" customHeight="false" outlineLevel="0" collapsed="false">
      <c r="A6" s="22" t="s">
        <v>182</v>
      </c>
      <c r="B6" s="2" t="n">
        <f aca="false">COUNTIFS(Trades!$F$2:$F$1846,$A6)</f>
        <v>894</v>
      </c>
      <c r="C6" s="34" t="n">
        <f aca="false">IFERROR(COUNTIFS(Trades!$F$2:$F$1846,$A6,Trades!$Y$2:$Y$1846,"Win")/B6,0)</f>
        <v>0.676733780760626</v>
      </c>
      <c r="D6" s="35" t="n">
        <f aca="false">SUMIFS(Trades!$W$2:$W$1846,Trades!$F$2:$F$1846,$A6)</f>
        <v>-3332.74</v>
      </c>
      <c r="E6" s="35" t="n">
        <f aca="false">IFERROR(D6/B6,0)</f>
        <v>-3.7278970917226</v>
      </c>
      <c r="F6" s="36" t="n">
        <f aca="false">IFERROR(AVERAGEIFS(Trades!$X$2:$X$1846,Trades!$F$2:$F$1846,$A6),0)</f>
        <v>-0.0961353467561521</v>
      </c>
      <c r="G6" s="2"/>
    </row>
    <row r="7" customFormat="false" ht="15" hidden="false" customHeight="false" outlineLevel="0" collapsed="false">
      <c r="A7" s="27" t="s">
        <v>183</v>
      </c>
      <c r="B7" s="27" t="n">
        <f aca="false">SUM(B5:B6)</f>
        <v>1845</v>
      </c>
      <c r="C7" s="31"/>
      <c r="D7" s="32" t="n">
        <f aca="false">SUM(D5:D6)</f>
        <v>-187.56</v>
      </c>
      <c r="E7" s="31"/>
      <c r="F7" s="31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26.85" hidden="false" customHeight="false" outlineLevel="0" collapsed="false">
      <c r="A9" s="3" t="s">
        <v>184</v>
      </c>
      <c r="B9" s="2"/>
      <c r="C9" s="2"/>
      <c r="D9" s="2"/>
      <c r="E9" s="2"/>
      <c r="F9" s="2"/>
      <c r="G9" s="33" t="s">
        <v>185</v>
      </c>
    </row>
    <row r="10" customFormat="false" ht="15" hidden="false" customHeight="false" outlineLevel="0" collapsed="false">
      <c r="A10" s="8" t="s">
        <v>186</v>
      </c>
      <c r="B10" s="8" t="s">
        <v>7</v>
      </c>
      <c r="C10" s="8" t="s">
        <v>54</v>
      </c>
      <c r="D10" s="8" t="s">
        <v>39</v>
      </c>
      <c r="E10" s="8" t="s">
        <v>180</v>
      </c>
      <c r="F10" s="8" t="s">
        <v>115</v>
      </c>
      <c r="G10" s="2"/>
    </row>
    <row r="11" customFormat="false" ht="15" hidden="false" customHeight="false" outlineLevel="0" collapsed="false">
      <c r="A11" s="22" t="s">
        <v>187</v>
      </c>
      <c r="B11" s="2" t="n">
        <f aca="false">COUNTIFS(Trades!$T$2:$T$1846,$A11)</f>
        <v>62</v>
      </c>
      <c r="C11" s="34" t="n">
        <f aca="false">IFERROR(COUNTIFS(Trades!$T$2:$T$1846,$A11,Trades!$Y$2:$Y$1846,"Win")/B11,0)</f>
        <v>1</v>
      </c>
      <c r="D11" s="35" t="n">
        <f aca="false">SUMIFS(Trades!$W$2:$W$1846,Trades!$T$2:$T$1846,$A11)</f>
        <v>11121.25</v>
      </c>
      <c r="E11" s="35" t="n">
        <f aca="false">IFERROR(D11/B11,0)</f>
        <v>179.375</v>
      </c>
      <c r="F11" s="36" t="n">
        <f aca="false">IFERROR(AVERAGEIFS(Trades!$X$2:$X$1846,Trades!$T$2:$T$1846,$A11),0)</f>
        <v>4.96462365591398</v>
      </c>
      <c r="G11" s="2"/>
    </row>
    <row r="12" customFormat="false" ht="15" hidden="false" customHeight="false" outlineLevel="0" collapsed="false">
      <c r="A12" s="22" t="s">
        <v>188</v>
      </c>
      <c r="B12" s="2" t="n">
        <f aca="false">COUNTIFS(Trades!$T$2:$T$1846,$A12)</f>
        <v>496</v>
      </c>
      <c r="C12" s="34" t="n">
        <f aca="false">IFERROR(COUNTIFS(Trades!$T$2:$T$1846,$A12,Trades!$Y$2:$Y$1846,"Win")/B12,0)</f>
        <v>0</v>
      </c>
      <c r="D12" s="35" t="n">
        <f aca="false">SUMIFS(Trades!$W$2:$W$1846,Trades!$T$2:$T$1846,$A12)</f>
        <v>-19025.05</v>
      </c>
      <c r="E12" s="35" t="n">
        <f aca="false">IFERROR(D12/B12,0)</f>
        <v>-38.3569556451613</v>
      </c>
      <c r="F12" s="36" t="n">
        <f aca="false">IFERROR(AVERAGEIFS(Trades!$X$2:$X$1846,Trades!$T$2:$T$1846,$A12),0)</f>
        <v>-1.04963037634409</v>
      </c>
      <c r="G12" s="2"/>
    </row>
    <row r="13" customFormat="false" ht="15" hidden="false" customHeight="false" outlineLevel="0" collapsed="false">
      <c r="A13" s="22" t="s">
        <v>189</v>
      </c>
      <c r="B13" s="2" t="n">
        <f aca="false">COUNTIFS(Trades!$T$2:$T$1846,$A13)</f>
        <v>1204</v>
      </c>
      <c r="C13" s="34" t="n">
        <f aca="false">IFERROR(COUNTIFS(Trades!$T$2:$T$1846,$A13,Trades!$Y$2:$Y$1846,"Win")/B13,0)</f>
        <v>0.976744186046512</v>
      </c>
      <c r="D13" s="35" t="n">
        <f aca="false">SUMIFS(Trades!$W$2:$W$1846,Trades!$T$2:$T$1846,$A13)</f>
        <v>2954.52</v>
      </c>
      <c r="E13" s="35" t="n">
        <f aca="false">IFERROR(D13/B13,0)</f>
        <v>2.45392026578073</v>
      </c>
      <c r="F13" s="36" t="n">
        <f aca="false">IFERROR(AVERAGEIFS(Trades!$X$2:$X$1846,Trades!$T$2:$T$1846,$A13),0)</f>
        <v>0.0683540974529347</v>
      </c>
      <c r="G13" s="2"/>
    </row>
    <row r="14" customFormat="false" ht="15" hidden="false" customHeight="false" outlineLevel="0" collapsed="false">
      <c r="A14" s="22" t="s">
        <v>190</v>
      </c>
      <c r="B14" s="2" t="n">
        <f aca="false">COUNTIFS(Trades!$T$2:$T$1846,$A14)</f>
        <v>0</v>
      </c>
      <c r="C14" s="34" t="n">
        <f aca="false">IFERROR(COUNTIFS(Trades!$T$2:$T$1846,$A14,Trades!$Y$2:$Y$1846,"Win")/B14,0)</f>
        <v>0</v>
      </c>
      <c r="D14" s="35" t="n">
        <f aca="false">SUMIFS(Trades!$W$2:$W$1846,Trades!$T$2:$T$1846,$A14)</f>
        <v>0</v>
      </c>
      <c r="E14" s="35" t="n">
        <f aca="false">IFERROR(D14/B14,0)</f>
        <v>0</v>
      </c>
      <c r="F14" s="36" t="n">
        <f aca="false">IFERROR(AVERAGEIFS(Trades!$X$2:$X$1846,Trades!$T$2:$T$1846,$A14),0)</f>
        <v>0</v>
      </c>
      <c r="G14" s="2"/>
    </row>
    <row r="15" customFormat="false" ht="15" hidden="false" customHeight="false" outlineLevel="0" collapsed="false">
      <c r="A15" s="22" t="s">
        <v>191</v>
      </c>
      <c r="B15" s="2" t="n">
        <f aca="false">COUNTIFS(Trades!$T$2:$T$1846,$A15)</f>
        <v>83</v>
      </c>
      <c r="C15" s="34" t="n">
        <f aca="false">IFERROR(COUNTIFS(Trades!$T$2:$T$1846,$A15,Trades!$Y$2:$Y$1846,"Win")/B15,0)</f>
        <v>0.879518072289157</v>
      </c>
      <c r="D15" s="35" t="n">
        <f aca="false">SUMIFS(Trades!$W$2:$W$1846,Trades!$T$2:$T$1846,$A15)</f>
        <v>4761.72</v>
      </c>
      <c r="E15" s="35" t="n">
        <f aca="false">IFERROR(D15/B15,0)</f>
        <v>57.3701204819277</v>
      </c>
      <c r="F15" s="36" t="n">
        <f aca="false">IFERROR(AVERAGEIFS(Trades!$X$2:$X$1846,Trades!$T$2:$T$1846,$A15),0)</f>
        <v>1.67833333333333</v>
      </c>
      <c r="G15" s="2"/>
    </row>
    <row r="16" customFormat="false" ht="15" hidden="false" customHeight="false" outlineLevel="0" collapsed="false">
      <c r="A16" s="27" t="s">
        <v>183</v>
      </c>
      <c r="B16" s="27" t="n">
        <f aca="false">SUM(B11:B15)</f>
        <v>1845</v>
      </c>
      <c r="C16" s="31"/>
      <c r="D16" s="32" t="n">
        <f aca="false">SUM(D11:D15)</f>
        <v>-187.559999999999</v>
      </c>
      <c r="E16" s="31"/>
      <c r="F16" s="31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6.85" hidden="false" customHeight="false" outlineLevel="0" collapsed="false">
      <c r="A18" s="3" t="s">
        <v>192</v>
      </c>
      <c r="B18" s="2"/>
      <c r="C18" s="2"/>
      <c r="D18" s="2"/>
      <c r="E18" s="2"/>
      <c r="F18" s="2"/>
      <c r="G18" s="33" t="s">
        <v>193</v>
      </c>
    </row>
    <row r="19" customFormat="false" ht="15" hidden="false" customHeight="false" outlineLevel="0" collapsed="false">
      <c r="A19" s="8" t="s">
        <v>194</v>
      </c>
      <c r="B19" s="8" t="s">
        <v>7</v>
      </c>
      <c r="C19" s="8" t="s">
        <v>54</v>
      </c>
      <c r="D19" s="8" t="s">
        <v>39</v>
      </c>
      <c r="E19" s="8" t="s">
        <v>180</v>
      </c>
      <c r="F19" s="8" t="s">
        <v>115</v>
      </c>
      <c r="G19" s="2"/>
    </row>
    <row r="20" customFormat="false" ht="15" hidden="false" customHeight="false" outlineLevel="0" collapsed="false">
      <c r="A20" s="22" t="s">
        <v>195</v>
      </c>
      <c r="B20" s="2" t="n">
        <f aca="false">COUNTIFS(Trades!$Q$2:$Q$1846,$A20)</f>
        <v>39</v>
      </c>
      <c r="C20" s="34" t="n">
        <f aca="false">IFERROR(COUNTIFS(Trades!$Q$2:$Q$1846,$A20,Trades!$Y$2:$Y$1846,"Win")/B20,0)</f>
        <v>0.692307692307692</v>
      </c>
      <c r="D20" s="35" t="n">
        <f aca="false">SUMIFS(Trades!$W$2:$W$1846,Trades!$Q$2:$Q$1846,$A20)</f>
        <v>-357.5</v>
      </c>
      <c r="E20" s="35" t="n">
        <f aca="false">IFERROR(D20/B20,0)</f>
        <v>-9.16666666666667</v>
      </c>
      <c r="F20" s="36" t="n">
        <f aca="false">IFERROR(AVERAGEIFS(Trades!$X$2:$X$1846,Trades!$Q$2:$Q$1846,$A20),0)</f>
        <v>-0.221495726495727</v>
      </c>
      <c r="G20" s="2"/>
    </row>
    <row r="21" customFormat="false" ht="15" hidden="false" customHeight="false" outlineLevel="0" collapsed="false">
      <c r="A21" s="22" t="s">
        <v>196</v>
      </c>
      <c r="B21" s="2" t="n">
        <f aca="false">COUNTIFS(Trades!$Q$2:$Q$1846,$A21)</f>
        <v>95</v>
      </c>
      <c r="C21" s="34" t="n">
        <f aca="false">IFERROR(COUNTIFS(Trades!$Q$2:$Q$1846,$A21,Trades!$Y$2:$Y$1846,"Win")/B21,0)</f>
        <v>0.673684210526316</v>
      </c>
      <c r="D21" s="35" t="n">
        <f aca="false">SUMIFS(Trades!$W$2:$W$1846,Trades!$Q$2:$Q$1846,$A21)</f>
        <v>-807.29</v>
      </c>
      <c r="E21" s="35" t="n">
        <f aca="false">IFERROR(D21/B21,0)</f>
        <v>-8.49778947368421</v>
      </c>
      <c r="F21" s="36" t="n">
        <f aca="false">IFERROR(AVERAGEIFS(Trades!$X$2:$X$1846,Trades!$Q$2:$Q$1846,$A21),0)</f>
        <v>-0.216333333333333</v>
      </c>
      <c r="G21" s="2"/>
    </row>
    <row r="22" customFormat="false" ht="15" hidden="false" customHeight="false" outlineLevel="0" collapsed="false">
      <c r="A22" s="22" t="s">
        <v>197</v>
      </c>
      <c r="B22" s="2" t="n">
        <f aca="false">COUNTIFS(Trades!$Q$2:$Q$1846,$A22)</f>
        <v>377</v>
      </c>
      <c r="C22" s="34" t="n">
        <f aca="false">IFERROR(COUNTIFS(Trades!$Q$2:$Q$1846,$A22,Trades!$Y$2:$Y$1846,"Win")/B22,0)</f>
        <v>0.740053050397878</v>
      </c>
      <c r="D22" s="35" t="n">
        <f aca="false">SUMIFS(Trades!$W$2:$W$1846,Trades!$Q$2:$Q$1846,$A22)</f>
        <v>-2644.58</v>
      </c>
      <c r="E22" s="35" t="n">
        <f aca="false">IFERROR(D22/B22,0)</f>
        <v>-7.01480106100796</v>
      </c>
      <c r="F22" s="36" t="n">
        <f aca="false">IFERROR(AVERAGEIFS(Trades!$X$2:$X$1846,Trades!$Q$2:$Q$1846,$A22),0)</f>
        <v>-0.17763925729443</v>
      </c>
      <c r="G22" s="2"/>
    </row>
    <row r="23" customFormat="false" ht="15" hidden="false" customHeight="false" outlineLevel="0" collapsed="false">
      <c r="A23" s="22" t="s">
        <v>198</v>
      </c>
      <c r="B23" s="2" t="n">
        <f aca="false">COUNTIFS(Trades!$Q$2:$Q$1846,$A23)</f>
        <v>1334</v>
      </c>
      <c r="C23" s="34" t="n">
        <f aca="false">IFERROR(COUNTIFS(Trades!$Q$2:$Q$1846,$A23,Trades!$Y$2:$Y$1846,"Win")/B23,0)</f>
        <v>0.705397301349325</v>
      </c>
      <c r="D23" s="35" t="n">
        <f aca="false">SUMIFS(Trades!$W$2:$W$1846,Trades!$Q$2:$Q$1846,$A23)</f>
        <v>3621.81</v>
      </c>
      <c r="E23" s="35" t="n">
        <f aca="false">IFERROR(D23/B23,0)</f>
        <v>2.715</v>
      </c>
      <c r="F23" s="36" t="n">
        <f aca="false">IFERROR(AVERAGEIFS(Trades!$X$2:$X$1846,Trades!$Q$2:$Q$1846,$A23),0)</f>
        <v>0.0786731634182908</v>
      </c>
      <c r="G23" s="2"/>
    </row>
    <row r="24" customFormat="false" ht="15" hidden="false" customHeight="false" outlineLevel="0" collapsed="false">
      <c r="A24" s="27" t="s">
        <v>183</v>
      </c>
      <c r="B24" s="27" t="n">
        <f aca="false">SUM(B20:B23)</f>
        <v>1845</v>
      </c>
      <c r="C24" s="31"/>
      <c r="D24" s="32" t="n">
        <f aca="false">SUM(D20:D23)</f>
        <v>-187.56</v>
      </c>
      <c r="E24" s="31"/>
      <c r="F24" s="31"/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3" t="s">
        <v>199</v>
      </c>
      <c r="B26" s="2"/>
      <c r="C26" s="2"/>
      <c r="D26" s="2"/>
      <c r="E26" s="2"/>
      <c r="F26" s="2"/>
      <c r="G26" s="33" t="s">
        <v>200</v>
      </c>
    </row>
    <row r="27" customFormat="false" ht="15" hidden="false" customHeight="false" outlineLevel="0" collapsed="false">
      <c r="A27" s="8" t="s">
        <v>201</v>
      </c>
      <c r="B27" s="8" t="s">
        <v>7</v>
      </c>
      <c r="C27" s="8" t="s">
        <v>54</v>
      </c>
      <c r="D27" s="8" t="s">
        <v>39</v>
      </c>
      <c r="E27" s="8" t="s">
        <v>180</v>
      </c>
      <c r="F27" s="8" t="s">
        <v>115</v>
      </c>
      <c r="G27" s="2"/>
    </row>
    <row r="28" customFormat="false" ht="15" hidden="false" customHeight="false" outlineLevel="0" collapsed="false">
      <c r="A28" s="22" t="s">
        <v>202</v>
      </c>
      <c r="B28" s="2" t="n">
        <f aca="false">COUNTIFS(Trades!$D$2:$D$1846,$A28)</f>
        <v>324</v>
      </c>
      <c r="C28" s="34" t="n">
        <f aca="false">IFERROR(COUNTIFS(Trades!$D$2:$D$1846,$A28,Trades!$Y$2:$Y$1846,"Win")/B28,0)</f>
        <v>0.719135802469136</v>
      </c>
      <c r="D28" s="35" t="n">
        <f aca="false">SUMIFS(Trades!$W$2:$W$1846,Trades!$D$2:$D$1846,$A28)</f>
        <v>1068.03</v>
      </c>
      <c r="E28" s="35" t="n">
        <f aca="false">IFERROR(D28/B28,0)</f>
        <v>3.29638888888889</v>
      </c>
      <c r="F28" s="36" t="n">
        <f aca="false">IFERROR(AVERAGEIFS(Trades!$X$2:$X$1846,Trades!$D$2:$D$1846,$A28),0)</f>
        <v>0.0949845679012346</v>
      </c>
      <c r="G28" s="2"/>
    </row>
    <row r="29" customFormat="false" ht="15" hidden="false" customHeight="false" outlineLevel="0" collapsed="false">
      <c r="A29" s="22" t="s">
        <v>203</v>
      </c>
      <c r="B29" s="2" t="n">
        <f aca="false">COUNTIFS(Trades!$D$2:$D$1846,$A29)</f>
        <v>374</v>
      </c>
      <c r="C29" s="34" t="n">
        <f aca="false">IFERROR(COUNTIFS(Trades!$D$2:$D$1846,$A29,Trades!$Y$2:$Y$1846,"Win")/B29,0)</f>
        <v>0.729946524064171</v>
      </c>
      <c r="D29" s="35" t="n">
        <f aca="false">SUMIFS(Trades!$W$2:$W$1846,Trades!$D$2:$D$1846,$A29)</f>
        <v>268.96</v>
      </c>
      <c r="E29" s="35" t="n">
        <f aca="false">IFERROR(D29/B29,0)</f>
        <v>0.719144385026738</v>
      </c>
      <c r="F29" s="36" t="n">
        <f aca="false">IFERROR(AVERAGEIFS(Trades!$X$2:$X$1846,Trades!$D$2:$D$1846,$A29),0)</f>
        <v>0.0309224598930481</v>
      </c>
      <c r="G29" s="2"/>
    </row>
    <row r="30" customFormat="false" ht="15" hidden="false" customHeight="false" outlineLevel="0" collapsed="false">
      <c r="A30" s="22" t="s">
        <v>204</v>
      </c>
      <c r="B30" s="2" t="n">
        <f aca="false">COUNTIFS(Trades!$D$2:$D$1846,$A30)</f>
        <v>385</v>
      </c>
      <c r="C30" s="34" t="n">
        <f aca="false">IFERROR(COUNTIFS(Trades!$D$2:$D$1846,$A30,Trades!$Y$2:$Y$1846,"Win")/B30,0)</f>
        <v>0.696103896103896</v>
      </c>
      <c r="D30" s="35" t="n">
        <f aca="false">SUMIFS(Trades!$W$2:$W$1846,Trades!$D$2:$D$1846,$A30)</f>
        <v>-1470.61</v>
      </c>
      <c r="E30" s="35" t="n">
        <f aca="false">IFERROR(D30/B30,0)</f>
        <v>-3.81976623376623</v>
      </c>
      <c r="F30" s="36" t="n">
        <f aca="false">IFERROR(AVERAGEIFS(Trades!$X$2:$X$1846,Trades!$D$2:$D$1846,$A30),0)</f>
        <v>-0.101367965367965</v>
      </c>
      <c r="G30" s="2"/>
    </row>
    <row r="31" customFormat="false" ht="15" hidden="false" customHeight="false" outlineLevel="0" collapsed="false">
      <c r="A31" s="22" t="s">
        <v>205</v>
      </c>
      <c r="B31" s="2" t="n">
        <f aca="false">COUNTIFS(Trades!$D$2:$D$1846,$A31)</f>
        <v>386</v>
      </c>
      <c r="C31" s="34" t="n">
        <f aca="false">IFERROR(COUNTIFS(Trades!$D$2:$D$1846,$A31,Trades!$Y$2:$Y$1846,"Win")/B31,0)</f>
        <v>0.691709844559586</v>
      </c>
      <c r="D31" s="35" t="n">
        <f aca="false">SUMIFS(Trades!$W$2:$W$1846,Trades!$D$2:$D$1846,$A31)</f>
        <v>-581.98</v>
      </c>
      <c r="E31" s="35" t="n">
        <f aca="false">IFERROR(D31/B31,0)</f>
        <v>-1.50772020725389</v>
      </c>
      <c r="F31" s="36" t="n">
        <f aca="false">IFERROR(AVERAGEIFS(Trades!$X$2:$X$1846,Trades!$D$2:$D$1846,$A31),0)</f>
        <v>-0.03676597582038</v>
      </c>
      <c r="G31" s="2"/>
    </row>
    <row r="32" customFormat="false" ht="15" hidden="false" customHeight="false" outlineLevel="0" collapsed="false">
      <c r="A32" s="22" t="s">
        <v>206</v>
      </c>
      <c r="B32" s="2" t="n">
        <f aca="false">COUNTIFS(Trades!$D$2:$D$1846,$A32)</f>
        <v>376</v>
      </c>
      <c r="C32" s="34" t="n">
        <f aca="false">IFERROR(COUNTIFS(Trades!$D$2:$D$1846,$A32,Trades!$Y$2:$Y$1846,"Win")/B32,0)</f>
        <v>0.718085106382979</v>
      </c>
      <c r="D32" s="35" t="n">
        <f aca="false">SUMIFS(Trades!$W$2:$W$1846,Trades!$D$2:$D$1846,$A32)</f>
        <v>528.04</v>
      </c>
      <c r="E32" s="35" t="n">
        <f aca="false">IFERROR(D32/B32,0)</f>
        <v>1.40436170212766</v>
      </c>
      <c r="F32" s="36" t="n">
        <f aca="false">IFERROR(AVERAGEIFS(Trades!$X$2:$X$1846,Trades!$D$2:$D$1846,$A32),0)</f>
        <v>0.0523093971631205</v>
      </c>
      <c r="G32" s="2"/>
    </row>
    <row r="33" customFormat="false" ht="15" hidden="false" customHeight="false" outlineLevel="0" collapsed="false">
      <c r="A33" s="27" t="s">
        <v>183</v>
      </c>
      <c r="B33" s="27" t="n">
        <f aca="false">SUM(B28:B32)</f>
        <v>1845</v>
      </c>
      <c r="C33" s="31"/>
      <c r="D33" s="32" t="n">
        <f aca="false">SUM(D28:D32)</f>
        <v>-187.56</v>
      </c>
      <c r="E33" s="31"/>
      <c r="F33" s="31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26.85" hidden="false" customHeight="false" outlineLevel="0" collapsed="false">
      <c r="A35" s="3" t="s">
        <v>207</v>
      </c>
      <c r="B35" s="2"/>
      <c r="C35" s="2"/>
      <c r="D35" s="2"/>
      <c r="E35" s="2"/>
      <c r="F35" s="2"/>
      <c r="G35" s="33" t="s">
        <v>208</v>
      </c>
    </row>
    <row r="36" customFormat="false" ht="15" hidden="false" customHeight="false" outlineLevel="0" collapsed="false">
      <c r="A36" s="8" t="s">
        <v>209</v>
      </c>
      <c r="B36" s="8" t="s">
        <v>7</v>
      </c>
      <c r="C36" s="8" t="s">
        <v>54</v>
      </c>
      <c r="D36" s="8" t="s">
        <v>39</v>
      </c>
      <c r="E36" s="8" t="s">
        <v>180</v>
      </c>
      <c r="F36" s="8" t="s">
        <v>115</v>
      </c>
      <c r="G36" s="2"/>
    </row>
    <row r="37" customFormat="false" ht="15" hidden="false" customHeight="false" outlineLevel="0" collapsed="false">
      <c r="A37" s="22" t="n">
        <v>0</v>
      </c>
      <c r="B37" s="2" t="n">
        <f aca="false">COUNTIFS(Trades!$E$2:$E$1846,$A37)</f>
        <v>0</v>
      </c>
      <c r="C37" s="34" t="n">
        <f aca="false">IFERROR(COUNTIFS(Trades!$E$2:$E$1846,$A37,Trades!$Y$2:$Y$1846,"Win")/B37,0)</f>
        <v>0</v>
      </c>
      <c r="D37" s="35" t="n">
        <f aca="false">SUMIFS(Trades!$W$2:$W$1846,Trades!$E$2:$E$1846,$A37)</f>
        <v>0</v>
      </c>
      <c r="E37" s="35" t="n">
        <f aca="false">IFERROR(D37/B37,0)</f>
        <v>0</v>
      </c>
      <c r="F37" s="36" t="n">
        <f aca="false">IFERROR(AVERAGEIFS(Trades!$X$2:$X$1846,Trades!$E$2:$E$1846,$A37),0)</f>
        <v>0</v>
      </c>
      <c r="G37" s="2"/>
    </row>
    <row r="38" customFormat="false" ht="15" hidden="false" customHeight="false" outlineLevel="0" collapsed="false">
      <c r="A38" s="22" t="n">
        <v>1</v>
      </c>
      <c r="B38" s="2" t="n">
        <f aca="false">COUNTIFS(Trades!$E$2:$E$1846,$A38)</f>
        <v>43</v>
      </c>
      <c r="C38" s="34" t="n">
        <f aca="false">IFERROR(COUNTIFS(Trades!$E$2:$E$1846,$A38,Trades!$Y$2:$Y$1846,"Win")/B38,0)</f>
        <v>0.790697674418605</v>
      </c>
      <c r="D38" s="35" t="n">
        <f aca="false">SUMIFS(Trades!$W$2:$W$1846,Trades!$E$2:$E$1846,$A38)</f>
        <v>143.76</v>
      </c>
      <c r="E38" s="35" t="n">
        <f aca="false">IFERROR(D38/B38,0)</f>
        <v>3.34325581395349</v>
      </c>
      <c r="F38" s="36" t="n">
        <f aca="false">IFERROR(AVERAGEIFS(Trades!$X$2:$X$1846,Trades!$E$2:$E$1846,$A38),0)</f>
        <v>0.088953488372093</v>
      </c>
      <c r="G38" s="2"/>
    </row>
    <row r="39" customFormat="false" ht="15" hidden="false" customHeight="false" outlineLevel="0" collapsed="false">
      <c r="A39" s="22" t="n">
        <v>2</v>
      </c>
      <c r="B39" s="2" t="n">
        <f aca="false">COUNTIFS(Trades!$E$2:$E$1846,$A39)</f>
        <v>77</v>
      </c>
      <c r="C39" s="34" t="n">
        <f aca="false">IFERROR(COUNTIFS(Trades!$E$2:$E$1846,$A39,Trades!$Y$2:$Y$1846,"Win")/B39,0)</f>
        <v>0.688311688311688</v>
      </c>
      <c r="D39" s="35" t="n">
        <f aca="false">SUMIFS(Trades!$W$2:$W$1846,Trades!$E$2:$E$1846,$A39)</f>
        <v>157.26</v>
      </c>
      <c r="E39" s="35" t="n">
        <f aca="false">IFERROR(D39/B39,0)</f>
        <v>2.04233766233766</v>
      </c>
      <c r="F39" s="36" t="n">
        <f aca="false">IFERROR(AVERAGEIFS(Trades!$X$2:$X$1846,Trades!$E$2:$E$1846,$A39),0)</f>
        <v>0.0927272727272727</v>
      </c>
      <c r="G39" s="2"/>
    </row>
    <row r="40" customFormat="false" ht="15" hidden="false" customHeight="false" outlineLevel="0" collapsed="false">
      <c r="A40" s="22" t="n">
        <v>3</v>
      </c>
      <c r="B40" s="2" t="n">
        <f aca="false">COUNTIFS(Trades!$E$2:$E$1846,$A40)</f>
        <v>92</v>
      </c>
      <c r="C40" s="34" t="n">
        <f aca="false">IFERROR(COUNTIFS(Trades!$E$2:$E$1846,$A40,Trades!$Y$2:$Y$1846,"Win")/B40,0)</f>
        <v>0.728260869565217</v>
      </c>
      <c r="D40" s="35" t="n">
        <f aca="false">SUMIFS(Trades!$W$2:$W$1846,Trades!$E$2:$E$1846,$A40)</f>
        <v>568.14</v>
      </c>
      <c r="E40" s="35" t="n">
        <f aca="false">IFERROR(D40/B40,0)</f>
        <v>6.1754347826087</v>
      </c>
      <c r="F40" s="36" t="n">
        <f aca="false">IFERROR(AVERAGEIFS(Trades!$X$2:$X$1846,Trades!$E$2:$E$1846,$A40),0)</f>
        <v>0.15856884057971</v>
      </c>
      <c r="G40" s="2"/>
    </row>
    <row r="41" customFormat="false" ht="15" hidden="false" customHeight="false" outlineLevel="0" collapsed="false">
      <c r="A41" s="22" t="n">
        <v>4</v>
      </c>
      <c r="B41" s="2" t="n">
        <f aca="false">COUNTIFS(Trades!$E$2:$E$1846,$A41)</f>
        <v>79</v>
      </c>
      <c r="C41" s="34" t="n">
        <f aca="false">IFERROR(COUNTIFS(Trades!$E$2:$E$1846,$A41,Trades!$Y$2:$Y$1846,"Win")/B41,0)</f>
        <v>0.69620253164557</v>
      </c>
      <c r="D41" s="35" t="n">
        <f aca="false">SUMIFS(Trades!$W$2:$W$1846,Trades!$E$2:$E$1846,$A41)</f>
        <v>-3.24000000000001</v>
      </c>
      <c r="E41" s="35" t="n">
        <f aca="false">IFERROR(D41/B41,0)</f>
        <v>-0.0410126582278482</v>
      </c>
      <c r="F41" s="36" t="n">
        <f aca="false">IFERROR(AVERAGEIFS(Trades!$X$2:$X$1846,Trades!$E$2:$E$1846,$A41),0)</f>
        <v>0.0539240506329114</v>
      </c>
      <c r="G41" s="2"/>
    </row>
    <row r="42" customFormat="false" ht="15" hidden="false" customHeight="false" outlineLevel="0" collapsed="false">
      <c r="A42" s="22" t="n">
        <v>5</v>
      </c>
      <c r="B42" s="2" t="n">
        <f aca="false">COUNTIFS(Trades!$E$2:$E$1846,$A42)</f>
        <v>51</v>
      </c>
      <c r="C42" s="34" t="n">
        <f aca="false">IFERROR(COUNTIFS(Trades!$E$2:$E$1846,$A42,Trades!$Y$2:$Y$1846,"Win")/B42,0)</f>
        <v>0.764705882352941</v>
      </c>
      <c r="D42" s="35" t="n">
        <f aca="false">SUMIFS(Trades!$W$2:$W$1846,Trades!$E$2:$E$1846,$A42)</f>
        <v>215.84</v>
      </c>
      <c r="E42" s="35" t="n">
        <f aca="false">IFERROR(D42/B42,0)</f>
        <v>4.2321568627451</v>
      </c>
      <c r="F42" s="36" t="n">
        <f aca="false">IFERROR(AVERAGEIFS(Trades!$X$2:$X$1846,Trades!$E$2:$E$1846,$A42),0)</f>
        <v>0.106437908496732</v>
      </c>
      <c r="G42" s="2"/>
    </row>
    <row r="43" customFormat="false" ht="15" hidden="false" customHeight="false" outlineLevel="0" collapsed="false">
      <c r="A43" s="22" t="n">
        <v>6</v>
      </c>
      <c r="B43" s="2" t="n">
        <f aca="false">COUNTIFS(Trades!$E$2:$E$1846,$A43)</f>
        <v>28</v>
      </c>
      <c r="C43" s="34" t="n">
        <f aca="false">IFERROR(COUNTIFS(Trades!$E$2:$E$1846,$A43,Trades!$Y$2:$Y$1846,"Win")/B43,0)</f>
        <v>0.642857142857143</v>
      </c>
      <c r="D43" s="35" t="n">
        <f aca="false">SUMIFS(Trades!$W$2:$W$1846,Trades!$E$2:$E$1846,$A43)</f>
        <v>-32.92</v>
      </c>
      <c r="E43" s="35" t="n">
        <f aca="false">IFERROR(D43/B43,0)</f>
        <v>-1.17571428571429</v>
      </c>
      <c r="F43" s="36" t="n">
        <f aca="false">IFERROR(AVERAGEIFS(Trades!$X$2:$X$1846,Trades!$E$2:$E$1846,$A43),0)</f>
        <v>-0.0450595238095238</v>
      </c>
      <c r="G43" s="2"/>
    </row>
    <row r="44" customFormat="false" ht="15" hidden="false" customHeight="false" outlineLevel="0" collapsed="false">
      <c r="A44" s="22" t="n">
        <v>7</v>
      </c>
      <c r="B44" s="2" t="n">
        <f aca="false">COUNTIFS(Trades!$E$2:$E$1846,$A44)</f>
        <v>31</v>
      </c>
      <c r="C44" s="34" t="n">
        <f aca="false">IFERROR(COUNTIFS(Trades!$E$2:$E$1846,$A44,Trades!$Y$2:$Y$1846,"Win")/B44,0)</f>
        <v>0.709677419354839</v>
      </c>
      <c r="D44" s="35" t="n">
        <f aca="false">SUMIFS(Trades!$W$2:$W$1846,Trades!$E$2:$E$1846,$A44)</f>
        <v>-157.96</v>
      </c>
      <c r="E44" s="35" t="n">
        <f aca="false">IFERROR(D44/B44,0)</f>
        <v>-5.09548387096774</v>
      </c>
      <c r="F44" s="36" t="n">
        <f aca="false">IFERROR(AVERAGEIFS(Trades!$X$2:$X$1846,Trades!$E$2:$E$1846,$A44),0)</f>
        <v>-0.122956989247312</v>
      </c>
      <c r="G44" s="2"/>
    </row>
    <row r="45" customFormat="false" ht="15" hidden="false" customHeight="false" outlineLevel="0" collapsed="false">
      <c r="A45" s="22" t="n">
        <v>8</v>
      </c>
      <c r="B45" s="2" t="n">
        <f aca="false">COUNTIFS(Trades!$E$2:$E$1846,$A45)</f>
        <v>40</v>
      </c>
      <c r="C45" s="34" t="n">
        <f aca="false">IFERROR(COUNTIFS(Trades!$E$2:$E$1846,$A45,Trades!$Y$2:$Y$1846,"Win")/B45,0)</f>
        <v>0.8</v>
      </c>
      <c r="D45" s="35" t="n">
        <f aca="false">SUMIFS(Trades!$W$2:$W$1846,Trades!$E$2:$E$1846,$A45)</f>
        <v>521.77</v>
      </c>
      <c r="E45" s="35" t="n">
        <f aca="false">IFERROR(D45/B45,0)</f>
        <v>13.04425</v>
      </c>
      <c r="F45" s="36" t="n">
        <f aca="false">IFERROR(AVERAGEIFS(Trades!$X$2:$X$1846,Trades!$E$2:$E$1846,$A45),0)</f>
        <v>0.394166666666667</v>
      </c>
      <c r="G45" s="2"/>
    </row>
    <row r="46" customFormat="false" ht="15" hidden="false" customHeight="false" outlineLevel="0" collapsed="false">
      <c r="A46" s="22" t="n">
        <v>9</v>
      </c>
      <c r="B46" s="2" t="n">
        <f aca="false">COUNTIFS(Trades!$E$2:$E$1846,$A46)</f>
        <v>804</v>
      </c>
      <c r="C46" s="34" t="n">
        <f aca="false">IFERROR(COUNTIFS(Trades!$E$2:$E$1846,$A46,Trades!$Y$2:$Y$1846,"Win")/B46,0)</f>
        <v>0.703980099502488</v>
      </c>
      <c r="D46" s="35" t="n">
        <f aca="false">SUMIFS(Trades!$W$2:$W$1846,Trades!$E$2:$E$1846,$A46)</f>
        <v>-1474.29</v>
      </c>
      <c r="E46" s="35" t="n">
        <f aca="false">IFERROR(D46/B46,0)</f>
        <v>-1.83369402985075</v>
      </c>
      <c r="F46" s="36" t="n">
        <f aca="false">IFERROR(AVERAGEIFS(Trades!$X$2:$X$1846,Trades!$E$2:$E$1846,$A46),0)</f>
        <v>-0.0453399668325042</v>
      </c>
      <c r="G46" s="2"/>
    </row>
    <row r="47" customFormat="false" ht="15" hidden="false" customHeight="false" outlineLevel="0" collapsed="false">
      <c r="A47" s="22" t="n">
        <v>10</v>
      </c>
      <c r="B47" s="2" t="n">
        <f aca="false">COUNTIFS(Trades!$E$2:$E$1846,$A47)</f>
        <v>136</v>
      </c>
      <c r="C47" s="34" t="n">
        <f aca="false">IFERROR(COUNTIFS(Trades!$E$2:$E$1846,$A47,Trades!$Y$2:$Y$1846,"Win")/B47,0)</f>
        <v>0.691176470588235</v>
      </c>
      <c r="D47" s="35" t="n">
        <f aca="false">SUMIFS(Trades!$W$2:$W$1846,Trades!$E$2:$E$1846,$A47)</f>
        <v>-162.11</v>
      </c>
      <c r="E47" s="35" t="n">
        <f aca="false">IFERROR(D47/B47,0)</f>
        <v>-1.19198529411765</v>
      </c>
      <c r="F47" s="36" t="n">
        <f aca="false">IFERROR(AVERAGEIFS(Trades!$X$2:$X$1846,Trades!$E$2:$E$1846,$A47),0)</f>
        <v>-0.0209191176470588</v>
      </c>
      <c r="G47" s="2"/>
    </row>
    <row r="48" customFormat="false" ht="15" hidden="false" customHeight="false" outlineLevel="0" collapsed="false">
      <c r="A48" s="22" t="n">
        <v>11</v>
      </c>
      <c r="B48" s="2" t="n">
        <f aca="false">COUNTIFS(Trades!$E$2:$E$1846,$A48)</f>
        <v>69</v>
      </c>
      <c r="C48" s="34" t="n">
        <f aca="false">IFERROR(COUNTIFS(Trades!$E$2:$E$1846,$A48,Trades!$Y$2:$Y$1846,"Win")/B48,0)</f>
        <v>0.768115942028986</v>
      </c>
      <c r="D48" s="35" t="n">
        <f aca="false">SUMIFS(Trades!$W$2:$W$1846,Trades!$E$2:$E$1846,$A48)</f>
        <v>391.39</v>
      </c>
      <c r="E48" s="35" t="n">
        <f aca="false">IFERROR(D48/B48,0)</f>
        <v>5.67231884057971</v>
      </c>
      <c r="F48" s="36" t="n">
        <f aca="false">IFERROR(AVERAGEIFS(Trades!$X$2:$X$1846,Trades!$E$2:$E$1846,$A48),0)</f>
        <v>0.157874396135266</v>
      </c>
      <c r="G48" s="2"/>
    </row>
    <row r="49" customFormat="false" ht="15" hidden="false" customHeight="false" outlineLevel="0" collapsed="false">
      <c r="A49" s="22" t="n">
        <v>12</v>
      </c>
      <c r="B49" s="2" t="n">
        <f aca="false">COUNTIFS(Trades!$E$2:$E$1846,$A49)</f>
        <v>43</v>
      </c>
      <c r="C49" s="34" t="n">
        <f aca="false">IFERROR(COUNTIFS(Trades!$E$2:$E$1846,$A49,Trades!$Y$2:$Y$1846,"Win")/B49,0)</f>
        <v>0.627906976744186</v>
      </c>
      <c r="D49" s="35" t="n">
        <f aca="false">SUMIFS(Trades!$W$2:$W$1846,Trades!$E$2:$E$1846,$A49)</f>
        <v>-308.73</v>
      </c>
      <c r="E49" s="35" t="n">
        <f aca="false">IFERROR(D49/B49,0)</f>
        <v>-7.17976744186047</v>
      </c>
      <c r="F49" s="36" t="n">
        <f aca="false">IFERROR(AVERAGEIFS(Trades!$X$2:$X$1846,Trades!$E$2:$E$1846,$A49),0)</f>
        <v>-0.229728682170543</v>
      </c>
      <c r="G49" s="2"/>
    </row>
    <row r="50" customFormat="false" ht="15" hidden="false" customHeight="false" outlineLevel="0" collapsed="false">
      <c r="A50" s="22" t="n">
        <v>13</v>
      </c>
      <c r="B50" s="2" t="n">
        <f aca="false">COUNTIFS(Trades!$E$2:$E$1846,$A50)</f>
        <v>26</v>
      </c>
      <c r="C50" s="34" t="n">
        <f aca="false">IFERROR(COUNTIFS(Trades!$E$2:$E$1846,$A50,Trades!$Y$2:$Y$1846,"Win")/B50,0)</f>
        <v>0.769230769230769</v>
      </c>
      <c r="D50" s="35" t="n">
        <f aca="false">SUMIFS(Trades!$W$2:$W$1846,Trades!$E$2:$E$1846,$A50)</f>
        <v>-21.32</v>
      </c>
      <c r="E50" s="35" t="n">
        <f aca="false">IFERROR(D50/B50,0)</f>
        <v>-0.82</v>
      </c>
      <c r="F50" s="36" t="n">
        <f aca="false">IFERROR(AVERAGEIFS(Trades!$X$2:$X$1846,Trades!$E$2:$E$1846,$A50),0)</f>
        <v>0.0149358974358974</v>
      </c>
      <c r="G50" s="2"/>
    </row>
    <row r="51" customFormat="false" ht="15" hidden="false" customHeight="false" outlineLevel="0" collapsed="false">
      <c r="A51" s="22" t="n">
        <v>14</v>
      </c>
      <c r="B51" s="2" t="n">
        <f aca="false">COUNTIFS(Trades!$E$2:$E$1846,$A51)</f>
        <v>29</v>
      </c>
      <c r="C51" s="34" t="n">
        <f aca="false">IFERROR(COUNTIFS(Trades!$E$2:$E$1846,$A51,Trades!$Y$2:$Y$1846,"Win")/B51,0)</f>
        <v>0.655172413793103</v>
      </c>
      <c r="D51" s="35" t="n">
        <f aca="false">SUMIFS(Trades!$W$2:$W$1846,Trades!$E$2:$E$1846,$A51)</f>
        <v>-350.27</v>
      </c>
      <c r="E51" s="35" t="n">
        <f aca="false">IFERROR(D51/B51,0)</f>
        <v>-12.078275862069</v>
      </c>
      <c r="F51" s="36" t="n">
        <f aca="false">IFERROR(AVERAGEIFS(Trades!$X$2:$X$1846,Trades!$E$2:$E$1846,$A51),0)</f>
        <v>-0.308620689655172</v>
      </c>
      <c r="G51" s="2"/>
    </row>
    <row r="52" customFormat="false" ht="15" hidden="false" customHeight="false" outlineLevel="0" collapsed="false">
      <c r="A52" s="22" t="n">
        <v>15</v>
      </c>
      <c r="B52" s="2" t="n">
        <f aca="false">COUNTIFS(Trades!$E$2:$E$1846,$A52)</f>
        <v>89</v>
      </c>
      <c r="C52" s="34" t="n">
        <f aca="false">IFERROR(COUNTIFS(Trades!$E$2:$E$1846,$A52,Trades!$Y$2:$Y$1846,"Win")/B52,0)</f>
        <v>0.640449438202247</v>
      </c>
      <c r="D52" s="35" t="n">
        <f aca="false">SUMIFS(Trades!$W$2:$W$1846,Trades!$E$2:$E$1846,$A52)</f>
        <v>-295.28</v>
      </c>
      <c r="E52" s="35" t="n">
        <f aca="false">IFERROR(D52/B52,0)</f>
        <v>-3.31775280898876</v>
      </c>
      <c r="F52" s="36" t="n">
        <f aca="false">IFERROR(AVERAGEIFS(Trades!$X$2:$X$1846,Trades!$E$2:$E$1846,$A52),0)</f>
        <v>-0.0906179775280899</v>
      </c>
      <c r="G52" s="2"/>
    </row>
    <row r="53" customFormat="false" ht="15" hidden="false" customHeight="false" outlineLevel="0" collapsed="false">
      <c r="A53" s="22" t="n">
        <v>16</v>
      </c>
      <c r="B53" s="2" t="n">
        <f aca="false">COUNTIFS(Trades!$E$2:$E$1846,$A53)</f>
        <v>69</v>
      </c>
      <c r="C53" s="34" t="n">
        <f aca="false">IFERROR(COUNTIFS(Trades!$E$2:$E$1846,$A53,Trades!$Y$2:$Y$1846,"Win")/B53,0)</f>
        <v>0.753623188405797</v>
      </c>
      <c r="D53" s="35" t="n">
        <f aca="false">SUMIFS(Trades!$W$2:$W$1846,Trades!$E$2:$E$1846,$A53)</f>
        <v>-241.45</v>
      </c>
      <c r="E53" s="35" t="n">
        <f aca="false">IFERROR(D53/B53,0)</f>
        <v>-3.49927536231884</v>
      </c>
      <c r="F53" s="36" t="n">
        <f aca="false">IFERROR(AVERAGEIFS(Trades!$X$2:$X$1846,Trades!$E$2:$E$1846,$A53),0)</f>
        <v>-0.0860869565217391</v>
      </c>
      <c r="G53" s="2"/>
    </row>
    <row r="54" customFormat="false" ht="15" hidden="false" customHeight="false" outlineLevel="0" collapsed="false">
      <c r="A54" s="22" t="n">
        <v>17</v>
      </c>
      <c r="B54" s="2" t="n">
        <f aca="false">COUNTIFS(Trades!$E$2:$E$1846,$A54)</f>
        <v>69</v>
      </c>
      <c r="C54" s="34" t="n">
        <f aca="false">IFERROR(COUNTIFS(Trades!$E$2:$E$1846,$A54,Trades!$Y$2:$Y$1846,"Win")/B54,0)</f>
        <v>0.782608695652174</v>
      </c>
      <c r="D54" s="35" t="n">
        <f aca="false">SUMIFS(Trades!$W$2:$W$1846,Trades!$E$2:$E$1846,$A54)</f>
        <v>543.03</v>
      </c>
      <c r="E54" s="35" t="n">
        <f aca="false">IFERROR(D54/B54,0)</f>
        <v>7.87</v>
      </c>
      <c r="F54" s="36" t="n">
        <f aca="false">IFERROR(AVERAGEIFS(Trades!$X$2:$X$1846,Trades!$E$2:$E$1846,$A54),0)</f>
        <v>0.214275362318841</v>
      </c>
      <c r="G54" s="2"/>
    </row>
    <row r="55" customFormat="false" ht="15" hidden="false" customHeight="false" outlineLevel="0" collapsed="false">
      <c r="A55" s="22" t="n">
        <v>18</v>
      </c>
      <c r="B55" s="2" t="n">
        <f aca="false">COUNTIFS(Trades!$E$2:$E$1846,$A55)</f>
        <v>25</v>
      </c>
      <c r="C55" s="34" t="n">
        <f aca="false">IFERROR(COUNTIFS(Trades!$E$2:$E$1846,$A55,Trades!$Y$2:$Y$1846,"Win")/B55,0)</f>
        <v>0.72</v>
      </c>
      <c r="D55" s="35" t="n">
        <f aca="false">SUMIFS(Trades!$W$2:$W$1846,Trades!$E$2:$E$1846,$A55)</f>
        <v>-29.2</v>
      </c>
      <c r="E55" s="35" t="n">
        <f aca="false">IFERROR(D55/B55,0)</f>
        <v>-1.168</v>
      </c>
      <c r="F55" s="36" t="n">
        <f aca="false">IFERROR(AVERAGEIFS(Trades!$X$2:$X$1846,Trades!$E$2:$E$1846,$A55),0)</f>
        <v>-0.0469333333333333</v>
      </c>
      <c r="G55" s="2"/>
    </row>
    <row r="56" customFormat="false" ht="15" hidden="false" customHeight="false" outlineLevel="0" collapsed="false">
      <c r="A56" s="22" t="n">
        <v>19</v>
      </c>
      <c r="B56" s="2" t="n">
        <f aca="false">COUNTIFS(Trades!$E$2:$E$1846,$A56)</f>
        <v>14</v>
      </c>
      <c r="C56" s="34" t="n">
        <f aca="false">IFERROR(COUNTIFS(Trades!$E$2:$E$1846,$A56,Trades!$Y$2:$Y$1846,"Win")/B56,0)</f>
        <v>0.857142857142857</v>
      </c>
      <c r="D56" s="35" t="n">
        <f aca="false">SUMIFS(Trades!$W$2:$W$1846,Trades!$E$2:$E$1846,$A56)</f>
        <v>-13.26</v>
      </c>
      <c r="E56" s="35" t="n">
        <f aca="false">IFERROR(D56/B56,0)</f>
        <v>-0.947142857142857</v>
      </c>
      <c r="F56" s="36" t="n">
        <f aca="false">IFERROR(AVERAGEIFS(Trades!$X$2:$X$1846,Trades!$E$2:$E$1846,$A56),0)</f>
        <v>-0.034047619047619</v>
      </c>
      <c r="G56" s="2"/>
    </row>
    <row r="57" customFormat="false" ht="15" hidden="false" customHeight="false" outlineLevel="0" collapsed="false">
      <c r="A57" s="22" t="n">
        <v>20</v>
      </c>
      <c r="B57" s="2" t="n">
        <f aca="false">COUNTIFS(Trades!$E$2:$E$1846,$A57)</f>
        <v>14</v>
      </c>
      <c r="C57" s="34" t="n">
        <f aca="false">IFERROR(COUNTIFS(Trades!$E$2:$E$1846,$A57,Trades!$Y$2:$Y$1846,"Win")/B57,0)</f>
        <v>0.571428571428571</v>
      </c>
      <c r="D57" s="35" t="n">
        <f aca="false">SUMIFS(Trades!$W$2:$W$1846,Trades!$E$2:$E$1846,$A57)</f>
        <v>292.3</v>
      </c>
      <c r="E57" s="35" t="n">
        <f aca="false">IFERROR(D57/B57,0)</f>
        <v>20.8785714285714</v>
      </c>
      <c r="F57" s="36" t="n">
        <f aca="false">IFERROR(AVERAGEIFS(Trades!$X$2:$X$1846,Trades!$E$2:$E$1846,$A57),0)</f>
        <v>0.554761904761905</v>
      </c>
      <c r="G57" s="2"/>
    </row>
    <row r="58" customFormat="false" ht="15" hidden="false" customHeight="false" outlineLevel="0" collapsed="false">
      <c r="A58" s="22" t="n">
        <v>21</v>
      </c>
      <c r="B58" s="2" t="n">
        <f aca="false">COUNTIFS(Trades!$E$2:$E$1846,$A58)</f>
        <v>17</v>
      </c>
      <c r="C58" s="34" t="n">
        <f aca="false">IFERROR(COUNTIFS(Trades!$E$2:$E$1846,$A58,Trades!$Y$2:$Y$1846,"Win")/B58,0)</f>
        <v>0.647058823529412</v>
      </c>
      <c r="D58" s="35" t="n">
        <f aca="false">SUMIFS(Trades!$W$2:$W$1846,Trades!$E$2:$E$1846,$A58)</f>
        <v>68.98</v>
      </c>
      <c r="E58" s="35" t="n">
        <f aca="false">IFERROR(D58/B58,0)</f>
        <v>4.05764705882353</v>
      </c>
      <c r="F58" s="36" t="n">
        <f aca="false">IFERROR(AVERAGEIFS(Trades!$X$2:$X$1846,Trades!$E$2:$E$1846,$A58),0)</f>
        <v>0.164901960784314</v>
      </c>
      <c r="G58" s="2"/>
    </row>
    <row r="59" customFormat="false" ht="15" hidden="false" customHeight="false" outlineLevel="0" collapsed="false">
      <c r="A59" s="22" t="n">
        <v>22</v>
      </c>
      <c r="B59" s="2" t="n">
        <f aca="false">COUNTIFS(Trades!$E$2:$E$1846,$A59)</f>
        <v>0</v>
      </c>
      <c r="C59" s="34" t="n">
        <f aca="false">IFERROR(COUNTIFS(Trades!$E$2:$E$1846,$A59,Trades!$Y$2:$Y$1846,"Win")/B59,0)</f>
        <v>0</v>
      </c>
      <c r="D59" s="35" t="n">
        <f aca="false">SUMIFS(Trades!$W$2:$W$1846,Trades!$E$2:$E$1846,$A59)</f>
        <v>0</v>
      </c>
      <c r="E59" s="35" t="n">
        <f aca="false">IFERROR(D59/B59,0)</f>
        <v>0</v>
      </c>
      <c r="F59" s="36" t="n">
        <f aca="false">IFERROR(AVERAGEIFS(Trades!$X$2:$X$1846,Trades!$E$2:$E$1846,$A59),0)</f>
        <v>0</v>
      </c>
      <c r="G59" s="2"/>
    </row>
    <row r="60" customFormat="false" ht="15" hidden="false" customHeight="false" outlineLevel="0" collapsed="false">
      <c r="A60" s="22" t="n">
        <v>23</v>
      </c>
      <c r="B60" s="2" t="n">
        <f aca="false">COUNTIFS(Trades!$E$2:$E$1846,$A60)</f>
        <v>0</v>
      </c>
      <c r="C60" s="34" t="n">
        <f aca="false">IFERROR(COUNTIFS(Trades!$E$2:$E$1846,$A60,Trades!$Y$2:$Y$1846,"Win")/B60,0)</f>
        <v>0</v>
      </c>
      <c r="D60" s="35" t="n">
        <f aca="false">SUMIFS(Trades!$W$2:$W$1846,Trades!$E$2:$E$1846,$A60)</f>
        <v>0</v>
      </c>
      <c r="E60" s="35" t="n">
        <f aca="false">IFERROR(D60/B60,0)</f>
        <v>0</v>
      </c>
      <c r="F60" s="36" t="n">
        <f aca="false">IFERROR(AVERAGEIFS(Trades!$X$2:$X$1846,Trades!$E$2:$E$1846,$A60),0)</f>
        <v>0</v>
      </c>
      <c r="G60" s="2"/>
    </row>
    <row r="61" customFormat="false" ht="15" hidden="false" customHeight="false" outlineLevel="0" collapsed="false">
      <c r="A61" s="27" t="s">
        <v>183</v>
      </c>
      <c r="B61" s="27" t="n">
        <f aca="false">SUM(B37:B60)</f>
        <v>1845</v>
      </c>
      <c r="C61" s="31"/>
      <c r="D61" s="32" t="n">
        <f aca="false">SUM(D37:D60)</f>
        <v>-187.56</v>
      </c>
      <c r="E61" s="31"/>
      <c r="F61" s="31"/>
      <c r="G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22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7"/>
    <col collapsed="false" customWidth="true" hidden="false" outlineLevel="0" max="27" min="26" style="0" width="11"/>
    <col collapsed="false" customWidth="true" hidden="false" outlineLevel="0" max="28" min="28" style="0" width="10"/>
    <col collapsed="false" customWidth="true" hidden="false" outlineLevel="0" max="29" min="29" style="0" width="9"/>
    <col collapsed="false" customWidth="true" hidden="false" outlineLevel="0" max="30" min="30" style="0" width="70"/>
  </cols>
  <sheetData>
    <row r="1" customFormat="false" ht="45" hidden="false" customHeight="true" outlineLevel="0" collapsed="false">
      <c r="A1" s="21" t="s">
        <v>210</v>
      </c>
      <c r="B1" s="21" t="s">
        <v>108</v>
      </c>
      <c r="C1" s="21" t="s">
        <v>211</v>
      </c>
      <c r="D1" s="21" t="s">
        <v>212</v>
      </c>
      <c r="E1" s="21" t="s">
        <v>213</v>
      </c>
      <c r="F1" s="21" t="s">
        <v>214</v>
      </c>
      <c r="G1" s="21" t="s">
        <v>215</v>
      </c>
      <c r="H1" s="21" t="s">
        <v>216</v>
      </c>
      <c r="I1" s="21" t="s">
        <v>217</v>
      </c>
      <c r="J1" s="21" t="s">
        <v>218</v>
      </c>
      <c r="K1" s="21" t="s">
        <v>15</v>
      </c>
      <c r="L1" s="21" t="s">
        <v>219</v>
      </c>
      <c r="M1" s="21" t="s">
        <v>220</v>
      </c>
      <c r="N1" s="21" t="s">
        <v>13</v>
      </c>
      <c r="O1" s="21" t="s">
        <v>221</v>
      </c>
      <c r="P1" s="21" t="s">
        <v>222</v>
      </c>
      <c r="Q1" s="21" t="s">
        <v>223</v>
      </c>
      <c r="R1" s="21" t="s">
        <v>224</v>
      </c>
      <c r="S1" s="21" t="s">
        <v>225</v>
      </c>
      <c r="T1" s="21" t="s">
        <v>17</v>
      </c>
      <c r="U1" s="21" t="s">
        <v>226</v>
      </c>
      <c r="V1" s="21" t="s">
        <v>227</v>
      </c>
      <c r="W1" s="21" t="s">
        <v>228</v>
      </c>
      <c r="X1" s="21" t="s">
        <v>11</v>
      </c>
      <c r="Y1" s="21" t="s">
        <v>229</v>
      </c>
      <c r="Z1" s="21" t="s">
        <v>230</v>
      </c>
      <c r="AA1" s="21" t="s">
        <v>231</v>
      </c>
      <c r="AB1" s="21" t="s">
        <v>232</v>
      </c>
      <c r="AC1" s="21" t="s">
        <v>233</v>
      </c>
      <c r="AD1" s="21" t="s">
        <v>234</v>
      </c>
    </row>
    <row r="2" customFormat="false" ht="15" hidden="false" customHeight="false" outlineLevel="0" collapsed="false">
      <c r="A2" s="22" t="n">
        <v>1</v>
      </c>
      <c r="B2" s="22" t="s">
        <v>120</v>
      </c>
      <c r="C2" s="37" t="n">
        <v>44652.3791898148</v>
      </c>
      <c r="D2" s="22" t="s">
        <v>206</v>
      </c>
      <c r="E2" s="22" t="n">
        <v>9</v>
      </c>
      <c r="F2" s="22" t="s">
        <v>181</v>
      </c>
      <c r="G2" s="22" t="s">
        <v>235</v>
      </c>
      <c r="H2" s="22" t="n">
        <v>0.08</v>
      </c>
      <c r="I2" s="38" t="n">
        <v>1939.36</v>
      </c>
      <c r="J2" s="38" t="n">
        <v>1939.36</v>
      </c>
      <c r="K2" s="39" t="n">
        <f aca="false">IF(F2="BUY",J2-I2,I2-J2)</f>
        <v>0</v>
      </c>
      <c r="L2" s="38" t="n">
        <v>1933.36</v>
      </c>
      <c r="M2" s="39" t="n">
        <f aca="false">ABS(I2-L2)</f>
        <v>6</v>
      </c>
      <c r="N2" s="24" t="n">
        <f aca="false">M2*H2*Summary!$C$6</f>
        <v>48</v>
      </c>
      <c r="O2" s="37" t="n">
        <v>44652.4032407407</v>
      </c>
      <c r="P2" s="22" t="n">
        <f aca="false">ROUND((O2-C2)*86400,0)</f>
        <v>2078</v>
      </c>
      <c r="Q2" s="22" t="str">
        <f aca="false">IF(P2&lt;10,"a) &lt;10s",IF(P2&lt;60,"b) 10-60s",IF(P2&lt;600,"c) 1-10min","d) &gt;10min")))</f>
        <v>d) &gt;10min</v>
      </c>
      <c r="R2" s="38" t="n">
        <v>1933.36</v>
      </c>
      <c r="S2" s="38" t="n">
        <v>1933.34</v>
      </c>
      <c r="T2" s="22" t="s">
        <v>188</v>
      </c>
      <c r="U2" s="39" t="n">
        <f aca="false">IF(R2="","",IF(F2="BUY",R2-S2,S2-R2))</f>
        <v>0.0199999999999818</v>
      </c>
      <c r="V2" s="39" t="n">
        <f aca="false">IF(F2="BUY",S2-J2,J2-S2)</f>
        <v>-6.01999999999998</v>
      </c>
      <c r="W2" s="6" t="n">
        <v>-48.16</v>
      </c>
      <c r="X2" s="26" t="n">
        <f aca="false">IFERROR(W2/N2,0)</f>
        <v>-1.00333333333333</v>
      </c>
      <c r="Y2" s="22" t="str">
        <f aca="false">IF(W2&gt;0,"Win",IF(W2&lt;0,"Loss","Flat"))</f>
        <v>Loss</v>
      </c>
      <c r="Z2" s="24" t="n">
        <f aca="false">Summary!$C$5+SUM(W$2:W2)</f>
        <v>4951.84</v>
      </c>
      <c r="AA2" s="24" t="n">
        <f aca="false">MAX(Summary!$C$5,Z2)</f>
        <v>5000</v>
      </c>
      <c r="AB2" s="24" t="n">
        <f aca="false">AA2-Z2</f>
        <v>48.1599999999999</v>
      </c>
      <c r="AC2" s="23" t="n">
        <f aca="false">IFERROR(AB2/AA2,0)</f>
        <v>0.00963199999999997</v>
      </c>
      <c r="AD2" s="22" t="s">
        <v>236</v>
      </c>
    </row>
    <row r="3" customFormat="false" ht="15" hidden="false" customHeight="false" outlineLevel="0" collapsed="false">
      <c r="A3" s="22" t="n">
        <v>2</v>
      </c>
      <c r="B3" s="22" t="s">
        <v>120</v>
      </c>
      <c r="C3" s="37" t="n">
        <v>44652.731712963</v>
      </c>
      <c r="D3" s="22" t="s">
        <v>206</v>
      </c>
      <c r="E3" s="22" t="n">
        <v>17</v>
      </c>
      <c r="F3" s="22" t="s">
        <v>182</v>
      </c>
      <c r="G3" s="22" t="s">
        <v>237</v>
      </c>
      <c r="H3" s="22" t="n">
        <v>0.08</v>
      </c>
      <c r="I3" s="38" t="n">
        <v>1918.99</v>
      </c>
      <c r="J3" s="38" t="n">
        <v>1918.89</v>
      </c>
      <c r="K3" s="39" t="n">
        <f aca="false">IF(F3="BUY",J3-I3,I3-J3)</f>
        <v>0.0999999999999091</v>
      </c>
      <c r="L3" s="38" t="n">
        <v>1924.99</v>
      </c>
      <c r="M3" s="39" t="n">
        <f aca="false">ABS(I3-L3)</f>
        <v>6</v>
      </c>
      <c r="N3" s="24" t="n">
        <f aca="false">M3*H3*Summary!$C$6</f>
        <v>48</v>
      </c>
      <c r="O3" s="37" t="n">
        <v>44652.7387847222</v>
      </c>
      <c r="P3" s="22" t="n">
        <f aca="false">ROUND((O3-C3)*86400,0)</f>
        <v>611</v>
      </c>
      <c r="Q3" s="22" t="str">
        <f aca="false">IF(P3&lt;10,"a) &lt;10s",IF(P3&lt;60,"b) 10-60s",IF(P3&lt;600,"c) 1-10min","d) &gt;10min")))</f>
        <v>d) &gt;10min</v>
      </c>
      <c r="R3" s="38" t="n">
        <v>1924.99</v>
      </c>
      <c r="S3" s="38" t="n">
        <v>1925.09</v>
      </c>
      <c r="T3" s="22" t="s">
        <v>188</v>
      </c>
      <c r="U3" s="39" t="n">
        <f aca="false">IF(R3="","",IF(F3="BUY",R3-S3,S3-R3))</f>
        <v>0.0999999999999091</v>
      </c>
      <c r="V3" s="39" t="n">
        <f aca="false">IF(F3="BUY",S3-J3,J3-S3)</f>
        <v>-6.19999999999982</v>
      </c>
      <c r="W3" s="6" t="n">
        <v>-49.6</v>
      </c>
      <c r="X3" s="26" t="n">
        <f aca="false">IFERROR(W3/N3,0)</f>
        <v>-1.03333333333333</v>
      </c>
      <c r="Y3" s="22" t="str">
        <f aca="false">IF(W3&gt;0,"Win",IF(W3&lt;0,"Loss","Flat"))</f>
        <v>Loss</v>
      </c>
      <c r="Z3" s="24" t="n">
        <f aca="false">Summary!$C$5+SUM(W$2:W3)</f>
        <v>4902.24</v>
      </c>
      <c r="AA3" s="24" t="n">
        <f aca="false">MAX(AA2,Z3)</f>
        <v>5000</v>
      </c>
      <c r="AB3" s="24" t="n">
        <f aca="false">AA3-Z3</f>
        <v>97.7600000000002</v>
      </c>
      <c r="AC3" s="23" t="n">
        <f aca="false">IFERROR(AB3/AA3,0)</f>
        <v>0.019552</v>
      </c>
      <c r="AD3" s="22" t="s">
        <v>238</v>
      </c>
    </row>
    <row r="4" customFormat="false" ht="15" hidden="false" customHeight="false" outlineLevel="0" collapsed="false">
      <c r="A4" s="22" t="n">
        <v>3</v>
      </c>
      <c r="B4" s="22" t="s">
        <v>120</v>
      </c>
      <c r="C4" s="37" t="n">
        <v>44655.3013888889</v>
      </c>
      <c r="D4" s="22" t="s">
        <v>202</v>
      </c>
      <c r="E4" s="22" t="n">
        <v>7</v>
      </c>
      <c r="F4" s="22" t="s">
        <v>182</v>
      </c>
      <c r="G4" s="22" t="s">
        <v>237</v>
      </c>
      <c r="H4" s="22" t="n">
        <v>0.08</v>
      </c>
      <c r="I4" s="38" t="n">
        <v>1917.91</v>
      </c>
      <c r="J4" s="38" t="n">
        <v>1917.88</v>
      </c>
      <c r="K4" s="39" t="n">
        <f aca="false">IF(F4="BUY",J4-I4,I4-J4)</f>
        <v>0.0299999999999727</v>
      </c>
      <c r="L4" s="38" t="n">
        <v>1923.91</v>
      </c>
      <c r="M4" s="39" t="n">
        <f aca="false">ABS(I4-L4)</f>
        <v>6</v>
      </c>
      <c r="N4" s="24" t="n">
        <f aca="false">M4*H4*Summary!$C$6</f>
        <v>48</v>
      </c>
      <c r="O4" s="37" t="n">
        <v>44655.3118055556</v>
      </c>
      <c r="P4" s="22" t="n">
        <f aca="false">ROUND((O4-C4)*86400,0)</f>
        <v>900</v>
      </c>
      <c r="Q4" s="22" t="str">
        <f aca="false">IF(P4&lt;10,"a) &lt;10s",IF(P4&lt;60,"b) 10-60s",IF(P4&lt;600,"c) 1-10min","d) &gt;10min")))</f>
        <v>d) &gt;10min</v>
      </c>
      <c r="R4" s="38" t="n">
        <v>1917.38</v>
      </c>
      <c r="S4" s="38" t="n">
        <v>1917.4</v>
      </c>
      <c r="T4" s="22" t="s">
        <v>189</v>
      </c>
      <c r="U4" s="39" t="n">
        <f aca="false">IF(R4="","",IF(F4="BUY",R4-S4,S4-R4))</f>
        <v>0.0199999999999818</v>
      </c>
      <c r="V4" s="39" t="n">
        <f aca="false">IF(F4="BUY",S4-J4,J4-S4)</f>
        <v>0.480000000000018</v>
      </c>
      <c r="W4" s="6" t="n">
        <v>3.84</v>
      </c>
      <c r="X4" s="26" t="n">
        <f aca="false">IFERROR(W4/N4,0)</f>
        <v>0.08</v>
      </c>
      <c r="Y4" s="22" t="str">
        <f aca="false">IF(W4&gt;0,"Win",IF(W4&lt;0,"Loss","Flat"))</f>
        <v>Win</v>
      </c>
      <c r="Z4" s="24" t="n">
        <f aca="false">Summary!$C$5+SUM(W$2:W4)</f>
        <v>4906.08</v>
      </c>
      <c r="AA4" s="24" t="n">
        <f aca="false">MAX(AA3,Z4)</f>
        <v>5000</v>
      </c>
      <c r="AB4" s="24" t="n">
        <f aca="false">AA4-Z4</f>
        <v>93.9200000000001</v>
      </c>
      <c r="AC4" s="23" t="n">
        <f aca="false">IFERROR(AB4/AA4,0)</f>
        <v>0.018784</v>
      </c>
      <c r="AD4" s="22" t="s">
        <v>239</v>
      </c>
    </row>
    <row r="5" customFormat="false" ht="15" hidden="false" customHeight="false" outlineLevel="0" collapsed="false">
      <c r="A5" s="22" t="n">
        <v>4</v>
      </c>
      <c r="B5" s="22" t="s">
        <v>120</v>
      </c>
      <c r="C5" s="37" t="n">
        <v>44655.39</v>
      </c>
      <c r="D5" s="22" t="s">
        <v>202</v>
      </c>
      <c r="E5" s="22" t="n">
        <v>9</v>
      </c>
      <c r="F5" s="22" t="s">
        <v>181</v>
      </c>
      <c r="G5" s="22" t="s">
        <v>235</v>
      </c>
      <c r="H5" s="22" t="n">
        <v>0.08</v>
      </c>
      <c r="I5" s="38" t="n">
        <v>1921.11</v>
      </c>
      <c r="J5" s="38" t="n">
        <v>1921.11</v>
      </c>
      <c r="K5" s="39" t="n">
        <f aca="false">IF(F5="BUY",J5-I5,I5-J5)</f>
        <v>0</v>
      </c>
      <c r="L5" s="38" t="n">
        <v>1915.11</v>
      </c>
      <c r="M5" s="39" t="n">
        <f aca="false">ABS(I5-L5)</f>
        <v>6</v>
      </c>
      <c r="N5" s="24" t="n">
        <f aca="false">M5*H5*Summary!$C$6</f>
        <v>48</v>
      </c>
      <c r="O5" s="37" t="n">
        <v>44655.9270833333</v>
      </c>
      <c r="P5" s="22" t="n">
        <f aca="false">ROUND((O5-C5)*86400,0)</f>
        <v>46404</v>
      </c>
      <c r="Q5" s="22" t="str">
        <f aca="false">IF(P5&lt;10,"a) &lt;10s",IF(P5&lt;60,"b) 10-60s",IF(P5&lt;600,"c) 1-10min","d) &gt;10min")))</f>
        <v>d) &gt;10min</v>
      </c>
      <c r="R5" s="38"/>
      <c r="S5" s="38" t="n">
        <v>1931.71</v>
      </c>
      <c r="T5" s="22" t="s">
        <v>191</v>
      </c>
      <c r="U5" s="39" t="str">
        <f aca="false">IF(R5="","",IF(F5="BUY",R5-S5,S5-R5))</f>
        <v/>
      </c>
      <c r="V5" s="39" t="n">
        <f aca="false">IF(F5="BUY",S5-J5,J5-S5)</f>
        <v>10.6000000000001</v>
      </c>
      <c r="W5" s="6" t="n">
        <v>84.8</v>
      </c>
      <c r="X5" s="26" t="n">
        <f aca="false">IFERROR(W5/N5,0)</f>
        <v>1.76666666666667</v>
      </c>
      <c r="Y5" s="22" t="str">
        <f aca="false">IF(W5&gt;0,"Win",IF(W5&lt;0,"Loss","Flat"))</f>
        <v>Win</v>
      </c>
      <c r="Z5" s="24" t="n">
        <f aca="false">Summary!$C$5+SUM(W$2:W5)</f>
        <v>4990.88</v>
      </c>
      <c r="AA5" s="24" t="n">
        <f aca="false">MAX(AA4,Z5)</f>
        <v>5000</v>
      </c>
      <c r="AB5" s="24" t="n">
        <f aca="false">AA5-Z5</f>
        <v>9.11999999999989</v>
      </c>
      <c r="AC5" s="23" t="n">
        <f aca="false">IFERROR(AB5/AA5,0)</f>
        <v>0.00182399999999998</v>
      </c>
      <c r="AD5" s="22" t="s">
        <v>240</v>
      </c>
    </row>
    <row r="6" customFormat="false" ht="15" hidden="false" customHeight="false" outlineLevel="0" collapsed="false">
      <c r="A6" s="22" t="n">
        <v>5</v>
      </c>
      <c r="B6" s="22" t="s">
        <v>120</v>
      </c>
      <c r="C6" s="37" t="n">
        <v>44656.4567476852</v>
      </c>
      <c r="D6" s="22" t="s">
        <v>203</v>
      </c>
      <c r="E6" s="22" t="n">
        <v>10</v>
      </c>
      <c r="F6" s="22" t="s">
        <v>182</v>
      </c>
      <c r="G6" s="22" t="s">
        <v>241</v>
      </c>
      <c r="H6" s="22" t="n">
        <v>0.08</v>
      </c>
      <c r="I6" s="38" t="n">
        <v>1926.41</v>
      </c>
      <c r="J6" s="38" t="n">
        <v>1926.41</v>
      </c>
      <c r="K6" s="39" t="n">
        <f aca="false">IF(F6="BUY",J6-I6,I6-J6)</f>
        <v>0</v>
      </c>
      <c r="L6" s="38" t="n">
        <v>1932.41</v>
      </c>
      <c r="M6" s="39" t="n">
        <f aca="false">ABS(I6-L6)</f>
        <v>6</v>
      </c>
      <c r="N6" s="24" t="n">
        <f aca="false">M6*H6*Summary!$C$6</f>
        <v>48</v>
      </c>
      <c r="O6" s="37" t="n">
        <v>44656.501087963</v>
      </c>
      <c r="P6" s="22" t="n">
        <f aca="false">ROUND((O6-C6)*86400,0)</f>
        <v>3831</v>
      </c>
      <c r="Q6" s="22" t="str">
        <f aca="false">IF(P6&lt;10,"a) &lt;10s",IF(P6&lt;60,"b) 10-60s",IF(P6&lt;600,"c) 1-10min","d) &gt;10min")))</f>
        <v>d) &gt;10min</v>
      </c>
      <c r="R6" s="38" t="n">
        <v>1932.41</v>
      </c>
      <c r="S6" s="38" t="n">
        <v>1932.41</v>
      </c>
      <c r="T6" s="22" t="s">
        <v>188</v>
      </c>
      <c r="U6" s="39" t="n">
        <f aca="false">IF(R6="","",IF(F6="BUY",R6-S6,S6-R6))</f>
        <v>0</v>
      </c>
      <c r="V6" s="39" t="n">
        <f aca="false">IF(F6="BUY",S6-J6,J6-S6)</f>
        <v>-6</v>
      </c>
      <c r="W6" s="6" t="n">
        <v>-48</v>
      </c>
      <c r="X6" s="26" t="n">
        <f aca="false">IFERROR(W6/N6,0)</f>
        <v>-1</v>
      </c>
      <c r="Y6" s="22" t="str">
        <f aca="false">IF(W6&gt;0,"Win",IF(W6&lt;0,"Loss","Flat"))</f>
        <v>Loss</v>
      </c>
      <c r="Z6" s="24" t="n">
        <f aca="false">Summary!$C$5+SUM(W$2:W6)</f>
        <v>4942.88</v>
      </c>
      <c r="AA6" s="24" t="n">
        <f aca="false">MAX(AA5,Z6)</f>
        <v>5000</v>
      </c>
      <c r="AB6" s="24" t="n">
        <f aca="false">AA6-Z6</f>
        <v>57.1199999999999</v>
      </c>
      <c r="AC6" s="23" t="n">
        <f aca="false">IFERROR(AB6/AA6,0)</f>
        <v>0.011424</v>
      </c>
      <c r="AD6" s="22" t="s">
        <v>242</v>
      </c>
    </row>
    <row r="7" customFormat="false" ht="15" hidden="false" customHeight="false" outlineLevel="0" collapsed="false">
      <c r="A7" s="22" t="n">
        <v>6</v>
      </c>
      <c r="B7" s="22" t="s">
        <v>120</v>
      </c>
      <c r="C7" s="37" t="n">
        <v>44656.6708912037</v>
      </c>
      <c r="D7" s="22" t="s">
        <v>203</v>
      </c>
      <c r="E7" s="22" t="n">
        <v>16</v>
      </c>
      <c r="F7" s="22" t="s">
        <v>181</v>
      </c>
      <c r="G7" s="22" t="s">
        <v>243</v>
      </c>
      <c r="H7" s="22" t="n">
        <v>0.08</v>
      </c>
      <c r="I7" s="38" t="n">
        <v>1936.88</v>
      </c>
      <c r="J7" s="38" t="n">
        <v>1936.88</v>
      </c>
      <c r="K7" s="39" t="n">
        <f aca="false">IF(F7="BUY",J7-I7,I7-J7)</f>
        <v>0</v>
      </c>
      <c r="L7" s="38" t="n">
        <v>1930.88</v>
      </c>
      <c r="M7" s="39" t="n">
        <f aca="false">ABS(I7-L7)</f>
        <v>6</v>
      </c>
      <c r="N7" s="24" t="n">
        <f aca="false">M7*H7*Summary!$C$6</f>
        <v>48</v>
      </c>
      <c r="O7" s="37" t="n">
        <v>44656.6871296296</v>
      </c>
      <c r="P7" s="22" t="n">
        <f aca="false">ROUND((O7-C7)*86400,0)</f>
        <v>1403</v>
      </c>
      <c r="Q7" s="22" t="str">
        <f aca="false">IF(P7&lt;10,"a) &lt;10s",IF(P7&lt;60,"b) 10-60s",IF(P7&lt;600,"c) 1-10min","d) &gt;10min")))</f>
        <v>d) &gt;10min</v>
      </c>
      <c r="R7" s="38" t="n">
        <v>1937.38</v>
      </c>
      <c r="S7" s="38" t="n">
        <v>1937.36</v>
      </c>
      <c r="T7" s="22" t="s">
        <v>189</v>
      </c>
      <c r="U7" s="39" t="n">
        <f aca="false">IF(R7="","",IF(F7="BUY",R7-S7,S7-R7))</f>
        <v>0.0200000000002092</v>
      </c>
      <c r="V7" s="39" t="n">
        <f aca="false">IF(F7="BUY",S7-J7,J7-S7)</f>
        <v>0.479999999999791</v>
      </c>
      <c r="W7" s="6" t="n">
        <v>3.84</v>
      </c>
      <c r="X7" s="26" t="n">
        <f aca="false">IFERROR(W7/N7,0)</f>
        <v>0.08</v>
      </c>
      <c r="Y7" s="22" t="str">
        <f aca="false">IF(W7&gt;0,"Win",IF(W7&lt;0,"Loss","Flat"))</f>
        <v>Win</v>
      </c>
      <c r="Z7" s="24" t="n">
        <f aca="false">Summary!$C$5+SUM(W$2:W7)</f>
        <v>4946.72</v>
      </c>
      <c r="AA7" s="24" t="n">
        <f aca="false">MAX(AA6,Z7)</f>
        <v>5000</v>
      </c>
      <c r="AB7" s="24" t="n">
        <f aca="false">AA7-Z7</f>
        <v>53.2799999999997</v>
      </c>
      <c r="AC7" s="23" t="n">
        <f aca="false">IFERROR(AB7/AA7,0)</f>
        <v>0.0106559999999999</v>
      </c>
      <c r="AD7" s="22" t="s">
        <v>244</v>
      </c>
    </row>
    <row r="8" customFormat="false" ht="15" hidden="false" customHeight="false" outlineLevel="0" collapsed="false">
      <c r="A8" s="22" t="n">
        <v>7</v>
      </c>
      <c r="B8" s="22" t="s">
        <v>120</v>
      </c>
      <c r="C8" s="37" t="n">
        <v>44657.1640625</v>
      </c>
      <c r="D8" s="22" t="s">
        <v>204</v>
      </c>
      <c r="E8" s="22" t="n">
        <v>3</v>
      </c>
      <c r="F8" s="22" t="s">
        <v>182</v>
      </c>
      <c r="G8" s="22" t="s">
        <v>237</v>
      </c>
      <c r="H8" s="22" t="n">
        <v>0.08</v>
      </c>
      <c r="I8" s="38" t="n">
        <v>1917.84</v>
      </c>
      <c r="J8" s="38" t="n">
        <v>1917.58</v>
      </c>
      <c r="K8" s="39" t="n">
        <f aca="false">IF(F8="BUY",J8-I8,I8-J8)</f>
        <v>0.259999999999991</v>
      </c>
      <c r="L8" s="38" t="n">
        <v>1923.84</v>
      </c>
      <c r="M8" s="39" t="n">
        <f aca="false">ABS(I8-L8)</f>
        <v>6</v>
      </c>
      <c r="N8" s="24" t="n">
        <f aca="false">M8*H8*Summary!$C$6</f>
        <v>48</v>
      </c>
      <c r="O8" s="37" t="n">
        <v>44657.1845023148</v>
      </c>
      <c r="P8" s="22" t="n">
        <f aca="false">ROUND((O8-C8)*86400,0)</f>
        <v>1766</v>
      </c>
      <c r="Q8" s="22" t="str">
        <f aca="false">IF(P8&lt;10,"a) &lt;10s",IF(P8&lt;60,"b) 10-60s",IF(P8&lt;600,"c) 1-10min","d) &gt;10min")))</f>
        <v>d) &gt;10min</v>
      </c>
      <c r="R8" s="38" t="n">
        <v>1923.84</v>
      </c>
      <c r="S8" s="38" t="n">
        <v>1923.85</v>
      </c>
      <c r="T8" s="22" t="s">
        <v>188</v>
      </c>
      <c r="U8" s="39" t="n">
        <f aca="false">IF(R8="","",IF(F8="BUY",R8-S8,S8-R8))</f>
        <v>0.00999999999999091</v>
      </c>
      <c r="V8" s="39" t="n">
        <f aca="false">IF(F8="BUY",S8-J8,J8-S8)</f>
        <v>-6.26999999999998</v>
      </c>
      <c r="W8" s="6" t="n">
        <v>-50.16</v>
      </c>
      <c r="X8" s="26" t="n">
        <f aca="false">IFERROR(W8/N8,0)</f>
        <v>-1.045</v>
      </c>
      <c r="Y8" s="22" t="str">
        <f aca="false">IF(W8&gt;0,"Win",IF(W8&lt;0,"Loss","Flat"))</f>
        <v>Loss</v>
      </c>
      <c r="Z8" s="24" t="n">
        <f aca="false">Summary!$C$5+SUM(W$2:W8)</f>
        <v>4896.56</v>
      </c>
      <c r="AA8" s="24" t="n">
        <f aca="false">MAX(AA7,Z8)</f>
        <v>5000</v>
      </c>
      <c r="AB8" s="24" t="n">
        <f aca="false">AA8-Z8</f>
        <v>103.44</v>
      </c>
      <c r="AC8" s="23" t="n">
        <f aca="false">IFERROR(AB8/AA8,0)</f>
        <v>0.0206879999999999</v>
      </c>
      <c r="AD8" s="22" t="s">
        <v>245</v>
      </c>
    </row>
    <row r="9" customFormat="false" ht="15" hidden="false" customHeight="false" outlineLevel="0" collapsed="false">
      <c r="A9" s="22" t="n">
        <v>8</v>
      </c>
      <c r="B9" s="22" t="s">
        <v>120</v>
      </c>
      <c r="C9" s="37" t="n">
        <v>44657.3760532407</v>
      </c>
      <c r="D9" s="22" t="s">
        <v>204</v>
      </c>
      <c r="E9" s="22" t="n">
        <v>9</v>
      </c>
      <c r="F9" s="22" t="s">
        <v>182</v>
      </c>
      <c r="G9" s="22" t="s">
        <v>241</v>
      </c>
      <c r="H9" s="22" t="n">
        <v>0.08</v>
      </c>
      <c r="I9" s="38" t="n">
        <v>1920.41</v>
      </c>
      <c r="J9" s="38" t="n">
        <v>1920.41</v>
      </c>
      <c r="K9" s="39" t="n">
        <f aca="false">IF(F9="BUY",J9-I9,I9-J9)</f>
        <v>0</v>
      </c>
      <c r="L9" s="38" t="n">
        <v>1926.41</v>
      </c>
      <c r="M9" s="39" t="n">
        <f aca="false">ABS(I9-L9)</f>
        <v>6</v>
      </c>
      <c r="N9" s="24" t="n">
        <f aca="false">M9*H9*Summary!$C$6</f>
        <v>48</v>
      </c>
      <c r="O9" s="37" t="n">
        <v>44657.4166666667</v>
      </c>
      <c r="P9" s="22" t="n">
        <f aca="false">ROUND((O9-C9)*86400,0)</f>
        <v>3509</v>
      </c>
      <c r="Q9" s="22" t="str">
        <f aca="false">IF(P9&lt;10,"a) &lt;10s",IF(P9&lt;60,"b) 10-60s",IF(P9&lt;600,"c) 1-10min","d) &gt;10min")))</f>
        <v>d) &gt;10min</v>
      </c>
      <c r="R9" s="38" t="n">
        <v>1919.91</v>
      </c>
      <c r="S9" s="38" t="n">
        <v>1919.95</v>
      </c>
      <c r="T9" s="22" t="s">
        <v>189</v>
      </c>
      <c r="U9" s="39" t="n">
        <f aca="false">IF(R9="","",IF(F9="BUY",R9-S9,S9-R9))</f>
        <v>0.0399999999999636</v>
      </c>
      <c r="V9" s="39" t="n">
        <f aca="false">IF(F9="BUY",S9-J9,J9-S9)</f>
        <v>0.460000000000036</v>
      </c>
      <c r="W9" s="6" t="n">
        <v>3.68</v>
      </c>
      <c r="X9" s="26" t="n">
        <f aca="false">IFERROR(W9/N9,0)</f>
        <v>0.0766666666666667</v>
      </c>
      <c r="Y9" s="22" t="str">
        <f aca="false">IF(W9&gt;0,"Win",IF(W9&lt;0,"Loss","Flat"))</f>
        <v>Win</v>
      </c>
      <c r="Z9" s="24" t="n">
        <f aca="false">Summary!$C$5+SUM(W$2:W9)</f>
        <v>4900.24</v>
      </c>
      <c r="AA9" s="24" t="n">
        <f aca="false">MAX(AA8,Z9)</f>
        <v>5000</v>
      </c>
      <c r="AB9" s="24" t="n">
        <f aca="false">AA9-Z9</f>
        <v>99.7600000000002</v>
      </c>
      <c r="AC9" s="23" t="n">
        <f aca="false">IFERROR(AB9/AA9,0)</f>
        <v>0.019952</v>
      </c>
      <c r="AD9" s="22" t="s">
        <v>246</v>
      </c>
    </row>
    <row r="10" customFormat="false" ht="15" hidden="false" customHeight="false" outlineLevel="0" collapsed="false">
      <c r="A10" s="22" t="n">
        <v>9</v>
      </c>
      <c r="B10" s="22" t="s">
        <v>120</v>
      </c>
      <c r="C10" s="37" t="n">
        <v>44658.3761111111</v>
      </c>
      <c r="D10" s="22" t="s">
        <v>205</v>
      </c>
      <c r="E10" s="22" t="n">
        <v>9</v>
      </c>
      <c r="F10" s="22" t="s">
        <v>181</v>
      </c>
      <c r="G10" s="22" t="s">
        <v>235</v>
      </c>
      <c r="H10" s="22" t="n">
        <v>0.08</v>
      </c>
      <c r="I10" s="38" t="n">
        <v>1923.82</v>
      </c>
      <c r="J10" s="38" t="n">
        <v>1923.82</v>
      </c>
      <c r="K10" s="39" t="n">
        <f aca="false">IF(F10="BUY",J10-I10,I10-J10)</f>
        <v>0</v>
      </c>
      <c r="L10" s="38" t="n">
        <v>1917.82</v>
      </c>
      <c r="M10" s="39" t="n">
        <f aca="false">ABS(I10-L10)</f>
        <v>6</v>
      </c>
      <c r="N10" s="24" t="n">
        <f aca="false">M10*H10*Summary!$C$6</f>
        <v>48</v>
      </c>
      <c r="O10" s="37" t="n">
        <v>44658.4454282407</v>
      </c>
      <c r="P10" s="22" t="n">
        <f aca="false">ROUND((O10-C10)*86400,0)</f>
        <v>5989</v>
      </c>
      <c r="Q10" s="22" t="str">
        <f aca="false">IF(P10&lt;10,"a) &lt;10s",IF(P10&lt;60,"b) 10-60s",IF(P10&lt;600,"c) 1-10min","d) &gt;10min")))</f>
        <v>d) &gt;10min</v>
      </c>
      <c r="R10" s="38" t="n">
        <v>1924.32</v>
      </c>
      <c r="S10" s="38" t="n">
        <v>1924.22</v>
      </c>
      <c r="T10" s="22" t="s">
        <v>189</v>
      </c>
      <c r="U10" s="39" t="n">
        <f aca="false">IF(R10="","",IF(F10="BUY",R10-S10,S10-R10))</f>
        <v>0.0999999999999091</v>
      </c>
      <c r="V10" s="39" t="n">
        <f aca="false">IF(F10="BUY",S10-J10,J10-S10)</f>
        <v>0.400000000000091</v>
      </c>
      <c r="W10" s="6" t="n">
        <v>3.2</v>
      </c>
      <c r="X10" s="26" t="n">
        <f aca="false">IFERROR(W10/N10,0)</f>
        <v>0.0666666666666667</v>
      </c>
      <c r="Y10" s="22" t="str">
        <f aca="false">IF(W10&gt;0,"Win",IF(W10&lt;0,"Loss","Flat"))</f>
        <v>Win</v>
      </c>
      <c r="Z10" s="24" t="n">
        <f aca="false">Summary!$C$5+SUM(W$2:W10)</f>
        <v>4903.44</v>
      </c>
      <c r="AA10" s="24" t="n">
        <f aca="false">MAX(AA9,Z10)</f>
        <v>5000</v>
      </c>
      <c r="AB10" s="24" t="n">
        <f aca="false">AA10-Z10</f>
        <v>96.5600000000004</v>
      </c>
      <c r="AC10" s="23" t="n">
        <f aca="false">IFERROR(AB10/AA10,0)</f>
        <v>0.0193120000000001</v>
      </c>
      <c r="AD10" s="22" t="s">
        <v>247</v>
      </c>
    </row>
    <row r="11" customFormat="false" ht="15" hidden="false" customHeight="false" outlineLevel="0" collapsed="false">
      <c r="A11" s="22" t="n">
        <v>10</v>
      </c>
      <c r="B11" s="22" t="s">
        <v>120</v>
      </c>
      <c r="C11" s="37" t="n">
        <v>44658.6309259259</v>
      </c>
      <c r="D11" s="22" t="s">
        <v>205</v>
      </c>
      <c r="E11" s="22" t="n">
        <v>15</v>
      </c>
      <c r="F11" s="22" t="s">
        <v>181</v>
      </c>
      <c r="G11" s="22" t="s">
        <v>243</v>
      </c>
      <c r="H11" s="22" t="n">
        <v>0.08</v>
      </c>
      <c r="I11" s="38" t="n">
        <v>1933.35</v>
      </c>
      <c r="J11" s="38" t="n">
        <v>1933.91</v>
      </c>
      <c r="K11" s="39" t="n">
        <f aca="false">IF(F11="BUY",J11-I11,I11-J11)</f>
        <v>0.560000000000173</v>
      </c>
      <c r="L11" s="38" t="n">
        <v>1927.35</v>
      </c>
      <c r="M11" s="39" t="n">
        <f aca="false">ABS(I11-L11)</f>
        <v>6</v>
      </c>
      <c r="N11" s="24" t="n">
        <f aca="false">M11*H11*Summary!$C$6</f>
        <v>48</v>
      </c>
      <c r="O11" s="37" t="n">
        <v>44658.6462615741</v>
      </c>
      <c r="P11" s="22" t="n">
        <f aca="false">ROUND((O11-C11)*86400,0)</f>
        <v>1325</v>
      </c>
      <c r="Q11" s="22" t="str">
        <f aca="false">IF(P11&lt;10,"a) &lt;10s",IF(P11&lt;60,"b) 10-60s",IF(P11&lt;600,"c) 1-10min","d) &gt;10min")))</f>
        <v>d) &gt;10min</v>
      </c>
      <c r="R11" s="38" t="n">
        <v>1927.35</v>
      </c>
      <c r="S11" s="38" t="n">
        <v>1927.15</v>
      </c>
      <c r="T11" s="22" t="s">
        <v>188</v>
      </c>
      <c r="U11" s="39" t="n">
        <f aca="false">IF(R11="","",IF(F11="BUY",R11-S11,S11-R11))</f>
        <v>0.199999999999818</v>
      </c>
      <c r="V11" s="39" t="n">
        <f aca="false">IF(F11="BUY",S11-J11,J11-S11)</f>
        <v>-6.75999999999999</v>
      </c>
      <c r="W11" s="6" t="n">
        <v>-54.08</v>
      </c>
      <c r="X11" s="26" t="n">
        <f aca="false">IFERROR(W11/N11,0)</f>
        <v>-1.12666666666667</v>
      </c>
      <c r="Y11" s="22" t="str">
        <f aca="false">IF(W11&gt;0,"Win",IF(W11&lt;0,"Loss","Flat"))</f>
        <v>Loss</v>
      </c>
      <c r="Z11" s="24" t="n">
        <f aca="false">Summary!$C$5+SUM(W$2:W11)</f>
        <v>4849.36</v>
      </c>
      <c r="AA11" s="24" t="n">
        <f aca="false">MAX(AA10,Z11)</f>
        <v>5000</v>
      </c>
      <c r="AB11" s="24" t="n">
        <f aca="false">AA11-Z11</f>
        <v>150.64</v>
      </c>
      <c r="AC11" s="23" t="n">
        <f aca="false">IFERROR(AB11/AA11,0)</f>
        <v>0.0301280000000001</v>
      </c>
      <c r="AD11" s="22" t="s">
        <v>248</v>
      </c>
    </row>
    <row r="12" customFormat="false" ht="15" hidden="false" customHeight="false" outlineLevel="0" collapsed="false">
      <c r="A12" s="22" t="n">
        <v>11</v>
      </c>
      <c r="B12" s="22" t="s">
        <v>120</v>
      </c>
      <c r="C12" s="37" t="n">
        <v>44659.3770833333</v>
      </c>
      <c r="D12" s="22" t="s">
        <v>206</v>
      </c>
      <c r="E12" s="22" t="n">
        <v>9</v>
      </c>
      <c r="F12" s="22" t="s">
        <v>181</v>
      </c>
      <c r="G12" s="22" t="s">
        <v>235</v>
      </c>
      <c r="H12" s="22" t="n">
        <v>0.08</v>
      </c>
      <c r="I12" s="38" t="n">
        <v>1932.27</v>
      </c>
      <c r="J12" s="38" t="n">
        <v>1932.28</v>
      </c>
      <c r="K12" s="39" t="n">
        <f aca="false">IF(F12="BUY",J12-I12,I12-J12)</f>
        <v>0.00999999999999091</v>
      </c>
      <c r="L12" s="38" t="n">
        <v>1926.27</v>
      </c>
      <c r="M12" s="39" t="n">
        <f aca="false">ABS(I12-L12)</f>
        <v>6</v>
      </c>
      <c r="N12" s="24" t="n">
        <f aca="false">M12*H12*Summary!$C$6</f>
        <v>48</v>
      </c>
      <c r="O12" s="37" t="n">
        <v>44659.5861458333</v>
      </c>
      <c r="P12" s="22" t="n">
        <f aca="false">ROUND((O12-C12)*86400,0)</f>
        <v>18063</v>
      </c>
      <c r="Q12" s="22" t="str">
        <f aca="false">IF(P12&lt;10,"a) &lt;10s",IF(P12&lt;60,"b) 10-60s",IF(P12&lt;600,"c) 1-10min","d) &gt;10min")))</f>
        <v>d) &gt;10min</v>
      </c>
      <c r="R12" s="38" t="n">
        <v>1932.78</v>
      </c>
      <c r="S12" s="38" t="n">
        <v>1932.77</v>
      </c>
      <c r="T12" s="22" t="s">
        <v>189</v>
      </c>
      <c r="U12" s="39" t="n">
        <f aca="false">IF(R12="","",IF(F12="BUY",R12-S12,S12-R12))</f>
        <v>0.00999999999999091</v>
      </c>
      <c r="V12" s="39" t="n">
        <f aca="false">IF(F12="BUY",S12-J12,J12-S12)</f>
        <v>0.490000000000009</v>
      </c>
      <c r="W12" s="6" t="n">
        <v>3.92</v>
      </c>
      <c r="X12" s="26" t="n">
        <f aca="false">IFERROR(W12/N12,0)</f>
        <v>0.0816666666666667</v>
      </c>
      <c r="Y12" s="22" t="str">
        <f aca="false">IF(W12&gt;0,"Win",IF(W12&lt;0,"Loss","Flat"))</f>
        <v>Win</v>
      </c>
      <c r="Z12" s="24" t="n">
        <f aca="false">Summary!$C$5+SUM(W$2:W12)</f>
        <v>4853.28</v>
      </c>
      <c r="AA12" s="24" t="n">
        <f aca="false">MAX(AA11,Z12)</f>
        <v>5000</v>
      </c>
      <c r="AB12" s="24" t="n">
        <f aca="false">AA12-Z12</f>
        <v>146.72</v>
      </c>
      <c r="AC12" s="23" t="n">
        <f aca="false">IFERROR(AB12/AA12,0)</f>
        <v>0.0293440000000001</v>
      </c>
      <c r="AD12" s="22" t="s">
        <v>249</v>
      </c>
    </row>
    <row r="13" customFormat="false" ht="15" hidden="false" customHeight="false" outlineLevel="0" collapsed="false">
      <c r="A13" s="22" t="n">
        <v>12</v>
      </c>
      <c r="B13" s="22" t="s">
        <v>120</v>
      </c>
      <c r="C13" s="37" t="n">
        <v>44659.6347685185</v>
      </c>
      <c r="D13" s="22" t="s">
        <v>206</v>
      </c>
      <c r="E13" s="22" t="n">
        <v>15</v>
      </c>
      <c r="F13" s="22" t="s">
        <v>181</v>
      </c>
      <c r="G13" s="22" t="s">
        <v>243</v>
      </c>
      <c r="H13" s="22" t="n">
        <v>0.08</v>
      </c>
      <c r="I13" s="38" t="n">
        <v>1937.71</v>
      </c>
      <c r="J13" s="38" t="n">
        <v>1938.01</v>
      </c>
      <c r="K13" s="39" t="n">
        <f aca="false">IF(F13="BUY",J13-I13,I13-J13)</f>
        <v>0.299999999999955</v>
      </c>
      <c r="L13" s="38" t="n">
        <v>1931.71</v>
      </c>
      <c r="M13" s="39" t="n">
        <f aca="false">ABS(I13-L13)</f>
        <v>6</v>
      </c>
      <c r="N13" s="24" t="n">
        <f aca="false">M13*H13*Summary!$C$6</f>
        <v>48</v>
      </c>
      <c r="O13" s="37" t="n">
        <v>44659.6489236111</v>
      </c>
      <c r="P13" s="22" t="n">
        <f aca="false">ROUND((O13-C13)*86400,0)</f>
        <v>1223</v>
      </c>
      <c r="Q13" s="22" t="str">
        <f aca="false">IF(P13&lt;10,"a) &lt;10s",IF(P13&lt;60,"b) 10-60s",IF(P13&lt;600,"c) 1-10min","d) &gt;10min")))</f>
        <v>d) &gt;10min</v>
      </c>
      <c r="R13" s="38" t="n">
        <v>1931.71</v>
      </c>
      <c r="S13" s="38" t="n">
        <v>1931.63</v>
      </c>
      <c r="T13" s="22" t="s">
        <v>188</v>
      </c>
      <c r="U13" s="39" t="n">
        <f aca="false">IF(R13="","",IF(F13="BUY",R13-S13,S13-R13))</f>
        <v>0.0799999999999272</v>
      </c>
      <c r="V13" s="39" t="n">
        <f aca="false">IF(F13="BUY",S13-J13,J13-S13)</f>
        <v>-6.37999999999988</v>
      </c>
      <c r="W13" s="6" t="n">
        <v>-51.04</v>
      </c>
      <c r="X13" s="26" t="n">
        <f aca="false">IFERROR(W13/N13,0)</f>
        <v>-1.06333333333333</v>
      </c>
      <c r="Y13" s="22" t="str">
        <f aca="false">IF(W13&gt;0,"Win",IF(W13&lt;0,"Loss","Flat"))</f>
        <v>Loss</v>
      </c>
      <c r="Z13" s="24" t="n">
        <f aca="false">Summary!$C$5+SUM(W$2:W13)</f>
        <v>4802.24</v>
      </c>
      <c r="AA13" s="24" t="n">
        <f aca="false">MAX(AA12,Z13)</f>
        <v>5000</v>
      </c>
      <c r="AB13" s="24" t="n">
        <f aca="false">AA13-Z13</f>
        <v>197.76</v>
      </c>
      <c r="AC13" s="23" t="n">
        <f aca="false">IFERROR(AB13/AA13,0)</f>
        <v>0.039552</v>
      </c>
      <c r="AD13" s="22" t="s">
        <v>250</v>
      </c>
    </row>
    <row r="14" customFormat="false" ht="15" hidden="false" customHeight="false" outlineLevel="0" collapsed="false">
      <c r="A14" s="22" t="n">
        <v>13</v>
      </c>
      <c r="B14" s="22" t="s">
        <v>120</v>
      </c>
      <c r="C14" s="37" t="n">
        <v>44663.4226273148</v>
      </c>
      <c r="D14" s="22" t="s">
        <v>203</v>
      </c>
      <c r="E14" s="22" t="n">
        <v>10</v>
      </c>
      <c r="F14" s="22" t="s">
        <v>182</v>
      </c>
      <c r="G14" s="22" t="s">
        <v>241</v>
      </c>
      <c r="H14" s="22" t="n">
        <v>0.08</v>
      </c>
      <c r="I14" s="38" t="n">
        <v>1955.61</v>
      </c>
      <c r="J14" s="38" t="n">
        <v>1955.61</v>
      </c>
      <c r="K14" s="39" t="n">
        <f aca="false">IF(F14="BUY",J14-I14,I14-J14)</f>
        <v>0</v>
      </c>
      <c r="L14" s="38" t="n">
        <v>1961.61</v>
      </c>
      <c r="M14" s="39" t="n">
        <f aca="false">ABS(I14-L14)</f>
        <v>6</v>
      </c>
      <c r="N14" s="24" t="n">
        <f aca="false">M14*H14*Summary!$C$6</f>
        <v>48</v>
      </c>
      <c r="O14" s="37" t="n">
        <v>44663.4622800926</v>
      </c>
      <c r="P14" s="22" t="n">
        <f aca="false">ROUND((O14-C14)*86400,0)</f>
        <v>3426</v>
      </c>
      <c r="Q14" s="22" t="str">
        <f aca="false">IF(P14&lt;10,"a) &lt;10s",IF(P14&lt;60,"b) 10-60s",IF(P14&lt;600,"c) 1-10min","d) &gt;10min")))</f>
        <v>d) &gt;10min</v>
      </c>
      <c r="R14" s="38" t="n">
        <v>1955.11</v>
      </c>
      <c r="S14" s="38" t="n">
        <v>1955.11</v>
      </c>
      <c r="T14" s="22" t="s">
        <v>189</v>
      </c>
      <c r="U14" s="39" t="n">
        <f aca="false">IF(R14="","",IF(F14="BUY",R14-S14,S14-R14))</f>
        <v>0</v>
      </c>
      <c r="V14" s="39" t="n">
        <f aca="false">IF(F14="BUY",S14-J14,J14-S14)</f>
        <v>0.5</v>
      </c>
      <c r="W14" s="6" t="n">
        <v>4</v>
      </c>
      <c r="X14" s="26" t="n">
        <f aca="false">IFERROR(W14/N14,0)</f>
        <v>0.0833333333333333</v>
      </c>
      <c r="Y14" s="22" t="str">
        <f aca="false">IF(W14&gt;0,"Win",IF(W14&lt;0,"Loss","Flat"))</f>
        <v>Win</v>
      </c>
      <c r="Z14" s="24" t="n">
        <f aca="false">Summary!$C$5+SUM(W$2:W14)</f>
        <v>4806.24</v>
      </c>
      <c r="AA14" s="24" t="n">
        <f aca="false">MAX(AA13,Z14)</f>
        <v>5000</v>
      </c>
      <c r="AB14" s="24" t="n">
        <f aca="false">AA14-Z14</f>
        <v>193.76</v>
      </c>
      <c r="AC14" s="23" t="n">
        <f aca="false">IFERROR(AB14/AA14,0)</f>
        <v>0.038752</v>
      </c>
      <c r="AD14" s="22" t="s">
        <v>251</v>
      </c>
    </row>
    <row r="15" customFormat="false" ht="15" hidden="false" customHeight="false" outlineLevel="0" collapsed="false">
      <c r="A15" s="22" t="n">
        <v>14</v>
      </c>
      <c r="B15" s="22" t="s">
        <v>120</v>
      </c>
      <c r="C15" s="37" t="n">
        <v>44663.6625694444</v>
      </c>
      <c r="D15" s="22" t="s">
        <v>203</v>
      </c>
      <c r="E15" s="22" t="n">
        <v>15</v>
      </c>
      <c r="F15" s="22" t="s">
        <v>181</v>
      </c>
      <c r="G15" s="22" t="s">
        <v>243</v>
      </c>
      <c r="H15" s="22" t="n">
        <v>0.08</v>
      </c>
      <c r="I15" s="38" t="n">
        <v>1969.56</v>
      </c>
      <c r="J15" s="38" t="n">
        <v>1969.72</v>
      </c>
      <c r="K15" s="39" t="n">
        <f aca="false">IF(F15="BUY",J15-I15,I15-J15)</f>
        <v>0.160000000000082</v>
      </c>
      <c r="L15" s="38" t="n">
        <v>1963.56</v>
      </c>
      <c r="M15" s="39" t="n">
        <f aca="false">ABS(I15-L15)</f>
        <v>6</v>
      </c>
      <c r="N15" s="24" t="n">
        <f aca="false">M15*H15*Summary!$C$6</f>
        <v>48</v>
      </c>
      <c r="O15" s="37" t="n">
        <v>44663.663599537</v>
      </c>
      <c r="P15" s="22" t="n">
        <f aca="false">ROUND((O15-C15)*86400,0)</f>
        <v>89</v>
      </c>
      <c r="Q15" s="22" t="str">
        <f aca="false">IF(P15&lt;10,"a) &lt;10s",IF(P15&lt;60,"b) 10-60s",IF(P15&lt;600,"c) 1-10min","d) &gt;10min")))</f>
        <v>c) 1-10min</v>
      </c>
      <c r="R15" s="38" t="n">
        <v>1970.22</v>
      </c>
      <c r="S15" s="38" t="n">
        <v>1970.2</v>
      </c>
      <c r="T15" s="22" t="s">
        <v>189</v>
      </c>
      <c r="U15" s="39" t="n">
        <f aca="false">IF(R15="","",IF(F15="BUY",R15-S15,S15-R15))</f>
        <v>0.0199999999999818</v>
      </c>
      <c r="V15" s="39" t="n">
        <f aca="false">IF(F15="BUY",S15-J15,J15-S15)</f>
        <v>0.480000000000018</v>
      </c>
      <c r="W15" s="6" t="n">
        <v>3.84</v>
      </c>
      <c r="X15" s="26" t="n">
        <f aca="false">IFERROR(W15/N15,0)</f>
        <v>0.08</v>
      </c>
      <c r="Y15" s="22" t="str">
        <f aca="false">IF(W15&gt;0,"Win",IF(W15&lt;0,"Loss","Flat"))</f>
        <v>Win</v>
      </c>
      <c r="Z15" s="24" t="n">
        <f aca="false">Summary!$C$5+SUM(W$2:W15)</f>
        <v>4810.08</v>
      </c>
      <c r="AA15" s="24" t="n">
        <f aca="false">MAX(AA14,Z15)</f>
        <v>5000</v>
      </c>
      <c r="AB15" s="24" t="n">
        <f aca="false">AA15-Z15</f>
        <v>189.92</v>
      </c>
      <c r="AC15" s="23" t="n">
        <f aca="false">IFERROR(AB15/AA15,0)</f>
        <v>0.037984</v>
      </c>
      <c r="AD15" s="22" t="s">
        <v>252</v>
      </c>
    </row>
    <row r="16" customFormat="false" ht="15" hidden="false" customHeight="false" outlineLevel="0" collapsed="false">
      <c r="A16" s="22" t="n">
        <v>15</v>
      </c>
      <c r="B16" s="22" t="s">
        <v>120</v>
      </c>
      <c r="C16" s="37" t="n">
        <v>44664.3935532407</v>
      </c>
      <c r="D16" s="22" t="s">
        <v>204</v>
      </c>
      <c r="E16" s="22" t="n">
        <v>9</v>
      </c>
      <c r="F16" s="22" t="s">
        <v>182</v>
      </c>
      <c r="G16" s="22" t="s">
        <v>241</v>
      </c>
      <c r="H16" s="22" t="n">
        <v>0.08</v>
      </c>
      <c r="I16" s="38" t="n">
        <v>1967.61</v>
      </c>
      <c r="J16" s="38" t="n">
        <v>1967.61</v>
      </c>
      <c r="K16" s="39" t="n">
        <f aca="false">IF(F16="BUY",J16-I16,I16-J16)</f>
        <v>0</v>
      </c>
      <c r="L16" s="38" t="n">
        <v>1973.61</v>
      </c>
      <c r="M16" s="39" t="n">
        <f aca="false">ABS(I16-L16)</f>
        <v>6</v>
      </c>
      <c r="N16" s="24" t="n">
        <f aca="false">M16*H16*Summary!$C$6</f>
        <v>48</v>
      </c>
      <c r="O16" s="37" t="n">
        <v>44664.469849537</v>
      </c>
      <c r="P16" s="22" t="n">
        <f aca="false">ROUND((O16-C16)*86400,0)</f>
        <v>6592</v>
      </c>
      <c r="Q16" s="22" t="str">
        <f aca="false">IF(P16&lt;10,"a) &lt;10s",IF(P16&lt;60,"b) 10-60s",IF(P16&lt;600,"c) 1-10min","d) &gt;10min")))</f>
        <v>d) &gt;10min</v>
      </c>
      <c r="R16" s="38" t="n">
        <v>1973.61</v>
      </c>
      <c r="S16" s="38" t="n">
        <v>1973.62</v>
      </c>
      <c r="T16" s="22" t="s">
        <v>188</v>
      </c>
      <c r="U16" s="39" t="n">
        <f aca="false">IF(R16="","",IF(F16="BUY",R16-S16,S16-R16))</f>
        <v>0.00999999999999091</v>
      </c>
      <c r="V16" s="39" t="n">
        <f aca="false">IF(F16="BUY",S16-J16,J16-S16)</f>
        <v>-6.00999999999999</v>
      </c>
      <c r="W16" s="6" t="n">
        <v>-48.08</v>
      </c>
      <c r="X16" s="26" t="n">
        <f aca="false">IFERROR(W16/N16,0)</f>
        <v>-1.00166666666667</v>
      </c>
      <c r="Y16" s="22" t="str">
        <f aca="false">IF(W16&gt;0,"Win",IF(W16&lt;0,"Loss","Flat"))</f>
        <v>Loss</v>
      </c>
      <c r="Z16" s="24" t="n">
        <f aca="false">Summary!$C$5+SUM(W$2:W16)</f>
        <v>4762</v>
      </c>
      <c r="AA16" s="24" t="n">
        <f aca="false">MAX(AA15,Z16)</f>
        <v>5000</v>
      </c>
      <c r="AB16" s="24" t="n">
        <f aca="false">AA16-Z16</f>
        <v>238</v>
      </c>
      <c r="AC16" s="23" t="n">
        <f aca="false">IFERROR(AB16/AA16,0)</f>
        <v>0.0476</v>
      </c>
      <c r="AD16" s="22" t="s">
        <v>253</v>
      </c>
    </row>
    <row r="17" customFormat="false" ht="15" hidden="false" customHeight="false" outlineLevel="0" collapsed="false">
      <c r="A17" s="22" t="n">
        <v>16</v>
      </c>
      <c r="B17" s="22" t="s">
        <v>120</v>
      </c>
      <c r="C17" s="37" t="n">
        <v>44664.5322453704</v>
      </c>
      <c r="D17" s="22" t="s">
        <v>204</v>
      </c>
      <c r="E17" s="22" t="n">
        <v>12</v>
      </c>
      <c r="F17" s="22" t="s">
        <v>181</v>
      </c>
      <c r="G17" s="22" t="s">
        <v>243</v>
      </c>
      <c r="H17" s="22" t="n">
        <v>0.07</v>
      </c>
      <c r="I17" s="38" t="n">
        <v>1978.51</v>
      </c>
      <c r="J17" s="38" t="n">
        <v>1978.86</v>
      </c>
      <c r="K17" s="39" t="n">
        <f aca="false">IF(F17="BUY",J17-I17,I17-J17)</f>
        <v>0.349999999999909</v>
      </c>
      <c r="L17" s="38" t="n">
        <v>1972.51</v>
      </c>
      <c r="M17" s="39" t="n">
        <f aca="false">ABS(I17-L17)</f>
        <v>6</v>
      </c>
      <c r="N17" s="24" t="n">
        <f aca="false">M17*H17*Summary!$C$6</f>
        <v>42</v>
      </c>
      <c r="O17" s="37" t="n">
        <v>44664.643287037</v>
      </c>
      <c r="P17" s="22" t="n">
        <f aca="false">ROUND((O17-C17)*86400,0)</f>
        <v>9594</v>
      </c>
      <c r="Q17" s="22" t="str">
        <f aca="false">IF(P17&lt;10,"a) &lt;10s",IF(P17&lt;60,"b) 10-60s",IF(P17&lt;600,"c) 1-10min","d) &gt;10min")))</f>
        <v>d) &gt;10min</v>
      </c>
      <c r="R17" s="38" t="n">
        <v>1972.51</v>
      </c>
      <c r="S17" s="38" t="n">
        <v>1972.41</v>
      </c>
      <c r="T17" s="22" t="s">
        <v>188</v>
      </c>
      <c r="U17" s="39" t="n">
        <f aca="false">IF(R17="","",IF(F17="BUY",R17-S17,S17-R17))</f>
        <v>0.0999999999999091</v>
      </c>
      <c r="V17" s="39" t="n">
        <f aca="false">IF(F17="BUY",S17-J17,J17-S17)</f>
        <v>-6.44999999999982</v>
      </c>
      <c r="W17" s="6" t="n">
        <v>-45.15</v>
      </c>
      <c r="X17" s="26" t="n">
        <f aca="false">IFERROR(W17/N17,0)</f>
        <v>-1.075</v>
      </c>
      <c r="Y17" s="22" t="str">
        <f aca="false">IF(W17&gt;0,"Win",IF(W17&lt;0,"Loss","Flat"))</f>
        <v>Loss</v>
      </c>
      <c r="Z17" s="24" t="n">
        <f aca="false">Summary!$C$5+SUM(W$2:W17)</f>
        <v>4716.85</v>
      </c>
      <c r="AA17" s="24" t="n">
        <f aca="false">MAX(AA16,Z17)</f>
        <v>5000</v>
      </c>
      <c r="AB17" s="24" t="n">
        <f aca="false">AA17-Z17</f>
        <v>283.15</v>
      </c>
      <c r="AC17" s="23" t="n">
        <f aca="false">IFERROR(AB17/AA17,0)</f>
        <v>0.0566299999999999</v>
      </c>
      <c r="AD17" s="22" t="s">
        <v>254</v>
      </c>
    </row>
    <row r="18" customFormat="false" ht="15" hidden="false" customHeight="false" outlineLevel="0" collapsed="false">
      <c r="A18" s="22" t="n">
        <v>17</v>
      </c>
      <c r="B18" s="22" t="s">
        <v>120</v>
      </c>
      <c r="C18" s="37" t="n">
        <v>44665.375</v>
      </c>
      <c r="D18" s="22" t="s">
        <v>205</v>
      </c>
      <c r="E18" s="22" t="n">
        <v>9</v>
      </c>
      <c r="F18" s="22" t="s">
        <v>182</v>
      </c>
      <c r="G18" s="22" t="s">
        <v>241</v>
      </c>
      <c r="H18" s="22" t="n">
        <v>0.07</v>
      </c>
      <c r="I18" s="38" t="n">
        <v>1972.1</v>
      </c>
      <c r="J18" s="38" t="n">
        <v>1972.09</v>
      </c>
      <c r="K18" s="39" t="n">
        <f aca="false">IF(F18="BUY",J18-I18,I18-J18)</f>
        <v>0.00999999999999091</v>
      </c>
      <c r="L18" s="38" t="n">
        <v>1978.1</v>
      </c>
      <c r="M18" s="39" t="n">
        <f aca="false">ABS(I18-L18)</f>
        <v>6</v>
      </c>
      <c r="N18" s="24" t="n">
        <f aca="false">M18*H18*Summary!$C$6</f>
        <v>42</v>
      </c>
      <c r="O18" s="37" t="n">
        <v>44665.4447337963</v>
      </c>
      <c r="P18" s="22" t="n">
        <f aca="false">ROUND((O18-C18)*86400,0)</f>
        <v>6025</v>
      </c>
      <c r="Q18" s="22" t="str">
        <f aca="false">IF(P18&lt;10,"a) &lt;10s",IF(P18&lt;60,"b) 10-60s",IF(P18&lt;600,"c) 1-10min","d) &gt;10min")))</f>
        <v>d) &gt;10min</v>
      </c>
      <c r="R18" s="38" t="n">
        <v>1978.1</v>
      </c>
      <c r="S18" s="38" t="n">
        <v>1978.26</v>
      </c>
      <c r="T18" s="22" t="s">
        <v>188</v>
      </c>
      <c r="U18" s="39" t="n">
        <f aca="false">IF(R18="","",IF(F18="BUY",R18-S18,S18-R18))</f>
        <v>0.160000000000082</v>
      </c>
      <c r="V18" s="39" t="n">
        <f aca="false">IF(F18="BUY",S18-J18,J18-S18)</f>
        <v>-6.17000000000007</v>
      </c>
      <c r="W18" s="6" t="n">
        <v>-43.19</v>
      </c>
      <c r="X18" s="26" t="n">
        <f aca="false">IFERROR(W18/N18,0)</f>
        <v>-1.02833333333333</v>
      </c>
      <c r="Y18" s="22" t="str">
        <f aca="false">IF(W18&gt;0,"Win",IF(W18&lt;0,"Loss","Flat"))</f>
        <v>Loss</v>
      </c>
      <c r="Z18" s="24" t="n">
        <f aca="false">Summary!$C$5+SUM(W$2:W18)</f>
        <v>4673.66</v>
      </c>
      <c r="AA18" s="24" t="n">
        <f aca="false">MAX(AA17,Z18)</f>
        <v>5000</v>
      </c>
      <c r="AB18" s="24" t="n">
        <f aca="false">AA18-Z18</f>
        <v>326.34</v>
      </c>
      <c r="AC18" s="23" t="n">
        <f aca="false">IFERROR(AB18/AA18,0)</f>
        <v>0.065268</v>
      </c>
      <c r="AD18" s="22" t="s">
        <v>255</v>
      </c>
    </row>
    <row r="19" customFormat="false" ht="15" hidden="false" customHeight="false" outlineLevel="0" collapsed="false">
      <c r="A19" s="22" t="n">
        <v>18</v>
      </c>
      <c r="B19" s="22" t="s">
        <v>120</v>
      </c>
      <c r="C19" s="37" t="n">
        <v>44665.7076851852</v>
      </c>
      <c r="D19" s="22" t="s">
        <v>205</v>
      </c>
      <c r="E19" s="22" t="n">
        <v>16</v>
      </c>
      <c r="F19" s="22" t="s">
        <v>182</v>
      </c>
      <c r="G19" s="22" t="s">
        <v>237</v>
      </c>
      <c r="H19" s="22" t="n">
        <v>0.07</v>
      </c>
      <c r="I19" s="38" t="n">
        <v>1962.72</v>
      </c>
      <c r="J19" s="38" t="n">
        <v>1962.64</v>
      </c>
      <c r="K19" s="39" t="n">
        <f aca="false">IF(F19="BUY",J19-I19,I19-J19)</f>
        <v>0.0799999999999272</v>
      </c>
      <c r="L19" s="38" t="n">
        <v>1968.72</v>
      </c>
      <c r="M19" s="39" t="n">
        <f aca="false">ABS(I19-L19)</f>
        <v>6</v>
      </c>
      <c r="N19" s="24" t="n">
        <f aca="false">M19*H19*Summary!$C$6</f>
        <v>42</v>
      </c>
      <c r="O19" s="37" t="n">
        <v>44665.7241435185</v>
      </c>
      <c r="P19" s="22" t="n">
        <f aca="false">ROUND((O19-C19)*86400,0)</f>
        <v>1422</v>
      </c>
      <c r="Q19" s="22" t="str">
        <f aca="false">IF(P19&lt;10,"a) &lt;10s",IF(P19&lt;60,"b) 10-60s",IF(P19&lt;600,"c) 1-10min","d) &gt;10min")))</f>
        <v>d) &gt;10min</v>
      </c>
      <c r="R19" s="38" t="n">
        <v>1968.72</v>
      </c>
      <c r="S19" s="38" t="n">
        <v>1968.73</v>
      </c>
      <c r="T19" s="22" t="s">
        <v>188</v>
      </c>
      <c r="U19" s="39" t="n">
        <f aca="false">IF(R19="","",IF(F19="BUY",R19-S19,S19-R19))</f>
        <v>0.00999999999999091</v>
      </c>
      <c r="V19" s="39" t="n">
        <f aca="false">IF(F19="BUY",S19-J19,J19-S19)</f>
        <v>-6.08999999999992</v>
      </c>
      <c r="W19" s="6" t="n">
        <v>-42.63</v>
      </c>
      <c r="X19" s="26" t="n">
        <f aca="false">IFERROR(W19/N19,0)</f>
        <v>-1.015</v>
      </c>
      <c r="Y19" s="22" t="str">
        <f aca="false">IF(W19&gt;0,"Win",IF(W19&lt;0,"Loss","Flat"))</f>
        <v>Loss</v>
      </c>
      <c r="Z19" s="24" t="n">
        <f aca="false">Summary!$C$5+SUM(W$2:W19)</f>
        <v>4631.03</v>
      </c>
      <c r="AA19" s="24" t="n">
        <f aca="false">MAX(AA18,Z19)</f>
        <v>5000</v>
      </c>
      <c r="AB19" s="24" t="n">
        <f aca="false">AA19-Z19</f>
        <v>368.97</v>
      </c>
      <c r="AC19" s="23" t="n">
        <f aca="false">IFERROR(AB19/AA19,0)</f>
        <v>0.0737940000000001</v>
      </c>
      <c r="AD19" s="22" t="s">
        <v>256</v>
      </c>
    </row>
    <row r="20" customFormat="false" ht="15" hidden="false" customHeight="false" outlineLevel="0" collapsed="false">
      <c r="A20" s="22" t="n">
        <v>19</v>
      </c>
      <c r="B20" s="22" t="s">
        <v>120</v>
      </c>
      <c r="C20" s="37" t="n">
        <v>44669.0771527778</v>
      </c>
      <c r="D20" s="22" t="s">
        <v>202</v>
      </c>
      <c r="E20" s="22" t="n">
        <v>1</v>
      </c>
      <c r="F20" s="22" t="s">
        <v>181</v>
      </c>
      <c r="G20" s="22" t="s">
        <v>243</v>
      </c>
      <c r="H20" s="22" t="n">
        <v>0.07</v>
      </c>
      <c r="I20" s="38" t="n">
        <v>1980.25</v>
      </c>
      <c r="J20" s="38" t="n">
        <v>1980.36</v>
      </c>
      <c r="K20" s="39" t="n">
        <f aca="false">IF(F20="BUY",J20-I20,I20-J20)</f>
        <v>0.1099999999999</v>
      </c>
      <c r="L20" s="38" t="n">
        <v>1974.25</v>
      </c>
      <c r="M20" s="39" t="n">
        <f aca="false">ABS(I20-L20)</f>
        <v>6</v>
      </c>
      <c r="N20" s="24" t="n">
        <f aca="false">M20*H20*Summary!$C$6</f>
        <v>42</v>
      </c>
      <c r="O20" s="37" t="n">
        <v>44669.858587963</v>
      </c>
      <c r="P20" s="22" t="n">
        <f aca="false">ROUND((O20-C20)*86400,0)</f>
        <v>67516</v>
      </c>
      <c r="Q20" s="22" t="str">
        <f aca="false">IF(P20&lt;10,"a) &lt;10s",IF(P20&lt;60,"b) 10-60s",IF(P20&lt;600,"c) 1-10min","d) &gt;10min")))</f>
        <v>d) &gt;10min</v>
      </c>
      <c r="R20" s="38" t="n">
        <v>1980.86</v>
      </c>
      <c r="S20" s="38" t="n">
        <v>1980.83</v>
      </c>
      <c r="T20" s="22" t="s">
        <v>189</v>
      </c>
      <c r="U20" s="39" t="n">
        <f aca="false">IF(R20="","",IF(F20="BUY",R20-S20,S20-R20))</f>
        <v>0.0299999999999727</v>
      </c>
      <c r="V20" s="39" t="n">
        <f aca="false">IF(F20="BUY",S20-J20,J20-S20)</f>
        <v>0.470000000000027</v>
      </c>
      <c r="W20" s="6" t="n">
        <v>3.29</v>
      </c>
      <c r="X20" s="26" t="n">
        <f aca="false">IFERROR(W20/N20,0)</f>
        <v>0.0783333333333333</v>
      </c>
      <c r="Y20" s="22" t="str">
        <f aca="false">IF(W20&gt;0,"Win",IF(W20&lt;0,"Loss","Flat"))</f>
        <v>Win</v>
      </c>
      <c r="Z20" s="24" t="n">
        <f aca="false">Summary!$C$5+SUM(W$2:W20)</f>
        <v>4634.32</v>
      </c>
      <c r="AA20" s="24" t="n">
        <f aca="false">MAX(AA19,Z20)</f>
        <v>5000</v>
      </c>
      <c r="AB20" s="24" t="n">
        <f aca="false">AA20-Z20</f>
        <v>365.68</v>
      </c>
      <c r="AC20" s="23" t="n">
        <f aca="false">IFERROR(AB20/AA20,0)</f>
        <v>0.0731360000000001</v>
      </c>
      <c r="AD20" s="22" t="s">
        <v>257</v>
      </c>
    </row>
    <row r="21" customFormat="false" ht="15" hidden="false" customHeight="false" outlineLevel="0" collapsed="false">
      <c r="A21" s="22" t="n">
        <v>20</v>
      </c>
      <c r="B21" s="22" t="s">
        <v>120</v>
      </c>
      <c r="C21" s="37" t="n">
        <v>44670.4337152778</v>
      </c>
      <c r="D21" s="22" t="s">
        <v>203</v>
      </c>
      <c r="E21" s="22" t="n">
        <v>10</v>
      </c>
      <c r="F21" s="22" t="s">
        <v>181</v>
      </c>
      <c r="G21" s="22" t="s">
        <v>235</v>
      </c>
      <c r="H21" s="22" t="n">
        <v>0.07</v>
      </c>
      <c r="I21" s="38" t="n">
        <v>1978.65</v>
      </c>
      <c r="J21" s="38" t="n">
        <v>1978.73</v>
      </c>
      <c r="K21" s="39" t="n">
        <f aca="false">IF(F21="BUY",J21-I21,I21-J21)</f>
        <v>0.0799999999999272</v>
      </c>
      <c r="L21" s="38" t="n">
        <v>1972.65</v>
      </c>
      <c r="M21" s="39" t="n">
        <f aca="false">ABS(I21-L21)</f>
        <v>6</v>
      </c>
      <c r="N21" s="24" t="n">
        <f aca="false">M21*H21*Summary!$C$6</f>
        <v>42</v>
      </c>
      <c r="O21" s="37" t="n">
        <v>44670.4852083333</v>
      </c>
      <c r="P21" s="22" t="n">
        <f aca="false">ROUND((O21-C21)*86400,0)</f>
        <v>4449</v>
      </c>
      <c r="Q21" s="22" t="str">
        <f aca="false">IF(P21&lt;10,"a) &lt;10s",IF(P21&lt;60,"b) 10-60s",IF(P21&lt;600,"c) 1-10min","d) &gt;10min")))</f>
        <v>d) &gt;10min</v>
      </c>
      <c r="R21" s="38" t="n">
        <v>1979.23</v>
      </c>
      <c r="S21" s="38" t="n">
        <v>1979.21</v>
      </c>
      <c r="T21" s="22" t="s">
        <v>189</v>
      </c>
      <c r="U21" s="39" t="n">
        <f aca="false">IF(R21="","",IF(F21="BUY",R21-S21,S21-R21))</f>
        <v>0.0199999999999818</v>
      </c>
      <c r="V21" s="39" t="n">
        <f aca="false">IF(F21="BUY",S21-J21,J21-S21)</f>
        <v>0.480000000000018</v>
      </c>
      <c r="W21" s="6" t="n">
        <v>3.36</v>
      </c>
      <c r="X21" s="26" t="n">
        <f aca="false">IFERROR(W21/N21,0)</f>
        <v>0.08</v>
      </c>
      <c r="Y21" s="22" t="str">
        <f aca="false">IF(W21&gt;0,"Win",IF(W21&lt;0,"Loss","Flat"))</f>
        <v>Win</v>
      </c>
      <c r="Z21" s="24" t="n">
        <f aca="false">Summary!$C$5+SUM(W$2:W21)</f>
        <v>4637.68</v>
      </c>
      <c r="AA21" s="24" t="n">
        <f aca="false">MAX(AA20,Z21)</f>
        <v>5000</v>
      </c>
      <c r="AB21" s="24" t="n">
        <f aca="false">AA21-Z21</f>
        <v>362.32</v>
      </c>
      <c r="AC21" s="23" t="n">
        <f aca="false">IFERROR(AB21/AA21,0)</f>
        <v>0.072464</v>
      </c>
      <c r="AD21" s="22" t="s">
        <v>258</v>
      </c>
    </row>
    <row r="22" customFormat="false" ht="15" hidden="false" customHeight="false" outlineLevel="0" collapsed="false">
      <c r="A22" s="22" t="n">
        <v>21</v>
      </c>
      <c r="B22" s="22" t="s">
        <v>120</v>
      </c>
      <c r="C22" s="37" t="n">
        <v>44670.6548726852</v>
      </c>
      <c r="D22" s="22" t="s">
        <v>203</v>
      </c>
      <c r="E22" s="22" t="n">
        <v>15</v>
      </c>
      <c r="F22" s="22" t="s">
        <v>182</v>
      </c>
      <c r="G22" s="22" t="s">
        <v>237</v>
      </c>
      <c r="H22" s="22" t="n">
        <v>0.07</v>
      </c>
      <c r="I22" s="38" t="n">
        <v>1970.84</v>
      </c>
      <c r="J22" s="38" t="n">
        <v>1970.79</v>
      </c>
      <c r="K22" s="39" t="n">
        <f aca="false">IF(F22="BUY",J22-I22,I22-J22)</f>
        <v>0.0499999999999545</v>
      </c>
      <c r="L22" s="38" t="n">
        <v>1976.84</v>
      </c>
      <c r="M22" s="39" t="n">
        <f aca="false">ABS(I22-L22)</f>
        <v>6</v>
      </c>
      <c r="N22" s="24" t="n">
        <f aca="false">M22*H22*Summary!$C$6</f>
        <v>42</v>
      </c>
      <c r="O22" s="37" t="n">
        <v>44670.9270833333</v>
      </c>
      <c r="P22" s="22" t="n">
        <f aca="false">ROUND((O22-C22)*86400,0)</f>
        <v>23519</v>
      </c>
      <c r="Q22" s="22" t="str">
        <f aca="false">IF(P22&lt;10,"a) &lt;10s",IF(P22&lt;60,"b) 10-60s",IF(P22&lt;600,"c) 1-10min","d) &gt;10min")))</f>
        <v>d) &gt;10min</v>
      </c>
      <c r="R22" s="38"/>
      <c r="S22" s="38" t="n">
        <v>1950.18</v>
      </c>
      <c r="T22" s="22" t="s">
        <v>191</v>
      </c>
      <c r="U22" s="39" t="str">
        <f aca="false">IF(R22="","",IF(F22="BUY",R22-S22,S22-R22))</f>
        <v/>
      </c>
      <c r="V22" s="39" t="n">
        <f aca="false">IF(F22="BUY",S22-J22,J22-S22)</f>
        <v>20.6099999999999</v>
      </c>
      <c r="W22" s="6" t="n">
        <v>144.27</v>
      </c>
      <c r="X22" s="26" t="n">
        <f aca="false">IFERROR(W22/N22,0)</f>
        <v>3.435</v>
      </c>
      <c r="Y22" s="22" t="str">
        <f aca="false">IF(W22&gt;0,"Win",IF(W22&lt;0,"Loss","Flat"))</f>
        <v>Win</v>
      </c>
      <c r="Z22" s="24" t="n">
        <f aca="false">Summary!$C$5+SUM(W$2:W22)</f>
        <v>4781.95</v>
      </c>
      <c r="AA22" s="24" t="n">
        <f aca="false">MAX(AA21,Z22)</f>
        <v>5000</v>
      </c>
      <c r="AB22" s="24" t="n">
        <f aca="false">AA22-Z22</f>
        <v>218.05</v>
      </c>
      <c r="AC22" s="23" t="n">
        <f aca="false">IFERROR(AB22/AA22,0)</f>
        <v>0.04361</v>
      </c>
      <c r="AD22" s="22" t="s">
        <v>259</v>
      </c>
    </row>
    <row r="23" customFormat="false" ht="15" hidden="false" customHeight="false" outlineLevel="0" collapsed="false">
      <c r="A23" s="22" t="n">
        <v>22</v>
      </c>
      <c r="B23" s="22" t="s">
        <v>120</v>
      </c>
      <c r="C23" s="37" t="n">
        <v>44671.1825578704</v>
      </c>
      <c r="D23" s="22" t="s">
        <v>204</v>
      </c>
      <c r="E23" s="22" t="n">
        <v>4</v>
      </c>
      <c r="F23" s="22" t="s">
        <v>182</v>
      </c>
      <c r="G23" s="22" t="s">
        <v>237</v>
      </c>
      <c r="H23" s="22" t="n">
        <v>0.07</v>
      </c>
      <c r="I23" s="38" t="n">
        <v>1943.59</v>
      </c>
      <c r="J23" s="38" t="n">
        <v>1943.36</v>
      </c>
      <c r="K23" s="39" t="n">
        <f aca="false">IF(F23="BUY",J23-I23,I23-J23)</f>
        <v>0.230000000000018</v>
      </c>
      <c r="L23" s="38" t="n">
        <v>1949.59</v>
      </c>
      <c r="M23" s="39" t="n">
        <f aca="false">ABS(I23-L23)</f>
        <v>6</v>
      </c>
      <c r="N23" s="24" t="n">
        <f aca="false">M23*H23*Summary!$C$6</f>
        <v>42</v>
      </c>
      <c r="O23" s="37" t="n">
        <v>44671.2952083333</v>
      </c>
      <c r="P23" s="22" t="n">
        <f aca="false">ROUND((O23-C23)*86400,0)</f>
        <v>9733</v>
      </c>
      <c r="Q23" s="22" t="str">
        <f aca="false">IF(P23&lt;10,"a) &lt;10s",IF(P23&lt;60,"b) 10-60s",IF(P23&lt;600,"c) 1-10min","d) &gt;10min")))</f>
        <v>d) &gt;10min</v>
      </c>
      <c r="R23" s="38" t="n">
        <v>1942.86</v>
      </c>
      <c r="S23" s="38" t="n">
        <v>1942.89</v>
      </c>
      <c r="T23" s="22" t="s">
        <v>189</v>
      </c>
      <c r="U23" s="39" t="n">
        <f aca="false">IF(R23="","",IF(F23="BUY",R23-S23,S23-R23))</f>
        <v>0.0300000000002001</v>
      </c>
      <c r="V23" s="39" t="n">
        <f aca="false">IF(F23="BUY",S23-J23,J23-S23)</f>
        <v>0.4699999999998</v>
      </c>
      <c r="W23" s="6" t="n">
        <v>3.29</v>
      </c>
      <c r="X23" s="26" t="n">
        <f aca="false">IFERROR(W23/N23,0)</f>
        <v>0.0783333333333333</v>
      </c>
      <c r="Y23" s="22" t="str">
        <f aca="false">IF(W23&gt;0,"Win",IF(W23&lt;0,"Loss","Flat"))</f>
        <v>Win</v>
      </c>
      <c r="Z23" s="24" t="n">
        <f aca="false">Summary!$C$5+SUM(W$2:W23)</f>
        <v>4785.24</v>
      </c>
      <c r="AA23" s="24" t="n">
        <f aca="false">MAX(AA22,Z23)</f>
        <v>5000</v>
      </c>
      <c r="AB23" s="24" t="n">
        <f aca="false">AA23-Z23</f>
        <v>214.76</v>
      </c>
      <c r="AC23" s="23" t="n">
        <f aca="false">IFERROR(AB23/AA23,0)</f>
        <v>0.042952</v>
      </c>
      <c r="AD23" s="22" t="s">
        <v>260</v>
      </c>
    </row>
    <row r="24" customFormat="false" ht="15" hidden="false" customHeight="false" outlineLevel="0" collapsed="false">
      <c r="A24" s="22" t="n">
        <v>23</v>
      </c>
      <c r="B24" s="22" t="s">
        <v>120</v>
      </c>
      <c r="C24" s="37" t="n">
        <v>44671.3788194444</v>
      </c>
      <c r="D24" s="22" t="s">
        <v>204</v>
      </c>
      <c r="E24" s="22" t="n">
        <v>9</v>
      </c>
      <c r="F24" s="22" t="s">
        <v>182</v>
      </c>
      <c r="G24" s="22" t="s">
        <v>241</v>
      </c>
      <c r="H24" s="22" t="n">
        <v>0.07</v>
      </c>
      <c r="I24" s="38" t="n">
        <v>1940.42</v>
      </c>
      <c r="J24" s="38" t="n">
        <v>1940.41</v>
      </c>
      <c r="K24" s="39" t="n">
        <f aca="false">IF(F24="BUY",J24-I24,I24-J24)</f>
        <v>0.00999999999999091</v>
      </c>
      <c r="L24" s="38" t="n">
        <v>1946.42</v>
      </c>
      <c r="M24" s="39" t="n">
        <f aca="false">ABS(I24-L24)</f>
        <v>6</v>
      </c>
      <c r="N24" s="24" t="n">
        <f aca="false">M24*H24*Summary!$C$6</f>
        <v>42</v>
      </c>
      <c r="O24" s="37" t="n">
        <v>44671.4940856482</v>
      </c>
      <c r="P24" s="22" t="n">
        <f aca="false">ROUND((O24-C24)*86400,0)</f>
        <v>9959</v>
      </c>
      <c r="Q24" s="22" t="str">
        <f aca="false">IF(P24&lt;10,"a) &lt;10s",IF(P24&lt;60,"b) 10-60s",IF(P24&lt;600,"c) 1-10min","d) &gt;10min")))</f>
        <v>d) &gt;10min</v>
      </c>
      <c r="R24" s="38" t="n">
        <v>1946.42</v>
      </c>
      <c r="S24" s="38" t="n">
        <v>1946.45</v>
      </c>
      <c r="T24" s="22" t="s">
        <v>188</v>
      </c>
      <c r="U24" s="39" t="n">
        <f aca="false">IF(R24="","",IF(F24="BUY",R24-S24,S24-R24))</f>
        <v>0.0299999999999727</v>
      </c>
      <c r="V24" s="39" t="n">
        <f aca="false">IF(F24="BUY",S24-J24,J24-S24)</f>
        <v>-6.03999999999996</v>
      </c>
      <c r="W24" s="6" t="n">
        <v>-42.28</v>
      </c>
      <c r="X24" s="26" t="n">
        <f aca="false">IFERROR(W24/N24,0)</f>
        <v>-1.00666666666667</v>
      </c>
      <c r="Y24" s="22" t="str">
        <f aca="false">IF(W24&gt;0,"Win",IF(W24&lt;0,"Loss","Flat"))</f>
        <v>Loss</v>
      </c>
      <c r="Z24" s="24" t="n">
        <f aca="false">Summary!$C$5+SUM(W$2:W24)</f>
        <v>4742.96</v>
      </c>
      <c r="AA24" s="24" t="n">
        <f aca="false">MAX(AA23,Z24)</f>
        <v>5000</v>
      </c>
      <c r="AB24" s="24" t="n">
        <f aca="false">AA24-Z24</f>
        <v>257.04</v>
      </c>
      <c r="AC24" s="23" t="n">
        <f aca="false">IFERROR(AB24/AA24,0)</f>
        <v>0.051408</v>
      </c>
      <c r="AD24" s="22" t="s">
        <v>261</v>
      </c>
    </row>
    <row r="25" customFormat="false" ht="15" hidden="false" customHeight="false" outlineLevel="0" collapsed="false">
      <c r="A25" s="22" t="n">
        <v>24</v>
      </c>
      <c r="B25" s="22" t="s">
        <v>120</v>
      </c>
      <c r="C25" s="37" t="n">
        <v>44672.3753009259</v>
      </c>
      <c r="D25" s="22" t="s">
        <v>205</v>
      </c>
      <c r="E25" s="22" t="n">
        <v>9</v>
      </c>
      <c r="F25" s="22" t="s">
        <v>181</v>
      </c>
      <c r="G25" s="22" t="s">
        <v>235</v>
      </c>
      <c r="H25" s="22" t="n">
        <v>0.07</v>
      </c>
      <c r="I25" s="38" t="n">
        <v>1953.87</v>
      </c>
      <c r="J25" s="38" t="n">
        <v>1953.95</v>
      </c>
      <c r="K25" s="39" t="n">
        <f aca="false">IF(F25="BUY",J25-I25,I25-J25)</f>
        <v>0.0800000000001546</v>
      </c>
      <c r="L25" s="38" t="n">
        <v>1947.87</v>
      </c>
      <c r="M25" s="39" t="n">
        <f aca="false">ABS(I25-L25)</f>
        <v>6</v>
      </c>
      <c r="N25" s="24" t="n">
        <f aca="false">M25*H25*Summary!$C$6</f>
        <v>42</v>
      </c>
      <c r="O25" s="37" t="n">
        <v>44672.4622916667</v>
      </c>
      <c r="P25" s="22" t="n">
        <f aca="false">ROUND((O25-C25)*86400,0)</f>
        <v>7516</v>
      </c>
      <c r="Q25" s="22" t="str">
        <f aca="false">IF(P25&lt;10,"a) &lt;10s",IF(P25&lt;60,"b) 10-60s",IF(P25&lt;600,"c) 1-10min","d) &gt;10min")))</f>
        <v>d) &gt;10min</v>
      </c>
      <c r="R25" s="38" t="n">
        <v>1947.87</v>
      </c>
      <c r="S25" s="38" t="n">
        <v>1947.87</v>
      </c>
      <c r="T25" s="22" t="s">
        <v>188</v>
      </c>
      <c r="U25" s="39" t="n">
        <f aca="false">IF(R25="","",IF(F25="BUY",R25-S25,S25-R25))</f>
        <v>0</v>
      </c>
      <c r="V25" s="39" t="n">
        <f aca="false">IF(F25="BUY",S25-J25,J25-S25)</f>
        <v>-6.08000000000016</v>
      </c>
      <c r="W25" s="6" t="n">
        <v>-42.56</v>
      </c>
      <c r="X25" s="26" t="n">
        <f aca="false">IFERROR(W25/N25,0)</f>
        <v>-1.01333333333333</v>
      </c>
      <c r="Y25" s="22" t="str">
        <f aca="false">IF(W25&gt;0,"Win",IF(W25&lt;0,"Loss","Flat"))</f>
        <v>Loss</v>
      </c>
      <c r="Z25" s="24" t="n">
        <f aca="false">Summary!$C$5+SUM(W$2:W25)</f>
        <v>4700.4</v>
      </c>
      <c r="AA25" s="24" t="n">
        <f aca="false">MAX(AA24,Z25)</f>
        <v>5000</v>
      </c>
      <c r="AB25" s="24" t="n">
        <f aca="false">AA25-Z25</f>
        <v>299.6</v>
      </c>
      <c r="AC25" s="23" t="n">
        <f aca="false">IFERROR(AB25/AA25,0)</f>
        <v>0.0599200000000001</v>
      </c>
      <c r="AD25" s="22" t="s">
        <v>262</v>
      </c>
    </row>
    <row r="26" customFormat="false" ht="15" hidden="false" customHeight="false" outlineLevel="0" collapsed="false">
      <c r="A26" s="22" t="n">
        <v>25</v>
      </c>
      <c r="B26" s="22" t="s">
        <v>120</v>
      </c>
      <c r="C26" s="37" t="n">
        <v>44672.6124652778</v>
      </c>
      <c r="D26" s="22" t="s">
        <v>205</v>
      </c>
      <c r="E26" s="22" t="n">
        <v>14</v>
      </c>
      <c r="F26" s="22" t="s">
        <v>182</v>
      </c>
      <c r="G26" s="22" t="s">
        <v>237</v>
      </c>
      <c r="H26" s="22" t="n">
        <v>0.07</v>
      </c>
      <c r="I26" s="38" t="n">
        <v>1939.16</v>
      </c>
      <c r="J26" s="38" t="n">
        <v>1939.16</v>
      </c>
      <c r="K26" s="39" t="n">
        <f aca="false">IF(F26="BUY",J26-I26,I26-J26)</f>
        <v>0</v>
      </c>
      <c r="L26" s="38" t="n">
        <v>1945.16</v>
      </c>
      <c r="M26" s="39" t="n">
        <f aca="false">ABS(I26-L26)</f>
        <v>6</v>
      </c>
      <c r="N26" s="24" t="n">
        <f aca="false">M26*H26*Summary!$C$6</f>
        <v>42</v>
      </c>
      <c r="O26" s="37" t="n">
        <v>44672.6136342593</v>
      </c>
      <c r="P26" s="22" t="n">
        <f aca="false">ROUND((O26-C26)*86400,0)</f>
        <v>101</v>
      </c>
      <c r="Q26" s="22" t="str">
        <f aca="false">IF(P26&lt;10,"a) &lt;10s",IF(P26&lt;60,"b) 10-60s",IF(P26&lt;600,"c) 1-10min","d) &gt;10min")))</f>
        <v>c) 1-10min</v>
      </c>
      <c r="R26" s="38" t="n">
        <v>1938.66</v>
      </c>
      <c r="S26" s="38" t="n">
        <v>1938.74</v>
      </c>
      <c r="T26" s="22" t="s">
        <v>189</v>
      </c>
      <c r="U26" s="39" t="n">
        <f aca="false">IF(R26="","",IF(F26="BUY",R26-S26,S26-R26))</f>
        <v>0.0799999999999272</v>
      </c>
      <c r="V26" s="39" t="n">
        <f aca="false">IF(F26="BUY",S26-J26,J26-S26)</f>
        <v>0.420000000000073</v>
      </c>
      <c r="W26" s="6" t="n">
        <v>2.94</v>
      </c>
      <c r="X26" s="26" t="n">
        <f aca="false">IFERROR(W26/N26,0)</f>
        <v>0.07</v>
      </c>
      <c r="Y26" s="22" t="str">
        <f aca="false">IF(W26&gt;0,"Win",IF(W26&lt;0,"Loss","Flat"))</f>
        <v>Win</v>
      </c>
      <c r="Z26" s="24" t="n">
        <f aca="false">Summary!$C$5+SUM(W$2:W26)</f>
        <v>4703.34</v>
      </c>
      <c r="AA26" s="24" t="n">
        <f aca="false">MAX(AA25,Z26)</f>
        <v>5000</v>
      </c>
      <c r="AB26" s="24" t="n">
        <f aca="false">AA26-Z26</f>
        <v>296.66</v>
      </c>
      <c r="AC26" s="23" t="n">
        <f aca="false">IFERROR(AB26/AA26,0)</f>
        <v>0.059332</v>
      </c>
      <c r="AD26" s="22" t="s">
        <v>263</v>
      </c>
    </row>
    <row r="27" customFormat="false" ht="15" hidden="false" customHeight="false" outlineLevel="0" collapsed="false">
      <c r="A27" s="22" t="n">
        <v>26</v>
      </c>
      <c r="B27" s="22" t="s">
        <v>120</v>
      </c>
      <c r="C27" s="37" t="n">
        <v>44673.4592592593</v>
      </c>
      <c r="D27" s="22" t="s">
        <v>206</v>
      </c>
      <c r="E27" s="22" t="n">
        <v>11</v>
      </c>
      <c r="F27" s="22" t="s">
        <v>182</v>
      </c>
      <c r="G27" s="22" t="s">
        <v>241</v>
      </c>
      <c r="H27" s="22" t="n">
        <v>0.07</v>
      </c>
      <c r="I27" s="38" t="n">
        <v>1949.57</v>
      </c>
      <c r="J27" s="38" t="n">
        <v>1949.56</v>
      </c>
      <c r="K27" s="39" t="n">
        <f aca="false">IF(F27="BUY",J27-I27,I27-J27)</f>
        <v>0.00999999999999091</v>
      </c>
      <c r="L27" s="38" t="n">
        <v>1955.57</v>
      </c>
      <c r="M27" s="39" t="n">
        <f aca="false">ABS(I27-L27)</f>
        <v>6</v>
      </c>
      <c r="N27" s="24" t="n">
        <f aca="false">M27*H27*Summary!$C$6</f>
        <v>42</v>
      </c>
      <c r="O27" s="37" t="n">
        <v>44673.9270833333</v>
      </c>
      <c r="P27" s="22" t="n">
        <f aca="false">ROUND((O27-C27)*86400,0)</f>
        <v>40420</v>
      </c>
      <c r="Q27" s="22" t="str">
        <f aca="false">IF(P27&lt;10,"a) &lt;10s",IF(P27&lt;60,"b) 10-60s",IF(P27&lt;600,"c) 1-10min","d) &gt;10min")))</f>
        <v>d) &gt;10min</v>
      </c>
      <c r="R27" s="38"/>
      <c r="S27" s="38" t="n">
        <v>1932.47</v>
      </c>
      <c r="T27" s="22" t="s">
        <v>191</v>
      </c>
      <c r="U27" s="39" t="str">
        <f aca="false">IF(R27="","",IF(F27="BUY",R27-S27,S27-R27))</f>
        <v/>
      </c>
      <c r="V27" s="39" t="n">
        <f aca="false">IF(F27="BUY",S27-J27,J27-S27)</f>
        <v>17.0899999999999</v>
      </c>
      <c r="W27" s="6" t="n">
        <v>119.63</v>
      </c>
      <c r="X27" s="26" t="n">
        <f aca="false">IFERROR(W27/N27,0)</f>
        <v>2.84833333333333</v>
      </c>
      <c r="Y27" s="22" t="str">
        <f aca="false">IF(W27&gt;0,"Win",IF(W27&lt;0,"Loss","Flat"))</f>
        <v>Win</v>
      </c>
      <c r="Z27" s="24" t="n">
        <f aca="false">Summary!$C$5+SUM(W$2:W27)</f>
        <v>4822.97</v>
      </c>
      <c r="AA27" s="24" t="n">
        <f aca="false">MAX(AA26,Z27)</f>
        <v>5000</v>
      </c>
      <c r="AB27" s="24" t="n">
        <f aca="false">AA27-Z27</f>
        <v>177.03</v>
      </c>
      <c r="AC27" s="23" t="n">
        <f aca="false">IFERROR(AB27/AA27,0)</f>
        <v>0.035406</v>
      </c>
      <c r="AD27" s="22" t="s">
        <v>264</v>
      </c>
    </row>
    <row r="28" customFormat="false" ht="15" hidden="false" customHeight="false" outlineLevel="0" collapsed="false">
      <c r="A28" s="22" t="n">
        <v>27</v>
      </c>
      <c r="B28" s="22" t="s">
        <v>120</v>
      </c>
      <c r="C28" s="37" t="n">
        <v>44676.1593402778</v>
      </c>
      <c r="D28" s="22" t="s">
        <v>202</v>
      </c>
      <c r="E28" s="22" t="n">
        <v>3</v>
      </c>
      <c r="F28" s="22" t="s">
        <v>182</v>
      </c>
      <c r="G28" s="22" t="s">
        <v>237</v>
      </c>
      <c r="H28" s="22" t="n">
        <v>0.08</v>
      </c>
      <c r="I28" s="38" t="n">
        <v>1926.46</v>
      </c>
      <c r="J28" s="38" t="n">
        <v>1926.45</v>
      </c>
      <c r="K28" s="39" t="n">
        <f aca="false">IF(F28="BUY",J28-I28,I28-J28)</f>
        <v>0.00999999999999091</v>
      </c>
      <c r="L28" s="38" t="n">
        <v>1932.46</v>
      </c>
      <c r="M28" s="39" t="n">
        <f aca="false">ABS(I28-L28)</f>
        <v>6</v>
      </c>
      <c r="N28" s="24" t="n">
        <f aca="false">M28*H28*Summary!$C$6</f>
        <v>48</v>
      </c>
      <c r="O28" s="37" t="n">
        <v>44676.2380902778</v>
      </c>
      <c r="P28" s="22" t="n">
        <f aca="false">ROUND((O28-C28)*86400,0)</f>
        <v>6804</v>
      </c>
      <c r="Q28" s="22" t="str">
        <f aca="false">IF(P28&lt;10,"a) &lt;10s",IF(P28&lt;60,"b) 10-60s",IF(P28&lt;600,"c) 1-10min","d) &gt;10min")))</f>
        <v>d) &gt;10min</v>
      </c>
      <c r="R28" s="38" t="n">
        <v>1925.95</v>
      </c>
      <c r="S28" s="38" t="n">
        <v>1926.06</v>
      </c>
      <c r="T28" s="22" t="s">
        <v>189</v>
      </c>
      <c r="U28" s="39" t="n">
        <f aca="false">IF(R28="","",IF(F28="BUY",R28-S28,S28-R28))</f>
        <v>0.1099999999999</v>
      </c>
      <c r="V28" s="39" t="n">
        <f aca="false">IF(F28="BUY",S28-J28,J28-S28)</f>
        <v>0.3900000000001</v>
      </c>
      <c r="W28" s="6" t="n">
        <v>3.12</v>
      </c>
      <c r="X28" s="26" t="n">
        <f aca="false">IFERROR(W28/N28,0)</f>
        <v>0.065</v>
      </c>
      <c r="Y28" s="22" t="str">
        <f aca="false">IF(W28&gt;0,"Win",IF(W28&lt;0,"Loss","Flat"))</f>
        <v>Win</v>
      </c>
      <c r="Z28" s="24" t="n">
        <f aca="false">Summary!$C$5+SUM(W$2:W28)</f>
        <v>4826.09</v>
      </c>
      <c r="AA28" s="24" t="n">
        <f aca="false">MAX(AA27,Z28)</f>
        <v>5000</v>
      </c>
      <c r="AB28" s="24" t="n">
        <f aca="false">AA28-Z28</f>
        <v>173.91</v>
      </c>
      <c r="AC28" s="23" t="n">
        <f aca="false">IFERROR(AB28/AA28,0)</f>
        <v>0.034782</v>
      </c>
      <c r="AD28" s="22" t="s">
        <v>265</v>
      </c>
    </row>
    <row r="29" customFormat="false" ht="15" hidden="false" customHeight="false" outlineLevel="0" collapsed="false">
      <c r="A29" s="22" t="n">
        <v>28</v>
      </c>
      <c r="B29" s="22" t="s">
        <v>120</v>
      </c>
      <c r="C29" s="37" t="n">
        <v>44676.3979282407</v>
      </c>
      <c r="D29" s="22" t="s">
        <v>202</v>
      </c>
      <c r="E29" s="22" t="n">
        <v>9</v>
      </c>
      <c r="F29" s="22" t="s">
        <v>182</v>
      </c>
      <c r="G29" s="22" t="s">
        <v>241</v>
      </c>
      <c r="H29" s="22" t="n">
        <v>0.08</v>
      </c>
      <c r="I29" s="38" t="n">
        <v>1913.14</v>
      </c>
      <c r="J29" s="38" t="n">
        <v>1913.11</v>
      </c>
      <c r="K29" s="39" t="n">
        <f aca="false">IF(F29="BUY",J29-I29,I29-J29)</f>
        <v>0.0300000000002001</v>
      </c>
      <c r="L29" s="38" t="n">
        <v>1919.14</v>
      </c>
      <c r="M29" s="39" t="n">
        <f aca="false">ABS(I29-L29)</f>
        <v>6</v>
      </c>
      <c r="N29" s="24" t="n">
        <f aca="false">M29*H29*Summary!$C$6</f>
        <v>48</v>
      </c>
      <c r="O29" s="37" t="n">
        <v>44676.4227430556</v>
      </c>
      <c r="P29" s="22" t="n">
        <f aca="false">ROUND((O29-C29)*86400,0)</f>
        <v>2144</v>
      </c>
      <c r="Q29" s="22" t="str">
        <f aca="false">IF(P29&lt;10,"a) &lt;10s",IF(P29&lt;60,"b) 10-60s",IF(P29&lt;600,"c) 1-10min","d) &gt;10min")))</f>
        <v>d) &gt;10min</v>
      </c>
      <c r="R29" s="38" t="n">
        <v>1919.14</v>
      </c>
      <c r="S29" s="38" t="n">
        <v>1919.22</v>
      </c>
      <c r="T29" s="22" t="s">
        <v>188</v>
      </c>
      <c r="U29" s="39" t="n">
        <f aca="false">IF(R29="","",IF(F29="BUY",R29-S29,S29-R29))</f>
        <v>0.0799999999999272</v>
      </c>
      <c r="V29" s="39" t="n">
        <f aca="false">IF(F29="BUY",S29-J29,J29-S29)</f>
        <v>-6.11000000000013</v>
      </c>
      <c r="W29" s="6" t="n">
        <v>-48.88</v>
      </c>
      <c r="X29" s="26" t="n">
        <f aca="false">IFERROR(W29/N29,0)</f>
        <v>-1.01833333333333</v>
      </c>
      <c r="Y29" s="22" t="str">
        <f aca="false">IF(W29&gt;0,"Win",IF(W29&lt;0,"Loss","Flat"))</f>
        <v>Loss</v>
      </c>
      <c r="Z29" s="24" t="n">
        <f aca="false">Summary!$C$5+SUM(W$2:W29)</f>
        <v>4777.21</v>
      </c>
      <c r="AA29" s="24" t="n">
        <f aca="false">MAX(AA28,Z29)</f>
        <v>5000</v>
      </c>
      <c r="AB29" s="24" t="n">
        <f aca="false">AA29-Z29</f>
        <v>222.79</v>
      </c>
      <c r="AC29" s="23" t="n">
        <f aca="false">IFERROR(AB29/AA29,0)</f>
        <v>0.044558</v>
      </c>
      <c r="AD29" s="22" t="s">
        <v>266</v>
      </c>
    </row>
    <row r="30" customFormat="false" ht="15" hidden="false" customHeight="false" outlineLevel="0" collapsed="false">
      <c r="A30" s="22" t="n">
        <v>29</v>
      </c>
      <c r="B30" s="22" t="s">
        <v>120</v>
      </c>
      <c r="C30" s="37" t="n">
        <v>44677.3992939815</v>
      </c>
      <c r="D30" s="22" t="s">
        <v>203</v>
      </c>
      <c r="E30" s="22" t="n">
        <v>9</v>
      </c>
      <c r="F30" s="22" t="s">
        <v>182</v>
      </c>
      <c r="G30" s="22" t="s">
        <v>241</v>
      </c>
      <c r="H30" s="22" t="n">
        <v>0.07</v>
      </c>
      <c r="I30" s="38" t="n">
        <v>1901.38</v>
      </c>
      <c r="J30" s="38" t="n">
        <v>1901.36</v>
      </c>
      <c r="K30" s="39" t="n">
        <f aca="false">IF(F30="BUY",J30-I30,I30-J30)</f>
        <v>0.0200000000002092</v>
      </c>
      <c r="L30" s="38" t="n">
        <v>1907.38</v>
      </c>
      <c r="M30" s="39" t="n">
        <f aca="false">ABS(I30-L30)</f>
        <v>6</v>
      </c>
      <c r="N30" s="24" t="n">
        <f aca="false">M30*H30*Summary!$C$6</f>
        <v>42</v>
      </c>
      <c r="O30" s="37" t="n">
        <v>44677.4658564815</v>
      </c>
      <c r="P30" s="22" t="n">
        <f aca="false">ROUND((O30-C30)*86400,0)</f>
        <v>5751</v>
      </c>
      <c r="Q30" s="22" t="str">
        <f aca="false">IF(P30&lt;10,"a) &lt;10s",IF(P30&lt;60,"b) 10-60s",IF(P30&lt;600,"c) 1-10min","d) &gt;10min")))</f>
        <v>d) &gt;10min</v>
      </c>
      <c r="R30" s="38" t="n">
        <v>1900.86</v>
      </c>
      <c r="S30" s="38" t="n">
        <v>1900.97</v>
      </c>
      <c r="T30" s="22" t="s">
        <v>189</v>
      </c>
      <c r="U30" s="39" t="n">
        <f aca="false">IF(R30="","",IF(F30="BUY",R30-S30,S30-R30))</f>
        <v>0.110000000000127</v>
      </c>
      <c r="V30" s="39" t="n">
        <f aca="false">IF(F30="BUY",S30-J30,J30-S30)</f>
        <v>0.389999999999873</v>
      </c>
      <c r="W30" s="6" t="n">
        <v>2.73</v>
      </c>
      <c r="X30" s="26" t="n">
        <f aca="false">IFERROR(W30/N30,0)</f>
        <v>0.065</v>
      </c>
      <c r="Y30" s="22" t="str">
        <f aca="false">IF(W30&gt;0,"Win",IF(W30&lt;0,"Loss","Flat"))</f>
        <v>Win</v>
      </c>
      <c r="Z30" s="24" t="n">
        <f aca="false">Summary!$C$5+SUM(W$2:W30)</f>
        <v>4779.94</v>
      </c>
      <c r="AA30" s="24" t="n">
        <f aca="false">MAX(AA29,Z30)</f>
        <v>5000</v>
      </c>
      <c r="AB30" s="24" t="n">
        <f aca="false">AA30-Z30</f>
        <v>220.06</v>
      </c>
      <c r="AC30" s="23" t="n">
        <f aca="false">IFERROR(AB30/AA30,0)</f>
        <v>0.0440120000000001</v>
      </c>
      <c r="AD30" s="22" t="s">
        <v>267</v>
      </c>
    </row>
    <row r="31" customFormat="false" ht="15" hidden="false" customHeight="false" outlineLevel="0" collapsed="false">
      <c r="A31" s="22" t="n">
        <v>30</v>
      </c>
      <c r="B31" s="22" t="s">
        <v>120</v>
      </c>
      <c r="C31" s="37" t="n">
        <v>44678.3948148148</v>
      </c>
      <c r="D31" s="22" t="s">
        <v>204</v>
      </c>
      <c r="E31" s="22" t="n">
        <v>9</v>
      </c>
      <c r="F31" s="22" t="s">
        <v>181</v>
      </c>
      <c r="G31" s="22" t="s">
        <v>235</v>
      </c>
      <c r="H31" s="22" t="n">
        <v>0.07</v>
      </c>
      <c r="I31" s="38" t="n">
        <v>1900.66</v>
      </c>
      <c r="J31" s="38" t="n">
        <v>1900.74</v>
      </c>
      <c r="K31" s="39" t="n">
        <f aca="false">IF(F31="BUY",J31-I31,I31-J31)</f>
        <v>0.0799999999999272</v>
      </c>
      <c r="L31" s="38" t="n">
        <v>1894.66</v>
      </c>
      <c r="M31" s="39" t="n">
        <f aca="false">ABS(I31-L31)</f>
        <v>6</v>
      </c>
      <c r="N31" s="24" t="n">
        <f aca="false">M31*H31*Summary!$C$6</f>
        <v>42</v>
      </c>
      <c r="O31" s="37" t="n">
        <v>44678.4421875</v>
      </c>
      <c r="P31" s="22" t="n">
        <f aca="false">ROUND((O31-C31)*86400,0)</f>
        <v>4093</v>
      </c>
      <c r="Q31" s="22" t="str">
        <f aca="false">IF(P31&lt;10,"a) &lt;10s",IF(P31&lt;60,"b) 10-60s",IF(P31&lt;600,"c) 1-10min","d) &gt;10min")))</f>
        <v>d) &gt;10min</v>
      </c>
      <c r="R31" s="38" t="n">
        <v>1901.24</v>
      </c>
      <c r="S31" s="38" t="n">
        <v>1901.22</v>
      </c>
      <c r="T31" s="22" t="s">
        <v>189</v>
      </c>
      <c r="U31" s="39" t="n">
        <f aca="false">IF(R31="","",IF(F31="BUY",R31-S31,S31-R31))</f>
        <v>0.0199999999999818</v>
      </c>
      <c r="V31" s="39" t="n">
        <f aca="false">IF(F31="BUY",S31-J31,J31-S31)</f>
        <v>0.480000000000018</v>
      </c>
      <c r="W31" s="6" t="n">
        <v>3.36</v>
      </c>
      <c r="X31" s="26" t="n">
        <f aca="false">IFERROR(W31/N31,0)</f>
        <v>0.08</v>
      </c>
      <c r="Y31" s="22" t="str">
        <f aca="false">IF(W31&gt;0,"Win",IF(W31&lt;0,"Loss","Flat"))</f>
        <v>Win</v>
      </c>
      <c r="Z31" s="24" t="n">
        <f aca="false">Summary!$C$5+SUM(W$2:W31)</f>
        <v>4783.3</v>
      </c>
      <c r="AA31" s="24" t="n">
        <f aca="false">MAX(AA30,Z31)</f>
        <v>5000</v>
      </c>
      <c r="AB31" s="24" t="n">
        <f aca="false">AA31-Z31</f>
        <v>216.7</v>
      </c>
      <c r="AC31" s="23" t="n">
        <f aca="false">IFERROR(AB31/AA31,0)</f>
        <v>0.04334</v>
      </c>
      <c r="AD31" s="22" t="s">
        <v>268</v>
      </c>
    </row>
    <row r="32" customFormat="false" ht="15" hidden="false" customHeight="false" outlineLevel="0" collapsed="false">
      <c r="A32" s="22" t="n">
        <v>31</v>
      </c>
      <c r="B32" s="22" t="s">
        <v>120</v>
      </c>
      <c r="C32" s="37" t="n">
        <v>44678.4606828704</v>
      </c>
      <c r="D32" s="22" t="s">
        <v>204</v>
      </c>
      <c r="E32" s="22" t="n">
        <v>11</v>
      </c>
      <c r="F32" s="22" t="s">
        <v>182</v>
      </c>
      <c r="G32" s="22" t="s">
        <v>237</v>
      </c>
      <c r="H32" s="22" t="n">
        <v>0.07</v>
      </c>
      <c r="I32" s="38" t="n">
        <v>1895.61</v>
      </c>
      <c r="J32" s="38" t="n">
        <v>1895.53</v>
      </c>
      <c r="K32" s="39" t="n">
        <f aca="false">IF(F32="BUY",J32-I32,I32-J32)</f>
        <v>0.0799999999999272</v>
      </c>
      <c r="L32" s="38" t="n">
        <v>1901.61</v>
      </c>
      <c r="M32" s="39" t="n">
        <f aca="false">ABS(I32-L32)</f>
        <v>6</v>
      </c>
      <c r="N32" s="24" t="n">
        <f aca="false">M32*H32*Summary!$C$6</f>
        <v>42</v>
      </c>
      <c r="O32" s="37" t="n">
        <v>44678.4776967593</v>
      </c>
      <c r="P32" s="22" t="n">
        <f aca="false">ROUND((O32-C32)*86400,0)</f>
        <v>1470</v>
      </c>
      <c r="Q32" s="22" t="str">
        <f aca="false">IF(P32&lt;10,"a) &lt;10s",IF(P32&lt;60,"b) 10-60s",IF(P32&lt;600,"c) 1-10min","d) &gt;10min")))</f>
        <v>d) &gt;10min</v>
      </c>
      <c r="R32" s="38" t="n">
        <v>1895.03</v>
      </c>
      <c r="S32" s="38" t="n">
        <v>1895.12</v>
      </c>
      <c r="T32" s="22" t="s">
        <v>189</v>
      </c>
      <c r="U32" s="39" t="n">
        <f aca="false">IF(R32="","",IF(F32="BUY",R32-S32,S32-R32))</f>
        <v>0.0899999999999182</v>
      </c>
      <c r="V32" s="39" t="n">
        <f aca="false">IF(F32="BUY",S32-J32,J32-S32)</f>
        <v>0.410000000000082</v>
      </c>
      <c r="W32" s="6" t="n">
        <v>2.87</v>
      </c>
      <c r="X32" s="26" t="n">
        <f aca="false">IFERROR(W32/N32,0)</f>
        <v>0.0683333333333333</v>
      </c>
      <c r="Y32" s="22" t="str">
        <f aca="false">IF(W32&gt;0,"Win",IF(W32&lt;0,"Loss","Flat"))</f>
        <v>Win</v>
      </c>
      <c r="Z32" s="24" t="n">
        <f aca="false">Summary!$C$5+SUM(W$2:W32)</f>
        <v>4786.17</v>
      </c>
      <c r="AA32" s="24" t="n">
        <f aca="false">MAX(AA31,Z32)</f>
        <v>5000</v>
      </c>
      <c r="AB32" s="24" t="n">
        <f aca="false">AA32-Z32</f>
        <v>213.83</v>
      </c>
      <c r="AC32" s="23" t="n">
        <f aca="false">IFERROR(AB32/AA32,0)</f>
        <v>0.042766</v>
      </c>
      <c r="AD32" s="22" t="s">
        <v>269</v>
      </c>
    </row>
    <row r="33" customFormat="false" ht="15" hidden="false" customHeight="false" outlineLevel="0" collapsed="false">
      <c r="A33" s="22" t="n">
        <v>32</v>
      </c>
      <c r="B33" s="22" t="s">
        <v>120</v>
      </c>
      <c r="C33" s="37" t="n">
        <v>44679.2172106481</v>
      </c>
      <c r="D33" s="22" t="s">
        <v>205</v>
      </c>
      <c r="E33" s="22" t="n">
        <v>5</v>
      </c>
      <c r="F33" s="22" t="s">
        <v>182</v>
      </c>
      <c r="G33" s="22" t="s">
        <v>237</v>
      </c>
      <c r="H33" s="22" t="n">
        <v>0.07</v>
      </c>
      <c r="I33" s="38" t="n">
        <v>1881.25</v>
      </c>
      <c r="J33" s="38" t="n">
        <v>1880.79</v>
      </c>
      <c r="K33" s="39" t="n">
        <f aca="false">IF(F33="BUY",J33-I33,I33-J33)</f>
        <v>0.460000000000036</v>
      </c>
      <c r="L33" s="38" t="n">
        <v>1887.25</v>
      </c>
      <c r="M33" s="39" t="n">
        <f aca="false">ABS(I33-L33)</f>
        <v>6</v>
      </c>
      <c r="N33" s="24" t="n">
        <f aca="false">M33*H33*Summary!$C$6</f>
        <v>42</v>
      </c>
      <c r="O33" s="37" t="n">
        <v>44679.2643171296</v>
      </c>
      <c r="P33" s="22" t="n">
        <f aca="false">ROUND((O33-C33)*86400,0)</f>
        <v>4070</v>
      </c>
      <c r="Q33" s="22" t="str">
        <f aca="false">IF(P33&lt;10,"a) &lt;10s",IF(P33&lt;60,"b) 10-60s",IF(P33&lt;600,"c) 1-10min","d) &gt;10min")))</f>
        <v>d) &gt;10min</v>
      </c>
      <c r="R33" s="38" t="n">
        <v>1880.29</v>
      </c>
      <c r="S33" s="38" t="n">
        <v>1880.31</v>
      </c>
      <c r="T33" s="22" t="s">
        <v>189</v>
      </c>
      <c r="U33" s="39" t="n">
        <f aca="false">IF(R33="","",IF(F33="BUY",R33-S33,S33-R33))</f>
        <v>0.0199999999999818</v>
      </c>
      <c r="V33" s="39" t="n">
        <f aca="false">IF(F33="BUY",S33-J33,J33-S33)</f>
        <v>0.480000000000018</v>
      </c>
      <c r="W33" s="6" t="n">
        <v>3.36</v>
      </c>
      <c r="X33" s="26" t="n">
        <f aca="false">IFERROR(W33/N33,0)</f>
        <v>0.08</v>
      </c>
      <c r="Y33" s="22" t="str">
        <f aca="false">IF(W33&gt;0,"Win",IF(W33&lt;0,"Loss","Flat"))</f>
        <v>Win</v>
      </c>
      <c r="Z33" s="24" t="n">
        <f aca="false">Summary!$C$5+SUM(W$2:W33)</f>
        <v>4789.53</v>
      </c>
      <c r="AA33" s="24" t="n">
        <f aca="false">MAX(AA32,Z33)</f>
        <v>5000</v>
      </c>
      <c r="AB33" s="24" t="n">
        <f aca="false">AA33-Z33</f>
        <v>210.47</v>
      </c>
      <c r="AC33" s="23" t="n">
        <f aca="false">IFERROR(AB33/AA33,0)</f>
        <v>0.0420940000000001</v>
      </c>
      <c r="AD33" s="22" t="s">
        <v>270</v>
      </c>
    </row>
    <row r="34" customFormat="false" ht="15" hidden="false" customHeight="false" outlineLevel="0" collapsed="false">
      <c r="A34" s="22" t="n">
        <v>33</v>
      </c>
      <c r="B34" s="22" t="s">
        <v>120</v>
      </c>
      <c r="C34" s="37" t="n">
        <v>44679.4089930556</v>
      </c>
      <c r="D34" s="22" t="s">
        <v>205</v>
      </c>
      <c r="E34" s="22" t="n">
        <v>9</v>
      </c>
      <c r="F34" s="22" t="s">
        <v>181</v>
      </c>
      <c r="G34" s="22" t="s">
        <v>235</v>
      </c>
      <c r="H34" s="22" t="n">
        <v>0.07</v>
      </c>
      <c r="I34" s="38" t="n">
        <v>1879.19</v>
      </c>
      <c r="J34" s="38" t="n">
        <v>1879.21</v>
      </c>
      <c r="K34" s="39" t="n">
        <f aca="false">IF(F34="BUY",J34-I34,I34-J34)</f>
        <v>0.0199999999999818</v>
      </c>
      <c r="L34" s="38" t="n">
        <v>1873.19</v>
      </c>
      <c r="M34" s="39" t="n">
        <f aca="false">ABS(I34-L34)</f>
        <v>6</v>
      </c>
      <c r="N34" s="24" t="n">
        <f aca="false">M34*H34*Summary!$C$6</f>
        <v>42</v>
      </c>
      <c r="O34" s="37" t="n">
        <v>44679.9270833333</v>
      </c>
      <c r="P34" s="22" t="n">
        <f aca="false">ROUND((O34-C34)*86400,0)</f>
        <v>44763</v>
      </c>
      <c r="Q34" s="22" t="str">
        <f aca="false">IF(P34&lt;10,"a) &lt;10s",IF(P34&lt;60,"b) 10-60s",IF(P34&lt;600,"c) 1-10min","d) &gt;10min")))</f>
        <v>d) &gt;10min</v>
      </c>
      <c r="R34" s="38"/>
      <c r="S34" s="38" t="n">
        <v>1894.83</v>
      </c>
      <c r="T34" s="22" t="s">
        <v>191</v>
      </c>
      <c r="U34" s="39" t="str">
        <f aca="false">IF(R34="","",IF(F34="BUY",R34-S34,S34-R34))</f>
        <v/>
      </c>
      <c r="V34" s="39" t="n">
        <f aca="false">IF(F34="BUY",S34-J34,J34-S34)</f>
        <v>15.6199999999999</v>
      </c>
      <c r="W34" s="6" t="n">
        <v>109.34</v>
      </c>
      <c r="X34" s="26" t="n">
        <f aca="false">IFERROR(W34/N34,0)</f>
        <v>2.60333333333333</v>
      </c>
      <c r="Y34" s="22" t="str">
        <f aca="false">IF(W34&gt;0,"Win",IF(W34&lt;0,"Loss","Flat"))</f>
        <v>Win</v>
      </c>
      <c r="Z34" s="24" t="n">
        <f aca="false">Summary!$C$5+SUM(W$2:W34)</f>
        <v>4898.87</v>
      </c>
      <c r="AA34" s="24" t="n">
        <f aca="false">MAX(AA33,Z34)</f>
        <v>5000</v>
      </c>
      <c r="AB34" s="24" t="n">
        <f aca="false">AA34-Z34</f>
        <v>101.13</v>
      </c>
      <c r="AC34" s="23" t="n">
        <f aca="false">IFERROR(AB34/AA34,0)</f>
        <v>0.020226</v>
      </c>
      <c r="AD34" s="22" t="s">
        <v>271</v>
      </c>
    </row>
    <row r="35" customFormat="false" ht="15" hidden="false" customHeight="false" outlineLevel="0" collapsed="false">
      <c r="A35" s="22" t="n">
        <v>34</v>
      </c>
      <c r="B35" s="22" t="s">
        <v>120</v>
      </c>
      <c r="C35" s="37" t="n">
        <v>44680.1316782407</v>
      </c>
      <c r="D35" s="22" t="s">
        <v>206</v>
      </c>
      <c r="E35" s="22" t="n">
        <v>3</v>
      </c>
      <c r="F35" s="22" t="s">
        <v>181</v>
      </c>
      <c r="G35" s="22" t="s">
        <v>243</v>
      </c>
      <c r="H35" s="22" t="n">
        <v>0.08</v>
      </c>
      <c r="I35" s="38" t="n">
        <v>1896.61</v>
      </c>
      <c r="J35" s="38" t="n">
        <v>1896.63</v>
      </c>
      <c r="K35" s="39" t="n">
        <f aca="false">IF(F35="BUY",J35-I35,I35-J35)</f>
        <v>0.0200000000002092</v>
      </c>
      <c r="L35" s="38" t="n">
        <v>1890.61</v>
      </c>
      <c r="M35" s="39" t="n">
        <f aca="false">ABS(I35-L35)</f>
        <v>6</v>
      </c>
      <c r="N35" s="24" t="n">
        <f aca="false">M35*H35*Summary!$C$6</f>
        <v>48</v>
      </c>
      <c r="O35" s="37" t="n">
        <v>44680.9270833333</v>
      </c>
      <c r="P35" s="22" t="n">
        <f aca="false">ROUND((O35-C35)*86400,0)</f>
        <v>68723</v>
      </c>
      <c r="Q35" s="22" t="str">
        <f aca="false">IF(P35&lt;10,"a) &lt;10s",IF(P35&lt;60,"b) 10-60s",IF(P35&lt;600,"c) 1-10min","d) &gt;10min")))</f>
        <v>d) &gt;10min</v>
      </c>
      <c r="R35" s="38"/>
      <c r="S35" s="38" t="n">
        <v>1902.91</v>
      </c>
      <c r="T35" s="22" t="s">
        <v>191</v>
      </c>
      <c r="U35" s="39" t="str">
        <f aca="false">IF(R35="","",IF(F35="BUY",R35-S35,S35-R35))</f>
        <v/>
      </c>
      <c r="V35" s="39" t="n">
        <f aca="false">IF(F35="BUY",S35-J35,J35-S35)</f>
        <v>6.27999999999997</v>
      </c>
      <c r="W35" s="6" t="n">
        <v>50.24</v>
      </c>
      <c r="X35" s="26" t="n">
        <f aca="false">IFERROR(W35/N35,0)</f>
        <v>1.04666666666667</v>
      </c>
      <c r="Y35" s="22" t="str">
        <f aca="false">IF(W35&gt;0,"Win",IF(W35&lt;0,"Loss","Flat"))</f>
        <v>Win</v>
      </c>
      <c r="Z35" s="24" t="n">
        <f aca="false">Summary!$C$5+SUM(W$2:W35)</f>
        <v>4949.11</v>
      </c>
      <c r="AA35" s="24" t="n">
        <f aca="false">MAX(AA34,Z35)</f>
        <v>5000</v>
      </c>
      <c r="AB35" s="24" t="n">
        <f aca="false">AA35-Z35</f>
        <v>50.8900000000003</v>
      </c>
      <c r="AC35" s="23" t="n">
        <f aca="false">IFERROR(AB35/AA35,0)</f>
        <v>0.0101780000000001</v>
      </c>
      <c r="AD35" s="22" t="s">
        <v>272</v>
      </c>
    </row>
    <row r="36" customFormat="false" ht="15" hidden="false" customHeight="false" outlineLevel="0" collapsed="false">
      <c r="A36" s="22" t="n">
        <v>35</v>
      </c>
      <c r="B36" s="22" t="s">
        <v>121</v>
      </c>
      <c r="C36" s="37" t="n">
        <v>44683.1571296296</v>
      </c>
      <c r="D36" s="22" t="s">
        <v>202</v>
      </c>
      <c r="E36" s="22" t="n">
        <v>3</v>
      </c>
      <c r="F36" s="22" t="s">
        <v>182</v>
      </c>
      <c r="G36" s="22" t="s">
        <v>237</v>
      </c>
      <c r="H36" s="22" t="n">
        <v>0.08</v>
      </c>
      <c r="I36" s="38" t="n">
        <v>1892.47</v>
      </c>
      <c r="J36" s="38" t="n">
        <v>1892.46</v>
      </c>
      <c r="K36" s="39" t="n">
        <f aca="false">IF(F36="BUY",J36-I36,I36-J36)</f>
        <v>0.00999999999999091</v>
      </c>
      <c r="L36" s="38" t="n">
        <v>1898.47</v>
      </c>
      <c r="M36" s="39" t="n">
        <f aca="false">ABS(I36-L36)</f>
        <v>6</v>
      </c>
      <c r="N36" s="24" t="n">
        <f aca="false">M36*H36*Summary!$C$6</f>
        <v>48</v>
      </c>
      <c r="O36" s="37" t="n">
        <v>44683.158900463</v>
      </c>
      <c r="P36" s="22" t="n">
        <f aca="false">ROUND((O36-C36)*86400,0)</f>
        <v>153</v>
      </c>
      <c r="Q36" s="22" t="str">
        <f aca="false">IF(P36&lt;10,"a) &lt;10s",IF(P36&lt;60,"b) 10-60s",IF(P36&lt;600,"c) 1-10min","d) &gt;10min")))</f>
        <v>c) 1-10min</v>
      </c>
      <c r="R36" s="38" t="n">
        <v>1891.96</v>
      </c>
      <c r="S36" s="38" t="n">
        <v>1891.97</v>
      </c>
      <c r="T36" s="22" t="s">
        <v>189</v>
      </c>
      <c r="U36" s="39" t="n">
        <f aca="false">IF(R36="","",IF(F36="BUY",R36-S36,S36-R36))</f>
        <v>0.00999999999999091</v>
      </c>
      <c r="V36" s="39" t="n">
        <f aca="false">IF(F36="BUY",S36-J36,J36-S36)</f>
        <v>0.490000000000009</v>
      </c>
      <c r="W36" s="6" t="n">
        <v>3.92</v>
      </c>
      <c r="X36" s="26" t="n">
        <f aca="false">IFERROR(W36/N36,0)</f>
        <v>0.0816666666666667</v>
      </c>
      <c r="Y36" s="22" t="str">
        <f aca="false">IF(W36&gt;0,"Win",IF(W36&lt;0,"Loss","Flat"))</f>
        <v>Win</v>
      </c>
      <c r="Z36" s="24" t="n">
        <f aca="false">Summary!$C$5+SUM(W$2:W36)</f>
        <v>4953.03</v>
      </c>
      <c r="AA36" s="24" t="n">
        <f aca="false">MAX(AA35,Z36)</f>
        <v>5000</v>
      </c>
      <c r="AB36" s="24" t="n">
        <f aca="false">AA36-Z36</f>
        <v>46.9700000000003</v>
      </c>
      <c r="AC36" s="23" t="n">
        <f aca="false">IFERROR(AB36/AA36,0)</f>
        <v>0.00939400000000005</v>
      </c>
      <c r="AD36" s="22" t="s">
        <v>273</v>
      </c>
    </row>
    <row r="37" customFormat="false" ht="15" hidden="false" customHeight="false" outlineLevel="0" collapsed="false">
      <c r="A37" s="22" t="n">
        <v>36</v>
      </c>
      <c r="B37" s="22" t="s">
        <v>121</v>
      </c>
      <c r="C37" s="37" t="n">
        <v>44683.4755208333</v>
      </c>
      <c r="D37" s="22" t="s">
        <v>202</v>
      </c>
      <c r="E37" s="22" t="n">
        <v>11</v>
      </c>
      <c r="F37" s="22" t="s">
        <v>182</v>
      </c>
      <c r="G37" s="22" t="s">
        <v>241</v>
      </c>
      <c r="H37" s="22" t="n">
        <v>0.08</v>
      </c>
      <c r="I37" s="38" t="n">
        <v>1882.62</v>
      </c>
      <c r="J37" s="38" t="n">
        <v>1882.62</v>
      </c>
      <c r="K37" s="39" t="n">
        <f aca="false">IF(F37="BUY",J37-I37,I37-J37)</f>
        <v>0</v>
      </c>
      <c r="L37" s="38" t="n">
        <v>1888.62</v>
      </c>
      <c r="M37" s="39" t="n">
        <f aca="false">ABS(I37-L37)</f>
        <v>6</v>
      </c>
      <c r="N37" s="24" t="n">
        <f aca="false">M37*H37*Summary!$C$6</f>
        <v>48</v>
      </c>
      <c r="O37" s="37" t="n">
        <v>44683.5799189815</v>
      </c>
      <c r="P37" s="22" t="n">
        <f aca="false">ROUND((O37-C37)*86400,0)</f>
        <v>9020</v>
      </c>
      <c r="Q37" s="22" t="str">
        <f aca="false">IF(P37&lt;10,"a) &lt;10s",IF(P37&lt;60,"b) 10-60s",IF(P37&lt;600,"c) 1-10min","d) &gt;10min")))</f>
        <v>d) &gt;10min</v>
      </c>
      <c r="R37" s="38" t="n">
        <v>1882.12</v>
      </c>
      <c r="S37" s="38" t="n">
        <v>1882.14</v>
      </c>
      <c r="T37" s="22" t="s">
        <v>189</v>
      </c>
      <c r="U37" s="39" t="n">
        <f aca="false">IF(R37="","",IF(F37="BUY",R37-S37,S37-R37))</f>
        <v>0.0200000000002092</v>
      </c>
      <c r="V37" s="39" t="n">
        <f aca="false">IF(F37="BUY",S37-J37,J37-S37)</f>
        <v>0.479999999999791</v>
      </c>
      <c r="W37" s="6" t="n">
        <v>3.84</v>
      </c>
      <c r="X37" s="26" t="n">
        <f aca="false">IFERROR(W37/N37,0)</f>
        <v>0.08</v>
      </c>
      <c r="Y37" s="22" t="str">
        <f aca="false">IF(W37&gt;0,"Win",IF(W37&lt;0,"Loss","Flat"))</f>
        <v>Win</v>
      </c>
      <c r="Z37" s="24" t="n">
        <f aca="false">Summary!$C$5+SUM(W$2:W37)</f>
        <v>4956.87</v>
      </c>
      <c r="AA37" s="24" t="n">
        <f aca="false">MAX(AA36,Z37)</f>
        <v>5000</v>
      </c>
      <c r="AB37" s="24" t="n">
        <f aca="false">AA37-Z37</f>
        <v>43.1300000000001</v>
      </c>
      <c r="AC37" s="23" t="n">
        <f aca="false">IFERROR(AB37/AA37,0)</f>
        <v>0.00862600000000002</v>
      </c>
      <c r="AD37" s="22" t="s">
        <v>274</v>
      </c>
    </row>
    <row r="38" customFormat="false" ht="15" hidden="false" customHeight="false" outlineLevel="0" collapsed="false">
      <c r="A38" s="22" t="n">
        <v>37</v>
      </c>
      <c r="B38" s="22" t="s">
        <v>121</v>
      </c>
      <c r="C38" s="37" t="n">
        <v>44684.3942361111</v>
      </c>
      <c r="D38" s="22" t="s">
        <v>203</v>
      </c>
      <c r="E38" s="22" t="n">
        <v>9</v>
      </c>
      <c r="F38" s="22" t="s">
        <v>182</v>
      </c>
      <c r="G38" s="22" t="s">
        <v>241</v>
      </c>
      <c r="H38" s="22" t="n">
        <v>0.08</v>
      </c>
      <c r="I38" s="38" t="n">
        <v>1857.33</v>
      </c>
      <c r="J38" s="38" t="n">
        <v>1857.32</v>
      </c>
      <c r="K38" s="39" t="n">
        <f aca="false">IF(F38="BUY",J38-I38,I38-J38)</f>
        <v>0.00999999999999091</v>
      </c>
      <c r="L38" s="38" t="n">
        <v>1863.33</v>
      </c>
      <c r="M38" s="39" t="n">
        <f aca="false">ABS(I38-L38)</f>
        <v>6</v>
      </c>
      <c r="N38" s="24" t="n">
        <f aca="false">M38*H38*Summary!$C$6</f>
        <v>48</v>
      </c>
      <c r="O38" s="37" t="n">
        <v>44684.4299421296</v>
      </c>
      <c r="P38" s="22" t="n">
        <f aca="false">ROUND((O38-C38)*86400,0)</f>
        <v>3085</v>
      </c>
      <c r="Q38" s="22" t="str">
        <f aca="false">IF(P38&lt;10,"a) &lt;10s",IF(P38&lt;60,"b) 10-60s",IF(P38&lt;600,"c) 1-10min","d) &gt;10min")))</f>
        <v>d) &gt;10min</v>
      </c>
      <c r="R38" s="38" t="n">
        <v>1856.82</v>
      </c>
      <c r="S38" s="38" t="n">
        <v>1856.82</v>
      </c>
      <c r="T38" s="22" t="s">
        <v>189</v>
      </c>
      <c r="U38" s="39" t="n">
        <f aca="false">IF(R38="","",IF(F38="BUY",R38-S38,S38-R38))</f>
        <v>0</v>
      </c>
      <c r="V38" s="39" t="n">
        <f aca="false">IF(F38="BUY",S38-J38,J38-S38)</f>
        <v>0.5</v>
      </c>
      <c r="W38" s="6" t="n">
        <v>4</v>
      </c>
      <c r="X38" s="26" t="n">
        <f aca="false">IFERROR(W38/N38,0)</f>
        <v>0.0833333333333333</v>
      </c>
      <c r="Y38" s="22" t="str">
        <f aca="false">IF(W38&gt;0,"Win",IF(W38&lt;0,"Loss","Flat"))</f>
        <v>Win</v>
      </c>
      <c r="Z38" s="24" t="n">
        <f aca="false">Summary!$C$5+SUM(W$2:W38)</f>
        <v>4960.87</v>
      </c>
      <c r="AA38" s="24" t="n">
        <f aca="false">MAX(AA37,Z38)</f>
        <v>5000</v>
      </c>
      <c r="AB38" s="24" t="n">
        <f aca="false">AA38-Z38</f>
        <v>39.1300000000001</v>
      </c>
      <c r="AC38" s="23" t="n">
        <f aca="false">IFERROR(AB38/AA38,0)</f>
        <v>0.00782600000000002</v>
      </c>
      <c r="AD38" s="22" t="s">
        <v>275</v>
      </c>
    </row>
    <row r="39" customFormat="false" ht="15" hidden="false" customHeight="false" outlineLevel="0" collapsed="false">
      <c r="A39" s="22" t="n">
        <v>38</v>
      </c>
      <c r="B39" s="22" t="s">
        <v>121</v>
      </c>
      <c r="C39" s="37" t="n">
        <v>44685.3770949074</v>
      </c>
      <c r="D39" s="22" t="s">
        <v>204</v>
      </c>
      <c r="E39" s="22" t="n">
        <v>9</v>
      </c>
      <c r="F39" s="22" t="s">
        <v>182</v>
      </c>
      <c r="G39" s="22" t="s">
        <v>241</v>
      </c>
      <c r="H39" s="22" t="n">
        <v>0.08</v>
      </c>
      <c r="I39" s="38" t="n">
        <v>1862.33</v>
      </c>
      <c r="J39" s="38" t="n">
        <v>1862.26</v>
      </c>
      <c r="K39" s="39" t="n">
        <f aca="false">IF(F39="BUY",J39-I39,I39-J39)</f>
        <v>0.0699999999999363</v>
      </c>
      <c r="L39" s="38" t="n">
        <v>1868.33</v>
      </c>
      <c r="M39" s="39" t="n">
        <f aca="false">ABS(I39-L39)</f>
        <v>6</v>
      </c>
      <c r="N39" s="24" t="n">
        <f aca="false">M39*H39*Summary!$C$6</f>
        <v>48</v>
      </c>
      <c r="O39" s="37" t="n">
        <v>44685.4205671296</v>
      </c>
      <c r="P39" s="22" t="n">
        <f aca="false">ROUND((O39-C39)*86400,0)</f>
        <v>3756</v>
      </c>
      <c r="Q39" s="22" t="str">
        <f aca="false">IF(P39&lt;10,"a) &lt;10s",IF(P39&lt;60,"b) 10-60s",IF(P39&lt;600,"c) 1-10min","d) &gt;10min")))</f>
        <v>d) &gt;10min</v>
      </c>
      <c r="R39" s="38" t="n">
        <v>1868.33</v>
      </c>
      <c r="S39" s="38" t="n">
        <v>1868.36</v>
      </c>
      <c r="T39" s="22" t="s">
        <v>188</v>
      </c>
      <c r="U39" s="39" t="n">
        <f aca="false">IF(R39="","",IF(F39="BUY",R39-S39,S39-R39))</f>
        <v>0.0299999999999727</v>
      </c>
      <c r="V39" s="39" t="n">
        <f aca="false">IF(F39="BUY",S39-J39,J39-S39)</f>
        <v>-6.09999999999991</v>
      </c>
      <c r="W39" s="6" t="n">
        <v>-48.8</v>
      </c>
      <c r="X39" s="26" t="n">
        <f aca="false">IFERROR(W39/N39,0)</f>
        <v>-1.01666666666667</v>
      </c>
      <c r="Y39" s="22" t="str">
        <f aca="false">IF(W39&gt;0,"Win",IF(W39&lt;0,"Loss","Flat"))</f>
        <v>Loss</v>
      </c>
      <c r="Z39" s="24" t="n">
        <f aca="false">Summary!$C$5+SUM(W$2:W39)</f>
        <v>4912.07</v>
      </c>
      <c r="AA39" s="24" t="n">
        <f aca="false">MAX(AA38,Z39)</f>
        <v>5000</v>
      </c>
      <c r="AB39" s="24" t="n">
        <f aca="false">AA39-Z39</f>
        <v>87.9300000000003</v>
      </c>
      <c r="AC39" s="23" t="n">
        <f aca="false">IFERROR(AB39/AA39,0)</f>
        <v>0.0175860000000001</v>
      </c>
      <c r="AD39" s="22" t="s">
        <v>276</v>
      </c>
    </row>
    <row r="40" customFormat="false" ht="15" hidden="false" customHeight="false" outlineLevel="0" collapsed="false">
      <c r="A40" s="22" t="n">
        <v>39</v>
      </c>
      <c r="B40" s="22" t="s">
        <v>121</v>
      </c>
      <c r="C40" s="37" t="n">
        <v>44685.9073611111</v>
      </c>
      <c r="D40" s="22" t="s">
        <v>204</v>
      </c>
      <c r="E40" s="22" t="n">
        <v>21</v>
      </c>
      <c r="F40" s="22" t="s">
        <v>181</v>
      </c>
      <c r="G40" s="22" t="s">
        <v>243</v>
      </c>
      <c r="H40" s="22" t="n">
        <v>0.08</v>
      </c>
      <c r="I40" s="38" t="n">
        <v>1878</v>
      </c>
      <c r="J40" s="38" t="n">
        <v>1878.15</v>
      </c>
      <c r="K40" s="39" t="n">
        <f aca="false">IF(F40="BUY",J40-I40,I40-J40)</f>
        <v>0.150000000000091</v>
      </c>
      <c r="L40" s="38" t="n">
        <v>1872</v>
      </c>
      <c r="M40" s="39" t="n">
        <f aca="false">ABS(I40-L40)</f>
        <v>6</v>
      </c>
      <c r="N40" s="24" t="n">
        <f aca="false">M40*H40*Summary!$C$6</f>
        <v>48</v>
      </c>
      <c r="O40" s="37" t="n">
        <v>44685.9078009259</v>
      </c>
      <c r="P40" s="22" t="n">
        <f aca="false">ROUND((O40-C40)*86400,0)</f>
        <v>38</v>
      </c>
      <c r="Q40" s="22" t="str">
        <f aca="false">IF(P40&lt;10,"a) &lt;10s",IF(P40&lt;60,"b) 10-60s",IF(P40&lt;600,"c) 1-10min","d) &gt;10min")))</f>
        <v>b) 10-60s</v>
      </c>
      <c r="R40" s="38" t="n">
        <v>1878.65</v>
      </c>
      <c r="S40" s="38" t="n">
        <v>1878.65</v>
      </c>
      <c r="T40" s="22" t="s">
        <v>189</v>
      </c>
      <c r="U40" s="39" t="n">
        <f aca="false">IF(R40="","",IF(F40="BUY",R40-S40,S40-R40))</f>
        <v>0</v>
      </c>
      <c r="V40" s="39" t="n">
        <f aca="false">IF(F40="BUY",S40-J40,J40-S40)</f>
        <v>0.5</v>
      </c>
      <c r="W40" s="6" t="n">
        <v>4</v>
      </c>
      <c r="X40" s="26" t="n">
        <f aca="false">IFERROR(W40/N40,0)</f>
        <v>0.0833333333333333</v>
      </c>
      <c r="Y40" s="22" t="str">
        <f aca="false">IF(W40&gt;0,"Win",IF(W40&lt;0,"Loss","Flat"))</f>
        <v>Win</v>
      </c>
      <c r="Z40" s="24" t="n">
        <f aca="false">Summary!$C$5+SUM(W$2:W40)</f>
        <v>4916.07</v>
      </c>
      <c r="AA40" s="24" t="n">
        <f aca="false">MAX(AA39,Z40)</f>
        <v>5000</v>
      </c>
      <c r="AB40" s="24" t="n">
        <f aca="false">AA40-Z40</f>
        <v>83.9300000000003</v>
      </c>
      <c r="AC40" s="23" t="n">
        <f aca="false">IFERROR(AB40/AA40,0)</f>
        <v>0.0167860000000001</v>
      </c>
      <c r="AD40" s="22" t="s">
        <v>277</v>
      </c>
    </row>
    <row r="41" customFormat="false" ht="15" hidden="false" customHeight="false" outlineLevel="0" collapsed="false">
      <c r="A41" s="22" t="n">
        <v>40</v>
      </c>
      <c r="B41" s="22" t="s">
        <v>121</v>
      </c>
      <c r="C41" s="37" t="n">
        <v>44686.0970023148</v>
      </c>
      <c r="D41" s="22" t="s">
        <v>205</v>
      </c>
      <c r="E41" s="22" t="n">
        <v>2</v>
      </c>
      <c r="F41" s="22" t="s">
        <v>181</v>
      </c>
      <c r="G41" s="22" t="s">
        <v>243</v>
      </c>
      <c r="H41" s="22" t="n">
        <v>0.08</v>
      </c>
      <c r="I41" s="38" t="n">
        <v>1889.66</v>
      </c>
      <c r="J41" s="38" t="n">
        <v>1889.69</v>
      </c>
      <c r="K41" s="39" t="n">
        <f aca="false">IF(F41="BUY",J41-I41,I41-J41)</f>
        <v>0.0299999999999727</v>
      </c>
      <c r="L41" s="38" t="n">
        <v>1883.66</v>
      </c>
      <c r="M41" s="39" t="n">
        <f aca="false">ABS(I41-L41)</f>
        <v>6</v>
      </c>
      <c r="N41" s="24" t="n">
        <f aca="false">M41*H41*Summary!$C$6</f>
        <v>48</v>
      </c>
      <c r="O41" s="37" t="n">
        <v>44686.4743287037</v>
      </c>
      <c r="P41" s="22" t="n">
        <f aca="false">ROUND((O41-C41)*86400,0)</f>
        <v>32601</v>
      </c>
      <c r="Q41" s="22" t="str">
        <f aca="false">IF(P41&lt;10,"a) &lt;10s",IF(P41&lt;60,"b) 10-60s",IF(P41&lt;600,"c) 1-10min","d) &gt;10min")))</f>
        <v>d) &gt;10min</v>
      </c>
      <c r="R41" s="38" t="n">
        <v>1890.19</v>
      </c>
      <c r="S41" s="38" t="n">
        <v>1890.17</v>
      </c>
      <c r="T41" s="22" t="s">
        <v>189</v>
      </c>
      <c r="U41" s="39" t="n">
        <f aca="false">IF(R41="","",IF(F41="BUY",R41-S41,S41-R41))</f>
        <v>0.0199999999999818</v>
      </c>
      <c r="V41" s="39" t="n">
        <f aca="false">IF(F41="BUY",S41-J41,J41-S41)</f>
        <v>0.480000000000018</v>
      </c>
      <c r="W41" s="6" t="n">
        <v>3.84</v>
      </c>
      <c r="X41" s="26" t="n">
        <f aca="false">IFERROR(W41/N41,0)</f>
        <v>0.08</v>
      </c>
      <c r="Y41" s="22" t="str">
        <f aca="false">IF(W41&gt;0,"Win",IF(W41&lt;0,"Loss","Flat"))</f>
        <v>Win</v>
      </c>
      <c r="Z41" s="24" t="n">
        <f aca="false">Summary!$C$5+SUM(W$2:W41)</f>
        <v>4919.91</v>
      </c>
      <c r="AA41" s="24" t="n">
        <f aca="false">MAX(AA40,Z41)</f>
        <v>5000</v>
      </c>
      <c r="AB41" s="24" t="n">
        <f aca="false">AA41-Z41</f>
        <v>80.0900000000002</v>
      </c>
      <c r="AC41" s="23" t="n">
        <f aca="false">IFERROR(AB41/AA41,0)</f>
        <v>0.016018</v>
      </c>
      <c r="AD41" s="22" t="s">
        <v>278</v>
      </c>
    </row>
    <row r="42" customFormat="false" ht="15" hidden="false" customHeight="false" outlineLevel="0" collapsed="false">
      <c r="A42" s="22" t="n">
        <v>41</v>
      </c>
      <c r="B42" s="22" t="s">
        <v>121</v>
      </c>
      <c r="C42" s="37" t="n">
        <v>44687.1597222222</v>
      </c>
      <c r="D42" s="22" t="s">
        <v>206</v>
      </c>
      <c r="E42" s="22" t="n">
        <v>3</v>
      </c>
      <c r="F42" s="22" t="s">
        <v>182</v>
      </c>
      <c r="G42" s="22" t="s">
        <v>237</v>
      </c>
      <c r="H42" s="22" t="n">
        <v>0.08</v>
      </c>
      <c r="I42" s="38" t="n">
        <v>1872.36</v>
      </c>
      <c r="J42" s="38" t="n">
        <v>1872.35</v>
      </c>
      <c r="K42" s="39" t="n">
        <f aca="false">IF(F42="BUY",J42-I42,I42-J42)</f>
        <v>0.00999999999999091</v>
      </c>
      <c r="L42" s="38" t="n">
        <v>1878.36</v>
      </c>
      <c r="M42" s="39" t="n">
        <f aca="false">ABS(I42-L42)</f>
        <v>6</v>
      </c>
      <c r="N42" s="24" t="n">
        <f aca="false">M42*H42*Summary!$C$6</f>
        <v>48</v>
      </c>
      <c r="O42" s="37" t="n">
        <v>44687.1731944445</v>
      </c>
      <c r="P42" s="22" t="n">
        <f aca="false">ROUND((O42-C42)*86400,0)</f>
        <v>1164</v>
      </c>
      <c r="Q42" s="22" t="str">
        <f aca="false">IF(P42&lt;10,"a) &lt;10s",IF(P42&lt;60,"b) 10-60s",IF(P42&lt;600,"c) 1-10min","d) &gt;10min")))</f>
        <v>d) &gt;10min</v>
      </c>
      <c r="R42" s="38" t="n">
        <v>1871.85</v>
      </c>
      <c r="S42" s="38" t="n">
        <v>1871.87</v>
      </c>
      <c r="T42" s="22" t="s">
        <v>189</v>
      </c>
      <c r="U42" s="39" t="n">
        <f aca="false">IF(R42="","",IF(F42="BUY",R42-S42,S42-R42))</f>
        <v>0.0199999999999818</v>
      </c>
      <c r="V42" s="39" t="n">
        <f aca="false">IF(F42="BUY",S42-J42,J42-S42)</f>
        <v>0.480000000000018</v>
      </c>
      <c r="W42" s="6" t="n">
        <v>3.84</v>
      </c>
      <c r="X42" s="26" t="n">
        <f aca="false">IFERROR(W42/N42,0)</f>
        <v>0.08</v>
      </c>
      <c r="Y42" s="22" t="str">
        <f aca="false">IF(W42&gt;0,"Win",IF(W42&lt;0,"Loss","Flat"))</f>
        <v>Win</v>
      </c>
      <c r="Z42" s="24" t="n">
        <f aca="false">Summary!$C$5+SUM(W$2:W42)</f>
        <v>4923.75</v>
      </c>
      <c r="AA42" s="24" t="n">
        <f aca="false">MAX(AA41,Z42)</f>
        <v>5000</v>
      </c>
      <c r="AB42" s="24" t="n">
        <f aca="false">AA42-Z42</f>
        <v>76.25</v>
      </c>
      <c r="AC42" s="23" t="n">
        <f aca="false">IFERROR(AB42/AA42,0)</f>
        <v>0.01525</v>
      </c>
      <c r="AD42" s="22" t="s">
        <v>279</v>
      </c>
    </row>
    <row r="43" customFormat="false" ht="15" hidden="false" customHeight="false" outlineLevel="0" collapsed="false">
      <c r="A43" s="22" t="n">
        <v>42</v>
      </c>
      <c r="B43" s="22" t="s">
        <v>121</v>
      </c>
      <c r="C43" s="37" t="n">
        <v>44687.4749421296</v>
      </c>
      <c r="D43" s="22" t="s">
        <v>206</v>
      </c>
      <c r="E43" s="22" t="n">
        <v>11</v>
      </c>
      <c r="F43" s="22" t="s">
        <v>181</v>
      </c>
      <c r="G43" s="22" t="s">
        <v>235</v>
      </c>
      <c r="H43" s="22" t="n">
        <v>0.08</v>
      </c>
      <c r="I43" s="38" t="n">
        <v>1877.79</v>
      </c>
      <c r="J43" s="38" t="n">
        <v>1877.88</v>
      </c>
      <c r="K43" s="39" t="n">
        <f aca="false">IF(F43="BUY",J43-I43,I43-J43)</f>
        <v>0.0900000000001455</v>
      </c>
      <c r="L43" s="38" t="n">
        <v>1871.79</v>
      </c>
      <c r="M43" s="39" t="n">
        <f aca="false">ABS(I43-L43)</f>
        <v>6</v>
      </c>
      <c r="N43" s="24" t="n">
        <f aca="false">M43*H43*Summary!$C$6</f>
        <v>48</v>
      </c>
      <c r="O43" s="37" t="n">
        <v>44687.6608217593</v>
      </c>
      <c r="P43" s="22" t="n">
        <f aca="false">ROUND((O43-C43)*86400,0)</f>
        <v>16060</v>
      </c>
      <c r="Q43" s="22" t="str">
        <f aca="false">IF(P43&lt;10,"a) &lt;10s",IF(P43&lt;60,"b) 10-60s",IF(P43&lt;600,"c) 1-10min","d) &gt;10min")))</f>
        <v>d) &gt;10min</v>
      </c>
      <c r="R43" s="38" t="n">
        <v>1878.38</v>
      </c>
      <c r="S43" s="38" t="n">
        <v>1878.31</v>
      </c>
      <c r="T43" s="22" t="s">
        <v>189</v>
      </c>
      <c r="U43" s="39" t="n">
        <f aca="false">IF(R43="","",IF(F43="BUY",R43-S43,S43-R43))</f>
        <v>0.0700000000001637</v>
      </c>
      <c r="V43" s="39" t="n">
        <f aca="false">IF(F43="BUY",S43-J43,J43-S43)</f>
        <v>0.429999999999836</v>
      </c>
      <c r="W43" s="6" t="n">
        <v>3.44</v>
      </c>
      <c r="X43" s="26" t="n">
        <f aca="false">IFERROR(W43/N43,0)</f>
        <v>0.0716666666666667</v>
      </c>
      <c r="Y43" s="22" t="str">
        <f aca="false">IF(W43&gt;0,"Win",IF(W43&lt;0,"Loss","Flat"))</f>
        <v>Win</v>
      </c>
      <c r="Z43" s="24" t="n">
        <f aca="false">Summary!$C$5+SUM(W$2:W43)</f>
        <v>4927.19</v>
      </c>
      <c r="AA43" s="24" t="n">
        <f aca="false">MAX(AA42,Z43)</f>
        <v>5000</v>
      </c>
      <c r="AB43" s="24" t="n">
        <f aca="false">AA43-Z43</f>
        <v>72.8100000000004</v>
      </c>
      <c r="AC43" s="23" t="n">
        <f aca="false">IFERROR(AB43/AA43,0)</f>
        <v>0.0145620000000001</v>
      </c>
      <c r="AD43" s="22" t="s">
        <v>280</v>
      </c>
    </row>
    <row r="44" customFormat="false" ht="15" hidden="false" customHeight="false" outlineLevel="0" collapsed="false">
      <c r="A44" s="22" t="n">
        <v>43</v>
      </c>
      <c r="B44" s="22" t="s">
        <v>121</v>
      </c>
      <c r="C44" s="37" t="n">
        <v>44690.3813657407</v>
      </c>
      <c r="D44" s="22" t="s">
        <v>202</v>
      </c>
      <c r="E44" s="22" t="n">
        <v>9</v>
      </c>
      <c r="F44" s="22" t="s">
        <v>182</v>
      </c>
      <c r="G44" s="22" t="s">
        <v>241</v>
      </c>
      <c r="H44" s="22" t="n">
        <v>0.08</v>
      </c>
      <c r="I44" s="38" t="n">
        <v>1870.53</v>
      </c>
      <c r="J44" s="38" t="n">
        <v>1870.44</v>
      </c>
      <c r="K44" s="39" t="n">
        <f aca="false">IF(F44="BUY",J44-I44,I44-J44)</f>
        <v>0.0899999999999182</v>
      </c>
      <c r="L44" s="38" t="n">
        <v>1876.53</v>
      </c>
      <c r="M44" s="39" t="n">
        <f aca="false">ABS(I44-L44)</f>
        <v>6</v>
      </c>
      <c r="N44" s="24" t="n">
        <f aca="false">M44*H44*Summary!$C$6</f>
        <v>48</v>
      </c>
      <c r="O44" s="37" t="n">
        <v>44690.4376851852</v>
      </c>
      <c r="P44" s="22" t="n">
        <f aca="false">ROUND((O44-C44)*86400,0)</f>
        <v>4866</v>
      </c>
      <c r="Q44" s="22" t="str">
        <f aca="false">IF(P44&lt;10,"a) &lt;10s",IF(P44&lt;60,"b) 10-60s",IF(P44&lt;600,"c) 1-10min","d) &gt;10min")))</f>
        <v>d) &gt;10min</v>
      </c>
      <c r="R44" s="38" t="n">
        <v>1869.94</v>
      </c>
      <c r="S44" s="38" t="n">
        <v>1870.06</v>
      </c>
      <c r="T44" s="22" t="s">
        <v>189</v>
      </c>
      <c r="U44" s="39" t="n">
        <f aca="false">IF(R44="","",IF(F44="BUY",R44-S44,S44-R44))</f>
        <v>0.119999999999891</v>
      </c>
      <c r="V44" s="39" t="n">
        <f aca="false">IF(F44="BUY",S44-J44,J44-S44)</f>
        <v>0.380000000000109</v>
      </c>
      <c r="W44" s="6" t="n">
        <v>3.04</v>
      </c>
      <c r="X44" s="26" t="n">
        <f aca="false">IFERROR(W44/N44,0)</f>
        <v>0.0633333333333333</v>
      </c>
      <c r="Y44" s="22" t="str">
        <f aca="false">IF(W44&gt;0,"Win",IF(W44&lt;0,"Loss","Flat"))</f>
        <v>Win</v>
      </c>
      <c r="Z44" s="24" t="n">
        <f aca="false">Summary!$C$5+SUM(W$2:W44)</f>
        <v>4930.23</v>
      </c>
      <c r="AA44" s="24" t="n">
        <f aca="false">MAX(AA43,Z44)</f>
        <v>5000</v>
      </c>
      <c r="AB44" s="24" t="n">
        <f aca="false">AA44-Z44</f>
        <v>69.7700000000004</v>
      </c>
      <c r="AC44" s="23" t="n">
        <f aca="false">IFERROR(AB44/AA44,0)</f>
        <v>0.0139540000000001</v>
      </c>
      <c r="AD44" s="22" t="s">
        <v>281</v>
      </c>
    </row>
    <row r="45" customFormat="false" ht="15" hidden="false" customHeight="false" outlineLevel="0" collapsed="false">
      <c r="A45" s="22" t="n">
        <v>44</v>
      </c>
      <c r="B45" s="22" t="s">
        <v>121</v>
      </c>
      <c r="C45" s="37" t="n">
        <v>44690.4855439815</v>
      </c>
      <c r="D45" s="22" t="s">
        <v>202</v>
      </c>
      <c r="E45" s="22" t="n">
        <v>11</v>
      </c>
      <c r="F45" s="22" t="s">
        <v>182</v>
      </c>
      <c r="G45" s="22" t="s">
        <v>237</v>
      </c>
      <c r="H45" s="22" t="n">
        <v>0.08</v>
      </c>
      <c r="I45" s="38" t="n">
        <v>1866</v>
      </c>
      <c r="J45" s="38" t="n">
        <v>1865.55</v>
      </c>
      <c r="K45" s="39" t="n">
        <f aca="false">IF(F45="BUY",J45-I45,I45-J45)</f>
        <v>0.450000000000046</v>
      </c>
      <c r="L45" s="38" t="n">
        <v>1872</v>
      </c>
      <c r="M45" s="39" t="n">
        <f aca="false">ABS(I45-L45)</f>
        <v>6</v>
      </c>
      <c r="N45" s="24" t="n">
        <f aca="false">M45*H45*Summary!$C$6</f>
        <v>48</v>
      </c>
      <c r="O45" s="37" t="n">
        <v>44690.5219097222</v>
      </c>
      <c r="P45" s="22" t="n">
        <f aca="false">ROUND((O45-C45)*86400,0)</f>
        <v>3142</v>
      </c>
      <c r="Q45" s="22" t="str">
        <f aca="false">IF(P45&lt;10,"a) &lt;10s",IF(P45&lt;60,"b) 10-60s",IF(P45&lt;600,"c) 1-10min","d) &gt;10min")))</f>
        <v>d) &gt;10min</v>
      </c>
      <c r="R45" s="38" t="n">
        <v>1865.05</v>
      </c>
      <c r="S45" s="38" t="n">
        <v>1865.05</v>
      </c>
      <c r="T45" s="22" t="s">
        <v>189</v>
      </c>
      <c r="U45" s="39" t="n">
        <f aca="false">IF(R45="","",IF(F45="BUY",R45-S45,S45-R45))</f>
        <v>0</v>
      </c>
      <c r="V45" s="39" t="n">
        <f aca="false">IF(F45="BUY",S45-J45,J45-S45)</f>
        <v>0.5</v>
      </c>
      <c r="W45" s="6" t="n">
        <v>4</v>
      </c>
      <c r="X45" s="26" t="n">
        <f aca="false">IFERROR(W45/N45,0)</f>
        <v>0.0833333333333333</v>
      </c>
      <c r="Y45" s="22" t="str">
        <f aca="false">IF(W45&gt;0,"Win",IF(W45&lt;0,"Loss","Flat"))</f>
        <v>Win</v>
      </c>
      <c r="Z45" s="24" t="n">
        <f aca="false">Summary!$C$5+SUM(W$2:W45)</f>
        <v>4934.23</v>
      </c>
      <c r="AA45" s="24" t="n">
        <f aca="false">MAX(AA44,Z45)</f>
        <v>5000</v>
      </c>
      <c r="AB45" s="24" t="n">
        <f aca="false">AA45-Z45</f>
        <v>65.7700000000004</v>
      </c>
      <c r="AC45" s="23" t="n">
        <f aca="false">IFERROR(AB45/AA45,0)</f>
        <v>0.0131540000000001</v>
      </c>
      <c r="AD45" s="22" t="s">
        <v>282</v>
      </c>
    </row>
    <row r="46" customFormat="false" ht="15" hidden="false" customHeight="false" outlineLevel="0" collapsed="false">
      <c r="A46" s="22" t="n">
        <v>45</v>
      </c>
      <c r="B46" s="22" t="s">
        <v>121</v>
      </c>
      <c r="C46" s="37" t="n">
        <v>44691.3783564815</v>
      </c>
      <c r="D46" s="22" t="s">
        <v>203</v>
      </c>
      <c r="E46" s="22" t="n">
        <v>9</v>
      </c>
      <c r="F46" s="22" t="s">
        <v>181</v>
      </c>
      <c r="G46" s="22" t="s">
        <v>235</v>
      </c>
      <c r="H46" s="22" t="n">
        <v>0.08</v>
      </c>
      <c r="I46" s="38" t="n">
        <v>1865.21</v>
      </c>
      <c r="J46" s="38" t="n">
        <v>1865.28</v>
      </c>
      <c r="K46" s="39" t="n">
        <f aca="false">IF(F46="BUY",J46-I46,I46-J46)</f>
        <v>0.0699999999999363</v>
      </c>
      <c r="L46" s="38" t="n">
        <v>1859.21</v>
      </c>
      <c r="M46" s="39" t="n">
        <f aca="false">ABS(I46-L46)</f>
        <v>6</v>
      </c>
      <c r="N46" s="24" t="n">
        <f aca="false">M46*H46*Summary!$C$6</f>
        <v>48</v>
      </c>
      <c r="O46" s="37" t="n">
        <v>44691.4596990741</v>
      </c>
      <c r="P46" s="22" t="n">
        <f aca="false">ROUND((O46-C46)*86400,0)</f>
        <v>7028</v>
      </c>
      <c r="Q46" s="22" t="str">
        <f aca="false">IF(P46&lt;10,"a) &lt;10s",IF(P46&lt;60,"b) 10-60s",IF(P46&lt;600,"c) 1-10min","d) &gt;10min")))</f>
        <v>d) &gt;10min</v>
      </c>
      <c r="R46" s="38" t="n">
        <v>1859.21</v>
      </c>
      <c r="S46" s="38" t="n">
        <v>1859.21</v>
      </c>
      <c r="T46" s="22" t="s">
        <v>188</v>
      </c>
      <c r="U46" s="39" t="n">
        <f aca="false">IF(R46="","",IF(F46="BUY",R46-S46,S46-R46))</f>
        <v>0</v>
      </c>
      <c r="V46" s="39" t="n">
        <f aca="false">IF(F46="BUY",S46-J46,J46-S46)</f>
        <v>-6.06999999999994</v>
      </c>
      <c r="W46" s="6" t="n">
        <v>-48.56</v>
      </c>
      <c r="X46" s="26" t="n">
        <f aca="false">IFERROR(W46/N46,0)</f>
        <v>-1.01166666666667</v>
      </c>
      <c r="Y46" s="22" t="str">
        <f aca="false">IF(W46&gt;0,"Win",IF(W46&lt;0,"Loss","Flat"))</f>
        <v>Loss</v>
      </c>
      <c r="Z46" s="24" t="n">
        <f aca="false">Summary!$C$5+SUM(W$2:W46)</f>
        <v>4885.67</v>
      </c>
      <c r="AA46" s="24" t="n">
        <f aca="false">MAX(AA45,Z46)</f>
        <v>5000</v>
      </c>
      <c r="AB46" s="24" t="n">
        <f aca="false">AA46-Z46</f>
        <v>114.33</v>
      </c>
      <c r="AC46" s="23" t="n">
        <f aca="false">IFERROR(AB46/AA46,0)</f>
        <v>0.022866</v>
      </c>
      <c r="AD46" s="22" t="s">
        <v>283</v>
      </c>
    </row>
    <row r="47" customFormat="false" ht="15" hidden="false" customHeight="false" outlineLevel="0" collapsed="false">
      <c r="A47" s="22" t="n">
        <v>46</v>
      </c>
      <c r="B47" s="22" t="s">
        <v>121</v>
      </c>
      <c r="C47" s="37" t="n">
        <v>44691.7407060185</v>
      </c>
      <c r="D47" s="22" t="s">
        <v>203</v>
      </c>
      <c r="E47" s="22" t="n">
        <v>17</v>
      </c>
      <c r="F47" s="22" t="s">
        <v>182</v>
      </c>
      <c r="G47" s="22" t="s">
        <v>237</v>
      </c>
      <c r="H47" s="22" t="n">
        <v>0.08</v>
      </c>
      <c r="I47" s="38" t="n">
        <v>1851.56</v>
      </c>
      <c r="J47" s="38" t="n">
        <v>1850.01</v>
      </c>
      <c r="K47" s="39" t="n">
        <f aca="false">IF(F47="BUY",J47-I47,I47-J47)</f>
        <v>1.54999999999995</v>
      </c>
      <c r="L47" s="38" t="n">
        <v>1857.56</v>
      </c>
      <c r="M47" s="39" t="n">
        <f aca="false">ABS(I47-L47)</f>
        <v>6</v>
      </c>
      <c r="N47" s="24" t="n">
        <f aca="false">M47*H47*Summary!$C$6</f>
        <v>48</v>
      </c>
      <c r="O47" s="37" t="n">
        <v>44691.7475</v>
      </c>
      <c r="P47" s="22" t="n">
        <f aca="false">ROUND((O47-C47)*86400,0)</f>
        <v>587</v>
      </c>
      <c r="Q47" s="22" t="str">
        <f aca="false">IF(P47&lt;10,"a) &lt;10s",IF(P47&lt;60,"b) 10-60s",IF(P47&lt;600,"c) 1-10min","d) &gt;10min")))</f>
        <v>c) 1-10min</v>
      </c>
      <c r="R47" s="38" t="n">
        <v>1849.51</v>
      </c>
      <c r="S47" s="38" t="n">
        <v>1849.56</v>
      </c>
      <c r="T47" s="22" t="s">
        <v>189</v>
      </c>
      <c r="U47" s="39" t="n">
        <f aca="false">IF(R47="","",IF(F47="BUY",R47-S47,S47-R47))</f>
        <v>0.0499999999999545</v>
      </c>
      <c r="V47" s="39" t="n">
        <f aca="false">IF(F47="BUY",S47-J47,J47-S47)</f>
        <v>0.450000000000046</v>
      </c>
      <c r="W47" s="6" t="n">
        <v>3.6</v>
      </c>
      <c r="X47" s="26" t="n">
        <f aca="false">IFERROR(W47/N47,0)</f>
        <v>0.075</v>
      </c>
      <c r="Y47" s="22" t="str">
        <f aca="false">IF(W47&gt;0,"Win",IF(W47&lt;0,"Loss","Flat"))</f>
        <v>Win</v>
      </c>
      <c r="Z47" s="24" t="n">
        <f aca="false">Summary!$C$5+SUM(W$2:W47)</f>
        <v>4889.27</v>
      </c>
      <c r="AA47" s="24" t="n">
        <f aca="false">MAX(AA46,Z47)</f>
        <v>5000</v>
      </c>
      <c r="AB47" s="24" t="n">
        <f aca="false">AA47-Z47</f>
        <v>110.73</v>
      </c>
      <c r="AC47" s="23" t="n">
        <f aca="false">IFERROR(AB47/AA47,0)</f>
        <v>0.0221459999999999</v>
      </c>
      <c r="AD47" s="22" t="s">
        <v>284</v>
      </c>
    </row>
    <row r="48" customFormat="false" ht="15" hidden="false" customHeight="false" outlineLevel="0" collapsed="false">
      <c r="A48" s="22" t="n">
        <v>47</v>
      </c>
      <c r="B48" s="22" t="s">
        <v>121</v>
      </c>
      <c r="C48" s="37" t="n">
        <v>44692.1125925926</v>
      </c>
      <c r="D48" s="22" t="s">
        <v>204</v>
      </c>
      <c r="E48" s="22" t="n">
        <v>2</v>
      </c>
      <c r="F48" s="22" t="s">
        <v>182</v>
      </c>
      <c r="G48" s="22" t="s">
        <v>237</v>
      </c>
      <c r="H48" s="22" t="n">
        <v>0.08</v>
      </c>
      <c r="I48" s="38" t="n">
        <v>1835.39</v>
      </c>
      <c r="J48" s="38" t="n">
        <v>1835.31</v>
      </c>
      <c r="K48" s="39" t="n">
        <f aca="false">IF(F48="BUY",J48-I48,I48-J48)</f>
        <v>0.0800000000001546</v>
      </c>
      <c r="L48" s="38" t="n">
        <v>1841.39</v>
      </c>
      <c r="M48" s="39" t="n">
        <f aca="false">ABS(I48-L48)</f>
        <v>6</v>
      </c>
      <c r="N48" s="24" t="n">
        <f aca="false">M48*H48*Summary!$C$6</f>
        <v>48</v>
      </c>
      <c r="O48" s="37" t="n">
        <v>44692.193599537</v>
      </c>
      <c r="P48" s="22" t="n">
        <f aca="false">ROUND((O48-C48)*86400,0)</f>
        <v>6999</v>
      </c>
      <c r="Q48" s="22" t="str">
        <f aca="false">IF(P48&lt;10,"a) &lt;10s",IF(P48&lt;60,"b) 10-60s",IF(P48&lt;600,"c) 1-10min","d) &gt;10min")))</f>
        <v>d) &gt;10min</v>
      </c>
      <c r="R48" s="38" t="n">
        <v>1834.81</v>
      </c>
      <c r="S48" s="38" t="n">
        <v>1834.81</v>
      </c>
      <c r="T48" s="22" t="s">
        <v>189</v>
      </c>
      <c r="U48" s="39" t="n">
        <f aca="false">IF(R48="","",IF(F48="BUY",R48-S48,S48-R48))</f>
        <v>0</v>
      </c>
      <c r="V48" s="39" t="n">
        <f aca="false">IF(F48="BUY",S48-J48,J48-S48)</f>
        <v>0.5</v>
      </c>
      <c r="W48" s="6" t="n">
        <v>4</v>
      </c>
      <c r="X48" s="26" t="n">
        <f aca="false">IFERROR(W48/N48,0)</f>
        <v>0.0833333333333333</v>
      </c>
      <c r="Y48" s="22" t="str">
        <f aca="false">IF(W48&gt;0,"Win",IF(W48&lt;0,"Loss","Flat"))</f>
        <v>Win</v>
      </c>
      <c r="Z48" s="24" t="n">
        <f aca="false">Summary!$C$5+SUM(W$2:W48)</f>
        <v>4893.27</v>
      </c>
      <c r="AA48" s="24" t="n">
        <f aca="false">MAX(AA47,Z48)</f>
        <v>5000</v>
      </c>
      <c r="AB48" s="24" t="n">
        <f aca="false">AA48-Z48</f>
        <v>106.73</v>
      </c>
      <c r="AC48" s="23" t="n">
        <f aca="false">IFERROR(AB48/AA48,0)</f>
        <v>0.0213459999999999</v>
      </c>
      <c r="AD48" s="22" t="s">
        <v>285</v>
      </c>
    </row>
    <row r="49" customFormat="false" ht="15" hidden="false" customHeight="false" outlineLevel="0" collapsed="false">
      <c r="A49" s="22" t="n">
        <v>48</v>
      </c>
      <c r="B49" s="22" t="s">
        <v>121</v>
      </c>
      <c r="C49" s="37" t="n">
        <v>44692.3837731482</v>
      </c>
      <c r="D49" s="22" t="s">
        <v>204</v>
      </c>
      <c r="E49" s="22" t="n">
        <v>9</v>
      </c>
      <c r="F49" s="22" t="s">
        <v>181</v>
      </c>
      <c r="G49" s="22" t="s">
        <v>235</v>
      </c>
      <c r="H49" s="22" t="n">
        <v>0.08</v>
      </c>
      <c r="I49" s="38" t="n">
        <v>1839.37</v>
      </c>
      <c r="J49" s="38" t="n">
        <v>1839.46</v>
      </c>
      <c r="K49" s="39" t="n">
        <f aca="false">IF(F49="BUY",J49-I49,I49-J49)</f>
        <v>0.0900000000001455</v>
      </c>
      <c r="L49" s="38" t="n">
        <v>1833.37</v>
      </c>
      <c r="M49" s="39" t="n">
        <f aca="false">ABS(I49-L49)</f>
        <v>6</v>
      </c>
      <c r="N49" s="24" t="n">
        <f aca="false">M49*H49*Summary!$C$6</f>
        <v>48</v>
      </c>
      <c r="O49" s="37" t="n">
        <v>44692.6512731482</v>
      </c>
      <c r="P49" s="22" t="n">
        <f aca="false">ROUND((O49-C49)*86400,0)</f>
        <v>23112</v>
      </c>
      <c r="Q49" s="22" t="str">
        <f aca="false">IF(P49&lt;10,"a) &lt;10s",IF(P49&lt;60,"b) 10-60s",IF(P49&lt;600,"c) 1-10min","d) &gt;10min")))</f>
        <v>d) &gt;10min</v>
      </c>
      <c r="R49" s="38" t="n">
        <v>1839.96</v>
      </c>
      <c r="S49" s="38" t="n">
        <v>1839.85</v>
      </c>
      <c r="T49" s="22" t="s">
        <v>189</v>
      </c>
      <c r="U49" s="39" t="n">
        <f aca="false">IF(R49="","",IF(F49="BUY",R49-S49,S49-R49))</f>
        <v>0.110000000000127</v>
      </c>
      <c r="V49" s="39" t="n">
        <f aca="false">IF(F49="BUY",S49-J49,J49-S49)</f>
        <v>0.389999999999873</v>
      </c>
      <c r="W49" s="6" t="n">
        <v>3.12</v>
      </c>
      <c r="X49" s="26" t="n">
        <f aca="false">IFERROR(W49/N49,0)</f>
        <v>0.065</v>
      </c>
      <c r="Y49" s="22" t="str">
        <f aca="false">IF(W49&gt;0,"Win",IF(W49&lt;0,"Loss","Flat"))</f>
        <v>Win</v>
      </c>
      <c r="Z49" s="24" t="n">
        <f aca="false">Summary!$C$5+SUM(W$2:W49)</f>
        <v>4896.39</v>
      </c>
      <c r="AA49" s="24" t="n">
        <f aca="false">MAX(AA48,Z49)</f>
        <v>5000</v>
      </c>
      <c r="AB49" s="24" t="n">
        <f aca="false">AA49-Z49</f>
        <v>103.61</v>
      </c>
      <c r="AC49" s="23" t="n">
        <f aca="false">IFERROR(AB49/AA49,0)</f>
        <v>0.0207219999999999</v>
      </c>
      <c r="AD49" s="22" t="s">
        <v>286</v>
      </c>
    </row>
    <row r="50" customFormat="false" ht="15" hidden="false" customHeight="false" outlineLevel="0" collapsed="false">
      <c r="A50" s="22" t="n">
        <v>49</v>
      </c>
      <c r="B50" s="22" t="s">
        <v>121</v>
      </c>
      <c r="C50" s="37" t="n">
        <v>44693.1891435185</v>
      </c>
      <c r="D50" s="22" t="s">
        <v>205</v>
      </c>
      <c r="E50" s="22" t="n">
        <v>4</v>
      </c>
      <c r="F50" s="22" t="s">
        <v>181</v>
      </c>
      <c r="G50" s="22" t="s">
        <v>243</v>
      </c>
      <c r="H50" s="22" t="n">
        <v>0.08</v>
      </c>
      <c r="I50" s="38" t="n">
        <v>1858.02</v>
      </c>
      <c r="J50" s="38" t="n">
        <v>1858.04</v>
      </c>
      <c r="K50" s="39" t="n">
        <f aca="false">IF(F50="BUY",J50-I50,I50-J50)</f>
        <v>0.0199999999999818</v>
      </c>
      <c r="L50" s="38" t="n">
        <v>1852.02</v>
      </c>
      <c r="M50" s="39" t="n">
        <f aca="false">ABS(I50-L50)</f>
        <v>6</v>
      </c>
      <c r="N50" s="24" t="n">
        <f aca="false">M50*H50*Summary!$C$6</f>
        <v>48</v>
      </c>
      <c r="O50" s="37" t="n">
        <v>44693.2891782407</v>
      </c>
      <c r="P50" s="22" t="n">
        <f aca="false">ROUND((O50-C50)*86400,0)</f>
        <v>8643</v>
      </c>
      <c r="Q50" s="22" t="str">
        <f aca="false">IF(P50&lt;10,"a) &lt;10s",IF(P50&lt;60,"b) 10-60s",IF(P50&lt;600,"c) 1-10min","d) &gt;10min")))</f>
        <v>d) &gt;10min</v>
      </c>
      <c r="R50" s="38" t="n">
        <v>1852.02</v>
      </c>
      <c r="S50" s="38" t="n">
        <v>1852</v>
      </c>
      <c r="T50" s="22" t="s">
        <v>188</v>
      </c>
      <c r="U50" s="39" t="n">
        <f aca="false">IF(R50="","",IF(F50="BUY",R50-S50,S50-R50))</f>
        <v>0.0199999999999818</v>
      </c>
      <c r="V50" s="39" t="n">
        <f aca="false">IF(F50="BUY",S50-J50,J50-S50)</f>
        <v>-6.03999999999996</v>
      </c>
      <c r="W50" s="6" t="n">
        <v>-48.32</v>
      </c>
      <c r="X50" s="26" t="n">
        <f aca="false">IFERROR(W50/N50,0)</f>
        <v>-1.00666666666667</v>
      </c>
      <c r="Y50" s="22" t="str">
        <f aca="false">IF(W50&gt;0,"Win",IF(W50&lt;0,"Loss","Flat"))</f>
        <v>Loss</v>
      </c>
      <c r="Z50" s="24" t="n">
        <f aca="false">Summary!$C$5+SUM(W$2:W50)</f>
        <v>4848.07</v>
      </c>
      <c r="AA50" s="24" t="n">
        <f aca="false">MAX(AA49,Z50)</f>
        <v>5000</v>
      </c>
      <c r="AB50" s="24" t="n">
        <f aca="false">AA50-Z50</f>
        <v>151.93</v>
      </c>
      <c r="AC50" s="23" t="n">
        <f aca="false">IFERROR(AB50/AA50,0)</f>
        <v>0.0303860000000001</v>
      </c>
      <c r="AD50" s="22" t="s">
        <v>287</v>
      </c>
    </row>
    <row r="51" customFormat="false" ht="15" hidden="false" customHeight="false" outlineLevel="0" collapsed="false">
      <c r="A51" s="22" t="n">
        <v>50</v>
      </c>
      <c r="B51" s="22" t="s">
        <v>121</v>
      </c>
      <c r="C51" s="37" t="n">
        <v>44693.3988657407</v>
      </c>
      <c r="D51" s="22" t="s">
        <v>205</v>
      </c>
      <c r="E51" s="22" t="n">
        <v>9</v>
      </c>
      <c r="F51" s="22" t="s">
        <v>181</v>
      </c>
      <c r="G51" s="22" t="s">
        <v>235</v>
      </c>
      <c r="H51" s="22" t="n">
        <v>0.08</v>
      </c>
      <c r="I51" s="38" t="n">
        <v>1853.53</v>
      </c>
      <c r="J51" s="38" t="n">
        <v>1853.53</v>
      </c>
      <c r="K51" s="39" t="n">
        <f aca="false">IF(F51="BUY",J51-I51,I51-J51)</f>
        <v>0</v>
      </c>
      <c r="L51" s="38" t="n">
        <v>1847.53</v>
      </c>
      <c r="M51" s="39" t="n">
        <f aca="false">ABS(I51-L51)</f>
        <v>6</v>
      </c>
      <c r="N51" s="24" t="n">
        <f aca="false">M51*H51*Summary!$C$6</f>
        <v>48</v>
      </c>
      <c r="O51" s="37" t="n">
        <v>44693.4225347222</v>
      </c>
      <c r="P51" s="22" t="n">
        <f aca="false">ROUND((O51-C51)*86400,0)</f>
        <v>2045</v>
      </c>
      <c r="Q51" s="22" t="str">
        <f aca="false">IF(P51&lt;10,"a) &lt;10s",IF(P51&lt;60,"b) 10-60s",IF(P51&lt;600,"c) 1-10min","d) &gt;10min")))</f>
        <v>d) &gt;10min</v>
      </c>
      <c r="R51" s="38" t="n">
        <v>1847.53</v>
      </c>
      <c r="S51" s="38" t="n">
        <v>1847.52</v>
      </c>
      <c r="T51" s="22" t="s">
        <v>188</v>
      </c>
      <c r="U51" s="39" t="n">
        <f aca="false">IF(R51="","",IF(F51="BUY",R51-S51,S51-R51))</f>
        <v>0.00999999999999091</v>
      </c>
      <c r="V51" s="39" t="n">
        <f aca="false">IF(F51="BUY",S51-J51,J51-S51)</f>
        <v>-6.00999999999999</v>
      </c>
      <c r="W51" s="6" t="n">
        <v>-48.08</v>
      </c>
      <c r="X51" s="26" t="n">
        <f aca="false">IFERROR(W51/N51,0)</f>
        <v>-1.00166666666667</v>
      </c>
      <c r="Y51" s="22" t="str">
        <f aca="false">IF(W51&gt;0,"Win",IF(W51&lt;0,"Loss","Flat"))</f>
        <v>Loss</v>
      </c>
      <c r="Z51" s="24" t="n">
        <f aca="false">Summary!$C$5+SUM(W$2:W51)</f>
        <v>4799.99</v>
      </c>
      <c r="AA51" s="24" t="n">
        <f aca="false">MAX(AA50,Z51)</f>
        <v>5000</v>
      </c>
      <c r="AB51" s="24" t="n">
        <f aca="false">AA51-Z51</f>
        <v>200.01</v>
      </c>
      <c r="AC51" s="23" t="n">
        <f aca="false">IFERROR(AB51/AA51,0)</f>
        <v>0.040002</v>
      </c>
      <c r="AD51" s="22" t="s">
        <v>288</v>
      </c>
    </row>
    <row r="52" customFormat="false" ht="15" hidden="false" customHeight="false" outlineLevel="0" collapsed="false">
      <c r="A52" s="22" t="n">
        <v>51</v>
      </c>
      <c r="B52" s="22" t="s">
        <v>121</v>
      </c>
      <c r="C52" s="37" t="n">
        <v>44694.0596759259</v>
      </c>
      <c r="D52" s="22" t="s">
        <v>206</v>
      </c>
      <c r="E52" s="22" t="n">
        <v>1</v>
      </c>
      <c r="F52" s="22" t="s">
        <v>182</v>
      </c>
      <c r="G52" s="22" t="s">
        <v>237</v>
      </c>
      <c r="H52" s="22" t="n">
        <v>0.07</v>
      </c>
      <c r="I52" s="38" t="n">
        <v>1821.22</v>
      </c>
      <c r="J52" s="38" t="n">
        <v>1821.08</v>
      </c>
      <c r="K52" s="39" t="n">
        <f aca="false">IF(F52="BUY",J52-I52,I52-J52)</f>
        <v>0.1400000000001</v>
      </c>
      <c r="L52" s="38" t="n">
        <v>1827.22</v>
      </c>
      <c r="M52" s="39" t="n">
        <f aca="false">ABS(I52-L52)</f>
        <v>6</v>
      </c>
      <c r="N52" s="24" t="n">
        <f aca="false">M52*H52*Summary!$C$6</f>
        <v>42</v>
      </c>
      <c r="O52" s="37" t="n">
        <v>44694.085462963</v>
      </c>
      <c r="P52" s="22" t="n">
        <f aca="false">ROUND((O52-C52)*86400,0)</f>
        <v>2228</v>
      </c>
      <c r="Q52" s="22" t="str">
        <f aca="false">IF(P52&lt;10,"a) &lt;10s",IF(P52&lt;60,"b) 10-60s",IF(P52&lt;600,"c) 1-10min","d) &gt;10min")))</f>
        <v>d) &gt;10min</v>
      </c>
      <c r="R52" s="38" t="n">
        <v>1820.58</v>
      </c>
      <c r="S52" s="38" t="n">
        <v>1820.62</v>
      </c>
      <c r="T52" s="22" t="s">
        <v>189</v>
      </c>
      <c r="U52" s="39" t="n">
        <f aca="false">IF(R52="","",IF(F52="BUY",R52-S52,S52-R52))</f>
        <v>0.0399999999999636</v>
      </c>
      <c r="V52" s="39" t="n">
        <f aca="false">IF(F52="BUY",S52-J52,J52-S52)</f>
        <v>0.460000000000036</v>
      </c>
      <c r="W52" s="6" t="n">
        <v>3.22</v>
      </c>
      <c r="X52" s="26" t="n">
        <f aca="false">IFERROR(W52/N52,0)</f>
        <v>0.0766666666666667</v>
      </c>
      <c r="Y52" s="22" t="str">
        <f aca="false">IF(W52&gt;0,"Win",IF(W52&lt;0,"Loss","Flat"))</f>
        <v>Win</v>
      </c>
      <c r="Z52" s="24" t="n">
        <f aca="false">Summary!$C$5+SUM(W$2:W52)</f>
        <v>4803.21</v>
      </c>
      <c r="AA52" s="24" t="n">
        <f aca="false">MAX(AA51,Z52)</f>
        <v>5000</v>
      </c>
      <c r="AB52" s="24" t="n">
        <f aca="false">AA52-Z52</f>
        <v>196.79</v>
      </c>
      <c r="AC52" s="23" t="n">
        <f aca="false">IFERROR(AB52/AA52,0)</f>
        <v>0.039358</v>
      </c>
      <c r="AD52" s="22" t="s">
        <v>289</v>
      </c>
    </row>
    <row r="53" customFormat="false" ht="15" hidden="false" customHeight="false" outlineLevel="0" collapsed="false">
      <c r="A53" s="22" t="n">
        <v>52</v>
      </c>
      <c r="B53" s="22" t="s">
        <v>121</v>
      </c>
      <c r="C53" s="37" t="n">
        <v>44694.3859722222</v>
      </c>
      <c r="D53" s="22" t="s">
        <v>206</v>
      </c>
      <c r="E53" s="22" t="n">
        <v>9</v>
      </c>
      <c r="F53" s="22" t="s">
        <v>182</v>
      </c>
      <c r="G53" s="22" t="s">
        <v>241</v>
      </c>
      <c r="H53" s="22" t="n">
        <v>0.08</v>
      </c>
      <c r="I53" s="38" t="n">
        <v>1824.62</v>
      </c>
      <c r="J53" s="38" t="n">
        <v>1824.53</v>
      </c>
      <c r="K53" s="39" t="n">
        <f aca="false">IF(F53="BUY",J53-I53,I53-J53)</f>
        <v>0.0899999999999182</v>
      </c>
      <c r="L53" s="38" t="n">
        <v>1830.62</v>
      </c>
      <c r="M53" s="39" t="n">
        <f aca="false">ABS(I53-L53)</f>
        <v>6</v>
      </c>
      <c r="N53" s="24" t="n">
        <f aca="false">M53*H53*Summary!$C$6</f>
        <v>48</v>
      </c>
      <c r="O53" s="37" t="n">
        <v>44694.4066666667</v>
      </c>
      <c r="P53" s="22" t="n">
        <f aca="false">ROUND((O53-C53)*86400,0)</f>
        <v>1788</v>
      </c>
      <c r="Q53" s="22" t="str">
        <f aca="false">IF(P53&lt;10,"a) &lt;10s",IF(P53&lt;60,"b) 10-60s",IF(P53&lt;600,"c) 1-10min","d) &gt;10min")))</f>
        <v>d) &gt;10min</v>
      </c>
      <c r="R53" s="38" t="n">
        <v>1824.03</v>
      </c>
      <c r="S53" s="38" t="n">
        <v>1824.09</v>
      </c>
      <c r="T53" s="22" t="s">
        <v>189</v>
      </c>
      <c r="U53" s="39" t="n">
        <f aca="false">IF(R53="","",IF(F53="BUY",R53-S53,S53-R53))</f>
        <v>0.0599999999999454</v>
      </c>
      <c r="V53" s="39" t="n">
        <f aca="false">IF(F53="BUY",S53-J53,J53-S53)</f>
        <v>0.440000000000055</v>
      </c>
      <c r="W53" s="6" t="n">
        <v>3.52</v>
      </c>
      <c r="X53" s="26" t="n">
        <f aca="false">IFERROR(W53/N53,0)</f>
        <v>0.0733333333333333</v>
      </c>
      <c r="Y53" s="22" t="str">
        <f aca="false">IF(W53&gt;0,"Win",IF(W53&lt;0,"Loss","Flat"))</f>
        <v>Win</v>
      </c>
      <c r="Z53" s="24" t="n">
        <f aca="false">Summary!$C$5+SUM(W$2:W53)</f>
        <v>4806.73</v>
      </c>
      <c r="AA53" s="24" t="n">
        <f aca="false">MAX(AA52,Z53)</f>
        <v>5000</v>
      </c>
      <c r="AB53" s="24" t="n">
        <f aca="false">AA53-Z53</f>
        <v>193.27</v>
      </c>
      <c r="AC53" s="23" t="n">
        <f aca="false">IFERROR(AB53/AA53,0)</f>
        <v>0.0386540000000001</v>
      </c>
      <c r="AD53" s="22" t="s">
        <v>290</v>
      </c>
    </row>
    <row r="54" customFormat="false" ht="15" hidden="false" customHeight="false" outlineLevel="0" collapsed="false">
      <c r="A54" s="22" t="n">
        <v>53</v>
      </c>
      <c r="B54" s="22" t="s">
        <v>121</v>
      </c>
      <c r="C54" s="37" t="n">
        <v>44697.3797685185</v>
      </c>
      <c r="D54" s="22" t="s">
        <v>202</v>
      </c>
      <c r="E54" s="22" t="n">
        <v>9</v>
      </c>
      <c r="F54" s="22" t="s">
        <v>182</v>
      </c>
      <c r="G54" s="22" t="s">
        <v>241</v>
      </c>
      <c r="H54" s="22" t="n">
        <v>0.08</v>
      </c>
      <c r="I54" s="38" t="n">
        <v>1806.46</v>
      </c>
      <c r="J54" s="38" t="n">
        <v>1806.45</v>
      </c>
      <c r="K54" s="39" t="n">
        <f aca="false">IF(F54="BUY",J54-I54,I54-J54)</f>
        <v>0.00999999999999091</v>
      </c>
      <c r="L54" s="38" t="n">
        <v>1812.46</v>
      </c>
      <c r="M54" s="39" t="n">
        <f aca="false">ABS(I54-L54)</f>
        <v>6</v>
      </c>
      <c r="N54" s="24" t="n">
        <f aca="false">M54*H54*Summary!$C$6</f>
        <v>48</v>
      </c>
      <c r="O54" s="37" t="n">
        <v>44697.5204050926</v>
      </c>
      <c r="P54" s="22" t="n">
        <f aca="false">ROUND((O54-C54)*86400,0)</f>
        <v>12151</v>
      </c>
      <c r="Q54" s="22" t="str">
        <f aca="false">IF(P54&lt;10,"a) &lt;10s",IF(P54&lt;60,"b) 10-60s",IF(P54&lt;600,"c) 1-10min","d) &gt;10min")))</f>
        <v>d) &gt;10min</v>
      </c>
      <c r="R54" s="38" t="n">
        <v>1805.95</v>
      </c>
      <c r="S54" s="38" t="n">
        <v>1806.02</v>
      </c>
      <c r="T54" s="22" t="s">
        <v>189</v>
      </c>
      <c r="U54" s="39" t="n">
        <f aca="false">IF(R54="","",IF(F54="BUY",R54-S54,S54-R54))</f>
        <v>0.0699999999999363</v>
      </c>
      <c r="V54" s="39" t="n">
        <f aca="false">IF(F54="BUY",S54-J54,J54-S54)</f>
        <v>0.430000000000064</v>
      </c>
      <c r="W54" s="6" t="n">
        <v>3.44</v>
      </c>
      <c r="X54" s="26" t="n">
        <f aca="false">IFERROR(W54/N54,0)</f>
        <v>0.0716666666666667</v>
      </c>
      <c r="Y54" s="22" t="str">
        <f aca="false">IF(W54&gt;0,"Win",IF(W54&lt;0,"Loss","Flat"))</f>
        <v>Win</v>
      </c>
      <c r="Z54" s="24" t="n">
        <f aca="false">Summary!$C$5+SUM(W$2:W54)</f>
        <v>4810.17</v>
      </c>
      <c r="AA54" s="24" t="n">
        <f aca="false">MAX(AA53,Z54)</f>
        <v>5000</v>
      </c>
      <c r="AB54" s="24" t="n">
        <f aca="false">AA54-Z54</f>
        <v>189.83</v>
      </c>
      <c r="AC54" s="23" t="n">
        <f aca="false">IFERROR(AB54/AA54,0)</f>
        <v>0.037966</v>
      </c>
      <c r="AD54" s="22" t="s">
        <v>291</v>
      </c>
    </row>
    <row r="55" customFormat="false" ht="15" hidden="false" customHeight="false" outlineLevel="0" collapsed="false">
      <c r="A55" s="22" t="n">
        <v>54</v>
      </c>
      <c r="B55" s="22" t="s">
        <v>121</v>
      </c>
      <c r="C55" s="37" t="n">
        <v>44698.1048958333</v>
      </c>
      <c r="D55" s="22" t="s">
        <v>203</v>
      </c>
      <c r="E55" s="22" t="n">
        <v>2</v>
      </c>
      <c r="F55" s="22" t="s">
        <v>181</v>
      </c>
      <c r="G55" s="22" t="s">
        <v>243</v>
      </c>
      <c r="H55" s="22" t="n">
        <v>0.08</v>
      </c>
      <c r="I55" s="38" t="n">
        <v>1826.83</v>
      </c>
      <c r="J55" s="38" t="n">
        <v>1826.85</v>
      </c>
      <c r="K55" s="39" t="n">
        <f aca="false">IF(F55="BUY",J55-I55,I55-J55)</f>
        <v>0.0199999999999818</v>
      </c>
      <c r="L55" s="38" t="n">
        <v>1820.83</v>
      </c>
      <c r="M55" s="39" t="n">
        <f aca="false">ABS(I55-L55)</f>
        <v>6</v>
      </c>
      <c r="N55" s="24" t="n">
        <f aca="false">M55*H55*Summary!$C$6</f>
        <v>48</v>
      </c>
      <c r="O55" s="37" t="n">
        <v>44698.1210763889</v>
      </c>
      <c r="P55" s="22" t="n">
        <f aca="false">ROUND((O55-C55)*86400,0)</f>
        <v>1398</v>
      </c>
      <c r="Q55" s="22" t="str">
        <f aca="false">IF(P55&lt;10,"a) &lt;10s",IF(P55&lt;60,"b) 10-60s",IF(P55&lt;600,"c) 1-10min","d) &gt;10min")))</f>
        <v>d) &gt;10min</v>
      </c>
      <c r="R55" s="38" t="n">
        <v>1827.35</v>
      </c>
      <c r="S55" s="38" t="n">
        <v>1827.35</v>
      </c>
      <c r="T55" s="22" t="s">
        <v>189</v>
      </c>
      <c r="U55" s="39" t="n">
        <f aca="false">IF(R55="","",IF(F55="BUY",R55-S55,S55-R55))</f>
        <v>0</v>
      </c>
      <c r="V55" s="39" t="n">
        <f aca="false">IF(F55="BUY",S55-J55,J55-S55)</f>
        <v>0.5</v>
      </c>
      <c r="W55" s="6" t="n">
        <v>4</v>
      </c>
      <c r="X55" s="26" t="n">
        <f aca="false">IFERROR(W55/N55,0)</f>
        <v>0.0833333333333333</v>
      </c>
      <c r="Y55" s="22" t="str">
        <f aca="false">IF(W55&gt;0,"Win",IF(W55&lt;0,"Loss","Flat"))</f>
        <v>Win</v>
      </c>
      <c r="Z55" s="24" t="n">
        <f aca="false">Summary!$C$5+SUM(W$2:W55)</f>
        <v>4814.17</v>
      </c>
      <c r="AA55" s="24" t="n">
        <f aca="false">MAX(AA54,Z55)</f>
        <v>5000</v>
      </c>
      <c r="AB55" s="24" t="n">
        <f aca="false">AA55-Z55</f>
        <v>185.83</v>
      </c>
      <c r="AC55" s="23" t="n">
        <f aca="false">IFERROR(AB55/AA55,0)</f>
        <v>0.037166</v>
      </c>
      <c r="AD55" s="22" t="s">
        <v>292</v>
      </c>
    </row>
    <row r="56" customFormat="false" ht="15" hidden="false" customHeight="false" outlineLevel="0" collapsed="false">
      <c r="A56" s="22" t="n">
        <v>55</v>
      </c>
      <c r="B56" s="22" t="s">
        <v>121</v>
      </c>
      <c r="C56" s="37" t="n">
        <v>44698.375</v>
      </c>
      <c r="D56" s="22" t="s">
        <v>203</v>
      </c>
      <c r="E56" s="22" t="n">
        <v>9</v>
      </c>
      <c r="F56" s="22" t="s">
        <v>181</v>
      </c>
      <c r="G56" s="22" t="s">
        <v>235</v>
      </c>
      <c r="H56" s="22" t="n">
        <v>0.08</v>
      </c>
      <c r="I56" s="38" t="n">
        <v>1828.76</v>
      </c>
      <c r="J56" s="38" t="n">
        <v>1828.77</v>
      </c>
      <c r="K56" s="39" t="n">
        <f aca="false">IF(F56="BUY",J56-I56,I56-J56)</f>
        <v>0.00999999999999091</v>
      </c>
      <c r="L56" s="38" t="n">
        <v>1822.76</v>
      </c>
      <c r="M56" s="39" t="n">
        <f aca="false">ABS(I56-L56)</f>
        <v>6</v>
      </c>
      <c r="N56" s="24" t="n">
        <f aca="false">M56*H56*Summary!$C$6</f>
        <v>48</v>
      </c>
      <c r="O56" s="37" t="n">
        <v>44698.6458333333</v>
      </c>
      <c r="P56" s="22" t="n">
        <f aca="false">ROUND((O56-C56)*86400,0)</f>
        <v>23400</v>
      </c>
      <c r="Q56" s="22" t="str">
        <f aca="false">IF(P56&lt;10,"a) &lt;10s",IF(P56&lt;60,"b) 10-60s",IF(P56&lt;600,"c) 1-10min","d) &gt;10min")))</f>
        <v>d) &gt;10min</v>
      </c>
      <c r="R56" s="38" t="n">
        <v>1829.27</v>
      </c>
      <c r="S56" s="38" t="n">
        <v>1829.22</v>
      </c>
      <c r="T56" s="22" t="s">
        <v>189</v>
      </c>
      <c r="U56" s="39" t="n">
        <f aca="false">IF(R56="","",IF(F56="BUY",R56-S56,S56-R56))</f>
        <v>0.0499999999999545</v>
      </c>
      <c r="V56" s="39" t="n">
        <f aca="false">IF(F56="BUY",S56-J56,J56-S56)</f>
        <v>0.450000000000046</v>
      </c>
      <c r="W56" s="6" t="n">
        <v>3.6</v>
      </c>
      <c r="X56" s="26" t="n">
        <f aca="false">IFERROR(W56/N56,0)</f>
        <v>0.075</v>
      </c>
      <c r="Y56" s="22" t="str">
        <f aca="false">IF(W56&gt;0,"Win",IF(W56&lt;0,"Loss","Flat"))</f>
        <v>Win</v>
      </c>
      <c r="Z56" s="24" t="n">
        <f aca="false">Summary!$C$5+SUM(W$2:W56)</f>
        <v>4817.77</v>
      </c>
      <c r="AA56" s="24" t="n">
        <f aca="false">MAX(AA55,Z56)</f>
        <v>5000</v>
      </c>
      <c r="AB56" s="24" t="n">
        <f aca="false">AA56-Z56</f>
        <v>182.23</v>
      </c>
      <c r="AC56" s="23" t="n">
        <f aca="false">IFERROR(AB56/AA56,0)</f>
        <v>0.0364459999999999</v>
      </c>
      <c r="AD56" s="22" t="s">
        <v>293</v>
      </c>
    </row>
    <row r="57" customFormat="false" ht="15" hidden="false" customHeight="false" outlineLevel="0" collapsed="false">
      <c r="A57" s="22" t="n">
        <v>56</v>
      </c>
      <c r="B57" s="22" t="s">
        <v>121</v>
      </c>
      <c r="C57" s="37" t="n">
        <v>44699.1902199074</v>
      </c>
      <c r="D57" s="22" t="s">
        <v>204</v>
      </c>
      <c r="E57" s="22" t="n">
        <v>4</v>
      </c>
      <c r="F57" s="22" t="s">
        <v>182</v>
      </c>
      <c r="G57" s="22" t="s">
        <v>237</v>
      </c>
      <c r="H57" s="22" t="n">
        <v>0.08</v>
      </c>
      <c r="I57" s="38" t="n">
        <v>1812.78</v>
      </c>
      <c r="J57" s="38" t="n">
        <v>1812.78</v>
      </c>
      <c r="K57" s="39" t="n">
        <f aca="false">IF(F57="BUY",J57-I57,I57-J57)</f>
        <v>0</v>
      </c>
      <c r="L57" s="38" t="n">
        <v>1818.78</v>
      </c>
      <c r="M57" s="39" t="n">
        <f aca="false">ABS(I57-L57)</f>
        <v>6</v>
      </c>
      <c r="N57" s="24" t="n">
        <f aca="false">M57*H57*Summary!$C$6</f>
        <v>48</v>
      </c>
      <c r="O57" s="37" t="n">
        <v>44699.2202430556</v>
      </c>
      <c r="P57" s="22" t="n">
        <f aca="false">ROUND((O57-C57)*86400,0)</f>
        <v>2594</v>
      </c>
      <c r="Q57" s="22" t="str">
        <f aca="false">IF(P57&lt;10,"a) &lt;10s",IF(P57&lt;60,"b) 10-60s",IF(P57&lt;600,"c) 1-10min","d) &gt;10min")))</f>
        <v>d) &gt;10min</v>
      </c>
      <c r="R57" s="38" t="n">
        <v>1812.28</v>
      </c>
      <c r="S57" s="38" t="n">
        <v>1812.28</v>
      </c>
      <c r="T57" s="22" t="s">
        <v>189</v>
      </c>
      <c r="U57" s="39" t="n">
        <f aca="false">IF(R57="","",IF(F57="BUY",R57-S57,S57-R57))</f>
        <v>0</v>
      </c>
      <c r="V57" s="39" t="n">
        <f aca="false">IF(F57="BUY",S57-J57,J57-S57)</f>
        <v>0.5</v>
      </c>
      <c r="W57" s="6" t="n">
        <v>4</v>
      </c>
      <c r="X57" s="26" t="n">
        <f aca="false">IFERROR(W57/N57,0)</f>
        <v>0.0833333333333333</v>
      </c>
      <c r="Y57" s="22" t="str">
        <f aca="false">IF(W57&gt;0,"Win",IF(W57&lt;0,"Loss","Flat"))</f>
        <v>Win</v>
      </c>
      <c r="Z57" s="24" t="n">
        <f aca="false">Summary!$C$5+SUM(W$2:W57)</f>
        <v>4821.77</v>
      </c>
      <c r="AA57" s="24" t="n">
        <f aca="false">MAX(AA56,Z57)</f>
        <v>5000</v>
      </c>
      <c r="AB57" s="24" t="n">
        <f aca="false">AA57-Z57</f>
        <v>178.23</v>
      </c>
      <c r="AC57" s="23" t="n">
        <f aca="false">IFERROR(AB57/AA57,0)</f>
        <v>0.0356459999999999</v>
      </c>
      <c r="AD57" s="22" t="s">
        <v>294</v>
      </c>
    </row>
    <row r="58" customFormat="false" ht="15" hidden="false" customHeight="false" outlineLevel="0" collapsed="false">
      <c r="A58" s="22" t="n">
        <v>57</v>
      </c>
      <c r="B58" s="22" t="s">
        <v>121</v>
      </c>
      <c r="C58" s="37" t="n">
        <v>44699.6234837963</v>
      </c>
      <c r="D58" s="22" t="s">
        <v>204</v>
      </c>
      <c r="E58" s="22" t="n">
        <v>14</v>
      </c>
      <c r="F58" s="22" t="s">
        <v>182</v>
      </c>
      <c r="G58" s="22" t="s">
        <v>241</v>
      </c>
      <c r="H58" s="22" t="n">
        <v>0.08</v>
      </c>
      <c r="I58" s="38" t="n">
        <v>1807.78</v>
      </c>
      <c r="J58" s="38" t="n">
        <v>1807.78</v>
      </c>
      <c r="K58" s="39" t="n">
        <f aca="false">IF(F58="BUY",J58-I58,I58-J58)</f>
        <v>0</v>
      </c>
      <c r="L58" s="38" t="n">
        <v>1813.78</v>
      </c>
      <c r="M58" s="39" t="n">
        <f aca="false">ABS(I58-L58)</f>
        <v>6</v>
      </c>
      <c r="N58" s="24" t="n">
        <f aca="false">M58*H58*Summary!$C$6</f>
        <v>48</v>
      </c>
      <c r="O58" s="37" t="n">
        <v>44699.6516898148</v>
      </c>
      <c r="P58" s="22" t="n">
        <f aca="false">ROUND((O58-C58)*86400,0)</f>
        <v>2437</v>
      </c>
      <c r="Q58" s="22" t="str">
        <f aca="false">IF(P58&lt;10,"a) &lt;10s",IF(P58&lt;60,"b) 10-60s",IF(P58&lt;600,"c) 1-10min","d) &gt;10min")))</f>
        <v>d) &gt;10min</v>
      </c>
      <c r="R58" s="38" t="n">
        <v>1813.78</v>
      </c>
      <c r="S58" s="38" t="n">
        <v>1813.78</v>
      </c>
      <c r="T58" s="22" t="s">
        <v>188</v>
      </c>
      <c r="U58" s="39" t="n">
        <f aca="false">IF(R58="","",IF(F58="BUY",R58-S58,S58-R58))</f>
        <v>0</v>
      </c>
      <c r="V58" s="39" t="n">
        <f aca="false">IF(F58="BUY",S58-J58,J58-S58)</f>
        <v>-6</v>
      </c>
      <c r="W58" s="6" t="n">
        <v>-48</v>
      </c>
      <c r="X58" s="26" t="n">
        <f aca="false">IFERROR(W58/N58,0)</f>
        <v>-1</v>
      </c>
      <c r="Y58" s="22" t="str">
        <f aca="false">IF(W58&gt;0,"Win",IF(W58&lt;0,"Loss","Flat"))</f>
        <v>Loss</v>
      </c>
      <c r="Z58" s="24" t="n">
        <f aca="false">Summary!$C$5+SUM(W$2:W58)</f>
        <v>4773.77</v>
      </c>
      <c r="AA58" s="24" t="n">
        <f aca="false">MAX(AA57,Z58)</f>
        <v>5000</v>
      </c>
      <c r="AB58" s="24" t="n">
        <f aca="false">AA58-Z58</f>
        <v>226.23</v>
      </c>
      <c r="AC58" s="23" t="n">
        <f aca="false">IFERROR(AB58/AA58,0)</f>
        <v>0.0452459999999999</v>
      </c>
      <c r="AD58" s="22" t="s">
        <v>295</v>
      </c>
    </row>
    <row r="59" customFormat="false" ht="15" hidden="false" customHeight="false" outlineLevel="0" collapsed="false">
      <c r="A59" s="22" t="n">
        <v>58</v>
      </c>
      <c r="B59" s="22" t="s">
        <v>121</v>
      </c>
      <c r="C59" s="37" t="n">
        <v>44700.3758217593</v>
      </c>
      <c r="D59" s="22" t="s">
        <v>205</v>
      </c>
      <c r="E59" s="22" t="n">
        <v>9</v>
      </c>
      <c r="F59" s="22" t="s">
        <v>182</v>
      </c>
      <c r="G59" s="22" t="s">
        <v>241</v>
      </c>
      <c r="H59" s="22" t="n">
        <v>0.07</v>
      </c>
      <c r="I59" s="38" t="n">
        <v>1813.01</v>
      </c>
      <c r="J59" s="38" t="n">
        <v>1812.95</v>
      </c>
      <c r="K59" s="39" t="n">
        <f aca="false">IF(F59="BUY",J59-I59,I59-J59)</f>
        <v>0.0599999999999454</v>
      </c>
      <c r="L59" s="38" t="n">
        <v>1819.01</v>
      </c>
      <c r="M59" s="39" t="n">
        <f aca="false">ABS(I59-L59)</f>
        <v>6</v>
      </c>
      <c r="N59" s="24" t="n">
        <f aca="false">M59*H59*Summary!$C$6</f>
        <v>42</v>
      </c>
      <c r="O59" s="37" t="n">
        <v>44700.4897453704</v>
      </c>
      <c r="P59" s="22" t="n">
        <f aca="false">ROUND((O59-C59)*86400,0)</f>
        <v>9843</v>
      </c>
      <c r="Q59" s="22" t="str">
        <f aca="false">IF(P59&lt;10,"a) &lt;10s",IF(P59&lt;60,"b) 10-60s",IF(P59&lt;600,"c) 1-10min","d) &gt;10min")))</f>
        <v>d) &gt;10min</v>
      </c>
      <c r="R59" s="38" t="n">
        <v>1819.01</v>
      </c>
      <c r="S59" s="38" t="n">
        <v>1819.34</v>
      </c>
      <c r="T59" s="22" t="s">
        <v>188</v>
      </c>
      <c r="U59" s="39" t="n">
        <f aca="false">IF(R59="","",IF(F59="BUY",R59-S59,S59-R59))</f>
        <v>0.329999999999927</v>
      </c>
      <c r="V59" s="39" t="n">
        <f aca="false">IF(F59="BUY",S59-J59,J59-S59)</f>
        <v>-6.38999999999987</v>
      </c>
      <c r="W59" s="6" t="n">
        <v>-44.73</v>
      </c>
      <c r="X59" s="26" t="n">
        <f aca="false">IFERROR(W59/N59,0)</f>
        <v>-1.065</v>
      </c>
      <c r="Y59" s="22" t="str">
        <f aca="false">IF(W59&gt;0,"Win",IF(W59&lt;0,"Loss","Flat"))</f>
        <v>Loss</v>
      </c>
      <c r="Z59" s="24" t="n">
        <f aca="false">Summary!$C$5+SUM(W$2:W59)</f>
        <v>4729.04</v>
      </c>
      <c r="AA59" s="24" t="n">
        <f aca="false">MAX(AA58,Z59)</f>
        <v>5000</v>
      </c>
      <c r="AB59" s="24" t="n">
        <f aca="false">AA59-Z59</f>
        <v>270.96</v>
      </c>
      <c r="AC59" s="23" t="n">
        <f aca="false">IFERROR(AB59/AA59,0)</f>
        <v>0.054192</v>
      </c>
      <c r="AD59" s="22" t="s">
        <v>296</v>
      </c>
    </row>
    <row r="60" customFormat="false" ht="15" hidden="false" customHeight="false" outlineLevel="0" collapsed="false">
      <c r="A60" s="22" t="n">
        <v>59</v>
      </c>
      <c r="B60" s="22" t="s">
        <v>121</v>
      </c>
      <c r="C60" s="37" t="n">
        <v>44700.5055439815</v>
      </c>
      <c r="D60" s="22" t="s">
        <v>205</v>
      </c>
      <c r="E60" s="22" t="n">
        <v>12</v>
      </c>
      <c r="F60" s="22" t="s">
        <v>181</v>
      </c>
      <c r="G60" s="22" t="s">
        <v>243</v>
      </c>
      <c r="H60" s="22" t="n">
        <v>0.07</v>
      </c>
      <c r="I60" s="38" t="n">
        <v>1824.61</v>
      </c>
      <c r="J60" s="38" t="n">
        <v>1824.86</v>
      </c>
      <c r="K60" s="39" t="n">
        <f aca="false">IF(F60="BUY",J60-I60,I60-J60)</f>
        <v>0.25</v>
      </c>
      <c r="L60" s="38" t="n">
        <v>1818.61</v>
      </c>
      <c r="M60" s="39" t="n">
        <f aca="false">ABS(I60-L60)</f>
        <v>6</v>
      </c>
      <c r="N60" s="24" t="n">
        <f aca="false">M60*H60*Summary!$C$6</f>
        <v>42</v>
      </c>
      <c r="O60" s="37" t="n">
        <v>44700.5120833333</v>
      </c>
      <c r="P60" s="22" t="n">
        <f aca="false">ROUND((O60-C60)*86400,0)</f>
        <v>565</v>
      </c>
      <c r="Q60" s="22" t="str">
        <f aca="false">IF(P60&lt;10,"a) &lt;10s",IF(P60&lt;60,"b) 10-60s",IF(P60&lt;600,"c) 1-10min","d) &gt;10min")))</f>
        <v>c) 1-10min</v>
      </c>
      <c r="R60" s="38" t="n">
        <v>1825.36</v>
      </c>
      <c r="S60" s="38" t="n">
        <v>1825.36</v>
      </c>
      <c r="T60" s="22" t="s">
        <v>189</v>
      </c>
      <c r="U60" s="39" t="n">
        <f aca="false">IF(R60="","",IF(F60="BUY",R60-S60,S60-R60))</f>
        <v>0</v>
      </c>
      <c r="V60" s="39" t="n">
        <f aca="false">IF(F60="BUY",S60-J60,J60-S60)</f>
        <v>0.5</v>
      </c>
      <c r="W60" s="6" t="n">
        <v>3.5</v>
      </c>
      <c r="X60" s="26" t="n">
        <f aca="false">IFERROR(W60/N60,0)</f>
        <v>0.0833333333333333</v>
      </c>
      <c r="Y60" s="22" t="str">
        <f aca="false">IF(W60&gt;0,"Win",IF(W60&lt;0,"Loss","Flat"))</f>
        <v>Win</v>
      </c>
      <c r="Z60" s="24" t="n">
        <f aca="false">Summary!$C$5+SUM(W$2:W60)</f>
        <v>4732.54</v>
      </c>
      <c r="AA60" s="24" t="n">
        <f aca="false">MAX(AA59,Z60)</f>
        <v>5000</v>
      </c>
      <c r="AB60" s="24" t="n">
        <f aca="false">AA60-Z60</f>
        <v>267.46</v>
      </c>
      <c r="AC60" s="23" t="n">
        <f aca="false">IFERROR(AB60/AA60,0)</f>
        <v>0.053492</v>
      </c>
      <c r="AD60" s="22" t="s">
        <v>297</v>
      </c>
    </row>
    <row r="61" customFormat="false" ht="15" hidden="false" customHeight="false" outlineLevel="0" collapsed="false">
      <c r="A61" s="22" t="n">
        <v>60</v>
      </c>
      <c r="B61" s="22" t="s">
        <v>121</v>
      </c>
      <c r="C61" s="37" t="n">
        <v>44701.3798148148</v>
      </c>
      <c r="D61" s="22" t="s">
        <v>206</v>
      </c>
      <c r="E61" s="22" t="n">
        <v>9</v>
      </c>
      <c r="F61" s="22" t="s">
        <v>181</v>
      </c>
      <c r="G61" s="22" t="s">
        <v>235</v>
      </c>
      <c r="H61" s="22" t="n">
        <v>0.07</v>
      </c>
      <c r="I61" s="38" t="n">
        <v>1846.65</v>
      </c>
      <c r="J61" s="38" t="n">
        <v>1846.76</v>
      </c>
      <c r="K61" s="39" t="n">
        <f aca="false">IF(F61="BUY",J61-I61,I61-J61)</f>
        <v>0.1099999999999</v>
      </c>
      <c r="L61" s="38" t="n">
        <v>1840.65</v>
      </c>
      <c r="M61" s="39" t="n">
        <f aca="false">ABS(I61-L61)</f>
        <v>6</v>
      </c>
      <c r="N61" s="24" t="n">
        <f aca="false">M61*H61*Summary!$C$6</f>
        <v>42</v>
      </c>
      <c r="O61" s="37" t="n">
        <v>44701.4263541667</v>
      </c>
      <c r="P61" s="22" t="n">
        <f aca="false">ROUND((O61-C61)*86400,0)</f>
        <v>4021</v>
      </c>
      <c r="Q61" s="22" t="str">
        <f aca="false">IF(P61&lt;10,"a) &lt;10s",IF(P61&lt;60,"b) 10-60s",IF(P61&lt;600,"c) 1-10min","d) &gt;10min")))</f>
        <v>d) &gt;10min</v>
      </c>
      <c r="R61" s="38" t="n">
        <v>1847.26</v>
      </c>
      <c r="S61" s="38" t="n">
        <v>1847.26</v>
      </c>
      <c r="T61" s="22" t="s">
        <v>189</v>
      </c>
      <c r="U61" s="39" t="n">
        <f aca="false">IF(R61="","",IF(F61="BUY",R61-S61,S61-R61))</f>
        <v>0</v>
      </c>
      <c r="V61" s="39" t="n">
        <f aca="false">IF(F61="BUY",S61-J61,J61-S61)</f>
        <v>0.5</v>
      </c>
      <c r="W61" s="6" t="n">
        <v>3.5</v>
      </c>
      <c r="X61" s="26" t="n">
        <f aca="false">IFERROR(W61/N61,0)</f>
        <v>0.0833333333333333</v>
      </c>
      <c r="Y61" s="22" t="str">
        <f aca="false">IF(W61&gt;0,"Win",IF(W61&lt;0,"Loss","Flat"))</f>
        <v>Win</v>
      </c>
      <c r="Z61" s="24" t="n">
        <f aca="false">Summary!$C$5+SUM(W$2:W61)</f>
        <v>4736.04</v>
      </c>
      <c r="AA61" s="24" t="n">
        <f aca="false">MAX(AA60,Z61)</f>
        <v>5000</v>
      </c>
      <c r="AB61" s="24" t="n">
        <f aca="false">AA61-Z61</f>
        <v>263.96</v>
      </c>
      <c r="AC61" s="23" t="n">
        <f aca="false">IFERROR(AB61/AA61,0)</f>
        <v>0.052792</v>
      </c>
      <c r="AD61" s="22" t="s">
        <v>298</v>
      </c>
    </row>
    <row r="62" customFormat="false" ht="15" hidden="false" customHeight="false" outlineLevel="0" collapsed="false">
      <c r="A62" s="22" t="n">
        <v>61</v>
      </c>
      <c r="B62" s="22" t="s">
        <v>121</v>
      </c>
      <c r="C62" s="37" t="n">
        <v>44704.3767476852</v>
      </c>
      <c r="D62" s="22" t="s">
        <v>202</v>
      </c>
      <c r="E62" s="22" t="n">
        <v>9</v>
      </c>
      <c r="F62" s="22" t="s">
        <v>182</v>
      </c>
      <c r="G62" s="22" t="s">
        <v>241</v>
      </c>
      <c r="H62" s="22" t="n">
        <v>0.07</v>
      </c>
      <c r="I62" s="38" t="n">
        <v>1853.67</v>
      </c>
      <c r="J62" s="38" t="n">
        <v>1853.43</v>
      </c>
      <c r="K62" s="39" t="n">
        <f aca="false">IF(F62="BUY",J62-I62,I62-J62)</f>
        <v>0.240000000000009</v>
      </c>
      <c r="L62" s="38" t="n">
        <v>1859.67</v>
      </c>
      <c r="M62" s="39" t="n">
        <f aca="false">ABS(I62-L62)</f>
        <v>6</v>
      </c>
      <c r="N62" s="24" t="n">
        <f aca="false">M62*H62*Summary!$C$6</f>
        <v>42</v>
      </c>
      <c r="O62" s="37" t="n">
        <v>44704.4731597222</v>
      </c>
      <c r="P62" s="22" t="n">
        <f aca="false">ROUND((O62-C62)*86400,0)</f>
        <v>8330</v>
      </c>
      <c r="Q62" s="22" t="str">
        <f aca="false">IF(P62&lt;10,"a) &lt;10s",IF(P62&lt;60,"b) 10-60s",IF(P62&lt;600,"c) 1-10min","d) &gt;10min")))</f>
        <v>d) &gt;10min</v>
      </c>
      <c r="R62" s="38" t="n">
        <v>1859.67</v>
      </c>
      <c r="S62" s="38" t="n">
        <v>1859.74</v>
      </c>
      <c r="T62" s="22" t="s">
        <v>188</v>
      </c>
      <c r="U62" s="39" t="n">
        <f aca="false">IF(R62="","",IF(F62="BUY",R62-S62,S62-R62))</f>
        <v>0.0699999999999363</v>
      </c>
      <c r="V62" s="39" t="n">
        <f aca="false">IF(F62="BUY",S62-J62,J62-S62)</f>
        <v>-6.30999999999995</v>
      </c>
      <c r="W62" s="6" t="n">
        <v>-44.17</v>
      </c>
      <c r="X62" s="26" t="n">
        <f aca="false">IFERROR(W62/N62,0)</f>
        <v>-1.05166666666667</v>
      </c>
      <c r="Y62" s="22" t="str">
        <f aca="false">IF(W62&gt;0,"Win",IF(W62&lt;0,"Loss","Flat"))</f>
        <v>Loss</v>
      </c>
      <c r="Z62" s="24" t="n">
        <f aca="false">Summary!$C$5+SUM(W$2:W62)</f>
        <v>4691.87</v>
      </c>
      <c r="AA62" s="24" t="n">
        <f aca="false">MAX(AA61,Z62)</f>
        <v>5000</v>
      </c>
      <c r="AB62" s="24" t="n">
        <f aca="false">AA62-Z62</f>
        <v>308.13</v>
      </c>
      <c r="AC62" s="23" t="n">
        <f aca="false">IFERROR(AB62/AA62,0)</f>
        <v>0.061626</v>
      </c>
      <c r="AD62" s="22" t="s">
        <v>299</v>
      </c>
    </row>
    <row r="63" customFormat="false" ht="15" hidden="false" customHeight="false" outlineLevel="0" collapsed="false">
      <c r="A63" s="22" t="n">
        <v>62</v>
      </c>
      <c r="B63" s="22" t="s">
        <v>121</v>
      </c>
      <c r="C63" s="37" t="n">
        <v>44705.3759837963</v>
      </c>
      <c r="D63" s="22" t="s">
        <v>203</v>
      </c>
      <c r="E63" s="22" t="n">
        <v>9</v>
      </c>
      <c r="F63" s="22" t="s">
        <v>182</v>
      </c>
      <c r="G63" s="22" t="s">
        <v>241</v>
      </c>
      <c r="H63" s="22" t="n">
        <v>0.07</v>
      </c>
      <c r="I63" s="38" t="n">
        <v>1854.52</v>
      </c>
      <c r="J63" s="38" t="n">
        <v>1854.34</v>
      </c>
      <c r="K63" s="39" t="n">
        <f aca="false">IF(F63="BUY",J63-I63,I63-J63)</f>
        <v>0.180000000000064</v>
      </c>
      <c r="L63" s="38" t="n">
        <v>1860.52</v>
      </c>
      <c r="M63" s="39" t="n">
        <f aca="false">ABS(I63-L63)</f>
        <v>6</v>
      </c>
      <c r="N63" s="24" t="n">
        <f aca="false">M63*H63*Summary!$C$6</f>
        <v>42</v>
      </c>
      <c r="O63" s="37" t="n">
        <v>44705.4178703704</v>
      </c>
      <c r="P63" s="22" t="n">
        <f aca="false">ROUND((O63-C63)*86400,0)</f>
        <v>3619</v>
      </c>
      <c r="Q63" s="22" t="str">
        <f aca="false">IF(P63&lt;10,"a) &lt;10s",IF(P63&lt;60,"b) 10-60s",IF(P63&lt;600,"c) 1-10min","d) &gt;10min")))</f>
        <v>d) &gt;10min</v>
      </c>
      <c r="R63" s="38" t="n">
        <v>1853.84</v>
      </c>
      <c r="S63" s="38" t="n">
        <v>1853.85</v>
      </c>
      <c r="T63" s="22" t="s">
        <v>189</v>
      </c>
      <c r="U63" s="39" t="n">
        <f aca="false">IF(R63="","",IF(F63="BUY",R63-S63,S63-R63))</f>
        <v>0.00999999999999091</v>
      </c>
      <c r="V63" s="39" t="n">
        <f aca="false">IF(F63="BUY",S63-J63,J63-S63)</f>
        <v>0.490000000000009</v>
      </c>
      <c r="W63" s="6" t="n">
        <v>3.43</v>
      </c>
      <c r="X63" s="26" t="n">
        <f aca="false">IFERROR(W63/N63,0)</f>
        <v>0.0816666666666667</v>
      </c>
      <c r="Y63" s="22" t="str">
        <f aca="false">IF(W63&gt;0,"Win",IF(W63&lt;0,"Loss","Flat"))</f>
        <v>Win</v>
      </c>
      <c r="Z63" s="24" t="n">
        <f aca="false">Summary!$C$5+SUM(W$2:W63)</f>
        <v>4695.3</v>
      </c>
      <c r="AA63" s="24" t="n">
        <f aca="false">MAX(AA62,Z63)</f>
        <v>5000</v>
      </c>
      <c r="AB63" s="24" t="n">
        <f aca="false">AA63-Z63</f>
        <v>304.7</v>
      </c>
      <c r="AC63" s="23" t="n">
        <f aca="false">IFERROR(AB63/AA63,0)</f>
        <v>0.06094</v>
      </c>
      <c r="AD63" s="22" t="s">
        <v>300</v>
      </c>
    </row>
    <row r="64" customFormat="false" ht="15" hidden="false" customHeight="false" outlineLevel="0" collapsed="false">
      <c r="A64" s="22" t="n">
        <v>63</v>
      </c>
      <c r="B64" s="22" t="s">
        <v>121</v>
      </c>
      <c r="C64" s="37" t="n">
        <v>44705.699212963</v>
      </c>
      <c r="D64" s="22" t="s">
        <v>203</v>
      </c>
      <c r="E64" s="22" t="n">
        <v>16</v>
      </c>
      <c r="F64" s="22" t="s">
        <v>181</v>
      </c>
      <c r="G64" s="22" t="s">
        <v>243</v>
      </c>
      <c r="H64" s="22" t="n">
        <v>0.07</v>
      </c>
      <c r="I64" s="38" t="n">
        <v>1865.33</v>
      </c>
      <c r="J64" s="38" t="n">
        <v>1865.64</v>
      </c>
      <c r="K64" s="39" t="n">
        <f aca="false">IF(F64="BUY",J64-I64,I64-J64)</f>
        <v>0.310000000000173</v>
      </c>
      <c r="L64" s="38" t="n">
        <v>1859.33</v>
      </c>
      <c r="M64" s="39" t="n">
        <f aca="false">ABS(I64-L64)</f>
        <v>6</v>
      </c>
      <c r="N64" s="24" t="n">
        <f aca="false">M64*H64*Summary!$C$6</f>
        <v>42</v>
      </c>
      <c r="O64" s="37" t="n">
        <v>44705.7134027778</v>
      </c>
      <c r="P64" s="22" t="n">
        <f aca="false">ROUND((O64-C64)*86400,0)</f>
        <v>1226</v>
      </c>
      <c r="Q64" s="22" t="str">
        <f aca="false">IF(P64&lt;10,"a) &lt;10s",IF(P64&lt;60,"b) 10-60s",IF(P64&lt;600,"c) 1-10min","d) &gt;10min")))</f>
        <v>d) &gt;10min</v>
      </c>
      <c r="R64" s="38" t="n">
        <v>1866.14</v>
      </c>
      <c r="S64" s="38" t="n">
        <v>1865.87</v>
      </c>
      <c r="T64" s="22" t="s">
        <v>189</v>
      </c>
      <c r="U64" s="39" t="n">
        <f aca="false">IF(R64="","",IF(F64="BUY",R64-S64,S64-R64))</f>
        <v>0.270000000000209</v>
      </c>
      <c r="V64" s="39" t="n">
        <f aca="false">IF(F64="BUY",S64-J64,J64-S64)</f>
        <v>0.229999999999791</v>
      </c>
      <c r="W64" s="6" t="n">
        <v>1.61</v>
      </c>
      <c r="X64" s="26" t="n">
        <f aca="false">IFERROR(W64/N64,0)</f>
        <v>0.0383333333333333</v>
      </c>
      <c r="Y64" s="22" t="str">
        <f aca="false">IF(W64&gt;0,"Win",IF(W64&lt;0,"Loss","Flat"))</f>
        <v>Win</v>
      </c>
      <c r="Z64" s="24" t="n">
        <f aca="false">Summary!$C$5+SUM(W$2:W64)</f>
        <v>4696.91</v>
      </c>
      <c r="AA64" s="24" t="n">
        <f aca="false">MAX(AA63,Z64)</f>
        <v>5000</v>
      </c>
      <c r="AB64" s="24" t="n">
        <f aca="false">AA64-Z64</f>
        <v>303.09</v>
      </c>
      <c r="AC64" s="23" t="n">
        <f aca="false">IFERROR(AB64/AA64,0)</f>
        <v>0.060618</v>
      </c>
      <c r="AD64" s="22" t="s">
        <v>301</v>
      </c>
    </row>
    <row r="65" customFormat="false" ht="15" hidden="false" customHeight="false" outlineLevel="0" collapsed="false">
      <c r="A65" s="22" t="n">
        <v>64</v>
      </c>
      <c r="B65" s="22" t="s">
        <v>121</v>
      </c>
      <c r="C65" s="37" t="n">
        <v>44706.3809722222</v>
      </c>
      <c r="D65" s="22" t="s">
        <v>204</v>
      </c>
      <c r="E65" s="22" t="n">
        <v>9</v>
      </c>
      <c r="F65" s="22" t="s">
        <v>182</v>
      </c>
      <c r="G65" s="22" t="s">
        <v>241</v>
      </c>
      <c r="H65" s="22" t="n">
        <v>0.07</v>
      </c>
      <c r="I65" s="38" t="n">
        <v>1858.73</v>
      </c>
      <c r="J65" s="38" t="n">
        <v>1858.7</v>
      </c>
      <c r="K65" s="39" t="n">
        <f aca="false">IF(F65="BUY",J65-I65,I65-J65)</f>
        <v>0.0299999999999727</v>
      </c>
      <c r="L65" s="38" t="n">
        <v>1864.73</v>
      </c>
      <c r="M65" s="39" t="n">
        <f aca="false">ABS(I65-L65)</f>
        <v>6</v>
      </c>
      <c r="N65" s="24" t="n">
        <f aca="false">M65*H65*Summary!$C$6</f>
        <v>42</v>
      </c>
      <c r="O65" s="37" t="n">
        <v>44706.4003356482</v>
      </c>
      <c r="P65" s="22" t="n">
        <f aca="false">ROUND((O65-C65)*86400,0)</f>
        <v>1673</v>
      </c>
      <c r="Q65" s="22" t="str">
        <f aca="false">IF(P65&lt;10,"a) &lt;10s",IF(P65&lt;60,"b) 10-60s",IF(P65&lt;600,"c) 1-10min","d) &gt;10min")))</f>
        <v>d) &gt;10min</v>
      </c>
      <c r="R65" s="38" t="n">
        <v>1858.2</v>
      </c>
      <c r="S65" s="38" t="n">
        <v>1858.28</v>
      </c>
      <c r="T65" s="22" t="s">
        <v>189</v>
      </c>
      <c r="U65" s="39" t="n">
        <f aca="false">IF(R65="","",IF(F65="BUY",R65-S65,S65-R65))</f>
        <v>0.0799999999999272</v>
      </c>
      <c r="V65" s="39" t="n">
        <f aca="false">IF(F65="BUY",S65-J65,J65-S65)</f>
        <v>0.420000000000073</v>
      </c>
      <c r="W65" s="6" t="n">
        <v>2.94</v>
      </c>
      <c r="X65" s="26" t="n">
        <f aca="false">IFERROR(W65/N65,0)</f>
        <v>0.07</v>
      </c>
      <c r="Y65" s="22" t="str">
        <f aca="false">IF(W65&gt;0,"Win",IF(W65&lt;0,"Loss","Flat"))</f>
        <v>Win</v>
      </c>
      <c r="Z65" s="24" t="n">
        <f aca="false">Summary!$C$5+SUM(W$2:W65)</f>
        <v>4699.85</v>
      </c>
      <c r="AA65" s="24" t="n">
        <f aca="false">MAX(AA64,Z65)</f>
        <v>5000</v>
      </c>
      <c r="AB65" s="24" t="n">
        <f aca="false">AA65-Z65</f>
        <v>300.15</v>
      </c>
      <c r="AC65" s="23" t="n">
        <f aca="false">IFERROR(AB65/AA65,0)</f>
        <v>0.0600299999999999</v>
      </c>
      <c r="AD65" s="22" t="s">
        <v>302</v>
      </c>
    </row>
    <row r="66" customFormat="false" ht="15" hidden="false" customHeight="false" outlineLevel="0" collapsed="false">
      <c r="A66" s="22" t="n">
        <v>65</v>
      </c>
      <c r="B66" s="22" t="s">
        <v>121</v>
      </c>
      <c r="C66" s="37" t="n">
        <v>44706.667037037</v>
      </c>
      <c r="D66" s="22" t="s">
        <v>204</v>
      </c>
      <c r="E66" s="22" t="n">
        <v>16</v>
      </c>
      <c r="F66" s="22" t="s">
        <v>182</v>
      </c>
      <c r="G66" s="22" t="s">
        <v>237</v>
      </c>
      <c r="H66" s="22" t="n">
        <v>0.07</v>
      </c>
      <c r="I66" s="38" t="n">
        <v>1849.21</v>
      </c>
      <c r="J66" s="38" t="n">
        <v>1848.68</v>
      </c>
      <c r="K66" s="39" t="n">
        <f aca="false">IF(F66="BUY",J66-I66,I66-J66)</f>
        <v>0.529999999999973</v>
      </c>
      <c r="L66" s="38" t="n">
        <v>1855.21</v>
      </c>
      <c r="M66" s="39" t="n">
        <f aca="false">ABS(I66-L66)</f>
        <v>6</v>
      </c>
      <c r="N66" s="24" t="n">
        <f aca="false">M66*H66*Summary!$C$6</f>
        <v>42</v>
      </c>
      <c r="O66" s="37" t="n">
        <v>44706.853587963</v>
      </c>
      <c r="P66" s="22" t="n">
        <f aca="false">ROUND((O66-C66)*86400,0)</f>
        <v>16118</v>
      </c>
      <c r="Q66" s="22" t="str">
        <f aca="false">IF(P66&lt;10,"a) &lt;10s",IF(P66&lt;60,"b) 10-60s",IF(P66&lt;600,"c) 1-10min","d) &gt;10min")))</f>
        <v>d) &gt;10min</v>
      </c>
      <c r="R66" s="38" t="n">
        <v>1848.18</v>
      </c>
      <c r="S66" s="38" t="n">
        <v>1848.25</v>
      </c>
      <c r="T66" s="22" t="s">
        <v>189</v>
      </c>
      <c r="U66" s="39" t="n">
        <f aca="false">IF(R66="","",IF(F66="BUY",R66-S66,S66-R66))</f>
        <v>0.0699999999999363</v>
      </c>
      <c r="V66" s="39" t="n">
        <f aca="false">IF(F66="BUY",S66-J66,J66-S66)</f>
        <v>0.430000000000064</v>
      </c>
      <c r="W66" s="6" t="n">
        <v>3.01</v>
      </c>
      <c r="X66" s="26" t="n">
        <f aca="false">IFERROR(W66/N66,0)</f>
        <v>0.0716666666666667</v>
      </c>
      <c r="Y66" s="22" t="str">
        <f aca="false">IF(W66&gt;0,"Win",IF(W66&lt;0,"Loss","Flat"))</f>
        <v>Win</v>
      </c>
      <c r="Z66" s="24" t="n">
        <f aca="false">Summary!$C$5+SUM(W$2:W66)</f>
        <v>4702.86</v>
      </c>
      <c r="AA66" s="24" t="n">
        <f aca="false">MAX(AA65,Z66)</f>
        <v>5000</v>
      </c>
      <c r="AB66" s="24" t="n">
        <f aca="false">AA66-Z66</f>
        <v>297.14</v>
      </c>
      <c r="AC66" s="23" t="n">
        <f aca="false">IFERROR(AB66/AA66,0)</f>
        <v>0.0594280000000001</v>
      </c>
      <c r="AD66" s="22" t="s">
        <v>303</v>
      </c>
    </row>
    <row r="67" customFormat="false" ht="15" hidden="false" customHeight="false" outlineLevel="0" collapsed="false">
      <c r="A67" s="22" t="n">
        <v>66</v>
      </c>
      <c r="B67" s="22" t="s">
        <v>121</v>
      </c>
      <c r="C67" s="37" t="n">
        <v>44707.6000578704</v>
      </c>
      <c r="D67" s="22" t="s">
        <v>205</v>
      </c>
      <c r="E67" s="22" t="n">
        <v>14</v>
      </c>
      <c r="F67" s="22" t="s">
        <v>182</v>
      </c>
      <c r="G67" s="22" t="s">
        <v>241</v>
      </c>
      <c r="H67" s="22" t="n">
        <v>0.07</v>
      </c>
      <c r="I67" s="38" t="n">
        <v>1842.75</v>
      </c>
      <c r="J67" s="38" t="n">
        <v>1842.71</v>
      </c>
      <c r="K67" s="39" t="n">
        <f aca="false">IF(F67="BUY",J67-I67,I67-J67)</f>
        <v>0.0399999999999636</v>
      </c>
      <c r="L67" s="38" t="n">
        <v>1848.75</v>
      </c>
      <c r="M67" s="39" t="n">
        <f aca="false">ABS(I67-L67)</f>
        <v>6</v>
      </c>
      <c r="N67" s="24" t="n">
        <f aca="false">M67*H67*Summary!$C$6</f>
        <v>42</v>
      </c>
      <c r="O67" s="37" t="n">
        <v>44707.7008449074</v>
      </c>
      <c r="P67" s="22" t="n">
        <f aca="false">ROUND((O67-C67)*86400,0)</f>
        <v>8708</v>
      </c>
      <c r="Q67" s="22" t="str">
        <f aca="false">IF(P67&lt;10,"a) &lt;10s",IF(P67&lt;60,"b) 10-60s",IF(P67&lt;600,"c) 1-10min","d) &gt;10min")))</f>
        <v>d) &gt;10min</v>
      </c>
      <c r="R67" s="38" t="n">
        <v>1848.75</v>
      </c>
      <c r="S67" s="38" t="n">
        <v>1848.78</v>
      </c>
      <c r="T67" s="22" t="s">
        <v>188</v>
      </c>
      <c r="U67" s="39" t="n">
        <f aca="false">IF(R67="","",IF(F67="BUY",R67-S67,S67-R67))</f>
        <v>0.0299999999999727</v>
      </c>
      <c r="V67" s="39" t="n">
        <f aca="false">IF(F67="BUY",S67-J67,J67-S67)</f>
        <v>-6.06999999999994</v>
      </c>
      <c r="W67" s="6" t="n">
        <v>-42.49</v>
      </c>
      <c r="X67" s="26" t="n">
        <f aca="false">IFERROR(W67/N67,0)</f>
        <v>-1.01166666666667</v>
      </c>
      <c r="Y67" s="22" t="str">
        <f aca="false">IF(W67&gt;0,"Win",IF(W67&lt;0,"Loss","Flat"))</f>
        <v>Loss</v>
      </c>
      <c r="Z67" s="24" t="n">
        <f aca="false">Summary!$C$5+SUM(W$2:W67)</f>
        <v>4660.37</v>
      </c>
      <c r="AA67" s="24" t="n">
        <f aca="false">MAX(AA66,Z67)</f>
        <v>5000</v>
      </c>
      <c r="AB67" s="24" t="n">
        <f aca="false">AA67-Z67</f>
        <v>339.63</v>
      </c>
      <c r="AC67" s="23" t="n">
        <f aca="false">IFERROR(AB67/AA67,0)</f>
        <v>0.067926</v>
      </c>
      <c r="AD67" s="22" t="s">
        <v>304</v>
      </c>
    </row>
    <row r="68" customFormat="false" ht="15" hidden="false" customHeight="false" outlineLevel="0" collapsed="false">
      <c r="A68" s="22" t="n">
        <v>67</v>
      </c>
      <c r="B68" s="22" t="s">
        <v>121</v>
      </c>
      <c r="C68" s="37" t="n">
        <v>44708.2015509259</v>
      </c>
      <c r="D68" s="22" t="s">
        <v>206</v>
      </c>
      <c r="E68" s="22" t="n">
        <v>4</v>
      </c>
      <c r="F68" s="22" t="s">
        <v>181</v>
      </c>
      <c r="G68" s="22" t="s">
        <v>243</v>
      </c>
      <c r="H68" s="22" t="n">
        <v>0.07</v>
      </c>
      <c r="I68" s="38" t="n">
        <v>1854.22</v>
      </c>
      <c r="J68" s="38" t="n">
        <v>1854.28</v>
      </c>
      <c r="K68" s="39" t="n">
        <f aca="false">IF(F68="BUY",J68-I68,I68-J68)</f>
        <v>0.0599999999999454</v>
      </c>
      <c r="L68" s="38" t="n">
        <v>1848.22</v>
      </c>
      <c r="M68" s="39" t="n">
        <f aca="false">ABS(I68-L68)</f>
        <v>6</v>
      </c>
      <c r="N68" s="24" t="n">
        <f aca="false">M68*H68*Summary!$C$6</f>
        <v>42</v>
      </c>
      <c r="O68" s="37" t="n">
        <v>44708.2108796296</v>
      </c>
      <c r="P68" s="22" t="n">
        <f aca="false">ROUND((O68-C68)*86400,0)</f>
        <v>806</v>
      </c>
      <c r="Q68" s="22" t="str">
        <f aca="false">IF(P68&lt;10,"a) &lt;10s",IF(P68&lt;60,"b) 10-60s",IF(P68&lt;600,"c) 1-10min","d) &gt;10min")))</f>
        <v>d) &gt;10min</v>
      </c>
      <c r="R68" s="38" t="n">
        <v>1854.78</v>
      </c>
      <c r="S68" s="38" t="n">
        <v>1854.76</v>
      </c>
      <c r="T68" s="22" t="s">
        <v>189</v>
      </c>
      <c r="U68" s="39" t="n">
        <f aca="false">IF(R68="","",IF(F68="BUY",R68-S68,S68-R68))</f>
        <v>0.0199999999999818</v>
      </c>
      <c r="V68" s="39" t="n">
        <f aca="false">IF(F68="BUY",S68-J68,J68-S68)</f>
        <v>0.480000000000018</v>
      </c>
      <c r="W68" s="6" t="n">
        <v>3.36</v>
      </c>
      <c r="X68" s="26" t="n">
        <f aca="false">IFERROR(W68/N68,0)</f>
        <v>0.08</v>
      </c>
      <c r="Y68" s="22" t="str">
        <f aca="false">IF(W68&gt;0,"Win",IF(W68&lt;0,"Loss","Flat"))</f>
        <v>Win</v>
      </c>
      <c r="Z68" s="24" t="n">
        <f aca="false">Summary!$C$5+SUM(W$2:W68)</f>
        <v>4663.73</v>
      </c>
      <c r="AA68" s="24" t="n">
        <f aca="false">MAX(AA67,Z68)</f>
        <v>5000</v>
      </c>
      <c r="AB68" s="24" t="n">
        <f aca="false">AA68-Z68</f>
        <v>336.27</v>
      </c>
      <c r="AC68" s="23" t="n">
        <f aca="false">IFERROR(AB68/AA68,0)</f>
        <v>0.0672540000000001</v>
      </c>
      <c r="AD68" s="22" t="s">
        <v>305</v>
      </c>
    </row>
    <row r="69" customFormat="false" ht="15" hidden="false" customHeight="false" outlineLevel="0" collapsed="false">
      <c r="A69" s="22" t="n">
        <v>68</v>
      </c>
      <c r="B69" s="22" t="s">
        <v>121</v>
      </c>
      <c r="C69" s="37" t="n">
        <v>44708.3869791667</v>
      </c>
      <c r="D69" s="22" t="s">
        <v>206</v>
      </c>
      <c r="E69" s="22" t="n">
        <v>9</v>
      </c>
      <c r="F69" s="22" t="s">
        <v>181</v>
      </c>
      <c r="G69" s="22" t="s">
        <v>235</v>
      </c>
      <c r="H69" s="22" t="n">
        <v>0.07</v>
      </c>
      <c r="I69" s="38" t="n">
        <v>1855.67</v>
      </c>
      <c r="J69" s="38" t="n">
        <v>1855.68</v>
      </c>
      <c r="K69" s="39" t="n">
        <f aca="false">IF(F69="BUY",J69-I69,I69-J69)</f>
        <v>0.00999999999999091</v>
      </c>
      <c r="L69" s="38" t="n">
        <v>1849.67</v>
      </c>
      <c r="M69" s="39" t="n">
        <f aca="false">ABS(I69-L69)</f>
        <v>6</v>
      </c>
      <c r="N69" s="24" t="n">
        <f aca="false">M69*H69*Summary!$C$6</f>
        <v>42</v>
      </c>
      <c r="O69" s="37" t="n">
        <v>44708.4376041667</v>
      </c>
      <c r="P69" s="22" t="n">
        <f aca="false">ROUND((O69-C69)*86400,0)</f>
        <v>4374</v>
      </c>
      <c r="Q69" s="22" t="str">
        <f aca="false">IF(P69&lt;10,"a) &lt;10s",IF(P69&lt;60,"b) 10-60s",IF(P69&lt;600,"c) 1-10min","d) &gt;10min")))</f>
        <v>d) &gt;10min</v>
      </c>
      <c r="R69" s="38" t="n">
        <v>1856.18</v>
      </c>
      <c r="S69" s="38" t="n">
        <v>1856.18</v>
      </c>
      <c r="T69" s="22" t="s">
        <v>189</v>
      </c>
      <c r="U69" s="39" t="n">
        <f aca="false">IF(R69="","",IF(F69="BUY",R69-S69,S69-R69))</f>
        <v>0</v>
      </c>
      <c r="V69" s="39" t="n">
        <f aca="false">IF(F69="BUY",S69-J69,J69-S69)</f>
        <v>0.5</v>
      </c>
      <c r="W69" s="6" t="n">
        <v>3.5</v>
      </c>
      <c r="X69" s="26" t="n">
        <f aca="false">IFERROR(W69/N69,0)</f>
        <v>0.0833333333333333</v>
      </c>
      <c r="Y69" s="22" t="str">
        <f aca="false">IF(W69&gt;0,"Win",IF(W69&lt;0,"Loss","Flat"))</f>
        <v>Win</v>
      </c>
      <c r="Z69" s="24" t="n">
        <f aca="false">Summary!$C$5+SUM(W$2:W69)</f>
        <v>4667.23</v>
      </c>
      <c r="AA69" s="24" t="n">
        <f aca="false">MAX(AA68,Z69)</f>
        <v>5000</v>
      </c>
      <c r="AB69" s="24" t="n">
        <f aca="false">AA69-Z69</f>
        <v>332.77</v>
      </c>
      <c r="AC69" s="23" t="n">
        <f aca="false">IFERROR(AB69/AA69,0)</f>
        <v>0.0665540000000001</v>
      </c>
      <c r="AD69" s="22" t="s">
        <v>306</v>
      </c>
    </row>
    <row r="70" customFormat="false" ht="15" hidden="false" customHeight="false" outlineLevel="0" collapsed="false">
      <c r="A70" s="22" t="n">
        <v>69</v>
      </c>
      <c r="B70" s="22" t="s">
        <v>121</v>
      </c>
      <c r="C70" s="37" t="n">
        <v>44711.2945486111</v>
      </c>
      <c r="D70" s="22" t="s">
        <v>202</v>
      </c>
      <c r="E70" s="22" t="n">
        <v>7</v>
      </c>
      <c r="F70" s="22" t="s">
        <v>181</v>
      </c>
      <c r="G70" s="22" t="s">
        <v>243</v>
      </c>
      <c r="H70" s="22" t="n">
        <v>0.07</v>
      </c>
      <c r="I70" s="38" t="n">
        <v>1861.84</v>
      </c>
      <c r="J70" s="38" t="n">
        <v>1861.9</v>
      </c>
      <c r="K70" s="39" t="n">
        <f aca="false">IF(F70="BUY",J70-I70,I70-J70)</f>
        <v>0.0600000000001728</v>
      </c>
      <c r="L70" s="38" t="n">
        <v>1855.84</v>
      </c>
      <c r="M70" s="39" t="n">
        <f aca="false">ABS(I70-L70)</f>
        <v>6</v>
      </c>
      <c r="N70" s="24" t="n">
        <f aca="false">M70*H70*Summary!$C$6</f>
        <v>42</v>
      </c>
      <c r="O70" s="37" t="n">
        <v>44711.5592476852</v>
      </c>
      <c r="P70" s="22" t="n">
        <f aca="false">ROUND((O70-C70)*86400,0)</f>
        <v>22870</v>
      </c>
      <c r="Q70" s="22" t="str">
        <f aca="false">IF(P70&lt;10,"a) &lt;10s",IF(P70&lt;60,"b) 10-60s",IF(P70&lt;600,"c) 1-10min","d) &gt;10min")))</f>
        <v>d) &gt;10min</v>
      </c>
      <c r="R70" s="38" t="n">
        <v>1855.84</v>
      </c>
      <c r="S70" s="38" t="n">
        <v>1855.81</v>
      </c>
      <c r="T70" s="22" t="s">
        <v>188</v>
      </c>
      <c r="U70" s="39" t="n">
        <f aca="false">IF(R70="","",IF(F70="BUY",R70-S70,S70-R70))</f>
        <v>0.0299999999999727</v>
      </c>
      <c r="V70" s="39" t="n">
        <f aca="false">IF(F70="BUY",S70-J70,J70-S70)</f>
        <v>-6.09000000000015</v>
      </c>
      <c r="W70" s="6" t="n">
        <v>-42.63</v>
      </c>
      <c r="X70" s="26" t="n">
        <f aca="false">IFERROR(W70/N70,0)</f>
        <v>-1.015</v>
      </c>
      <c r="Y70" s="22" t="str">
        <f aca="false">IF(W70&gt;0,"Win",IF(W70&lt;0,"Loss","Flat"))</f>
        <v>Loss</v>
      </c>
      <c r="Z70" s="24" t="n">
        <f aca="false">Summary!$C$5+SUM(W$2:W70)</f>
        <v>4624.6</v>
      </c>
      <c r="AA70" s="24" t="n">
        <f aca="false">MAX(AA69,Z70)</f>
        <v>5000</v>
      </c>
      <c r="AB70" s="24" t="n">
        <f aca="false">AA70-Z70</f>
        <v>375.4</v>
      </c>
      <c r="AC70" s="23" t="n">
        <f aca="false">IFERROR(AB70/AA70,0)</f>
        <v>0.0750799999999999</v>
      </c>
      <c r="AD70" s="22" t="s">
        <v>307</v>
      </c>
    </row>
    <row r="71" customFormat="false" ht="15" hidden="false" customHeight="false" outlineLevel="0" collapsed="false">
      <c r="A71" s="22" t="n">
        <v>70</v>
      </c>
      <c r="B71" s="22" t="s">
        <v>121</v>
      </c>
      <c r="C71" s="37" t="n">
        <v>44712.1461574074</v>
      </c>
      <c r="D71" s="22" t="s">
        <v>203</v>
      </c>
      <c r="E71" s="22" t="n">
        <v>3</v>
      </c>
      <c r="F71" s="22" t="s">
        <v>182</v>
      </c>
      <c r="G71" s="22" t="s">
        <v>237</v>
      </c>
      <c r="H71" s="22" t="n">
        <v>0.07</v>
      </c>
      <c r="I71" s="38" t="n">
        <v>1848.01</v>
      </c>
      <c r="J71" s="38" t="n">
        <v>1847.9</v>
      </c>
      <c r="K71" s="39" t="n">
        <f aca="false">IF(F71="BUY",J71-I71,I71-J71)</f>
        <v>0.1099999999999</v>
      </c>
      <c r="L71" s="38" t="n">
        <v>1854.01</v>
      </c>
      <c r="M71" s="39" t="n">
        <f aca="false">ABS(I71-L71)</f>
        <v>6</v>
      </c>
      <c r="N71" s="24" t="n">
        <f aca="false">M71*H71*Summary!$C$6</f>
        <v>42</v>
      </c>
      <c r="O71" s="37" t="n">
        <v>44712.357662037</v>
      </c>
      <c r="P71" s="22" t="n">
        <f aca="false">ROUND((O71-C71)*86400,0)</f>
        <v>18274</v>
      </c>
      <c r="Q71" s="22" t="str">
        <f aca="false">IF(P71&lt;10,"a) &lt;10s",IF(P71&lt;60,"b) 10-60s",IF(P71&lt;600,"c) 1-10min","d) &gt;10min")))</f>
        <v>d) &gt;10min</v>
      </c>
      <c r="R71" s="38" t="n">
        <v>1854.01</v>
      </c>
      <c r="S71" s="38" t="n">
        <v>1854.02</v>
      </c>
      <c r="T71" s="22" t="s">
        <v>188</v>
      </c>
      <c r="U71" s="39" t="n">
        <f aca="false">IF(R71="","",IF(F71="BUY",R71-S71,S71-R71))</f>
        <v>0.00999999999999091</v>
      </c>
      <c r="V71" s="39" t="n">
        <f aca="false">IF(F71="BUY",S71-J71,J71-S71)</f>
        <v>-6.11999999999989</v>
      </c>
      <c r="W71" s="6" t="n">
        <v>-42.84</v>
      </c>
      <c r="X71" s="26" t="n">
        <f aca="false">IFERROR(W71/N71,0)</f>
        <v>-1.02</v>
      </c>
      <c r="Y71" s="22" t="str">
        <f aca="false">IF(W71&gt;0,"Win",IF(W71&lt;0,"Loss","Flat"))</f>
        <v>Loss</v>
      </c>
      <c r="Z71" s="24" t="n">
        <f aca="false">Summary!$C$5+SUM(W$2:W71)</f>
        <v>4581.76</v>
      </c>
      <c r="AA71" s="24" t="n">
        <f aca="false">MAX(AA70,Z71)</f>
        <v>5000</v>
      </c>
      <c r="AB71" s="24" t="n">
        <f aca="false">AA71-Z71</f>
        <v>418.24</v>
      </c>
      <c r="AC71" s="23" t="n">
        <f aca="false">IFERROR(AB71/AA71,0)</f>
        <v>0.083648</v>
      </c>
      <c r="AD71" s="22" t="s">
        <v>308</v>
      </c>
    </row>
    <row r="72" customFormat="false" ht="15" hidden="false" customHeight="false" outlineLevel="0" collapsed="false">
      <c r="A72" s="22" t="n">
        <v>71</v>
      </c>
      <c r="B72" s="22" t="s">
        <v>121</v>
      </c>
      <c r="C72" s="37" t="n">
        <v>44712.3803935185</v>
      </c>
      <c r="D72" s="22" t="s">
        <v>203</v>
      </c>
      <c r="E72" s="22" t="n">
        <v>9</v>
      </c>
      <c r="F72" s="22" t="s">
        <v>181</v>
      </c>
      <c r="G72" s="22" t="s">
        <v>235</v>
      </c>
      <c r="H72" s="22" t="n">
        <v>0.07</v>
      </c>
      <c r="I72" s="38" t="n">
        <v>1854.37</v>
      </c>
      <c r="J72" s="38" t="n">
        <v>1854.42</v>
      </c>
      <c r="K72" s="39" t="n">
        <f aca="false">IF(F72="BUY",J72-I72,I72-J72)</f>
        <v>0.0500000000001819</v>
      </c>
      <c r="L72" s="38" t="n">
        <v>1848.37</v>
      </c>
      <c r="M72" s="39" t="n">
        <f aca="false">ABS(I72-L72)</f>
        <v>6</v>
      </c>
      <c r="N72" s="24" t="n">
        <f aca="false">M72*H72*Summary!$C$6</f>
        <v>42</v>
      </c>
      <c r="O72" s="37" t="n">
        <v>44712.4908680556</v>
      </c>
      <c r="P72" s="22" t="n">
        <f aca="false">ROUND((O72-C72)*86400,0)</f>
        <v>9545</v>
      </c>
      <c r="Q72" s="22" t="str">
        <f aca="false">IF(P72&lt;10,"a) &lt;10s",IF(P72&lt;60,"b) 10-60s",IF(P72&lt;600,"c) 1-10min","d) &gt;10min")))</f>
        <v>d) &gt;10min</v>
      </c>
      <c r="R72" s="38" t="n">
        <v>1854.92</v>
      </c>
      <c r="S72" s="38" t="n">
        <v>1854.88</v>
      </c>
      <c r="T72" s="22" t="s">
        <v>189</v>
      </c>
      <c r="U72" s="39" t="n">
        <f aca="false">IF(R72="","",IF(F72="BUY",R72-S72,S72-R72))</f>
        <v>0.0399999999999636</v>
      </c>
      <c r="V72" s="39" t="n">
        <f aca="false">IF(F72="BUY",S72-J72,J72-S72)</f>
        <v>0.460000000000036</v>
      </c>
      <c r="W72" s="6" t="n">
        <v>3.22</v>
      </c>
      <c r="X72" s="26" t="n">
        <f aca="false">IFERROR(W72/N72,0)</f>
        <v>0.0766666666666667</v>
      </c>
      <c r="Y72" s="22" t="str">
        <f aca="false">IF(W72&gt;0,"Win",IF(W72&lt;0,"Loss","Flat"))</f>
        <v>Win</v>
      </c>
      <c r="Z72" s="24" t="n">
        <f aca="false">Summary!$C$5+SUM(W$2:W72)</f>
        <v>4584.98</v>
      </c>
      <c r="AA72" s="24" t="n">
        <f aca="false">MAX(AA71,Z72)</f>
        <v>5000</v>
      </c>
      <c r="AB72" s="24" t="n">
        <f aca="false">AA72-Z72</f>
        <v>415.02</v>
      </c>
      <c r="AC72" s="23" t="n">
        <f aca="false">IFERROR(AB72/AA72,0)</f>
        <v>0.0830040000000001</v>
      </c>
      <c r="AD72" s="22" t="s">
        <v>309</v>
      </c>
    </row>
    <row r="73" customFormat="false" ht="15" hidden="false" customHeight="false" outlineLevel="0" collapsed="false">
      <c r="A73" s="22" t="n">
        <v>72</v>
      </c>
      <c r="B73" s="22" t="s">
        <v>122</v>
      </c>
      <c r="C73" s="37" t="n">
        <v>44713.1268634259</v>
      </c>
      <c r="D73" s="22" t="s">
        <v>204</v>
      </c>
      <c r="E73" s="22" t="n">
        <v>3</v>
      </c>
      <c r="F73" s="22" t="s">
        <v>182</v>
      </c>
      <c r="G73" s="22" t="s">
        <v>237</v>
      </c>
      <c r="H73" s="22" t="n">
        <v>0.07</v>
      </c>
      <c r="I73" s="38" t="n">
        <v>1834.86</v>
      </c>
      <c r="J73" s="38" t="n">
        <v>1834.69</v>
      </c>
      <c r="K73" s="39" t="n">
        <f aca="false">IF(F73="BUY",J73-I73,I73-J73)</f>
        <v>0.169999999999845</v>
      </c>
      <c r="L73" s="38" t="n">
        <v>1840.86</v>
      </c>
      <c r="M73" s="39" t="n">
        <f aca="false">ABS(I73-L73)</f>
        <v>6</v>
      </c>
      <c r="N73" s="24" t="n">
        <f aca="false">M73*H73*Summary!$C$6</f>
        <v>42</v>
      </c>
      <c r="O73" s="37" t="n">
        <v>44713.3858796296</v>
      </c>
      <c r="P73" s="22" t="n">
        <f aca="false">ROUND((O73-C73)*86400,0)</f>
        <v>22379</v>
      </c>
      <c r="Q73" s="22" t="str">
        <f aca="false">IF(P73&lt;10,"a) &lt;10s",IF(P73&lt;60,"b) 10-60s",IF(P73&lt;600,"c) 1-10min","d) &gt;10min")))</f>
        <v>d) &gt;10min</v>
      </c>
      <c r="R73" s="38" t="n">
        <v>1834.19</v>
      </c>
      <c r="S73" s="38" t="n">
        <v>1834.24</v>
      </c>
      <c r="T73" s="22" t="s">
        <v>189</v>
      </c>
      <c r="U73" s="39" t="n">
        <f aca="false">IF(R73="","",IF(F73="BUY",R73-S73,S73-R73))</f>
        <v>0.0499999999999545</v>
      </c>
      <c r="V73" s="39" t="n">
        <f aca="false">IF(F73="BUY",S73-J73,J73-S73)</f>
        <v>0.450000000000046</v>
      </c>
      <c r="W73" s="6" t="n">
        <v>3.15</v>
      </c>
      <c r="X73" s="26" t="n">
        <f aca="false">IFERROR(W73/N73,0)</f>
        <v>0.075</v>
      </c>
      <c r="Y73" s="22" t="str">
        <f aca="false">IF(W73&gt;0,"Win",IF(W73&lt;0,"Loss","Flat"))</f>
        <v>Win</v>
      </c>
      <c r="Z73" s="24" t="n">
        <f aca="false">Summary!$C$5+SUM(W$2:W73)</f>
        <v>4588.13</v>
      </c>
      <c r="AA73" s="24" t="n">
        <f aca="false">MAX(AA72,Z73)</f>
        <v>5000</v>
      </c>
      <c r="AB73" s="24" t="n">
        <f aca="false">AA73-Z73</f>
        <v>411.87</v>
      </c>
      <c r="AC73" s="23" t="n">
        <f aca="false">IFERROR(AB73/AA73,0)</f>
        <v>0.082374</v>
      </c>
      <c r="AD73" s="22" t="s">
        <v>310</v>
      </c>
    </row>
    <row r="74" customFormat="false" ht="15" hidden="false" customHeight="false" outlineLevel="0" collapsed="false">
      <c r="A74" s="22" t="n">
        <v>73</v>
      </c>
      <c r="B74" s="22" t="s">
        <v>122</v>
      </c>
      <c r="C74" s="37" t="n">
        <v>44713.4203819444</v>
      </c>
      <c r="D74" s="22" t="s">
        <v>204</v>
      </c>
      <c r="E74" s="22" t="n">
        <v>10</v>
      </c>
      <c r="F74" s="22" t="s">
        <v>181</v>
      </c>
      <c r="G74" s="22" t="s">
        <v>235</v>
      </c>
      <c r="H74" s="22" t="n">
        <v>0.07</v>
      </c>
      <c r="I74" s="38" t="n">
        <v>1836.62</v>
      </c>
      <c r="J74" s="38" t="n">
        <v>1836.65</v>
      </c>
      <c r="K74" s="39" t="n">
        <f aca="false">IF(F74="BUY",J74-I74,I74-J74)</f>
        <v>0.0300000000002001</v>
      </c>
      <c r="L74" s="38" t="n">
        <v>1830.62</v>
      </c>
      <c r="M74" s="39" t="n">
        <f aca="false">ABS(I74-L74)</f>
        <v>6</v>
      </c>
      <c r="N74" s="24" t="n">
        <f aca="false">M74*H74*Summary!$C$6</f>
        <v>42</v>
      </c>
      <c r="O74" s="37" t="n">
        <v>44713.499525463</v>
      </c>
      <c r="P74" s="22" t="n">
        <f aca="false">ROUND((O74-C74)*86400,0)</f>
        <v>6838</v>
      </c>
      <c r="Q74" s="22" t="str">
        <f aca="false">IF(P74&lt;10,"a) &lt;10s",IF(P74&lt;60,"b) 10-60s",IF(P74&lt;600,"c) 1-10min","d) &gt;10min")))</f>
        <v>d) &gt;10min</v>
      </c>
      <c r="R74" s="38" t="n">
        <v>1830.62</v>
      </c>
      <c r="S74" s="38" t="n">
        <v>1830.62</v>
      </c>
      <c r="T74" s="22" t="s">
        <v>188</v>
      </c>
      <c r="U74" s="39" t="n">
        <f aca="false">IF(R74="","",IF(F74="BUY",R74-S74,S74-R74))</f>
        <v>0</v>
      </c>
      <c r="V74" s="39" t="n">
        <f aca="false">IF(F74="BUY",S74-J74,J74-S74)</f>
        <v>-6.0300000000002</v>
      </c>
      <c r="W74" s="6" t="n">
        <v>-42.21</v>
      </c>
      <c r="X74" s="26" t="n">
        <f aca="false">IFERROR(W74/N74,0)</f>
        <v>-1.005</v>
      </c>
      <c r="Y74" s="22" t="str">
        <f aca="false">IF(W74&gt;0,"Win",IF(W74&lt;0,"Loss","Flat"))</f>
        <v>Loss</v>
      </c>
      <c r="Z74" s="24" t="n">
        <f aca="false">Summary!$C$5+SUM(W$2:W74)</f>
        <v>4545.92</v>
      </c>
      <c r="AA74" s="24" t="n">
        <f aca="false">MAX(AA73,Z74)</f>
        <v>5000</v>
      </c>
      <c r="AB74" s="24" t="n">
        <f aca="false">AA74-Z74</f>
        <v>454.08</v>
      </c>
      <c r="AC74" s="23" t="n">
        <f aca="false">IFERROR(AB74/AA74,0)</f>
        <v>0.090816</v>
      </c>
      <c r="AD74" s="22" t="s">
        <v>311</v>
      </c>
    </row>
    <row r="75" customFormat="false" ht="15" hidden="false" customHeight="false" outlineLevel="0" collapsed="false">
      <c r="A75" s="22" t="n">
        <v>74</v>
      </c>
      <c r="B75" s="22" t="s">
        <v>122</v>
      </c>
      <c r="C75" s="37" t="n">
        <v>44714.3754166667</v>
      </c>
      <c r="D75" s="22" t="s">
        <v>205</v>
      </c>
      <c r="E75" s="22" t="n">
        <v>9</v>
      </c>
      <c r="F75" s="22" t="s">
        <v>181</v>
      </c>
      <c r="G75" s="22" t="s">
        <v>235</v>
      </c>
      <c r="H75" s="22" t="n">
        <v>0.07</v>
      </c>
      <c r="I75" s="38" t="n">
        <v>1848.91</v>
      </c>
      <c r="J75" s="38" t="n">
        <v>1848.91</v>
      </c>
      <c r="K75" s="39" t="n">
        <f aca="false">IF(F75="BUY",J75-I75,I75-J75)</f>
        <v>0</v>
      </c>
      <c r="L75" s="38" t="n">
        <v>1842.91</v>
      </c>
      <c r="M75" s="39" t="n">
        <f aca="false">ABS(I75-L75)</f>
        <v>6</v>
      </c>
      <c r="N75" s="24" t="n">
        <f aca="false">M75*H75*Summary!$C$6</f>
        <v>42</v>
      </c>
      <c r="O75" s="37" t="n">
        <v>44714.9270833333</v>
      </c>
      <c r="P75" s="22" t="n">
        <f aca="false">ROUND((O75-C75)*86400,0)</f>
        <v>47664</v>
      </c>
      <c r="Q75" s="22" t="str">
        <f aca="false">IF(P75&lt;10,"a) &lt;10s",IF(P75&lt;60,"b) 10-60s",IF(P75&lt;600,"c) 1-10min","d) &gt;10min")))</f>
        <v>d) &gt;10min</v>
      </c>
      <c r="R75" s="38"/>
      <c r="S75" s="38" t="n">
        <v>1869.64</v>
      </c>
      <c r="T75" s="22" t="s">
        <v>191</v>
      </c>
      <c r="U75" s="39" t="str">
        <f aca="false">IF(R75="","",IF(F75="BUY",R75-S75,S75-R75))</f>
        <v/>
      </c>
      <c r="V75" s="39" t="n">
        <f aca="false">IF(F75="BUY",S75-J75,J75-S75)</f>
        <v>20.73</v>
      </c>
      <c r="W75" s="6" t="n">
        <v>145.11</v>
      </c>
      <c r="X75" s="26" t="n">
        <f aca="false">IFERROR(W75/N75,0)</f>
        <v>3.455</v>
      </c>
      <c r="Y75" s="22" t="str">
        <f aca="false">IF(W75&gt;0,"Win",IF(W75&lt;0,"Loss","Flat"))</f>
        <v>Win</v>
      </c>
      <c r="Z75" s="24" t="n">
        <f aca="false">Summary!$C$5+SUM(W$2:W75)</f>
        <v>4691.03</v>
      </c>
      <c r="AA75" s="24" t="n">
        <f aca="false">MAX(AA74,Z75)</f>
        <v>5000</v>
      </c>
      <c r="AB75" s="24" t="n">
        <f aca="false">AA75-Z75</f>
        <v>308.97</v>
      </c>
      <c r="AC75" s="23" t="n">
        <f aca="false">IFERROR(AB75/AA75,0)</f>
        <v>0.0617940000000001</v>
      </c>
      <c r="AD75" s="22" t="s">
        <v>312</v>
      </c>
    </row>
    <row r="76" customFormat="false" ht="15" hidden="false" customHeight="false" outlineLevel="0" collapsed="false">
      <c r="A76" s="22" t="n">
        <v>75</v>
      </c>
      <c r="B76" s="22" t="s">
        <v>122</v>
      </c>
      <c r="C76" s="37" t="n">
        <v>44715.0936458333</v>
      </c>
      <c r="D76" s="22" t="s">
        <v>206</v>
      </c>
      <c r="E76" s="22" t="n">
        <v>2</v>
      </c>
      <c r="F76" s="22" t="s">
        <v>181</v>
      </c>
      <c r="G76" s="22" t="s">
        <v>243</v>
      </c>
      <c r="H76" s="22" t="n">
        <v>0.07</v>
      </c>
      <c r="I76" s="38" t="n">
        <v>1870.34</v>
      </c>
      <c r="J76" s="38" t="n">
        <v>1870.34</v>
      </c>
      <c r="K76" s="39" t="n">
        <f aca="false">IF(F76="BUY",J76-I76,I76-J76)</f>
        <v>0</v>
      </c>
      <c r="L76" s="38" t="n">
        <v>1864.34</v>
      </c>
      <c r="M76" s="39" t="n">
        <f aca="false">ABS(I76-L76)</f>
        <v>6</v>
      </c>
      <c r="N76" s="24" t="n">
        <f aca="false">M76*H76*Summary!$C$6</f>
        <v>42</v>
      </c>
      <c r="O76" s="37" t="n">
        <v>44715.1568981482</v>
      </c>
      <c r="P76" s="22" t="n">
        <f aca="false">ROUND((O76-C76)*86400,0)</f>
        <v>5465</v>
      </c>
      <c r="Q76" s="22" t="str">
        <f aca="false">IF(P76&lt;10,"a) &lt;10s",IF(P76&lt;60,"b) 10-60s",IF(P76&lt;600,"c) 1-10min","d) &gt;10min")))</f>
        <v>d) &gt;10min</v>
      </c>
      <c r="R76" s="38" t="n">
        <v>1870.84</v>
      </c>
      <c r="S76" s="38" t="n">
        <v>1870.81</v>
      </c>
      <c r="T76" s="22" t="s">
        <v>189</v>
      </c>
      <c r="U76" s="39" t="n">
        <f aca="false">IF(R76="","",IF(F76="BUY",R76-S76,S76-R76))</f>
        <v>0.0299999999999727</v>
      </c>
      <c r="V76" s="39" t="n">
        <f aca="false">IF(F76="BUY",S76-J76,J76-S76)</f>
        <v>0.470000000000027</v>
      </c>
      <c r="W76" s="6" t="n">
        <v>3.29</v>
      </c>
      <c r="X76" s="26" t="n">
        <f aca="false">IFERROR(W76/N76,0)</f>
        <v>0.0783333333333333</v>
      </c>
      <c r="Y76" s="22" t="str">
        <f aca="false">IF(W76&gt;0,"Win",IF(W76&lt;0,"Loss","Flat"))</f>
        <v>Win</v>
      </c>
      <c r="Z76" s="24" t="n">
        <f aca="false">Summary!$C$5+SUM(W$2:W76)</f>
        <v>4694.32</v>
      </c>
      <c r="AA76" s="24" t="n">
        <f aca="false">MAX(AA75,Z76)</f>
        <v>5000</v>
      </c>
      <c r="AB76" s="24" t="n">
        <f aca="false">AA76-Z76</f>
        <v>305.68</v>
      </c>
      <c r="AC76" s="23" t="n">
        <f aca="false">IFERROR(AB76/AA76,0)</f>
        <v>0.0611360000000001</v>
      </c>
      <c r="AD76" s="22" t="s">
        <v>313</v>
      </c>
    </row>
    <row r="77" customFormat="false" ht="15" hidden="false" customHeight="false" outlineLevel="0" collapsed="false">
      <c r="A77" s="22" t="n">
        <v>76</v>
      </c>
      <c r="B77" s="22" t="s">
        <v>122</v>
      </c>
      <c r="C77" s="37" t="n">
        <v>44715.3768171296</v>
      </c>
      <c r="D77" s="22" t="s">
        <v>206</v>
      </c>
      <c r="E77" s="22" t="n">
        <v>9</v>
      </c>
      <c r="F77" s="22" t="s">
        <v>181</v>
      </c>
      <c r="G77" s="22" t="s">
        <v>235</v>
      </c>
      <c r="H77" s="22" t="n">
        <v>0.07</v>
      </c>
      <c r="I77" s="38" t="n">
        <v>1869.07</v>
      </c>
      <c r="J77" s="38" t="n">
        <v>1869.12</v>
      </c>
      <c r="K77" s="39" t="n">
        <f aca="false">IF(F77="BUY",J77-I77,I77-J77)</f>
        <v>0.0499999999999545</v>
      </c>
      <c r="L77" s="38" t="n">
        <v>1863.07</v>
      </c>
      <c r="M77" s="39" t="n">
        <f aca="false">ABS(I77-L77)</f>
        <v>6</v>
      </c>
      <c r="N77" s="24" t="n">
        <f aca="false">M77*H77*Summary!$C$6</f>
        <v>42</v>
      </c>
      <c r="O77" s="37" t="n">
        <v>44715.6431712963</v>
      </c>
      <c r="P77" s="22" t="n">
        <f aca="false">ROUND((O77-C77)*86400,0)</f>
        <v>23013</v>
      </c>
      <c r="Q77" s="22" t="str">
        <f aca="false">IF(P77&lt;10,"a) &lt;10s",IF(P77&lt;60,"b) 10-60s",IF(P77&lt;600,"c) 1-10min","d) &gt;10min")))</f>
        <v>d) &gt;10min</v>
      </c>
      <c r="R77" s="38" t="n">
        <v>1863.07</v>
      </c>
      <c r="S77" s="38" t="n">
        <v>1863.03</v>
      </c>
      <c r="T77" s="22" t="s">
        <v>188</v>
      </c>
      <c r="U77" s="39" t="n">
        <f aca="false">IF(R77="","",IF(F77="BUY",R77-S77,S77-R77))</f>
        <v>0.0399999999999636</v>
      </c>
      <c r="V77" s="39" t="n">
        <f aca="false">IF(F77="BUY",S77-J77,J77-S77)</f>
        <v>-6.08999999999992</v>
      </c>
      <c r="W77" s="6" t="n">
        <v>-42.63</v>
      </c>
      <c r="X77" s="26" t="n">
        <f aca="false">IFERROR(W77/N77,0)</f>
        <v>-1.015</v>
      </c>
      <c r="Y77" s="22" t="str">
        <f aca="false">IF(W77&gt;0,"Win",IF(W77&lt;0,"Loss","Flat"))</f>
        <v>Loss</v>
      </c>
      <c r="Z77" s="24" t="n">
        <f aca="false">Summary!$C$5+SUM(W$2:W77)</f>
        <v>4651.69</v>
      </c>
      <c r="AA77" s="24" t="n">
        <f aca="false">MAX(AA76,Z77)</f>
        <v>5000</v>
      </c>
      <c r="AB77" s="24" t="n">
        <f aca="false">AA77-Z77</f>
        <v>348.31</v>
      </c>
      <c r="AC77" s="23" t="n">
        <f aca="false">IFERROR(AB77/AA77,0)</f>
        <v>0.0696620000000001</v>
      </c>
      <c r="AD77" s="22" t="s">
        <v>314</v>
      </c>
    </row>
    <row r="78" customFormat="false" ht="15" hidden="false" customHeight="false" outlineLevel="0" collapsed="false">
      <c r="A78" s="22" t="n">
        <v>77</v>
      </c>
      <c r="B78" s="22" t="s">
        <v>122</v>
      </c>
      <c r="C78" s="37" t="n">
        <v>44718.3996875</v>
      </c>
      <c r="D78" s="22" t="s">
        <v>202</v>
      </c>
      <c r="E78" s="22" t="n">
        <v>9</v>
      </c>
      <c r="F78" s="22" t="s">
        <v>182</v>
      </c>
      <c r="G78" s="22" t="s">
        <v>241</v>
      </c>
      <c r="H78" s="22" t="n">
        <v>0.07</v>
      </c>
      <c r="I78" s="38" t="n">
        <v>1853.77</v>
      </c>
      <c r="J78" s="38" t="n">
        <v>1853.72</v>
      </c>
      <c r="K78" s="39" t="n">
        <f aca="false">IF(F78="BUY",J78-I78,I78-J78)</f>
        <v>0.0499999999999545</v>
      </c>
      <c r="L78" s="38" t="n">
        <v>1859.77</v>
      </c>
      <c r="M78" s="39" t="n">
        <f aca="false">ABS(I78-L78)</f>
        <v>6</v>
      </c>
      <c r="N78" s="24" t="n">
        <f aca="false">M78*H78*Summary!$C$6</f>
        <v>42</v>
      </c>
      <c r="O78" s="37" t="n">
        <v>44718.4702662037</v>
      </c>
      <c r="P78" s="22" t="n">
        <f aca="false">ROUND((O78-C78)*86400,0)</f>
        <v>6098</v>
      </c>
      <c r="Q78" s="22" t="str">
        <f aca="false">IF(P78&lt;10,"a) &lt;10s",IF(P78&lt;60,"b) 10-60s",IF(P78&lt;600,"c) 1-10min","d) &gt;10min")))</f>
        <v>d) &gt;10min</v>
      </c>
      <c r="R78" s="38" t="n">
        <v>1853.22</v>
      </c>
      <c r="S78" s="38" t="n">
        <v>1853.23</v>
      </c>
      <c r="T78" s="22" t="s">
        <v>189</v>
      </c>
      <c r="U78" s="39" t="n">
        <f aca="false">IF(R78="","",IF(F78="BUY",R78-S78,S78-R78))</f>
        <v>0.00999999999999091</v>
      </c>
      <c r="V78" s="39" t="n">
        <f aca="false">IF(F78="BUY",S78-J78,J78-S78)</f>
        <v>0.490000000000009</v>
      </c>
      <c r="W78" s="6" t="n">
        <v>3.43</v>
      </c>
      <c r="X78" s="26" t="n">
        <f aca="false">IFERROR(W78/N78,0)</f>
        <v>0.0816666666666667</v>
      </c>
      <c r="Y78" s="22" t="str">
        <f aca="false">IF(W78&gt;0,"Win",IF(W78&lt;0,"Loss","Flat"))</f>
        <v>Win</v>
      </c>
      <c r="Z78" s="24" t="n">
        <f aca="false">Summary!$C$5+SUM(W$2:W78)</f>
        <v>4655.12</v>
      </c>
      <c r="AA78" s="24" t="n">
        <f aca="false">MAX(AA77,Z78)</f>
        <v>5000</v>
      </c>
      <c r="AB78" s="24" t="n">
        <f aca="false">AA78-Z78</f>
        <v>344.88</v>
      </c>
      <c r="AC78" s="23" t="n">
        <f aca="false">IFERROR(AB78/AA78,0)</f>
        <v>0.068976</v>
      </c>
      <c r="AD78" s="22" t="s">
        <v>315</v>
      </c>
    </row>
    <row r="79" customFormat="false" ht="15" hidden="false" customHeight="false" outlineLevel="0" collapsed="false">
      <c r="A79" s="22" t="n">
        <v>78</v>
      </c>
      <c r="B79" s="22" t="s">
        <v>122</v>
      </c>
      <c r="C79" s="37" t="n">
        <v>44718.7097222222</v>
      </c>
      <c r="D79" s="22" t="s">
        <v>202</v>
      </c>
      <c r="E79" s="22" t="n">
        <v>17</v>
      </c>
      <c r="F79" s="22" t="s">
        <v>182</v>
      </c>
      <c r="G79" s="22" t="s">
        <v>237</v>
      </c>
      <c r="H79" s="22" t="n">
        <v>0.07</v>
      </c>
      <c r="I79" s="38" t="n">
        <v>1847.27</v>
      </c>
      <c r="J79" s="38" t="n">
        <v>1847.09</v>
      </c>
      <c r="K79" s="39" t="n">
        <f aca="false">IF(F79="BUY",J79-I79,I79-J79)</f>
        <v>0.180000000000064</v>
      </c>
      <c r="L79" s="38" t="n">
        <v>1853.27</v>
      </c>
      <c r="M79" s="39" t="n">
        <f aca="false">ABS(I79-L79)</f>
        <v>6</v>
      </c>
      <c r="N79" s="24" t="n">
        <f aca="false">M79*H79*Summary!$C$6</f>
        <v>42</v>
      </c>
      <c r="O79" s="37" t="n">
        <v>44718.9270833333</v>
      </c>
      <c r="P79" s="22" t="n">
        <f aca="false">ROUND((O79-C79)*86400,0)</f>
        <v>18780</v>
      </c>
      <c r="Q79" s="22" t="str">
        <f aca="false">IF(P79&lt;10,"a) &lt;10s",IF(P79&lt;60,"b) 10-60s",IF(P79&lt;600,"c) 1-10min","d) &gt;10min")))</f>
        <v>d) &gt;10min</v>
      </c>
      <c r="R79" s="38"/>
      <c r="S79" s="38" t="n">
        <v>1842.33</v>
      </c>
      <c r="T79" s="22" t="s">
        <v>191</v>
      </c>
      <c r="U79" s="39" t="str">
        <f aca="false">IF(R79="","",IF(F79="BUY",R79-S79,S79-R79))</f>
        <v/>
      </c>
      <c r="V79" s="39" t="n">
        <f aca="false">IF(F79="BUY",S79-J79,J79-S79)</f>
        <v>4.75999999999999</v>
      </c>
      <c r="W79" s="6" t="n">
        <v>33.32</v>
      </c>
      <c r="X79" s="26" t="n">
        <f aca="false">IFERROR(W79/N79,0)</f>
        <v>0.793333333333333</v>
      </c>
      <c r="Y79" s="22" t="str">
        <f aca="false">IF(W79&gt;0,"Win",IF(W79&lt;0,"Loss","Flat"))</f>
        <v>Win</v>
      </c>
      <c r="Z79" s="24" t="n">
        <f aca="false">Summary!$C$5+SUM(W$2:W79)</f>
        <v>4688.44</v>
      </c>
      <c r="AA79" s="24" t="n">
        <f aca="false">MAX(AA78,Z79)</f>
        <v>5000</v>
      </c>
      <c r="AB79" s="24" t="n">
        <f aca="false">AA79-Z79</f>
        <v>311.56</v>
      </c>
      <c r="AC79" s="23" t="n">
        <f aca="false">IFERROR(AB79/AA79,0)</f>
        <v>0.0623120000000001</v>
      </c>
      <c r="AD79" s="22" t="s">
        <v>316</v>
      </c>
    </row>
    <row r="80" customFormat="false" ht="15" hidden="false" customHeight="false" outlineLevel="0" collapsed="false">
      <c r="A80" s="22" t="n">
        <v>79</v>
      </c>
      <c r="B80" s="22" t="s">
        <v>122</v>
      </c>
      <c r="C80" s="37" t="n">
        <v>44719.3772337963</v>
      </c>
      <c r="D80" s="22" t="s">
        <v>203</v>
      </c>
      <c r="E80" s="22" t="n">
        <v>9</v>
      </c>
      <c r="F80" s="22" t="s">
        <v>182</v>
      </c>
      <c r="G80" s="22" t="s">
        <v>241</v>
      </c>
      <c r="H80" s="22" t="n">
        <v>0.07</v>
      </c>
      <c r="I80" s="38" t="n">
        <v>1838.68</v>
      </c>
      <c r="J80" s="38" t="n">
        <v>1838.67</v>
      </c>
      <c r="K80" s="39" t="n">
        <f aca="false">IF(F80="BUY",J80-I80,I80-J80)</f>
        <v>0.00999999999999091</v>
      </c>
      <c r="L80" s="38" t="n">
        <v>1844.68</v>
      </c>
      <c r="M80" s="39" t="n">
        <f aca="false">ABS(I80-L80)</f>
        <v>6</v>
      </c>
      <c r="N80" s="24" t="n">
        <f aca="false">M80*H80*Summary!$C$6</f>
        <v>42</v>
      </c>
      <c r="O80" s="37" t="n">
        <v>44719.4248148148</v>
      </c>
      <c r="P80" s="22" t="n">
        <f aca="false">ROUND((O80-C80)*86400,0)</f>
        <v>4111</v>
      </c>
      <c r="Q80" s="22" t="str">
        <f aca="false">IF(P80&lt;10,"a) &lt;10s",IF(P80&lt;60,"b) 10-60s",IF(P80&lt;600,"c) 1-10min","d) &gt;10min")))</f>
        <v>d) &gt;10min</v>
      </c>
      <c r="R80" s="38" t="n">
        <v>1844.68</v>
      </c>
      <c r="S80" s="38" t="n">
        <v>1844.7</v>
      </c>
      <c r="T80" s="22" t="s">
        <v>188</v>
      </c>
      <c r="U80" s="39" t="n">
        <f aca="false">IF(R80="","",IF(F80="BUY",R80-S80,S80-R80))</f>
        <v>0.0199999999999818</v>
      </c>
      <c r="V80" s="39" t="n">
        <f aca="false">IF(F80="BUY",S80-J80,J80-S80)</f>
        <v>-6.02999999999997</v>
      </c>
      <c r="W80" s="6" t="n">
        <v>-42.21</v>
      </c>
      <c r="X80" s="26" t="n">
        <f aca="false">IFERROR(W80/N80,0)</f>
        <v>-1.005</v>
      </c>
      <c r="Y80" s="22" t="str">
        <f aca="false">IF(W80&gt;0,"Win",IF(W80&lt;0,"Loss","Flat"))</f>
        <v>Loss</v>
      </c>
      <c r="Z80" s="24" t="n">
        <f aca="false">Summary!$C$5+SUM(W$2:W80)</f>
        <v>4646.23</v>
      </c>
      <c r="AA80" s="24" t="n">
        <f aca="false">MAX(AA79,Z80)</f>
        <v>5000</v>
      </c>
      <c r="AB80" s="24" t="n">
        <f aca="false">AA80-Z80</f>
        <v>353.77</v>
      </c>
      <c r="AC80" s="23" t="n">
        <f aca="false">IFERROR(AB80/AA80,0)</f>
        <v>0.0707540000000001</v>
      </c>
      <c r="AD80" s="22" t="s">
        <v>317</v>
      </c>
    </row>
    <row r="81" customFormat="false" ht="15" hidden="false" customHeight="false" outlineLevel="0" collapsed="false">
      <c r="A81" s="22" t="n">
        <v>80</v>
      </c>
      <c r="B81" s="22" t="s">
        <v>122</v>
      </c>
      <c r="C81" s="37" t="n">
        <v>44720.6438425926</v>
      </c>
      <c r="D81" s="22" t="s">
        <v>204</v>
      </c>
      <c r="E81" s="22" t="n">
        <v>15</v>
      </c>
      <c r="F81" s="22" t="s">
        <v>182</v>
      </c>
      <c r="G81" s="22" t="s">
        <v>241</v>
      </c>
      <c r="H81" s="22" t="n">
        <v>0.07</v>
      </c>
      <c r="I81" s="38" t="n">
        <v>1845.66</v>
      </c>
      <c r="J81" s="38" t="n">
        <v>1845.66</v>
      </c>
      <c r="K81" s="39" t="n">
        <f aca="false">IF(F81="BUY",J81-I81,I81-J81)</f>
        <v>0</v>
      </c>
      <c r="L81" s="38" t="n">
        <v>1851.66</v>
      </c>
      <c r="M81" s="39" t="n">
        <f aca="false">ABS(I81-L81)</f>
        <v>6</v>
      </c>
      <c r="N81" s="24" t="n">
        <f aca="false">M81*H81*Summary!$C$6</f>
        <v>42</v>
      </c>
      <c r="O81" s="37" t="n">
        <v>44720.652974537</v>
      </c>
      <c r="P81" s="22" t="n">
        <f aca="false">ROUND((O81-C81)*86400,0)</f>
        <v>789</v>
      </c>
      <c r="Q81" s="22" t="str">
        <f aca="false">IF(P81&lt;10,"a) &lt;10s",IF(P81&lt;60,"b) 10-60s",IF(P81&lt;600,"c) 1-10min","d) &gt;10min")))</f>
        <v>d) &gt;10min</v>
      </c>
      <c r="R81" s="38" t="n">
        <v>1851.66</v>
      </c>
      <c r="S81" s="38" t="n">
        <v>1851.69</v>
      </c>
      <c r="T81" s="22" t="s">
        <v>188</v>
      </c>
      <c r="U81" s="39" t="n">
        <f aca="false">IF(R81="","",IF(F81="BUY",R81-S81,S81-R81))</f>
        <v>0.0299999999999727</v>
      </c>
      <c r="V81" s="39" t="n">
        <f aca="false">IF(F81="BUY",S81-J81,J81-S81)</f>
        <v>-6.02999999999997</v>
      </c>
      <c r="W81" s="6" t="n">
        <v>-42.21</v>
      </c>
      <c r="X81" s="26" t="n">
        <f aca="false">IFERROR(W81/N81,0)</f>
        <v>-1.005</v>
      </c>
      <c r="Y81" s="22" t="str">
        <f aca="false">IF(W81&gt;0,"Win",IF(W81&lt;0,"Loss","Flat"))</f>
        <v>Loss</v>
      </c>
      <c r="Z81" s="24" t="n">
        <f aca="false">Summary!$C$5+SUM(W$2:W81)</f>
        <v>4604.02</v>
      </c>
      <c r="AA81" s="24" t="n">
        <f aca="false">MAX(AA80,Z81)</f>
        <v>5000</v>
      </c>
      <c r="AB81" s="24" t="n">
        <f aca="false">AA81-Z81</f>
        <v>395.98</v>
      </c>
      <c r="AC81" s="23" t="n">
        <f aca="false">IFERROR(AB81/AA81,0)</f>
        <v>0.0791959999999999</v>
      </c>
      <c r="AD81" s="22" t="s">
        <v>318</v>
      </c>
    </row>
    <row r="82" customFormat="false" ht="15" hidden="false" customHeight="false" outlineLevel="0" collapsed="false">
      <c r="A82" s="22" t="n">
        <v>81</v>
      </c>
      <c r="B82" s="22" t="s">
        <v>122</v>
      </c>
      <c r="C82" s="37" t="n">
        <v>44720.6773148148</v>
      </c>
      <c r="D82" s="22" t="s">
        <v>204</v>
      </c>
      <c r="E82" s="22" t="n">
        <v>16</v>
      </c>
      <c r="F82" s="22" t="s">
        <v>181</v>
      </c>
      <c r="G82" s="22" t="s">
        <v>243</v>
      </c>
      <c r="H82" s="22" t="n">
        <v>0.07</v>
      </c>
      <c r="I82" s="38" t="n">
        <v>1855.46</v>
      </c>
      <c r="J82" s="38" t="n">
        <v>1855.82</v>
      </c>
      <c r="K82" s="39" t="n">
        <f aca="false">IF(F82="BUY",J82-I82,I82-J82)</f>
        <v>0.3599999999999</v>
      </c>
      <c r="L82" s="38" t="n">
        <v>1849.46</v>
      </c>
      <c r="M82" s="39" t="n">
        <f aca="false">ABS(I82-L82)</f>
        <v>6</v>
      </c>
      <c r="N82" s="24" t="n">
        <f aca="false">M82*H82*Summary!$C$6</f>
        <v>42</v>
      </c>
      <c r="O82" s="37" t="n">
        <v>44720.7972222222</v>
      </c>
      <c r="P82" s="22" t="n">
        <f aca="false">ROUND((O82-C82)*86400,0)</f>
        <v>10360</v>
      </c>
      <c r="Q82" s="22" t="str">
        <f aca="false">IF(P82&lt;10,"a) &lt;10s",IF(P82&lt;60,"b) 10-60s",IF(P82&lt;600,"c) 1-10min","d) &gt;10min")))</f>
        <v>d) &gt;10min</v>
      </c>
      <c r="R82" s="38" t="n">
        <v>1856.32</v>
      </c>
      <c r="S82" s="38" t="n">
        <v>1856.31</v>
      </c>
      <c r="T82" s="22" t="s">
        <v>189</v>
      </c>
      <c r="U82" s="39" t="n">
        <f aca="false">IF(R82="","",IF(F82="BUY",R82-S82,S82-R82))</f>
        <v>0.00999999999999091</v>
      </c>
      <c r="V82" s="39" t="n">
        <f aca="false">IF(F82="BUY",S82-J82,J82-S82)</f>
        <v>0.490000000000009</v>
      </c>
      <c r="W82" s="6" t="n">
        <v>3.43</v>
      </c>
      <c r="X82" s="26" t="n">
        <f aca="false">IFERROR(W82/N82,0)</f>
        <v>0.0816666666666667</v>
      </c>
      <c r="Y82" s="22" t="str">
        <f aca="false">IF(W82&gt;0,"Win",IF(W82&lt;0,"Loss","Flat"))</f>
        <v>Win</v>
      </c>
      <c r="Z82" s="24" t="n">
        <f aca="false">Summary!$C$5+SUM(W$2:W82)</f>
        <v>4607.45</v>
      </c>
      <c r="AA82" s="24" t="n">
        <f aca="false">MAX(AA81,Z82)</f>
        <v>5000</v>
      </c>
      <c r="AB82" s="24" t="n">
        <f aca="false">AA82-Z82</f>
        <v>392.55</v>
      </c>
      <c r="AC82" s="23" t="n">
        <f aca="false">IFERROR(AB82/AA82,0)</f>
        <v>0.07851</v>
      </c>
      <c r="AD82" s="22" t="s">
        <v>319</v>
      </c>
    </row>
    <row r="83" customFormat="false" ht="15" hidden="false" customHeight="false" outlineLevel="0" collapsed="false">
      <c r="A83" s="22" t="n">
        <v>82</v>
      </c>
      <c r="B83" s="22" t="s">
        <v>122</v>
      </c>
      <c r="C83" s="37" t="n">
        <v>44721.3944212963</v>
      </c>
      <c r="D83" s="22" t="s">
        <v>205</v>
      </c>
      <c r="E83" s="22" t="n">
        <v>9</v>
      </c>
      <c r="F83" s="22" t="s">
        <v>182</v>
      </c>
      <c r="G83" s="22" t="s">
        <v>241</v>
      </c>
      <c r="H83" s="22" t="n">
        <v>0.07</v>
      </c>
      <c r="I83" s="38" t="n">
        <v>1850.76</v>
      </c>
      <c r="J83" s="38" t="n">
        <v>1850.75</v>
      </c>
      <c r="K83" s="39" t="n">
        <f aca="false">IF(F83="BUY",J83-I83,I83-J83)</f>
        <v>0.00999999999999091</v>
      </c>
      <c r="L83" s="38" t="n">
        <v>1856.76</v>
      </c>
      <c r="M83" s="39" t="n">
        <f aca="false">ABS(I83-L83)</f>
        <v>6</v>
      </c>
      <c r="N83" s="24" t="n">
        <f aca="false">M83*H83*Summary!$C$6</f>
        <v>42</v>
      </c>
      <c r="O83" s="37" t="n">
        <v>44721.4934375</v>
      </c>
      <c r="P83" s="22" t="n">
        <f aca="false">ROUND((O83-C83)*86400,0)</f>
        <v>8555</v>
      </c>
      <c r="Q83" s="22" t="str">
        <f aca="false">IF(P83&lt;10,"a) &lt;10s",IF(P83&lt;60,"b) 10-60s",IF(P83&lt;600,"c) 1-10min","d) &gt;10min")))</f>
        <v>d) &gt;10min</v>
      </c>
      <c r="R83" s="38" t="n">
        <v>1850.25</v>
      </c>
      <c r="S83" s="38" t="n">
        <v>1850.25</v>
      </c>
      <c r="T83" s="22" t="s">
        <v>189</v>
      </c>
      <c r="U83" s="39" t="n">
        <f aca="false">IF(R83="","",IF(F83="BUY",R83-S83,S83-R83))</f>
        <v>0</v>
      </c>
      <c r="V83" s="39" t="n">
        <f aca="false">IF(F83="BUY",S83-J83,J83-S83)</f>
        <v>0.5</v>
      </c>
      <c r="W83" s="6" t="n">
        <v>3.5</v>
      </c>
      <c r="X83" s="26" t="n">
        <f aca="false">IFERROR(W83/N83,0)</f>
        <v>0.0833333333333333</v>
      </c>
      <c r="Y83" s="22" t="str">
        <f aca="false">IF(W83&gt;0,"Win",IF(W83&lt;0,"Loss","Flat"))</f>
        <v>Win</v>
      </c>
      <c r="Z83" s="24" t="n">
        <f aca="false">Summary!$C$5+SUM(W$2:W83)</f>
        <v>4610.95</v>
      </c>
      <c r="AA83" s="24" t="n">
        <f aca="false">MAX(AA82,Z83)</f>
        <v>5000</v>
      </c>
      <c r="AB83" s="24" t="n">
        <f aca="false">AA83-Z83</f>
        <v>389.05</v>
      </c>
      <c r="AC83" s="23" t="n">
        <f aca="false">IFERROR(AB83/AA83,0)</f>
        <v>0.07781</v>
      </c>
      <c r="AD83" s="22" t="s">
        <v>320</v>
      </c>
    </row>
    <row r="84" customFormat="false" ht="15" hidden="false" customHeight="false" outlineLevel="0" collapsed="false">
      <c r="A84" s="22" t="n">
        <v>83</v>
      </c>
      <c r="B84" s="22" t="s">
        <v>122</v>
      </c>
      <c r="C84" s="37" t="n">
        <v>44721.6286226852</v>
      </c>
      <c r="D84" s="22" t="s">
        <v>205</v>
      </c>
      <c r="E84" s="22" t="n">
        <v>15</v>
      </c>
      <c r="F84" s="22" t="s">
        <v>182</v>
      </c>
      <c r="G84" s="22" t="s">
        <v>237</v>
      </c>
      <c r="H84" s="22" t="n">
        <v>0.07</v>
      </c>
      <c r="I84" s="38" t="n">
        <v>1844.48</v>
      </c>
      <c r="J84" s="38" t="n">
        <v>1844.41</v>
      </c>
      <c r="K84" s="39" t="n">
        <f aca="false">IF(F84="BUY",J84-I84,I84-J84)</f>
        <v>0.0699999999999363</v>
      </c>
      <c r="L84" s="38" t="n">
        <v>1850.48</v>
      </c>
      <c r="M84" s="39" t="n">
        <f aca="false">ABS(I84-L84)</f>
        <v>6</v>
      </c>
      <c r="N84" s="24" t="n">
        <f aca="false">M84*H84*Summary!$C$6</f>
        <v>42</v>
      </c>
      <c r="O84" s="37" t="n">
        <v>44721.6433217593</v>
      </c>
      <c r="P84" s="22" t="n">
        <f aca="false">ROUND((O84-C84)*86400,0)</f>
        <v>1270</v>
      </c>
      <c r="Q84" s="22" t="str">
        <f aca="false">IF(P84&lt;10,"a) &lt;10s",IF(P84&lt;60,"b) 10-60s",IF(P84&lt;600,"c) 1-10min","d) &gt;10min")))</f>
        <v>d) &gt;10min</v>
      </c>
      <c r="R84" s="38" t="n">
        <v>1850.48</v>
      </c>
      <c r="S84" s="38" t="n">
        <v>1850.48</v>
      </c>
      <c r="T84" s="22" t="s">
        <v>188</v>
      </c>
      <c r="U84" s="39" t="n">
        <f aca="false">IF(R84="","",IF(F84="BUY",R84-S84,S84-R84))</f>
        <v>0</v>
      </c>
      <c r="V84" s="39" t="n">
        <f aca="false">IF(F84="BUY",S84-J84,J84-S84)</f>
        <v>-6.06999999999994</v>
      </c>
      <c r="W84" s="6" t="n">
        <v>-42.49</v>
      </c>
      <c r="X84" s="26" t="n">
        <f aca="false">IFERROR(W84/N84,0)</f>
        <v>-1.01166666666667</v>
      </c>
      <c r="Y84" s="22" t="str">
        <f aca="false">IF(W84&gt;0,"Win",IF(W84&lt;0,"Loss","Flat"))</f>
        <v>Loss</v>
      </c>
      <c r="Z84" s="24" t="n">
        <f aca="false">Summary!$C$5+SUM(W$2:W84)</f>
        <v>4568.46</v>
      </c>
      <c r="AA84" s="24" t="n">
        <f aca="false">MAX(AA83,Z84)</f>
        <v>5000</v>
      </c>
      <c r="AB84" s="24" t="n">
        <f aca="false">AA84-Z84</f>
        <v>431.54</v>
      </c>
      <c r="AC84" s="23" t="n">
        <f aca="false">IFERROR(AB84/AA84,0)</f>
        <v>0.086308</v>
      </c>
      <c r="AD84" s="22" t="s">
        <v>321</v>
      </c>
    </row>
    <row r="85" customFormat="false" ht="15" hidden="false" customHeight="false" outlineLevel="0" collapsed="false">
      <c r="A85" s="22" t="n">
        <v>84</v>
      </c>
      <c r="B85" s="22" t="s">
        <v>122</v>
      </c>
      <c r="C85" s="37" t="n">
        <v>44722.3766319445</v>
      </c>
      <c r="D85" s="22" t="s">
        <v>206</v>
      </c>
      <c r="E85" s="22" t="n">
        <v>9</v>
      </c>
      <c r="F85" s="22" t="s">
        <v>181</v>
      </c>
      <c r="G85" s="22" t="s">
        <v>235</v>
      </c>
      <c r="H85" s="22" t="n">
        <v>0.07</v>
      </c>
      <c r="I85" s="38" t="n">
        <v>1845.92</v>
      </c>
      <c r="J85" s="38" t="n">
        <v>1845.94</v>
      </c>
      <c r="K85" s="39" t="n">
        <f aca="false">IF(F85="BUY",J85-I85,I85-J85)</f>
        <v>0.0199999999999818</v>
      </c>
      <c r="L85" s="38" t="n">
        <v>1839.92</v>
      </c>
      <c r="M85" s="39" t="n">
        <f aca="false">ABS(I85-L85)</f>
        <v>6</v>
      </c>
      <c r="N85" s="24" t="n">
        <f aca="false">M85*H85*Summary!$C$6</f>
        <v>42</v>
      </c>
      <c r="O85" s="37" t="n">
        <v>44722.5972453704</v>
      </c>
      <c r="P85" s="22" t="n">
        <f aca="false">ROUND((O85-C85)*86400,0)</f>
        <v>19061</v>
      </c>
      <c r="Q85" s="22" t="str">
        <f aca="false">IF(P85&lt;10,"a) &lt;10s",IF(P85&lt;60,"b) 10-60s",IF(P85&lt;600,"c) 1-10min","d) &gt;10min")))</f>
        <v>d) &gt;10min</v>
      </c>
      <c r="R85" s="38" t="n">
        <v>1839.92</v>
      </c>
      <c r="S85" s="38" t="n">
        <v>1839.67</v>
      </c>
      <c r="T85" s="22" t="s">
        <v>188</v>
      </c>
      <c r="U85" s="39" t="n">
        <f aca="false">IF(R85="","",IF(F85="BUY",R85-S85,S85-R85))</f>
        <v>0.25</v>
      </c>
      <c r="V85" s="39" t="n">
        <f aca="false">IF(F85="BUY",S85-J85,J85-S85)</f>
        <v>-6.26999999999998</v>
      </c>
      <c r="W85" s="6" t="n">
        <v>-43.89</v>
      </c>
      <c r="X85" s="26" t="n">
        <f aca="false">IFERROR(W85/N85,0)</f>
        <v>-1.045</v>
      </c>
      <c r="Y85" s="22" t="str">
        <f aca="false">IF(W85&gt;0,"Win",IF(W85&lt;0,"Loss","Flat"))</f>
        <v>Loss</v>
      </c>
      <c r="Z85" s="24" t="n">
        <f aca="false">Summary!$C$5+SUM(W$2:W85)</f>
        <v>4524.57</v>
      </c>
      <c r="AA85" s="24" t="n">
        <f aca="false">MAX(AA84,Z85)</f>
        <v>5000</v>
      </c>
      <c r="AB85" s="24" t="n">
        <f aca="false">AA85-Z85</f>
        <v>475.43</v>
      </c>
      <c r="AC85" s="23" t="n">
        <f aca="false">IFERROR(AB85/AA85,0)</f>
        <v>0.0950860000000001</v>
      </c>
      <c r="AD85" s="22" t="s">
        <v>322</v>
      </c>
    </row>
    <row r="86" customFormat="false" ht="15" hidden="false" customHeight="false" outlineLevel="0" collapsed="false">
      <c r="A86" s="22" t="n">
        <v>85</v>
      </c>
      <c r="B86" s="22" t="s">
        <v>122</v>
      </c>
      <c r="C86" s="37" t="n">
        <v>44722.7431018519</v>
      </c>
      <c r="D86" s="22" t="s">
        <v>206</v>
      </c>
      <c r="E86" s="22" t="n">
        <v>17</v>
      </c>
      <c r="F86" s="22" t="s">
        <v>181</v>
      </c>
      <c r="G86" s="22" t="s">
        <v>243</v>
      </c>
      <c r="H86" s="22" t="n">
        <v>0.07</v>
      </c>
      <c r="I86" s="38" t="n">
        <v>1855.27</v>
      </c>
      <c r="J86" s="38" t="n">
        <v>1855.4</v>
      </c>
      <c r="K86" s="39" t="n">
        <f aca="false">IF(F86="BUY",J86-I86,I86-J86)</f>
        <v>0.130000000000109</v>
      </c>
      <c r="L86" s="38" t="n">
        <v>1849.27</v>
      </c>
      <c r="M86" s="39" t="n">
        <f aca="false">ABS(I86-L86)</f>
        <v>6</v>
      </c>
      <c r="N86" s="24" t="n">
        <f aca="false">M86*H86*Summary!$C$6</f>
        <v>42</v>
      </c>
      <c r="O86" s="37" t="n">
        <v>44722.7497916667</v>
      </c>
      <c r="P86" s="22" t="n">
        <f aca="false">ROUND((O86-C86)*86400,0)</f>
        <v>578</v>
      </c>
      <c r="Q86" s="22" t="str">
        <f aca="false">IF(P86&lt;10,"a) &lt;10s",IF(P86&lt;60,"b) 10-60s",IF(P86&lt;600,"c) 1-10min","d) &gt;10min")))</f>
        <v>c) 1-10min</v>
      </c>
      <c r="R86" s="38" t="n">
        <v>1855.9</v>
      </c>
      <c r="S86" s="38" t="n">
        <v>1855.86</v>
      </c>
      <c r="T86" s="22" t="s">
        <v>189</v>
      </c>
      <c r="U86" s="39" t="n">
        <f aca="false">IF(R86="","",IF(F86="BUY",R86-S86,S86-R86))</f>
        <v>0.040000000000191</v>
      </c>
      <c r="V86" s="39" t="n">
        <f aca="false">IF(F86="BUY",S86-J86,J86-S86)</f>
        <v>0.459999999999809</v>
      </c>
      <c r="W86" s="6" t="n">
        <v>3.22</v>
      </c>
      <c r="X86" s="26" t="n">
        <f aca="false">IFERROR(W86/N86,0)</f>
        <v>0.0766666666666667</v>
      </c>
      <c r="Y86" s="22" t="str">
        <f aca="false">IF(W86&gt;0,"Win",IF(W86&lt;0,"Loss","Flat"))</f>
        <v>Win</v>
      </c>
      <c r="Z86" s="24" t="n">
        <f aca="false">Summary!$C$5+SUM(W$2:W86)</f>
        <v>4527.79</v>
      </c>
      <c r="AA86" s="24" t="n">
        <f aca="false">MAX(AA85,Z86)</f>
        <v>5000</v>
      </c>
      <c r="AB86" s="24" t="n">
        <f aca="false">AA86-Z86</f>
        <v>472.21</v>
      </c>
      <c r="AC86" s="23" t="n">
        <f aca="false">IFERROR(AB86/AA86,0)</f>
        <v>0.094442</v>
      </c>
      <c r="AD86" s="22" t="s">
        <v>323</v>
      </c>
    </row>
    <row r="87" customFormat="false" ht="15" hidden="false" customHeight="false" outlineLevel="0" collapsed="false">
      <c r="A87" s="22" t="n">
        <v>86</v>
      </c>
      <c r="B87" s="22" t="s">
        <v>122</v>
      </c>
      <c r="C87" s="37" t="n">
        <v>44725.3751851852</v>
      </c>
      <c r="D87" s="22" t="s">
        <v>202</v>
      </c>
      <c r="E87" s="22" t="n">
        <v>9</v>
      </c>
      <c r="F87" s="22" t="s">
        <v>181</v>
      </c>
      <c r="G87" s="22" t="s">
        <v>235</v>
      </c>
      <c r="H87" s="22" t="n">
        <v>0.07</v>
      </c>
      <c r="I87" s="38" t="n">
        <v>1866.09</v>
      </c>
      <c r="J87" s="38" t="n">
        <v>1866.1</v>
      </c>
      <c r="K87" s="39" t="n">
        <f aca="false">IF(F87="BUY",J87-I87,I87-J87)</f>
        <v>0.00999999999999091</v>
      </c>
      <c r="L87" s="38" t="n">
        <v>1860.09</v>
      </c>
      <c r="M87" s="39" t="n">
        <f aca="false">ABS(I87-L87)</f>
        <v>6</v>
      </c>
      <c r="N87" s="24" t="n">
        <f aca="false">M87*H87*Summary!$C$6</f>
        <v>42</v>
      </c>
      <c r="O87" s="37" t="n">
        <v>44725.4369907407</v>
      </c>
      <c r="P87" s="22" t="n">
        <f aca="false">ROUND((O87-C87)*86400,0)</f>
        <v>5340</v>
      </c>
      <c r="Q87" s="22" t="str">
        <f aca="false">IF(P87&lt;10,"a) &lt;10s",IF(P87&lt;60,"b) 10-60s",IF(P87&lt;600,"c) 1-10min","d) &gt;10min")))</f>
        <v>d) &gt;10min</v>
      </c>
      <c r="R87" s="38" t="n">
        <v>1860.09</v>
      </c>
      <c r="S87" s="38" t="n">
        <v>1860.09</v>
      </c>
      <c r="T87" s="22" t="s">
        <v>188</v>
      </c>
      <c r="U87" s="39" t="n">
        <f aca="false">IF(R87="","",IF(F87="BUY",R87-S87,S87-R87))</f>
        <v>0</v>
      </c>
      <c r="V87" s="39" t="n">
        <f aca="false">IF(F87="BUY",S87-J87,J87-S87)</f>
        <v>-6.00999999999999</v>
      </c>
      <c r="W87" s="6" t="n">
        <v>-42.07</v>
      </c>
      <c r="X87" s="26" t="n">
        <f aca="false">IFERROR(W87/N87,0)</f>
        <v>-1.00166666666667</v>
      </c>
      <c r="Y87" s="22" t="str">
        <f aca="false">IF(W87&gt;0,"Win",IF(W87&lt;0,"Loss","Flat"))</f>
        <v>Loss</v>
      </c>
      <c r="Z87" s="24" t="n">
        <f aca="false">Summary!$C$5+SUM(W$2:W87)</f>
        <v>4485.72</v>
      </c>
      <c r="AA87" s="24" t="n">
        <f aca="false">MAX(AA86,Z87)</f>
        <v>5000</v>
      </c>
      <c r="AB87" s="24" t="n">
        <f aca="false">AA87-Z87</f>
        <v>514.28</v>
      </c>
      <c r="AC87" s="23" t="n">
        <f aca="false">IFERROR(AB87/AA87,0)</f>
        <v>0.102856</v>
      </c>
      <c r="AD87" s="22" t="s">
        <v>324</v>
      </c>
    </row>
    <row r="88" customFormat="false" ht="15" hidden="false" customHeight="false" outlineLevel="0" collapsed="false">
      <c r="A88" s="22" t="n">
        <v>87</v>
      </c>
      <c r="B88" s="22" t="s">
        <v>122</v>
      </c>
      <c r="C88" s="37" t="n">
        <v>44725.7299305556</v>
      </c>
      <c r="D88" s="22" t="s">
        <v>202</v>
      </c>
      <c r="E88" s="22" t="n">
        <v>17</v>
      </c>
      <c r="F88" s="22" t="s">
        <v>182</v>
      </c>
      <c r="G88" s="22" t="s">
        <v>237</v>
      </c>
      <c r="H88" s="22" t="n">
        <v>0.07</v>
      </c>
      <c r="I88" s="38" t="n">
        <v>1824.95</v>
      </c>
      <c r="J88" s="38" t="n">
        <v>1824.04</v>
      </c>
      <c r="K88" s="39" t="n">
        <f aca="false">IF(F88="BUY",J88-I88,I88-J88)</f>
        <v>0.910000000000082</v>
      </c>
      <c r="L88" s="38" t="n">
        <v>1830.95</v>
      </c>
      <c r="M88" s="39" t="n">
        <f aca="false">ABS(I88-L88)</f>
        <v>6</v>
      </c>
      <c r="N88" s="24" t="n">
        <f aca="false">M88*H88*Summary!$C$6</f>
        <v>42</v>
      </c>
      <c r="O88" s="37" t="n">
        <v>44725.7950925926</v>
      </c>
      <c r="P88" s="22" t="n">
        <f aca="false">ROUND((O88-C88)*86400,0)</f>
        <v>5630</v>
      </c>
      <c r="Q88" s="22" t="str">
        <f aca="false">IF(P88&lt;10,"a) &lt;10s",IF(P88&lt;60,"b) 10-60s",IF(P88&lt;600,"c) 1-10min","d) &gt;10min")))</f>
        <v>d) &gt;10min</v>
      </c>
      <c r="R88" s="38" t="n">
        <v>1830.95</v>
      </c>
      <c r="S88" s="38" t="n">
        <v>1830.96</v>
      </c>
      <c r="T88" s="22" t="s">
        <v>188</v>
      </c>
      <c r="U88" s="39" t="n">
        <f aca="false">IF(R88="","",IF(F88="BUY",R88-S88,S88-R88))</f>
        <v>0.00999999999999091</v>
      </c>
      <c r="V88" s="39" t="n">
        <f aca="false">IF(F88="BUY",S88-J88,J88-S88)</f>
        <v>-6.92000000000007</v>
      </c>
      <c r="W88" s="6" t="n">
        <v>-48.44</v>
      </c>
      <c r="X88" s="26" t="n">
        <f aca="false">IFERROR(W88/N88,0)</f>
        <v>-1.15333333333333</v>
      </c>
      <c r="Y88" s="22" t="str">
        <f aca="false">IF(W88&gt;0,"Win",IF(W88&lt;0,"Loss","Flat"))</f>
        <v>Loss</v>
      </c>
      <c r="Z88" s="24" t="n">
        <f aca="false">Summary!$C$5+SUM(W$2:W88)</f>
        <v>4437.28</v>
      </c>
      <c r="AA88" s="24" t="n">
        <f aca="false">MAX(AA87,Z88)</f>
        <v>5000</v>
      </c>
      <c r="AB88" s="24" t="n">
        <f aca="false">AA88-Z88</f>
        <v>562.72</v>
      </c>
      <c r="AC88" s="23" t="n">
        <f aca="false">IFERROR(AB88/AA88,0)</f>
        <v>0.112544</v>
      </c>
      <c r="AD88" s="22" t="s">
        <v>325</v>
      </c>
    </row>
    <row r="89" customFormat="false" ht="15" hidden="false" customHeight="false" outlineLevel="0" collapsed="false">
      <c r="A89" s="22" t="n">
        <v>88</v>
      </c>
      <c r="B89" s="22" t="s">
        <v>122</v>
      </c>
      <c r="C89" s="37" t="n">
        <v>44726.375</v>
      </c>
      <c r="D89" s="22" t="s">
        <v>203</v>
      </c>
      <c r="E89" s="22" t="n">
        <v>9</v>
      </c>
      <c r="F89" s="22" t="s">
        <v>181</v>
      </c>
      <c r="G89" s="22" t="s">
        <v>235</v>
      </c>
      <c r="H89" s="22" t="n">
        <v>0.07</v>
      </c>
      <c r="I89" s="38" t="n">
        <v>1828.16</v>
      </c>
      <c r="J89" s="38" t="n">
        <v>1828.19</v>
      </c>
      <c r="K89" s="39" t="n">
        <f aca="false">IF(F89="BUY",J89-I89,I89-J89)</f>
        <v>0.0299999999999727</v>
      </c>
      <c r="L89" s="38" t="n">
        <v>1822.16</v>
      </c>
      <c r="M89" s="39" t="n">
        <f aca="false">ABS(I89-L89)</f>
        <v>6</v>
      </c>
      <c r="N89" s="24" t="n">
        <f aca="false">M89*H89*Summary!$C$6</f>
        <v>42</v>
      </c>
      <c r="O89" s="37" t="n">
        <v>44726.4241898148</v>
      </c>
      <c r="P89" s="22" t="n">
        <f aca="false">ROUND((O89-C89)*86400,0)</f>
        <v>4250</v>
      </c>
      <c r="Q89" s="22" t="str">
        <f aca="false">IF(P89&lt;10,"a) &lt;10s",IF(P89&lt;60,"b) 10-60s",IF(P89&lt;600,"c) 1-10min","d) &gt;10min")))</f>
        <v>d) &gt;10min</v>
      </c>
      <c r="R89" s="38" t="n">
        <v>1828.69</v>
      </c>
      <c r="S89" s="38" t="n">
        <v>1828.65</v>
      </c>
      <c r="T89" s="22" t="s">
        <v>189</v>
      </c>
      <c r="U89" s="39" t="n">
        <f aca="false">IF(R89="","",IF(F89="BUY",R89-S89,S89-R89))</f>
        <v>0.0399999999999636</v>
      </c>
      <c r="V89" s="39" t="n">
        <f aca="false">IF(F89="BUY",S89-J89,J89-S89)</f>
        <v>0.460000000000036</v>
      </c>
      <c r="W89" s="6" t="n">
        <v>3.22</v>
      </c>
      <c r="X89" s="26" t="n">
        <f aca="false">IFERROR(W89/N89,0)</f>
        <v>0.0766666666666667</v>
      </c>
      <c r="Y89" s="22" t="str">
        <f aca="false">IF(W89&gt;0,"Win",IF(W89&lt;0,"Loss","Flat"))</f>
        <v>Win</v>
      </c>
      <c r="Z89" s="24" t="n">
        <f aca="false">Summary!$C$5+SUM(W$2:W89)</f>
        <v>4440.5</v>
      </c>
      <c r="AA89" s="24" t="n">
        <f aca="false">MAX(AA88,Z89)</f>
        <v>5000</v>
      </c>
      <c r="AB89" s="24" t="n">
        <f aca="false">AA89-Z89</f>
        <v>559.5</v>
      </c>
      <c r="AC89" s="23" t="n">
        <f aca="false">IFERROR(AB89/AA89,0)</f>
        <v>0.1119</v>
      </c>
      <c r="AD89" s="22" t="s">
        <v>326</v>
      </c>
    </row>
    <row r="90" customFormat="false" ht="15" hidden="false" customHeight="false" outlineLevel="0" collapsed="false">
      <c r="A90" s="22" t="n">
        <v>89</v>
      </c>
      <c r="B90" s="22" t="s">
        <v>122</v>
      </c>
      <c r="C90" s="37" t="n">
        <v>44727.376099537</v>
      </c>
      <c r="D90" s="22" t="s">
        <v>204</v>
      </c>
      <c r="E90" s="22" t="n">
        <v>9</v>
      </c>
      <c r="F90" s="22" t="s">
        <v>181</v>
      </c>
      <c r="G90" s="22" t="s">
        <v>235</v>
      </c>
      <c r="H90" s="22" t="n">
        <v>0.07</v>
      </c>
      <c r="I90" s="38" t="n">
        <v>1818.86</v>
      </c>
      <c r="J90" s="38" t="n">
        <v>1818.88</v>
      </c>
      <c r="K90" s="39" t="n">
        <f aca="false">IF(F90="BUY",J90-I90,I90-J90)</f>
        <v>0.0200000000002092</v>
      </c>
      <c r="L90" s="38" t="n">
        <v>1812.86</v>
      </c>
      <c r="M90" s="39" t="n">
        <f aca="false">ABS(I90-L90)</f>
        <v>6</v>
      </c>
      <c r="N90" s="24" t="n">
        <f aca="false">M90*H90*Summary!$C$6</f>
        <v>42</v>
      </c>
      <c r="O90" s="37" t="n">
        <v>44727.4110185185</v>
      </c>
      <c r="P90" s="22" t="n">
        <f aca="false">ROUND((O90-C90)*86400,0)</f>
        <v>3017</v>
      </c>
      <c r="Q90" s="22" t="str">
        <f aca="false">IF(P90&lt;10,"a) &lt;10s",IF(P90&lt;60,"b) 10-60s",IF(P90&lt;600,"c) 1-10min","d) &gt;10min")))</f>
        <v>d) &gt;10min</v>
      </c>
      <c r="R90" s="38" t="n">
        <v>1819.38</v>
      </c>
      <c r="S90" s="38" t="n">
        <v>1819.37</v>
      </c>
      <c r="T90" s="22" t="s">
        <v>189</v>
      </c>
      <c r="U90" s="39" t="n">
        <f aca="false">IF(R90="","",IF(F90="BUY",R90-S90,S90-R90))</f>
        <v>0.0100000000002183</v>
      </c>
      <c r="V90" s="39" t="n">
        <f aca="false">IF(F90="BUY",S90-J90,J90-S90)</f>
        <v>0.489999999999782</v>
      </c>
      <c r="W90" s="6" t="n">
        <v>3.43</v>
      </c>
      <c r="X90" s="26" t="n">
        <f aca="false">IFERROR(W90/N90,0)</f>
        <v>0.0816666666666667</v>
      </c>
      <c r="Y90" s="22" t="str">
        <f aca="false">IF(W90&gt;0,"Win",IF(W90&lt;0,"Loss","Flat"))</f>
        <v>Win</v>
      </c>
      <c r="Z90" s="24" t="n">
        <f aca="false">Summary!$C$5+SUM(W$2:W90)</f>
        <v>4443.93</v>
      </c>
      <c r="AA90" s="24" t="n">
        <f aca="false">MAX(AA89,Z90)</f>
        <v>5000</v>
      </c>
      <c r="AB90" s="24" t="n">
        <f aca="false">AA90-Z90</f>
        <v>556.07</v>
      </c>
      <c r="AC90" s="23" t="n">
        <f aca="false">IFERROR(AB90/AA90,0)</f>
        <v>0.111214</v>
      </c>
      <c r="AD90" s="22" t="s">
        <v>327</v>
      </c>
    </row>
    <row r="91" customFormat="false" ht="15" hidden="false" customHeight="false" outlineLevel="0" collapsed="false">
      <c r="A91" s="22" t="n">
        <v>90</v>
      </c>
      <c r="B91" s="22" t="s">
        <v>122</v>
      </c>
      <c r="C91" s="37" t="n">
        <v>44727.5975231482</v>
      </c>
      <c r="D91" s="22" t="s">
        <v>204</v>
      </c>
      <c r="E91" s="22" t="n">
        <v>14</v>
      </c>
      <c r="F91" s="22" t="s">
        <v>181</v>
      </c>
      <c r="G91" s="22" t="s">
        <v>243</v>
      </c>
      <c r="H91" s="22" t="n">
        <v>0.07</v>
      </c>
      <c r="I91" s="38" t="n">
        <v>1831.54</v>
      </c>
      <c r="J91" s="38" t="n">
        <v>1831.95</v>
      </c>
      <c r="K91" s="39" t="n">
        <f aca="false">IF(F91="BUY",J91-I91,I91-J91)</f>
        <v>0.410000000000082</v>
      </c>
      <c r="L91" s="38" t="n">
        <v>1825.54</v>
      </c>
      <c r="M91" s="39" t="n">
        <f aca="false">ABS(I91-L91)</f>
        <v>6</v>
      </c>
      <c r="N91" s="24" t="n">
        <f aca="false">M91*H91*Summary!$C$6</f>
        <v>42</v>
      </c>
      <c r="O91" s="37" t="n">
        <v>44727.6208680556</v>
      </c>
      <c r="P91" s="22" t="n">
        <f aca="false">ROUND((O91-C91)*86400,0)</f>
        <v>2017</v>
      </c>
      <c r="Q91" s="22" t="str">
        <f aca="false">IF(P91&lt;10,"a) &lt;10s",IF(P91&lt;60,"b) 10-60s",IF(P91&lt;600,"c) 1-10min","d) &gt;10min")))</f>
        <v>d) &gt;10min</v>
      </c>
      <c r="R91" s="38" t="n">
        <v>1832.45</v>
      </c>
      <c r="S91" s="38" t="n">
        <v>1832.44</v>
      </c>
      <c r="T91" s="22" t="s">
        <v>189</v>
      </c>
      <c r="U91" s="39" t="n">
        <f aca="false">IF(R91="","",IF(F91="BUY",R91-S91,S91-R91))</f>
        <v>0.00999999999999091</v>
      </c>
      <c r="V91" s="39" t="n">
        <f aca="false">IF(F91="BUY",S91-J91,J91-S91)</f>
        <v>0.490000000000009</v>
      </c>
      <c r="W91" s="6" t="n">
        <v>3.43</v>
      </c>
      <c r="X91" s="26" t="n">
        <f aca="false">IFERROR(W91/N91,0)</f>
        <v>0.0816666666666667</v>
      </c>
      <c r="Y91" s="22" t="str">
        <f aca="false">IF(W91&gt;0,"Win",IF(W91&lt;0,"Loss","Flat"))</f>
        <v>Win</v>
      </c>
      <c r="Z91" s="24" t="n">
        <f aca="false">Summary!$C$5+SUM(W$2:W91)</f>
        <v>4447.36</v>
      </c>
      <c r="AA91" s="24" t="n">
        <f aca="false">MAX(AA90,Z91)</f>
        <v>5000</v>
      </c>
      <c r="AB91" s="24" t="n">
        <f aca="false">AA91-Z91</f>
        <v>552.64</v>
      </c>
      <c r="AC91" s="23" t="n">
        <f aca="false">IFERROR(AB91/AA91,0)</f>
        <v>0.110528</v>
      </c>
      <c r="AD91" s="22" t="s">
        <v>328</v>
      </c>
    </row>
    <row r="92" customFormat="false" ht="15" hidden="false" customHeight="false" outlineLevel="0" collapsed="false">
      <c r="A92" s="22" t="n">
        <v>91</v>
      </c>
      <c r="B92" s="22" t="s">
        <v>122</v>
      </c>
      <c r="C92" s="37" t="n">
        <v>44728.4048148148</v>
      </c>
      <c r="D92" s="22" t="s">
        <v>205</v>
      </c>
      <c r="E92" s="22" t="n">
        <v>9</v>
      </c>
      <c r="F92" s="22" t="s">
        <v>182</v>
      </c>
      <c r="G92" s="22" t="s">
        <v>241</v>
      </c>
      <c r="H92" s="22" t="n">
        <v>0.07</v>
      </c>
      <c r="I92" s="38" t="n">
        <v>1829.71</v>
      </c>
      <c r="J92" s="38" t="n">
        <v>1829.68</v>
      </c>
      <c r="K92" s="39" t="n">
        <f aca="false">IF(F92="BUY",J92-I92,I92-J92)</f>
        <v>0.0299999999999727</v>
      </c>
      <c r="L92" s="38" t="n">
        <v>1835.71</v>
      </c>
      <c r="M92" s="39" t="n">
        <f aca="false">ABS(I92-L92)</f>
        <v>6</v>
      </c>
      <c r="N92" s="24" t="n">
        <f aca="false">M92*H92*Summary!$C$6</f>
        <v>42</v>
      </c>
      <c r="O92" s="37" t="n">
        <v>44728.4375347222</v>
      </c>
      <c r="P92" s="22" t="n">
        <f aca="false">ROUND((O92-C92)*86400,0)</f>
        <v>2827</v>
      </c>
      <c r="Q92" s="22" t="str">
        <f aca="false">IF(P92&lt;10,"a) &lt;10s",IF(P92&lt;60,"b) 10-60s",IF(P92&lt;600,"c) 1-10min","d) &gt;10min")))</f>
        <v>d) &gt;10min</v>
      </c>
      <c r="R92" s="38" t="n">
        <v>1829.18</v>
      </c>
      <c r="S92" s="38" t="n">
        <v>1829.24</v>
      </c>
      <c r="T92" s="22" t="s">
        <v>189</v>
      </c>
      <c r="U92" s="39" t="n">
        <f aca="false">IF(R92="","",IF(F92="BUY",R92-S92,S92-R92))</f>
        <v>0.0599999999999454</v>
      </c>
      <c r="V92" s="39" t="n">
        <f aca="false">IF(F92="BUY",S92-J92,J92-S92)</f>
        <v>0.440000000000055</v>
      </c>
      <c r="W92" s="6" t="n">
        <v>3.08</v>
      </c>
      <c r="X92" s="26" t="n">
        <f aca="false">IFERROR(W92/N92,0)</f>
        <v>0.0733333333333333</v>
      </c>
      <c r="Y92" s="22" t="str">
        <f aca="false">IF(W92&gt;0,"Win",IF(W92&lt;0,"Loss","Flat"))</f>
        <v>Win</v>
      </c>
      <c r="Z92" s="24" t="n">
        <f aca="false">Summary!$C$5+SUM(W$2:W92)</f>
        <v>4450.44</v>
      </c>
      <c r="AA92" s="24" t="n">
        <f aca="false">MAX(AA91,Z92)</f>
        <v>5000</v>
      </c>
      <c r="AB92" s="24" t="n">
        <f aca="false">AA92-Z92</f>
        <v>549.56</v>
      </c>
      <c r="AC92" s="23" t="n">
        <f aca="false">IFERROR(AB92/AA92,0)</f>
        <v>0.109912</v>
      </c>
      <c r="AD92" s="22" t="s">
        <v>329</v>
      </c>
    </row>
    <row r="93" customFormat="false" ht="15" hidden="false" customHeight="false" outlineLevel="0" collapsed="false">
      <c r="A93" s="22" t="n">
        <v>92</v>
      </c>
      <c r="B93" s="22" t="s">
        <v>122</v>
      </c>
      <c r="C93" s="37" t="n">
        <v>44728.7651736111</v>
      </c>
      <c r="D93" s="22" t="s">
        <v>205</v>
      </c>
      <c r="E93" s="22" t="n">
        <v>18</v>
      </c>
      <c r="F93" s="22" t="s">
        <v>181</v>
      </c>
      <c r="G93" s="22" t="s">
        <v>243</v>
      </c>
      <c r="H93" s="22" t="n">
        <v>0.07</v>
      </c>
      <c r="I93" s="38" t="n">
        <v>1841.84</v>
      </c>
      <c r="J93" s="38" t="n">
        <v>1841.84</v>
      </c>
      <c r="K93" s="39" t="n">
        <f aca="false">IF(F93="BUY",J93-I93,I93-J93)</f>
        <v>0</v>
      </c>
      <c r="L93" s="38" t="n">
        <v>1835.84</v>
      </c>
      <c r="M93" s="39" t="n">
        <f aca="false">ABS(I93-L93)</f>
        <v>6</v>
      </c>
      <c r="N93" s="24" t="n">
        <f aca="false">M93*H93*Summary!$C$6</f>
        <v>42</v>
      </c>
      <c r="O93" s="37" t="n">
        <v>44728.9270833333</v>
      </c>
      <c r="P93" s="22" t="n">
        <f aca="false">ROUND((O93-C93)*86400,0)</f>
        <v>13989</v>
      </c>
      <c r="Q93" s="22" t="str">
        <f aca="false">IF(P93&lt;10,"a) &lt;10s",IF(P93&lt;60,"b) 10-60s",IF(P93&lt;600,"c) 1-10min","d) &gt;10min")))</f>
        <v>d) &gt;10min</v>
      </c>
      <c r="R93" s="38"/>
      <c r="S93" s="38" t="n">
        <v>1850.9</v>
      </c>
      <c r="T93" s="22" t="s">
        <v>191</v>
      </c>
      <c r="U93" s="39" t="str">
        <f aca="false">IF(R93="","",IF(F93="BUY",R93-S93,S93-R93))</f>
        <v/>
      </c>
      <c r="V93" s="39" t="n">
        <f aca="false">IF(F93="BUY",S93-J93,J93-S93)</f>
        <v>9.06000000000017</v>
      </c>
      <c r="W93" s="6" t="n">
        <v>63.42</v>
      </c>
      <c r="X93" s="26" t="n">
        <f aca="false">IFERROR(W93/N93,0)</f>
        <v>1.51</v>
      </c>
      <c r="Y93" s="22" t="str">
        <f aca="false">IF(W93&gt;0,"Win",IF(W93&lt;0,"Loss","Flat"))</f>
        <v>Win</v>
      </c>
      <c r="Z93" s="24" t="n">
        <f aca="false">Summary!$C$5+SUM(W$2:W93)</f>
        <v>4513.86</v>
      </c>
      <c r="AA93" s="24" t="n">
        <f aca="false">MAX(AA92,Z93)</f>
        <v>5000</v>
      </c>
      <c r="AB93" s="24" t="n">
        <f aca="false">AA93-Z93</f>
        <v>486.14</v>
      </c>
      <c r="AC93" s="23" t="n">
        <f aca="false">IFERROR(AB93/AA93,0)</f>
        <v>0.0972280000000001</v>
      </c>
      <c r="AD93" s="22" t="s">
        <v>330</v>
      </c>
    </row>
    <row r="94" customFormat="false" ht="15" hidden="false" customHeight="false" outlineLevel="0" collapsed="false">
      <c r="A94" s="22" t="n">
        <v>93</v>
      </c>
      <c r="B94" s="22" t="s">
        <v>122</v>
      </c>
      <c r="C94" s="37" t="n">
        <v>44729.3805324074</v>
      </c>
      <c r="D94" s="22" t="s">
        <v>206</v>
      </c>
      <c r="E94" s="22" t="n">
        <v>9</v>
      </c>
      <c r="F94" s="22" t="s">
        <v>181</v>
      </c>
      <c r="G94" s="22" t="s">
        <v>235</v>
      </c>
      <c r="H94" s="22" t="n">
        <v>0.07</v>
      </c>
      <c r="I94" s="38" t="n">
        <v>1847.18</v>
      </c>
      <c r="J94" s="38" t="n">
        <v>1847.2</v>
      </c>
      <c r="K94" s="39" t="n">
        <f aca="false">IF(F94="BUY",J94-I94,I94-J94)</f>
        <v>0.0199999999999818</v>
      </c>
      <c r="L94" s="38" t="n">
        <v>1841.18</v>
      </c>
      <c r="M94" s="39" t="n">
        <f aca="false">ABS(I94-L94)</f>
        <v>6</v>
      </c>
      <c r="N94" s="24" t="n">
        <f aca="false">M94*H94*Summary!$C$6</f>
        <v>42</v>
      </c>
      <c r="O94" s="37" t="n">
        <v>44729.5410648148</v>
      </c>
      <c r="P94" s="22" t="n">
        <f aca="false">ROUND((O94-C94)*86400,0)</f>
        <v>13870</v>
      </c>
      <c r="Q94" s="22" t="str">
        <f aca="false">IF(P94&lt;10,"a) &lt;10s",IF(P94&lt;60,"b) 10-60s",IF(P94&lt;600,"c) 1-10min","d) &gt;10min")))</f>
        <v>d) &gt;10min</v>
      </c>
      <c r="R94" s="38" t="n">
        <v>1847.7</v>
      </c>
      <c r="S94" s="38" t="n">
        <v>1847.66</v>
      </c>
      <c r="T94" s="22" t="s">
        <v>189</v>
      </c>
      <c r="U94" s="39" t="n">
        <f aca="false">IF(R94="","",IF(F94="BUY",R94-S94,S94-R94))</f>
        <v>0.0399999999999636</v>
      </c>
      <c r="V94" s="39" t="n">
        <f aca="false">IF(F94="BUY",S94-J94,J94-S94)</f>
        <v>0.460000000000036</v>
      </c>
      <c r="W94" s="6" t="n">
        <v>3.22</v>
      </c>
      <c r="X94" s="26" t="n">
        <f aca="false">IFERROR(W94/N94,0)</f>
        <v>0.0766666666666667</v>
      </c>
      <c r="Y94" s="22" t="str">
        <f aca="false">IF(W94&gt;0,"Win",IF(W94&lt;0,"Loss","Flat"))</f>
        <v>Win</v>
      </c>
      <c r="Z94" s="24" t="n">
        <f aca="false">Summary!$C$5+SUM(W$2:W94)</f>
        <v>4517.08</v>
      </c>
      <c r="AA94" s="24" t="n">
        <f aca="false">MAX(AA93,Z94)</f>
        <v>5000</v>
      </c>
      <c r="AB94" s="24" t="n">
        <f aca="false">AA94-Z94</f>
        <v>482.92</v>
      </c>
      <c r="AC94" s="23" t="n">
        <f aca="false">IFERROR(AB94/AA94,0)</f>
        <v>0.096584</v>
      </c>
      <c r="AD94" s="22" t="s">
        <v>331</v>
      </c>
    </row>
    <row r="95" customFormat="false" ht="15" hidden="false" customHeight="false" outlineLevel="0" collapsed="false">
      <c r="A95" s="22" t="n">
        <v>94</v>
      </c>
      <c r="B95" s="22" t="s">
        <v>122</v>
      </c>
      <c r="C95" s="37" t="n">
        <v>44732.37625</v>
      </c>
      <c r="D95" s="22" t="s">
        <v>202</v>
      </c>
      <c r="E95" s="22" t="n">
        <v>9</v>
      </c>
      <c r="F95" s="22" t="s">
        <v>182</v>
      </c>
      <c r="G95" s="22" t="s">
        <v>241</v>
      </c>
      <c r="H95" s="22" t="n">
        <v>0.07</v>
      </c>
      <c r="I95" s="38" t="n">
        <v>1841.65</v>
      </c>
      <c r="J95" s="38" t="n">
        <v>1841.65</v>
      </c>
      <c r="K95" s="39" t="n">
        <f aca="false">IF(F95="BUY",J95-I95,I95-J95)</f>
        <v>0</v>
      </c>
      <c r="L95" s="38" t="n">
        <v>1847.65</v>
      </c>
      <c r="M95" s="39" t="n">
        <f aca="false">ABS(I95-L95)</f>
        <v>6</v>
      </c>
      <c r="N95" s="24" t="n">
        <f aca="false">M95*H95*Summary!$C$6</f>
        <v>42</v>
      </c>
      <c r="O95" s="37" t="n">
        <v>44732.4747453704</v>
      </c>
      <c r="P95" s="22" t="n">
        <f aca="false">ROUND((O95-C95)*86400,0)</f>
        <v>8510</v>
      </c>
      <c r="Q95" s="22" t="str">
        <f aca="false">IF(P95&lt;10,"a) &lt;10s",IF(P95&lt;60,"b) 10-60s",IF(P95&lt;600,"c) 1-10min","d) &gt;10min")))</f>
        <v>d) &gt;10min</v>
      </c>
      <c r="R95" s="38" t="n">
        <v>1841.15</v>
      </c>
      <c r="S95" s="38" t="n">
        <v>1841.15</v>
      </c>
      <c r="T95" s="22" t="s">
        <v>189</v>
      </c>
      <c r="U95" s="39" t="n">
        <f aca="false">IF(R95="","",IF(F95="BUY",R95-S95,S95-R95))</f>
        <v>0</v>
      </c>
      <c r="V95" s="39" t="n">
        <f aca="false">IF(F95="BUY",S95-J95,J95-S95)</f>
        <v>0.5</v>
      </c>
      <c r="W95" s="6" t="n">
        <v>3.5</v>
      </c>
      <c r="X95" s="26" t="n">
        <f aca="false">IFERROR(W95/N95,0)</f>
        <v>0.0833333333333333</v>
      </c>
      <c r="Y95" s="22" t="str">
        <f aca="false">IF(W95&gt;0,"Win",IF(W95&lt;0,"Loss","Flat"))</f>
        <v>Win</v>
      </c>
      <c r="Z95" s="24" t="n">
        <f aca="false">Summary!$C$5+SUM(W$2:W95)</f>
        <v>4520.58</v>
      </c>
      <c r="AA95" s="24" t="n">
        <f aca="false">MAX(AA94,Z95)</f>
        <v>5000</v>
      </c>
      <c r="AB95" s="24" t="n">
        <f aca="false">AA95-Z95</f>
        <v>479.42</v>
      </c>
      <c r="AC95" s="23" t="n">
        <f aca="false">IFERROR(AB95/AA95,0)</f>
        <v>0.095884</v>
      </c>
      <c r="AD95" s="22" t="s">
        <v>332</v>
      </c>
    </row>
    <row r="96" customFormat="false" ht="15" hidden="false" customHeight="false" outlineLevel="0" collapsed="false">
      <c r="A96" s="22" t="n">
        <v>95</v>
      </c>
      <c r="B96" s="22" t="s">
        <v>122</v>
      </c>
      <c r="C96" s="37" t="n">
        <v>44733.3650115741</v>
      </c>
      <c r="D96" s="22" t="s">
        <v>203</v>
      </c>
      <c r="E96" s="22" t="n">
        <v>8</v>
      </c>
      <c r="F96" s="22" t="s">
        <v>182</v>
      </c>
      <c r="G96" s="22" t="s">
        <v>237</v>
      </c>
      <c r="H96" s="22" t="n">
        <v>0.07</v>
      </c>
      <c r="I96" s="38" t="n">
        <v>1834.49</v>
      </c>
      <c r="J96" s="38" t="n">
        <v>1833.8</v>
      </c>
      <c r="K96" s="39" t="n">
        <f aca="false">IF(F96="BUY",J96-I96,I96-J96)</f>
        <v>0.690000000000055</v>
      </c>
      <c r="L96" s="38" t="n">
        <v>1840.49</v>
      </c>
      <c r="M96" s="39" t="n">
        <f aca="false">ABS(I96-L96)</f>
        <v>6</v>
      </c>
      <c r="N96" s="24" t="n">
        <f aca="false">M96*H96*Summary!$C$6</f>
        <v>42</v>
      </c>
      <c r="O96" s="37" t="n">
        <v>44733.6219560185</v>
      </c>
      <c r="P96" s="22" t="n">
        <f aca="false">ROUND((O96-C96)*86400,0)</f>
        <v>22200</v>
      </c>
      <c r="Q96" s="22" t="str">
        <f aca="false">IF(P96&lt;10,"a) &lt;10s",IF(P96&lt;60,"b) 10-60s",IF(P96&lt;600,"c) 1-10min","d) &gt;10min")))</f>
        <v>d) &gt;10min</v>
      </c>
      <c r="R96" s="38" t="n">
        <v>1833.3</v>
      </c>
      <c r="S96" s="38" t="n">
        <v>1833.3</v>
      </c>
      <c r="T96" s="22" t="s">
        <v>189</v>
      </c>
      <c r="U96" s="39" t="n">
        <f aca="false">IF(R96="","",IF(F96="BUY",R96-S96,S96-R96))</f>
        <v>0</v>
      </c>
      <c r="V96" s="39" t="n">
        <f aca="false">IF(F96="BUY",S96-J96,J96-S96)</f>
        <v>0.5</v>
      </c>
      <c r="W96" s="6" t="n">
        <v>3.5</v>
      </c>
      <c r="X96" s="26" t="n">
        <f aca="false">IFERROR(W96/N96,0)</f>
        <v>0.0833333333333333</v>
      </c>
      <c r="Y96" s="22" t="str">
        <f aca="false">IF(W96&gt;0,"Win",IF(W96&lt;0,"Loss","Flat"))</f>
        <v>Win</v>
      </c>
      <c r="Z96" s="24" t="n">
        <f aca="false">Summary!$C$5+SUM(W$2:W96)</f>
        <v>4524.08</v>
      </c>
      <c r="AA96" s="24" t="n">
        <f aca="false">MAX(AA95,Z96)</f>
        <v>5000</v>
      </c>
      <c r="AB96" s="24" t="n">
        <f aca="false">AA96-Z96</f>
        <v>475.92</v>
      </c>
      <c r="AC96" s="23" t="n">
        <f aca="false">IFERROR(AB96/AA96,0)</f>
        <v>0.095184</v>
      </c>
      <c r="AD96" s="22" t="s">
        <v>333</v>
      </c>
    </row>
    <row r="97" customFormat="false" ht="15" hidden="false" customHeight="false" outlineLevel="0" collapsed="false">
      <c r="A97" s="22" t="n">
        <v>96</v>
      </c>
      <c r="B97" s="22" t="s">
        <v>122</v>
      </c>
      <c r="C97" s="37" t="n">
        <v>44733.7102662037</v>
      </c>
      <c r="D97" s="22" t="s">
        <v>203</v>
      </c>
      <c r="E97" s="22" t="n">
        <v>17</v>
      </c>
      <c r="F97" s="22" t="s">
        <v>181</v>
      </c>
      <c r="G97" s="22" t="s">
        <v>235</v>
      </c>
      <c r="H97" s="22" t="n">
        <v>0.07</v>
      </c>
      <c r="I97" s="38" t="n">
        <v>1840.74</v>
      </c>
      <c r="J97" s="38" t="n">
        <v>1840.76</v>
      </c>
      <c r="K97" s="39" t="n">
        <f aca="false">IF(F97="BUY",J97-I97,I97-J97)</f>
        <v>0.0199999999999818</v>
      </c>
      <c r="L97" s="38" t="n">
        <v>1834.74</v>
      </c>
      <c r="M97" s="39" t="n">
        <f aca="false">ABS(I97-L97)</f>
        <v>6</v>
      </c>
      <c r="N97" s="24" t="n">
        <f aca="false">M97*H97*Summary!$C$6</f>
        <v>42</v>
      </c>
      <c r="O97" s="37" t="n">
        <v>44733.7391435185</v>
      </c>
      <c r="P97" s="22" t="n">
        <f aca="false">ROUND((O97-C97)*86400,0)</f>
        <v>2495</v>
      </c>
      <c r="Q97" s="22" t="str">
        <f aca="false">IF(P97&lt;10,"a) &lt;10s",IF(P97&lt;60,"b) 10-60s",IF(P97&lt;600,"c) 1-10min","d) &gt;10min")))</f>
        <v>d) &gt;10min</v>
      </c>
      <c r="R97" s="38" t="n">
        <v>1841.26</v>
      </c>
      <c r="S97" s="38" t="n">
        <v>1841.2</v>
      </c>
      <c r="T97" s="22" t="s">
        <v>189</v>
      </c>
      <c r="U97" s="39" t="n">
        <f aca="false">IF(R97="","",IF(F97="BUY",R97-S97,S97-R97))</f>
        <v>0.0599999999999454</v>
      </c>
      <c r="V97" s="39" t="n">
        <f aca="false">IF(F97="BUY",S97-J97,J97-S97)</f>
        <v>0.440000000000055</v>
      </c>
      <c r="W97" s="6" t="n">
        <v>3.08</v>
      </c>
      <c r="X97" s="26" t="n">
        <f aca="false">IFERROR(W97/N97,0)</f>
        <v>0.0733333333333333</v>
      </c>
      <c r="Y97" s="22" t="str">
        <f aca="false">IF(W97&gt;0,"Win",IF(W97&lt;0,"Loss","Flat"))</f>
        <v>Win</v>
      </c>
      <c r="Z97" s="24" t="n">
        <f aca="false">Summary!$C$5+SUM(W$2:W97)</f>
        <v>4527.16</v>
      </c>
      <c r="AA97" s="24" t="n">
        <f aca="false">MAX(AA96,Z97)</f>
        <v>5000</v>
      </c>
      <c r="AB97" s="24" t="n">
        <f aca="false">AA97-Z97</f>
        <v>472.84</v>
      </c>
      <c r="AC97" s="23" t="n">
        <f aca="false">IFERROR(AB97/AA97,0)</f>
        <v>0.094568</v>
      </c>
      <c r="AD97" s="22" t="s">
        <v>334</v>
      </c>
    </row>
    <row r="98" customFormat="false" ht="15" hidden="false" customHeight="false" outlineLevel="0" collapsed="false">
      <c r="A98" s="22" t="n">
        <v>97</v>
      </c>
      <c r="B98" s="22" t="s">
        <v>122</v>
      </c>
      <c r="C98" s="37" t="n">
        <v>44734.1348842593</v>
      </c>
      <c r="D98" s="22" t="s">
        <v>204</v>
      </c>
      <c r="E98" s="22" t="n">
        <v>3</v>
      </c>
      <c r="F98" s="22" t="s">
        <v>182</v>
      </c>
      <c r="G98" s="22" t="s">
        <v>237</v>
      </c>
      <c r="H98" s="22" t="n">
        <v>0.07</v>
      </c>
      <c r="I98" s="38" t="n">
        <v>1828.42</v>
      </c>
      <c r="J98" s="38" t="n">
        <v>1827.97</v>
      </c>
      <c r="K98" s="39" t="n">
        <f aca="false">IF(F98="BUY",J98-I98,I98-J98)</f>
        <v>0.450000000000046</v>
      </c>
      <c r="L98" s="38" t="n">
        <v>1834.42</v>
      </c>
      <c r="M98" s="39" t="n">
        <f aca="false">ABS(I98-L98)</f>
        <v>6</v>
      </c>
      <c r="N98" s="24" t="n">
        <f aca="false">M98*H98*Summary!$C$6</f>
        <v>42</v>
      </c>
      <c r="O98" s="37" t="n">
        <v>44734.2452083333</v>
      </c>
      <c r="P98" s="22" t="n">
        <f aca="false">ROUND((O98-C98)*86400,0)</f>
        <v>9532</v>
      </c>
      <c r="Q98" s="22" t="str">
        <f aca="false">IF(P98&lt;10,"a) &lt;10s",IF(P98&lt;60,"b) 10-60s",IF(P98&lt;600,"c) 1-10min","d) &gt;10min")))</f>
        <v>d) &gt;10min</v>
      </c>
      <c r="R98" s="38" t="n">
        <v>1827.47</v>
      </c>
      <c r="S98" s="38" t="n">
        <v>1827.49</v>
      </c>
      <c r="T98" s="22" t="s">
        <v>189</v>
      </c>
      <c r="U98" s="39" t="n">
        <f aca="false">IF(R98="","",IF(F98="BUY",R98-S98,S98-R98))</f>
        <v>0.0199999999999818</v>
      </c>
      <c r="V98" s="39" t="n">
        <f aca="false">IF(F98="BUY",S98-J98,J98-S98)</f>
        <v>0.480000000000018</v>
      </c>
      <c r="W98" s="6" t="n">
        <v>3.36</v>
      </c>
      <c r="X98" s="26" t="n">
        <f aca="false">IFERROR(W98/N98,0)</f>
        <v>0.08</v>
      </c>
      <c r="Y98" s="22" t="str">
        <f aca="false">IF(W98&gt;0,"Win",IF(W98&lt;0,"Loss","Flat"))</f>
        <v>Win</v>
      </c>
      <c r="Z98" s="24" t="n">
        <f aca="false">Summary!$C$5+SUM(W$2:W98)</f>
        <v>4530.52</v>
      </c>
      <c r="AA98" s="24" t="n">
        <f aca="false">MAX(AA97,Z98)</f>
        <v>5000</v>
      </c>
      <c r="AB98" s="24" t="n">
        <f aca="false">AA98-Z98</f>
        <v>469.48</v>
      </c>
      <c r="AC98" s="23" t="n">
        <f aca="false">IFERROR(AB98/AA98,0)</f>
        <v>0.0938959999999999</v>
      </c>
      <c r="AD98" s="22" t="s">
        <v>335</v>
      </c>
    </row>
    <row r="99" customFormat="false" ht="15" hidden="false" customHeight="false" outlineLevel="0" collapsed="false">
      <c r="A99" s="22" t="n">
        <v>98</v>
      </c>
      <c r="B99" s="22" t="s">
        <v>122</v>
      </c>
      <c r="C99" s="37" t="n">
        <v>44734.3836921296</v>
      </c>
      <c r="D99" s="22" t="s">
        <v>204</v>
      </c>
      <c r="E99" s="22" t="n">
        <v>9</v>
      </c>
      <c r="F99" s="22" t="s">
        <v>182</v>
      </c>
      <c r="G99" s="22" t="s">
        <v>241</v>
      </c>
      <c r="H99" s="22" t="n">
        <v>0.07</v>
      </c>
      <c r="I99" s="38" t="n">
        <v>1824.35</v>
      </c>
      <c r="J99" s="38" t="n">
        <v>1824.35</v>
      </c>
      <c r="K99" s="39" t="n">
        <f aca="false">IF(F99="BUY",J99-I99,I99-J99)</f>
        <v>0</v>
      </c>
      <c r="L99" s="38" t="n">
        <v>1830.35</v>
      </c>
      <c r="M99" s="39" t="n">
        <f aca="false">ABS(I99-L99)</f>
        <v>6</v>
      </c>
      <c r="N99" s="24" t="n">
        <f aca="false">M99*H99*Summary!$C$6</f>
        <v>42</v>
      </c>
      <c r="O99" s="37" t="n">
        <v>44734.4447222222</v>
      </c>
      <c r="P99" s="22" t="n">
        <f aca="false">ROUND((O99-C99)*86400,0)</f>
        <v>5273</v>
      </c>
      <c r="Q99" s="22" t="str">
        <f aca="false">IF(P99&lt;10,"a) &lt;10s",IF(P99&lt;60,"b) 10-60s",IF(P99&lt;600,"c) 1-10min","d) &gt;10min")))</f>
        <v>d) &gt;10min</v>
      </c>
      <c r="R99" s="38" t="n">
        <v>1830.35</v>
      </c>
      <c r="S99" s="38" t="n">
        <v>1830.53</v>
      </c>
      <c r="T99" s="22" t="s">
        <v>188</v>
      </c>
      <c r="U99" s="39" t="n">
        <f aca="false">IF(R99="","",IF(F99="BUY",R99-S99,S99-R99))</f>
        <v>0.180000000000064</v>
      </c>
      <c r="V99" s="39" t="n">
        <f aca="false">IF(F99="BUY",S99-J99,J99-S99)</f>
        <v>-6.18000000000006</v>
      </c>
      <c r="W99" s="6" t="n">
        <v>-43.26</v>
      </c>
      <c r="X99" s="26" t="n">
        <f aca="false">IFERROR(W99/N99,0)</f>
        <v>-1.03</v>
      </c>
      <c r="Y99" s="22" t="str">
        <f aca="false">IF(W99&gt;0,"Win",IF(W99&lt;0,"Loss","Flat"))</f>
        <v>Loss</v>
      </c>
      <c r="Z99" s="24" t="n">
        <f aca="false">Summary!$C$5+SUM(W$2:W99)</f>
        <v>4487.26</v>
      </c>
      <c r="AA99" s="24" t="n">
        <f aca="false">MAX(AA98,Z99)</f>
        <v>5000</v>
      </c>
      <c r="AB99" s="24" t="n">
        <f aca="false">AA99-Z99</f>
        <v>512.74</v>
      </c>
      <c r="AC99" s="23" t="n">
        <f aca="false">IFERROR(AB99/AA99,0)</f>
        <v>0.102548</v>
      </c>
      <c r="AD99" s="22" t="s">
        <v>336</v>
      </c>
    </row>
    <row r="100" customFormat="false" ht="15" hidden="false" customHeight="false" outlineLevel="0" collapsed="false">
      <c r="A100" s="22" t="n">
        <v>99</v>
      </c>
      <c r="B100" s="22" t="s">
        <v>122</v>
      </c>
      <c r="C100" s="37" t="n">
        <v>44735.52125</v>
      </c>
      <c r="D100" s="22" t="s">
        <v>205</v>
      </c>
      <c r="E100" s="22" t="n">
        <v>12</v>
      </c>
      <c r="F100" s="22" t="s">
        <v>182</v>
      </c>
      <c r="G100" s="22" t="s">
        <v>241</v>
      </c>
      <c r="H100" s="22" t="n">
        <v>0.07</v>
      </c>
      <c r="I100" s="38" t="n">
        <v>1830.96</v>
      </c>
      <c r="J100" s="38" t="n">
        <v>1830.94</v>
      </c>
      <c r="K100" s="39" t="n">
        <f aca="false">IF(F100="BUY",J100-I100,I100-J100)</f>
        <v>0.0199999999999818</v>
      </c>
      <c r="L100" s="38" t="n">
        <v>1836.96</v>
      </c>
      <c r="M100" s="39" t="n">
        <f aca="false">ABS(I100-L100)</f>
        <v>6</v>
      </c>
      <c r="N100" s="24" t="n">
        <f aca="false">M100*H100*Summary!$C$6</f>
        <v>42</v>
      </c>
      <c r="O100" s="37" t="n">
        <v>44735.6302662037</v>
      </c>
      <c r="P100" s="22" t="n">
        <f aca="false">ROUND((O100-C100)*86400,0)</f>
        <v>9419</v>
      </c>
      <c r="Q100" s="22" t="str">
        <f aca="false">IF(P100&lt;10,"a) &lt;10s",IF(P100&lt;60,"b) 10-60s",IF(P100&lt;600,"c) 1-10min","d) &gt;10min")))</f>
        <v>d) &gt;10min</v>
      </c>
      <c r="R100" s="38" t="n">
        <v>1830.44</v>
      </c>
      <c r="S100" s="38" t="n">
        <v>1830.45</v>
      </c>
      <c r="T100" s="22" t="s">
        <v>189</v>
      </c>
      <c r="U100" s="39" t="n">
        <f aca="false">IF(R100="","",IF(F100="BUY",R100-S100,S100-R100))</f>
        <v>0.00999999999999091</v>
      </c>
      <c r="V100" s="39" t="n">
        <f aca="false">IF(F100="BUY",S100-J100,J100-S100)</f>
        <v>0.490000000000009</v>
      </c>
      <c r="W100" s="6" t="n">
        <v>3.43</v>
      </c>
      <c r="X100" s="26" t="n">
        <f aca="false">IFERROR(W100/N100,0)</f>
        <v>0.0816666666666667</v>
      </c>
      <c r="Y100" s="22" t="str">
        <f aca="false">IF(W100&gt;0,"Win",IF(W100&lt;0,"Loss","Flat"))</f>
        <v>Win</v>
      </c>
      <c r="Z100" s="24" t="n">
        <f aca="false">Summary!$C$5+SUM(W$2:W100)</f>
        <v>4490.69</v>
      </c>
      <c r="AA100" s="24" t="n">
        <f aca="false">MAX(AA99,Z100)</f>
        <v>5000</v>
      </c>
      <c r="AB100" s="24" t="n">
        <f aca="false">AA100-Z100</f>
        <v>509.31</v>
      </c>
      <c r="AC100" s="23" t="n">
        <f aca="false">IFERROR(AB100/AA100,0)</f>
        <v>0.101862</v>
      </c>
      <c r="AD100" s="22" t="s">
        <v>337</v>
      </c>
    </row>
    <row r="101" customFormat="false" ht="15" hidden="false" customHeight="false" outlineLevel="0" collapsed="false">
      <c r="A101" s="22" t="n">
        <v>100</v>
      </c>
      <c r="B101" s="22" t="s">
        <v>122</v>
      </c>
      <c r="C101" s="37" t="n">
        <v>44735.8875</v>
      </c>
      <c r="D101" s="22" t="s">
        <v>205</v>
      </c>
      <c r="E101" s="22" t="n">
        <v>21</v>
      </c>
      <c r="F101" s="22" t="s">
        <v>182</v>
      </c>
      <c r="G101" s="22" t="s">
        <v>237</v>
      </c>
      <c r="H101" s="22" t="n">
        <v>0.07</v>
      </c>
      <c r="I101" s="38" t="n">
        <v>1823.29</v>
      </c>
      <c r="J101" s="38" t="n">
        <v>1823.29</v>
      </c>
      <c r="K101" s="39" t="n">
        <f aca="false">IF(F101="BUY",J101-I101,I101-J101)</f>
        <v>0</v>
      </c>
      <c r="L101" s="38" t="n">
        <v>1829.29</v>
      </c>
      <c r="M101" s="39" t="n">
        <f aca="false">ABS(I101-L101)</f>
        <v>6</v>
      </c>
      <c r="N101" s="24" t="n">
        <f aca="false">M101*H101*Summary!$C$6</f>
        <v>42</v>
      </c>
      <c r="O101" s="37" t="n">
        <v>44735.9270833333</v>
      </c>
      <c r="P101" s="22" t="n">
        <f aca="false">ROUND((O101-C101)*86400,0)</f>
        <v>3420</v>
      </c>
      <c r="Q101" s="22" t="str">
        <f aca="false">IF(P101&lt;10,"a) &lt;10s",IF(P101&lt;60,"b) 10-60s",IF(P101&lt;600,"c) 1-10min","d) &gt;10min")))</f>
        <v>d) &gt;10min</v>
      </c>
      <c r="R101" s="38"/>
      <c r="S101" s="38" t="n">
        <v>1826.72</v>
      </c>
      <c r="T101" s="22" t="s">
        <v>191</v>
      </c>
      <c r="U101" s="39" t="str">
        <f aca="false">IF(R101="","",IF(F101="BUY",R101-S101,S101-R101))</f>
        <v/>
      </c>
      <c r="V101" s="39" t="n">
        <f aca="false">IF(F101="BUY",S101-J101,J101-S101)</f>
        <v>-3.43000000000006</v>
      </c>
      <c r="W101" s="6" t="n">
        <v>-24.01</v>
      </c>
      <c r="X101" s="26" t="n">
        <f aca="false">IFERROR(W101/N101,0)</f>
        <v>-0.571666666666667</v>
      </c>
      <c r="Y101" s="22" t="str">
        <f aca="false">IF(W101&gt;0,"Win",IF(W101&lt;0,"Loss","Flat"))</f>
        <v>Loss</v>
      </c>
      <c r="Z101" s="24" t="n">
        <f aca="false">Summary!$C$5+SUM(W$2:W101)</f>
        <v>4466.68</v>
      </c>
      <c r="AA101" s="24" t="n">
        <f aca="false">MAX(AA100,Z101)</f>
        <v>5000</v>
      </c>
      <c r="AB101" s="24" t="n">
        <f aca="false">AA101-Z101</f>
        <v>533.32</v>
      </c>
      <c r="AC101" s="23" t="n">
        <f aca="false">IFERROR(AB101/AA101,0)</f>
        <v>0.106664</v>
      </c>
      <c r="AD101" s="22" t="s">
        <v>338</v>
      </c>
    </row>
    <row r="102" customFormat="false" ht="15" hidden="false" customHeight="false" outlineLevel="0" collapsed="false">
      <c r="A102" s="22" t="n">
        <v>101</v>
      </c>
      <c r="B102" s="22" t="s">
        <v>122</v>
      </c>
      <c r="C102" s="37" t="n">
        <v>44736.1495833333</v>
      </c>
      <c r="D102" s="22" t="s">
        <v>206</v>
      </c>
      <c r="E102" s="22" t="n">
        <v>3</v>
      </c>
      <c r="F102" s="22" t="s">
        <v>182</v>
      </c>
      <c r="G102" s="22" t="s">
        <v>237</v>
      </c>
      <c r="H102" s="22" t="n">
        <v>0.07</v>
      </c>
      <c r="I102" s="38" t="n">
        <v>1822.39</v>
      </c>
      <c r="J102" s="38" t="n">
        <v>1822.36</v>
      </c>
      <c r="K102" s="39" t="n">
        <f aca="false">IF(F102="BUY",J102-I102,I102-J102)</f>
        <v>0.0300000000002001</v>
      </c>
      <c r="L102" s="38" t="n">
        <v>1828.39</v>
      </c>
      <c r="M102" s="39" t="n">
        <f aca="false">ABS(I102-L102)</f>
        <v>6</v>
      </c>
      <c r="N102" s="24" t="n">
        <f aca="false">M102*H102*Summary!$C$6</f>
        <v>42</v>
      </c>
      <c r="O102" s="37" t="n">
        <v>44736.4484375</v>
      </c>
      <c r="P102" s="22" t="n">
        <f aca="false">ROUND((O102-C102)*86400,0)</f>
        <v>25821</v>
      </c>
      <c r="Q102" s="22" t="str">
        <f aca="false">IF(P102&lt;10,"a) &lt;10s",IF(P102&lt;60,"b) 10-60s",IF(P102&lt;600,"c) 1-10min","d) &gt;10min")))</f>
        <v>d) &gt;10min</v>
      </c>
      <c r="R102" s="38" t="n">
        <v>1828.39</v>
      </c>
      <c r="S102" s="38" t="n">
        <v>1828.43</v>
      </c>
      <c r="T102" s="22" t="s">
        <v>188</v>
      </c>
      <c r="U102" s="39" t="n">
        <f aca="false">IF(R102="","",IF(F102="BUY",R102-S102,S102-R102))</f>
        <v>0.0399999999999636</v>
      </c>
      <c r="V102" s="39" t="n">
        <f aca="false">IF(F102="BUY",S102-J102,J102-S102)</f>
        <v>-6.07000000000016</v>
      </c>
      <c r="W102" s="6" t="n">
        <v>-42.49</v>
      </c>
      <c r="X102" s="26" t="n">
        <f aca="false">IFERROR(W102/N102,0)</f>
        <v>-1.01166666666667</v>
      </c>
      <c r="Y102" s="22" t="str">
        <f aca="false">IF(W102&gt;0,"Win",IF(W102&lt;0,"Loss","Flat"))</f>
        <v>Loss</v>
      </c>
      <c r="Z102" s="24" t="n">
        <f aca="false">Summary!$C$5+SUM(W$2:W102)</f>
        <v>4424.19</v>
      </c>
      <c r="AA102" s="24" t="n">
        <f aca="false">MAX(AA101,Z102)</f>
        <v>5000</v>
      </c>
      <c r="AB102" s="24" t="n">
        <f aca="false">AA102-Z102</f>
        <v>575.81</v>
      </c>
      <c r="AC102" s="23" t="n">
        <f aca="false">IFERROR(AB102/AA102,0)</f>
        <v>0.115162</v>
      </c>
      <c r="AD102" s="22" t="s">
        <v>339</v>
      </c>
    </row>
    <row r="103" customFormat="false" ht="15" hidden="false" customHeight="false" outlineLevel="0" collapsed="false">
      <c r="A103" s="22" t="n">
        <v>102</v>
      </c>
      <c r="B103" s="22" t="s">
        <v>122</v>
      </c>
      <c r="C103" s="37" t="n">
        <v>44739.3982291667</v>
      </c>
      <c r="D103" s="22" t="s">
        <v>202</v>
      </c>
      <c r="E103" s="22" t="n">
        <v>9</v>
      </c>
      <c r="F103" s="22" t="s">
        <v>181</v>
      </c>
      <c r="G103" s="22" t="s">
        <v>235</v>
      </c>
      <c r="H103" s="22" t="n">
        <v>0.07</v>
      </c>
      <c r="I103" s="38" t="n">
        <v>1836.78</v>
      </c>
      <c r="J103" s="38" t="n">
        <v>1836.8</v>
      </c>
      <c r="K103" s="39" t="n">
        <f aca="false">IF(F103="BUY",J103-I103,I103-J103)</f>
        <v>0.0199999999999818</v>
      </c>
      <c r="L103" s="38" t="n">
        <v>1830.78</v>
      </c>
      <c r="M103" s="39" t="n">
        <f aca="false">ABS(I103-L103)</f>
        <v>6</v>
      </c>
      <c r="N103" s="24" t="n">
        <f aca="false">M103*H103*Summary!$C$6</f>
        <v>42</v>
      </c>
      <c r="O103" s="37" t="n">
        <v>44739.4366782407</v>
      </c>
      <c r="P103" s="22" t="n">
        <f aca="false">ROUND((O103-C103)*86400,0)</f>
        <v>3322</v>
      </c>
      <c r="Q103" s="22" t="str">
        <f aca="false">IF(P103&lt;10,"a) &lt;10s",IF(P103&lt;60,"b) 10-60s",IF(P103&lt;600,"c) 1-10min","d) &gt;10min")))</f>
        <v>d) &gt;10min</v>
      </c>
      <c r="R103" s="38" t="n">
        <v>1837.3</v>
      </c>
      <c r="S103" s="38" t="n">
        <v>1837.27</v>
      </c>
      <c r="T103" s="22" t="s">
        <v>189</v>
      </c>
      <c r="U103" s="39" t="n">
        <f aca="false">IF(R103="","",IF(F103="BUY",R103-S103,S103-R103))</f>
        <v>0.0299999999999727</v>
      </c>
      <c r="V103" s="39" t="n">
        <f aca="false">IF(F103="BUY",S103-J103,J103-S103)</f>
        <v>0.470000000000027</v>
      </c>
      <c r="W103" s="6" t="n">
        <v>3.29</v>
      </c>
      <c r="X103" s="26" t="n">
        <f aca="false">IFERROR(W103/N103,0)</f>
        <v>0.0783333333333333</v>
      </c>
      <c r="Y103" s="22" t="str">
        <f aca="false">IF(W103&gt;0,"Win",IF(W103&lt;0,"Loss","Flat"))</f>
        <v>Win</v>
      </c>
      <c r="Z103" s="24" t="n">
        <f aca="false">Summary!$C$5+SUM(W$2:W103)</f>
        <v>4427.48</v>
      </c>
      <c r="AA103" s="24" t="n">
        <f aca="false">MAX(AA102,Z103)</f>
        <v>5000</v>
      </c>
      <c r="AB103" s="24" t="n">
        <f aca="false">AA103-Z103</f>
        <v>572.52</v>
      </c>
      <c r="AC103" s="23" t="n">
        <f aca="false">IFERROR(AB103/AA103,0)</f>
        <v>0.114504</v>
      </c>
      <c r="AD103" s="22" t="s">
        <v>340</v>
      </c>
    </row>
    <row r="104" customFormat="false" ht="15" hidden="false" customHeight="false" outlineLevel="0" collapsed="false">
      <c r="A104" s="22" t="n">
        <v>103</v>
      </c>
      <c r="B104" s="22" t="s">
        <v>122</v>
      </c>
      <c r="C104" s="37" t="n">
        <v>44740.3800694444</v>
      </c>
      <c r="D104" s="22" t="s">
        <v>203</v>
      </c>
      <c r="E104" s="22" t="n">
        <v>9</v>
      </c>
      <c r="F104" s="22" t="s">
        <v>181</v>
      </c>
      <c r="G104" s="22" t="s">
        <v>235</v>
      </c>
      <c r="H104" s="22" t="n">
        <v>0.07</v>
      </c>
      <c r="I104" s="38" t="n">
        <v>1826.88</v>
      </c>
      <c r="J104" s="38" t="n">
        <v>1826.89</v>
      </c>
      <c r="K104" s="39" t="n">
        <f aca="false">IF(F104="BUY",J104-I104,I104-J104)</f>
        <v>0.00999999999999091</v>
      </c>
      <c r="L104" s="38" t="n">
        <v>1820.88</v>
      </c>
      <c r="M104" s="39" t="n">
        <f aca="false">ABS(I104-L104)</f>
        <v>6</v>
      </c>
      <c r="N104" s="24" t="n">
        <f aca="false">M104*H104*Summary!$C$6</f>
        <v>42</v>
      </c>
      <c r="O104" s="37" t="n">
        <v>44740.4108680556</v>
      </c>
      <c r="P104" s="22" t="n">
        <f aca="false">ROUND((O104-C104)*86400,0)</f>
        <v>2661</v>
      </c>
      <c r="Q104" s="22" t="str">
        <f aca="false">IF(P104&lt;10,"a) &lt;10s",IF(P104&lt;60,"b) 10-60s",IF(P104&lt;600,"c) 1-10min","d) &gt;10min")))</f>
        <v>d) &gt;10min</v>
      </c>
      <c r="R104" s="38" t="n">
        <v>1827.39</v>
      </c>
      <c r="S104" s="38" t="n">
        <v>1827.35</v>
      </c>
      <c r="T104" s="22" t="s">
        <v>189</v>
      </c>
      <c r="U104" s="39" t="n">
        <f aca="false">IF(R104="","",IF(F104="BUY",R104-S104,S104-R104))</f>
        <v>0.040000000000191</v>
      </c>
      <c r="V104" s="39" t="n">
        <f aca="false">IF(F104="BUY",S104-J104,J104-S104)</f>
        <v>0.459999999999809</v>
      </c>
      <c r="W104" s="6" t="n">
        <v>3.22</v>
      </c>
      <c r="X104" s="26" t="n">
        <f aca="false">IFERROR(W104/N104,0)</f>
        <v>0.0766666666666667</v>
      </c>
      <c r="Y104" s="22" t="str">
        <f aca="false">IF(W104&gt;0,"Win",IF(W104&lt;0,"Loss","Flat"))</f>
        <v>Win</v>
      </c>
      <c r="Z104" s="24" t="n">
        <f aca="false">Summary!$C$5+SUM(W$2:W104)</f>
        <v>4430.7</v>
      </c>
      <c r="AA104" s="24" t="n">
        <f aca="false">MAX(AA103,Z104)</f>
        <v>5000</v>
      </c>
      <c r="AB104" s="24" t="n">
        <f aca="false">AA104-Z104</f>
        <v>569.3</v>
      </c>
      <c r="AC104" s="23" t="n">
        <f aca="false">IFERROR(AB104/AA104,0)</f>
        <v>0.11386</v>
      </c>
      <c r="AD104" s="22" t="s">
        <v>341</v>
      </c>
    </row>
    <row r="105" customFormat="false" ht="15" hidden="false" customHeight="false" outlineLevel="0" collapsed="false">
      <c r="A105" s="22" t="n">
        <v>104</v>
      </c>
      <c r="B105" s="22" t="s">
        <v>122</v>
      </c>
      <c r="C105" s="37" t="n">
        <v>44740.5990509259</v>
      </c>
      <c r="D105" s="22" t="s">
        <v>203</v>
      </c>
      <c r="E105" s="22" t="n">
        <v>14</v>
      </c>
      <c r="F105" s="22" t="s">
        <v>182</v>
      </c>
      <c r="G105" s="22" t="s">
        <v>237</v>
      </c>
      <c r="H105" s="22" t="n">
        <v>0.07</v>
      </c>
      <c r="I105" s="38" t="n">
        <v>1820.68</v>
      </c>
      <c r="J105" s="38" t="n">
        <v>1820.4</v>
      </c>
      <c r="K105" s="39" t="n">
        <f aca="false">IF(F105="BUY",J105-I105,I105-J105)</f>
        <v>0.279999999999973</v>
      </c>
      <c r="L105" s="38" t="n">
        <v>1826.68</v>
      </c>
      <c r="M105" s="39" t="n">
        <f aca="false">ABS(I105-L105)</f>
        <v>6</v>
      </c>
      <c r="N105" s="24" t="n">
        <f aca="false">M105*H105*Summary!$C$6</f>
        <v>42</v>
      </c>
      <c r="O105" s="37" t="n">
        <v>44740.6303472222</v>
      </c>
      <c r="P105" s="22" t="n">
        <f aca="false">ROUND((O105-C105)*86400,0)</f>
        <v>2704</v>
      </c>
      <c r="Q105" s="22" t="str">
        <f aca="false">IF(P105&lt;10,"a) &lt;10s",IF(P105&lt;60,"b) 10-60s",IF(P105&lt;600,"c) 1-10min","d) &gt;10min")))</f>
        <v>d) &gt;10min</v>
      </c>
      <c r="R105" s="38" t="n">
        <v>1826.68</v>
      </c>
      <c r="S105" s="38" t="n">
        <v>1826.77</v>
      </c>
      <c r="T105" s="22" t="s">
        <v>188</v>
      </c>
      <c r="U105" s="39" t="n">
        <f aca="false">IF(R105="","",IF(F105="BUY",R105-S105,S105-R105))</f>
        <v>0.0899999999999182</v>
      </c>
      <c r="V105" s="39" t="n">
        <f aca="false">IF(F105="BUY",S105-J105,J105-S105)</f>
        <v>-6.36999999999989</v>
      </c>
      <c r="W105" s="6" t="n">
        <v>-44.59</v>
      </c>
      <c r="X105" s="26" t="n">
        <f aca="false">IFERROR(W105/N105,0)</f>
        <v>-1.06166666666667</v>
      </c>
      <c r="Y105" s="22" t="str">
        <f aca="false">IF(W105&gt;0,"Win",IF(W105&lt;0,"Loss","Flat"))</f>
        <v>Loss</v>
      </c>
      <c r="Z105" s="24" t="n">
        <f aca="false">Summary!$C$5+SUM(W$2:W105)</f>
        <v>4386.11</v>
      </c>
      <c r="AA105" s="24" t="n">
        <f aca="false">MAX(AA104,Z105)</f>
        <v>5000</v>
      </c>
      <c r="AB105" s="24" t="n">
        <f aca="false">AA105-Z105</f>
        <v>613.89</v>
      </c>
      <c r="AC105" s="23" t="n">
        <f aca="false">IFERROR(AB105/AA105,0)</f>
        <v>0.122778</v>
      </c>
      <c r="AD105" s="22" t="s">
        <v>342</v>
      </c>
    </row>
    <row r="106" customFormat="false" ht="15" hidden="false" customHeight="false" outlineLevel="0" collapsed="false">
      <c r="A106" s="22" t="n">
        <v>105</v>
      </c>
      <c r="B106" s="22" t="s">
        <v>122</v>
      </c>
      <c r="C106" s="37" t="n">
        <v>44741.1046180556</v>
      </c>
      <c r="D106" s="22" t="s">
        <v>204</v>
      </c>
      <c r="E106" s="22" t="n">
        <v>2</v>
      </c>
      <c r="F106" s="22" t="s">
        <v>182</v>
      </c>
      <c r="G106" s="22" t="s">
        <v>237</v>
      </c>
      <c r="H106" s="22" t="n">
        <v>0.07</v>
      </c>
      <c r="I106" s="38" t="n">
        <v>1818.27</v>
      </c>
      <c r="J106" s="38" t="n">
        <v>1818.26</v>
      </c>
      <c r="K106" s="39" t="n">
        <f aca="false">IF(F106="BUY",J106-I106,I106-J106)</f>
        <v>0.00999999999999091</v>
      </c>
      <c r="L106" s="38" t="n">
        <v>1824.27</v>
      </c>
      <c r="M106" s="39" t="n">
        <f aca="false">ABS(I106-L106)</f>
        <v>6</v>
      </c>
      <c r="N106" s="24" t="n">
        <f aca="false">M106*H106*Summary!$C$6</f>
        <v>42</v>
      </c>
      <c r="O106" s="37" t="n">
        <v>44741.4094097222</v>
      </c>
      <c r="P106" s="22" t="n">
        <f aca="false">ROUND((O106-C106)*86400,0)</f>
        <v>26334</v>
      </c>
      <c r="Q106" s="22" t="str">
        <f aca="false">IF(P106&lt;10,"a) &lt;10s",IF(P106&lt;60,"b) 10-60s",IF(P106&lt;600,"c) 1-10min","d) &gt;10min")))</f>
        <v>d) &gt;10min</v>
      </c>
      <c r="R106" s="38" t="n">
        <v>1817.76</v>
      </c>
      <c r="S106" s="38" t="n">
        <v>1817.78</v>
      </c>
      <c r="T106" s="22" t="s">
        <v>189</v>
      </c>
      <c r="U106" s="39" t="n">
        <f aca="false">IF(R106="","",IF(F106="BUY",R106-S106,S106-R106))</f>
        <v>0.0199999999999818</v>
      </c>
      <c r="V106" s="39" t="n">
        <f aca="false">IF(F106="BUY",S106-J106,J106-S106)</f>
        <v>0.480000000000018</v>
      </c>
      <c r="W106" s="6" t="n">
        <v>3.36</v>
      </c>
      <c r="X106" s="26" t="n">
        <f aca="false">IFERROR(W106/N106,0)</f>
        <v>0.08</v>
      </c>
      <c r="Y106" s="22" t="str">
        <f aca="false">IF(W106&gt;0,"Win",IF(W106&lt;0,"Loss","Flat"))</f>
        <v>Win</v>
      </c>
      <c r="Z106" s="24" t="n">
        <f aca="false">Summary!$C$5+SUM(W$2:W106)</f>
        <v>4389.47</v>
      </c>
      <c r="AA106" s="24" t="n">
        <f aca="false">MAX(AA105,Z106)</f>
        <v>5000</v>
      </c>
      <c r="AB106" s="24" t="n">
        <f aca="false">AA106-Z106</f>
        <v>610.53</v>
      </c>
      <c r="AC106" s="23" t="n">
        <f aca="false">IFERROR(AB106/AA106,0)</f>
        <v>0.122106</v>
      </c>
      <c r="AD106" s="22" t="s">
        <v>343</v>
      </c>
    </row>
    <row r="107" customFormat="false" ht="15" hidden="false" customHeight="false" outlineLevel="0" collapsed="false">
      <c r="A107" s="22" t="n">
        <v>106</v>
      </c>
      <c r="B107" s="22" t="s">
        <v>122</v>
      </c>
      <c r="C107" s="37" t="n">
        <v>44741.568275463</v>
      </c>
      <c r="D107" s="22" t="s">
        <v>204</v>
      </c>
      <c r="E107" s="22" t="n">
        <v>13</v>
      </c>
      <c r="F107" s="22" t="s">
        <v>181</v>
      </c>
      <c r="G107" s="22" t="s">
        <v>235</v>
      </c>
      <c r="H107" s="22" t="n">
        <v>0.07</v>
      </c>
      <c r="I107" s="38" t="n">
        <v>1822.28</v>
      </c>
      <c r="J107" s="38" t="n">
        <v>1822.54</v>
      </c>
      <c r="K107" s="39" t="n">
        <f aca="false">IF(F107="BUY",J107-I107,I107-J107)</f>
        <v>0.259999999999991</v>
      </c>
      <c r="L107" s="38" t="n">
        <v>1816.28</v>
      </c>
      <c r="M107" s="39" t="n">
        <f aca="false">ABS(I107-L107)</f>
        <v>6</v>
      </c>
      <c r="N107" s="24" t="n">
        <f aca="false">M107*H107*Summary!$C$6</f>
        <v>42</v>
      </c>
      <c r="O107" s="37" t="n">
        <v>44741.6974305556</v>
      </c>
      <c r="P107" s="22" t="n">
        <f aca="false">ROUND((O107-C107)*86400,0)</f>
        <v>11159</v>
      </c>
      <c r="Q107" s="22" t="str">
        <f aca="false">IF(P107&lt;10,"a) &lt;10s",IF(P107&lt;60,"b) 10-60s",IF(P107&lt;600,"c) 1-10min","d) &gt;10min")))</f>
        <v>d) &gt;10min</v>
      </c>
      <c r="R107" s="38" t="n">
        <v>1823.04</v>
      </c>
      <c r="S107" s="38" t="n">
        <v>1822.7</v>
      </c>
      <c r="T107" s="22" t="s">
        <v>189</v>
      </c>
      <c r="U107" s="39" t="n">
        <f aca="false">IF(R107="","",IF(F107="BUY",R107-S107,S107-R107))</f>
        <v>0.339999999999918</v>
      </c>
      <c r="V107" s="39" t="n">
        <f aca="false">IF(F107="BUY",S107-J107,J107-S107)</f>
        <v>0.160000000000082</v>
      </c>
      <c r="W107" s="6" t="n">
        <v>1.12</v>
      </c>
      <c r="X107" s="26" t="n">
        <f aca="false">IFERROR(W107/N107,0)</f>
        <v>0.0266666666666667</v>
      </c>
      <c r="Y107" s="22" t="str">
        <f aca="false">IF(W107&gt;0,"Win",IF(W107&lt;0,"Loss","Flat"))</f>
        <v>Win</v>
      </c>
      <c r="Z107" s="24" t="n">
        <f aca="false">Summary!$C$5+SUM(W$2:W107)</f>
        <v>4390.59</v>
      </c>
      <c r="AA107" s="24" t="n">
        <f aca="false">MAX(AA106,Z107)</f>
        <v>5000</v>
      </c>
      <c r="AB107" s="24" t="n">
        <f aca="false">AA107-Z107</f>
        <v>609.41</v>
      </c>
      <c r="AC107" s="23" t="n">
        <f aca="false">IFERROR(AB107/AA107,0)</f>
        <v>0.121882</v>
      </c>
      <c r="AD107" s="22" t="s">
        <v>344</v>
      </c>
    </row>
    <row r="108" customFormat="false" ht="15" hidden="false" customHeight="false" outlineLevel="0" collapsed="false">
      <c r="A108" s="22" t="n">
        <v>107</v>
      </c>
      <c r="B108" s="22" t="s">
        <v>122</v>
      </c>
      <c r="C108" s="37" t="n">
        <v>44742.3813078704</v>
      </c>
      <c r="D108" s="22" t="s">
        <v>205</v>
      </c>
      <c r="E108" s="22" t="n">
        <v>9</v>
      </c>
      <c r="F108" s="22" t="s">
        <v>181</v>
      </c>
      <c r="G108" s="22" t="s">
        <v>235</v>
      </c>
      <c r="H108" s="22" t="n">
        <v>0.07</v>
      </c>
      <c r="I108" s="38" t="n">
        <v>1817.25</v>
      </c>
      <c r="J108" s="38" t="n">
        <v>1817.26</v>
      </c>
      <c r="K108" s="39" t="n">
        <f aca="false">IF(F108="BUY",J108-I108,I108-J108)</f>
        <v>0.00999999999999091</v>
      </c>
      <c r="L108" s="38" t="n">
        <v>1811.25</v>
      </c>
      <c r="M108" s="39" t="n">
        <f aca="false">ABS(I108-L108)</f>
        <v>6</v>
      </c>
      <c r="N108" s="24" t="n">
        <f aca="false">M108*H108*Summary!$C$6</f>
        <v>42</v>
      </c>
      <c r="O108" s="37" t="n">
        <v>44742.5312847222</v>
      </c>
      <c r="P108" s="22" t="n">
        <f aca="false">ROUND((O108-C108)*86400,0)</f>
        <v>12958</v>
      </c>
      <c r="Q108" s="22" t="str">
        <f aca="false">IF(P108&lt;10,"a) &lt;10s",IF(P108&lt;60,"b) 10-60s",IF(P108&lt;600,"c) 1-10min","d) &gt;10min")))</f>
        <v>d) &gt;10min</v>
      </c>
      <c r="R108" s="38" t="n">
        <v>1811.25</v>
      </c>
      <c r="S108" s="38" t="n">
        <v>1810.97</v>
      </c>
      <c r="T108" s="22" t="s">
        <v>188</v>
      </c>
      <c r="U108" s="39" t="n">
        <f aca="false">IF(R108="","",IF(F108="BUY",R108-S108,S108-R108))</f>
        <v>0.279999999999973</v>
      </c>
      <c r="V108" s="39" t="n">
        <f aca="false">IF(F108="BUY",S108-J108,J108-S108)</f>
        <v>-6.28999999999996</v>
      </c>
      <c r="W108" s="6" t="n">
        <v>-44.03</v>
      </c>
      <c r="X108" s="26" t="n">
        <f aca="false">IFERROR(W108/N108,0)</f>
        <v>-1.04833333333333</v>
      </c>
      <c r="Y108" s="22" t="str">
        <f aca="false">IF(W108&gt;0,"Win",IF(W108&lt;0,"Loss","Flat"))</f>
        <v>Loss</v>
      </c>
      <c r="Z108" s="24" t="n">
        <f aca="false">Summary!$C$5+SUM(W$2:W108)</f>
        <v>4346.56</v>
      </c>
      <c r="AA108" s="24" t="n">
        <f aca="false">MAX(AA107,Z108)</f>
        <v>5000</v>
      </c>
      <c r="AB108" s="24" t="n">
        <f aca="false">AA108-Z108</f>
        <v>653.44</v>
      </c>
      <c r="AC108" s="23" t="n">
        <f aca="false">IFERROR(AB108/AA108,0)</f>
        <v>0.130688</v>
      </c>
      <c r="AD108" s="22" t="s">
        <v>345</v>
      </c>
    </row>
    <row r="109" customFormat="false" ht="15" hidden="false" customHeight="false" outlineLevel="0" collapsed="false">
      <c r="A109" s="22" t="n">
        <v>108</v>
      </c>
      <c r="B109" s="22" t="s">
        <v>123</v>
      </c>
      <c r="C109" s="37" t="n">
        <v>44743.2801388889</v>
      </c>
      <c r="D109" s="22" t="s">
        <v>206</v>
      </c>
      <c r="E109" s="22" t="n">
        <v>6</v>
      </c>
      <c r="F109" s="22" t="s">
        <v>182</v>
      </c>
      <c r="G109" s="22" t="s">
        <v>237</v>
      </c>
      <c r="H109" s="22" t="n">
        <v>0.07</v>
      </c>
      <c r="I109" s="38" t="n">
        <v>1802.62</v>
      </c>
      <c r="J109" s="38" t="n">
        <v>1802.55</v>
      </c>
      <c r="K109" s="39" t="n">
        <f aca="false">IF(F109="BUY",J109-I109,I109-J109)</f>
        <v>0.0699999999999363</v>
      </c>
      <c r="L109" s="38" t="n">
        <v>1808.62</v>
      </c>
      <c r="M109" s="39" t="n">
        <f aca="false">ABS(I109-L109)</f>
        <v>6</v>
      </c>
      <c r="N109" s="24" t="n">
        <f aca="false">M109*H109*Summary!$C$6</f>
        <v>42</v>
      </c>
      <c r="O109" s="37" t="n">
        <v>44743.7190972222</v>
      </c>
      <c r="P109" s="22" t="n">
        <f aca="false">ROUND((O109-C109)*86400,0)</f>
        <v>37926</v>
      </c>
      <c r="Q109" s="22" t="str">
        <f aca="false">IF(P109&lt;10,"a) &lt;10s",IF(P109&lt;60,"b) 10-60s",IF(P109&lt;600,"c) 1-10min","d) &gt;10min")))</f>
        <v>d) &gt;10min</v>
      </c>
      <c r="R109" s="38" t="n">
        <v>1802.05</v>
      </c>
      <c r="S109" s="38" t="n">
        <v>1802.12</v>
      </c>
      <c r="T109" s="22" t="s">
        <v>189</v>
      </c>
      <c r="U109" s="39" t="n">
        <f aca="false">IF(R109="","",IF(F109="BUY",R109-S109,S109-R109))</f>
        <v>0.0699999999999363</v>
      </c>
      <c r="V109" s="39" t="n">
        <f aca="false">IF(F109="BUY",S109-J109,J109-S109)</f>
        <v>0.430000000000064</v>
      </c>
      <c r="W109" s="6" t="n">
        <v>3.01</v>
      </c>
      <c r="X109" s="26" t="n">
        <f aca="false">IFERROR(W109/N109,0)</f>
        <v>0.0716666666666667</v>
      </c>
      <c r="Y109" s="22" t="str">
        <f aca="false">IF(W109&gt;0,"Win",IF(W109&lt;0,"Loss","Flat"))</f>
        <v>Win</v>
      </c>
      <c r="Z109" s="24" t="n">
        <f aca="false">Summary!$C$5+SUM(W$2:W109)</f>
        <v>4349.57</v>
      </c>
      <c r="AA109" s="24" t="n">
        <f aca="false">MAX(AA108,Z109)</f>
        <v>5000</v>
      </c>
      <c r="AB109" s="24" t="n">
        <f aca="false">AA109-Z109</f>
        <v>650.43</v>
      </c>
      <c r="AC109" s="23" t="n">
        <f aca="false">IFERROR(AB109/AA109,0)</f>
        <v>0.130086</v>
      </c>
      <c r="AD109" s="22" t="s">
        <v>346</v>
      </c>
    </row>
    <row r="110" customFormat="false" ht="15" hidden="false" customHeight="false" outlineLevel="0" collapsed="false">
      <c r="A110" s="22" t="n">
        <v>109</v>
      </c>
      <c r="B110" s="22" t="s">
        <v>123</v>
      </c>
      <c r="C110" s="37" t="n">
        <v>44743.720150463</v>
      </c>
      <c r="D110" s="22" t="s">
        <v>206</v>
      </c>
      <c r="E110" s="22" t="n">
        <v>17</v>
      </c>
      <c r="F110" s="22" t="s">
        <v>181</v>
      </c>
      <c r="G110" s="22" t="s">
        <v>235</v>
      </c>
      <c r="H110" s="22" t="n">
        <v>0.07</v>
      </c>
      <c r="I110" s="38" t="n">
        <v>1803</v>
      </c>
      <c r="J110" s="38" t="n">
        <v>1803</v>
      </c>
      <c r="K110" s="39" t="n">
        <f aca="false">IF(F110="BUY",J110-I110,I110-J110)</f>
        <v>0</v>
      </c>
      <c r="L110" s="38" t="n">
        <v>1797</v>
      </c>
      <c r="M110" s="39" t="n">
        <f aca="false">ABS(I110-L110)</f>
        <v>6</v>
      </c>
      <c r="N110" s="24" t="n">
        <f aca="false">M110*H110*Summary!$C$6</f>
        <v>42</v>
      </c>
      <c r="O110" s="37" t="n">
        <v>44743.8032986111</v>
      </c>
      <c r="P110" s="22" t="n">
        <f aca="false">ROUND((O110-C110)*86400,0)</f>
        <v>7184</v>
      </c>
      <c r="Q110" s="22" t="str">
        <f aca="false">IF(P110&lt;10,"a) &lt;10s",IF(P110&lt;60,"b) 10-60s",IF(P110&lt;600,"c) 1-10min","d) &gt;10min")))</f>
        <v>d) &gt;10min</v>
      </c>
      <c r="R110" s="38" t="n">
        <v>1803.5</v>
      </c>
      <c r="S110" s="38" t="n">
        <v>1803.46</v>
      </c>
      <c r="T110" s="22" t="s">
        <v>189</v>
      </c>
      <c r="U110" s="39" t="n">
        <f aca="false">IF(R110="","",IF(F110="BUY",R110-S110,S110-R110))</f>
        <v>0.0399999999999636</v>
      </c>
      <c r="V110" s="39" t="n">
        <f aca="false">IF(F110="BUY",S110-J110,J110-S110)</f>
        <v>0.460000000000036</v>
      </c>
      <c r="W110" s="6" t="n">
        <v>3.22</v>
      </c>
      <c r="X110" s="26" t="n">
        <f aca="false">IFERROR(W110/N110,0)</f>
        <v>0.0766666666666667</v>
      </c>
      <c r="Y110" s="22" t="str">
        <f aca="false">IF(W110&gt;0,"Win",IF(W110&lt;0,"Loss","Flat"))</f>
        <v>Win</v>
      </c>
      <c r="Z110" s="24" t="n">
        <f aca="false">Summary!$C$5+SUM(W$2:W110)</f>
        <v>4352.79</v>
      </c>
      <c r="AA110" s="24" t="n">
        <f aca="false">MAX(AA109,Z110)</f>
        <v>5000</v>
      </c>
      <c r="AB110" s="24" t="n">
        <f aca="false">AA110-Z110</f>
        <v>647.21</v>
      </c>
      <c r="AC110" s="23" t="n">
        <f aca="false">IFERROR(AB110/AA110,0)</f>
        <v>0.129442</v>
      </c>
      <c r="AD110" s="22" t="s">
        <v>347</v>
      </c>
    </row>
    <row r="111" customFormat="false" ht="15" hidden="false" customHeight="false" outlineLevel="0" collapsed="false">
      <c r="A111" s="22" t="n">
        <v>110</v>
      </c>
      <c r="B111" s="22" t="s">
        <v>123</v>
      </c>
      <c r="C111" s="37" t="n">
        <v>44746.397037037</v>
      </c>
      <c r="D111" s="22" t="s">
        <v>202</v>
      </c>
      <c r="E111" s="22" t="n">
        <v>9</v>
      </c>
      <c r="F111" s="22" t="s">
        <v>182</v>
      </c>
      <c r="G111" s="22" t="s">
        <v>241</v>
      </c>
      <c r="H111" s="22" t="n">
        <v>0.07</v>
      </c>
      <c r="I111" s="38" t="n">
        <v>1810.6</v>
      </c>
      <c r="J111" s="38" t="n">
        <v>1810.51</v>
      </c>
      <c r="K111" s="39" t="n">
        <f aca="false">IF(F111="BUY",J111-I111,I111-J111)</f>
        <v>0.0899999999999182</v>
      </c>
      <c r="L111" s="38" t="n">
        <v>1816.6</v>
      </c>
      <c r="M111" s="39" t="n">
        <f aca="false">ABS(I111-L111)</f>
        <v>6</v>
      </c>
      <c r="N111" s="24" t="n">
        <f aca="false">M111*H111*Summary!$C$6</f>
        <v>42</v>
      </c>
      <c r="O111" s="37" t="n">
        <v>44746.7231134259</v>
      </c>
      <c r="P111" s="22" t="n">
        <f aca="false">ROUND((O111-C111)*86400,0)</f>
        <v>28173</v>
      </c>
      <c r="Q111" s="22" t="str">
        <f aca="false">IF(P111&lt;10,"a) &lt;10s",IF(P111&lt;60,"b) 10-60s",IF(P111&lt;600,"c) 1-10min","d) &gt;10min")))</f>
        <v>d) &gt;10min</v>
      </c>
      <c r="R111" s="38" t="n">
        <v>1810.01</v>
      </c>
      <c r="S111" s="38" t="n">
        <v>1810.04</v>
      </c>
      <c r="T111" s="22" t="s">
        <v>189</v>
      </c>
      <c r="U111" s="39" t="n">
        <f aca="false">IF(R111="","",IF(F111="BUY",R111-S111,S111-R111))</f>
        <v>0.0299999999999727</v>
      </c>
      <c r="V111" s="39" t="n">
        <f aca="false">IF(F111="BUY",S111-J111,J111-S111)</f>
        <v>0.470000000000027</v>
      </c>
      <c r="W111" s="6" t="n">
        <v>3.29</v>
      </c>
      <c r="X111" s="26" t="n">
        <f aca="false">IFERROR(W111/N111,0)</f>
        <v>0.0783333333333333</v>
      </c>
      <c r="Y111" s="22" t="str">
        <f aca="false">IF(W111&gt;0,"Win",IF(W111&lt;0,"Loss","Flat"))</f>
        <v>Win</v>
      </c>
      <c r="Z111" s="24" t="n">
        <f aca="false">Summary!$C$5+SUM(W$2:W111)</f>
        <v>4356.08</v>
      </c>
      <c r="AA111" s="24" t="n">
        <f aca="false">MAX(AA110,Z111)</f>
        <v>5000</v>
      </c>
      <c r="AB111" s="24" t="n">
        <f aca="false">AA111-Z111</f>
        <v>643.92</v>
      </c>
      <c r="AC111" s="23" t="n">
        <f aca="false">IFERROR(AB111/AA111,0)</f>
        <v>0.128784</v>
      </c>
      <c r="AD111" s="22" t="s">
        <v>348</v>
      </c>
    </row>
    <row r="112" customFormat="false" ht="15" hidden="false" customHeight="false" outlineLevel="0" collapsed="false">
      <c r="A112" s="22" t="n">
        <v>111</v>
      </c>
      <c r="B112" s="22" t="s">
        <v>123</v>
      </c>
      <c r="C112" s="37" t="n">
        <v>44747.388912037</v>
      </c>
      <c r="D112" s="22" t="s">
        <v>203</v>
      </c>
      <c r="E112" s="22" t="n">
        <v>9</v>
      </c>
      <c r="F112" s="22" t="s">
        <v>182</v>
      </c>
      <c r="G112" s="22" t="s">
        <v>241</v>
      </c>
      <c r="H112" s="22" t="n">
        <v>0.07</v>
      </c>
      <c r="I112" s="38" t="n">
        <v>1810.1</v>
      </c>
      <c r="J112" s="38" t="n">
        <v>1810.1</v>
      </c>
      <c r="K112" s="39" t="n">
        <f aca="false">IF(F112="BUY",J112-I112,I112-J112)</f>
        <v>0</v>
      </c>
      <c r="L112" s="38" t="n">
        <v>1816.1</v>
      </c>
      <c r="M112" s="39" t="n">
        <f aca="false">ABS(I112-L112)</f>
        <v>6</v>
      </c>
      <c r="N112" s="24" t="n">
        <f aca="false">M112*H112*Summary!$C$6</f>
        <v>42</v>
      </c>
      <c r="O112" s="37" t="n">
        <v>44747.7085300926</v>
      </c>
      <c r="P112" s="22" t="n">
        <f aca="false">ROUND((O112-C112)*86400,0)</f>
        <v>27615</v>
      </c>
      <c r="Q112" s="22" t="str">
        <f aca="false">IF(P112&lt;10,"a) &lt;10s",IF(P112&lt;60,"b) 10-60s",IF(P112&lt;600,"c) 1-10min","d) &gt;10min")))</f>
        <v>d) &gt;10min</v>
      </c>
      <c r="R112" s="38"/>
      <c r="S112" s="38" t="n">
        <v>1778.43</v>
      </c>
      <c r="T112" s="22" t="s">
        <v>187</v>
      </c>
      <c r="U112" s="39" t="str">
        <f aca="false">IF(R112="","",IF(F112="BUY",R112-S112,S112-R112))</f>
        <v/>
      </c>
      <c r="V112" s="39" t="n">
        <f aca="false">IF(F112="BUY",S112-J112,J112-S112)</f>
        <v>31.6699999999998</v>
      </c>
      <c r="W112" s="6" t="n">
        <v>221.69</v>
      </c>
      <c r="X112" s="26" t="n">
        <f aca="false">IFERROR(W112/N112,0)</f>
        <v>5.27833333333333</v>
      </c>
      <c r="Y112" s="22" t="str">
        <f aca="false">IF(W112&gt;0,"Win",IF(W112&lt;0,"Loss","Flat"))</f>
        <v>Win</v>
      </c>
      <c r="Z112" s="24" t="n">
        <f aca="false">Summary!$C$5+SUM(W$2:W112)</f>
        <v>4577.77</v>
      </c>
      <c r="AA112" s="24" t="n">
        <f aca="false">MAX(AA111,Z112)</f>
        <v>5000</v>
      </c>
      <c r="AB112" s="24" t="n">
        <f aca="false">AA112-Z112</f>
        <v>422.23</v>
      </c>
      <c r="AC112" s="23" t="n">
        <f aca="false">IFERROR(AB112/AA112,0)</f>
        <v>0.0844459999999999</v>
      </c>
      <c r="AD112" s="22" t="s">
        <v>349</v>
      </c>
    </row>
    <row r="113" customFormat="false" ht="15" hidden="false" customHeight="false" outlineLevel="0" collapsed="false">
      <c r="A113" s="22" t="n">
        <v>112</v>
      </c>
      <c r="B113" s="22" t="s">
        <v>123</v>
      </c>
      <c r="C113" s="37" t="n">
        <v>44748.3604861111</v>
      </c>
      <c r="D113" s="22" t="s">
        <v>204</v>
      </c>
      <c r="E113" s="22" t="n">
        <v>8</v>
      </c>
      <c r="F113" s="22" t="s">
        <v>182</v>
      </c>
      <c r="G113" s="22" t="s">
        <v>237</v>
      </c>
      <c r="H113" s="22" t="n">
        <v>0.07</v>
      </c>
      <c r="I113" s="38" t="n">
        <v>1763.75</v>
      </c>
      <c r="J113" s="38" t="n">
        <v>1763.69</v>
      </c>
      <c r="K113" s="39" t="n">
        <f aca="false">IF(F113="BUY",J113-I113,I113-J113)</f>
        <v>0.0599999999999454</v>
      </c>
      <c r="L113" s="38" t="n">
        <v>1769.75</v>
      </c>
      <c r="M113" s="39" t="n">
        <f aca="false">ABS(I113-L113)</f>
        <v>6</v>
      </c>
      <c r="N113" s="24" t="n">
        <f aca="false">M113*H113*Summary!$C$6</f>
        <v>42</v>
      </c>
      <c r="O113" s="37" t="n">
        <v>44748.4088194444</v>
      </c>
      <c r="P113" s="22" t="n">
        <f aca="false">ROUND((O113-C113)*86400,0)</f>
        <v>4176</v>
      </c>
      <c r="Q113" s="22" t="str">
        <f aca="false">IF(P113&lt;10,"a) &lt;10s",IF(P113&lt;60,"b) 10-60s",IF(P113&lt;600,"c) 1-10min","d) &gt;10min")))</f>
        <v>d) &gt;10min</v>
      </c>
      <c r="R113" s="38" t="n">
        <v>1769.75</v>
      </c>
      <c r="S113" s="38" t="n">
        <v>1769.77</v>
      </c>
      <c r="T113" s="22" t="s">
        <v>188</v>
      </c>
      <c r="U113" s="39" t="n">
        <f aca="false">IF(R113="","",IF(F113="BUY",R113-S113,S113-R113))</f>
        <v>0.0199999999999818</v>
      </c>
      <c r="V113" s="39" t="n">
        <f aca="false">IF(F113="BUY",S113-J113,J113-S113)</f>
        <v>-6.07999999999993</v>
      </c>
      <c r="W113" s="6" t="n">
        <v>-42.56</v>
      </c>
      <c r="X113" s="26" t="n">
        <f aca="false">IFERROR(W113/N113,0)</f>
        <v>-1.01333333333333</v>
      </c>
      <c r="Y113" s="22" t="str">
        <f aca="false">IF(W113&gt;0,"Win",IF(W113&lt;0,"Loss","Flat"))</f>
        <v>Loss</v>
      </c>
      <c r="Z113" s="24" t="n">
        <f aca="false">Summary!$C$5+SUM(W$2:W113)</f>
        <v>4535.21</v>
      </c>
      <c r="AA113" s="24" t="n">
        <f aca="false">MAX(AA112,Z113)</f>
        <v>5000</v>
      </c>
      <c r="AB113" s="24" t="n">
        <f aca="false">AA113-Z113</f>
        <v>464.79</v>
      </c>
      <c r="AC113" s="23" t="n">
        <f aca="false">IFERROR(AB113/AA113,0)</f>
        <v>0.092958</v>
      </c>
      <c r="AD113" s="22" t="s">
        <v>350</v>
      </c>
    </row>
    <row r="114" customFormat="false" ht="15" hidden="false" customHeight="false" outlineLevel="0" collapsed="false">
      <c r="A114" s="22" t="n">
        <v>113</v>
      </c>
      <c r="B114" s="22" t="s">
        <v>123</v>
      </c>
      <c r="C114" s="37" t="n">
        <v>44748.5473148148</v>
      </c>
      <c r="D114" s="22" t="s">
        <v>204</v>
      </c>
      <c r="E114" s="22" t="n">
        <v>13</v>
      </c>
      <c r="F114" s="22" t="s">
        <v>182</v>
      </c>
      <c r="G114" s="22" t="s">
        <v>241</v>
      </c>
      <c r="H114" s="22" t="n">
        <v>0.07</v>
      </c>
      <c r="I114" s="38" t="n">
        <v>1763</v>
      </c>
      <c r="J114" s="38" t="n">
        <v>1763</v>
      </c>
      <c r="K114" s="39" t="n">
        <f aca="false">IF(F114="BUY",J114-I114,I114-J114)</f>
        <v>0</v>
      </c>
      <c r="L114" s="38" t="n">
        <v>1769</v>
      </c>
      <c r="M114" s="39" t="n">
        <f aca="false">ABS(I114-L114)</f>
        <v>6</v>
      </c>
      <c r="N114" s="24" t="n">
        <f aca="false">M114*H114*Summary!$C$6</f>
        <v>42</v>
      </c>
      <c r="O114" s="37" t="n">
        <v>44748.562037037</v>
      </c>
      <c r="P114" s="22" t="n">
        <f aca="false">ROUND((O114-C114)*86400,0)</f>
        <v>1272</v>
      </c>
      <c r="Q114" s="22" t="str">
        <f aca="false">IF(P114&lt;10,"a) &lt;10s",IF(P114&lt;60,"b) 10-60s",IF(P114&lt;600,"c) 1-10min","d) &gt;10min")))</f>
        <v>d) &gt;10min</v>
      </c>
      <c r="R114" s="38" t="n">
        <v>1762.5</v>
      </c>
      <c r="S114" s="38" t="n">
        <v>1762.52</v>
      </c>
      <c r="T114" s="22" t="s">
        <v>189</v>
      </c>
      <c r="U114" s="39" t="n">
        <f aca="false">IF(R114="","",IF(F114="BUY",R114-S114,S114-R114))</f>
        <v>0.0199999999999818</v>
      </c>
      <c r="V114" s="39" t="n">
        <f aca="false">IF(F114="BUY",S114-J114,J114-S114)</f>
        <v>0.480000000000018</v>
      </c>
      <c r="W114" s="6" t="n">
        <v>3.36</v>
      </c>
      <c r="X114" s="26" t="n">
        <f aca="false">IFERROR(W114/N114,0)</f>
        <v>0.08</v>
      </c>
      <c r="Y114" s="22" t="str">
        <f aca="false">IF(W114&gt;0,"Win",IF(W114&lt;0,"Loss","Flat"))</f>
        <v>Win</v>
      </c>
      <c r="Z114" s="24" t="n">
        <f aca="false">Summary!$C$5+SUM(W$2:W114)</f>
        <v>4538.57</v>
      </c>
      <c r="AA114" s="24" t="n">
        <f aca="false">MAX(AA113,Z114)</f>
        <v>5000</v>
      </c>
      <c r="AB114" s="24" t="n">
        <f aca="false">AA114-Z114</f>
        <v>461.43</v>
      </c>
      <c r="AC114" s="23" t="n">
        <f aca="false">IFERROR(AB114/AA114,0)</f>
        <v>0.0922860000000001</v>
      </c>
      <c r="AD114" s="22" t="s">
        <v>351</v>
      </c>
    </row>
    <row r="115" customFormat="false" ht="15" hidden="false" customHeight="false" outlineLevel="0" collapsed="false">
      <c r="A115" s="22" t="n">
        <v>114</v>
      </c>
      <c r="B115" s="22" t="s">
        <v>123</v>
      </c>
      <c r="C115" s="37" t="n">
        <v>44749.4141898148</v>
      </c>
      <c r="D115" s="22" t="s">
        <v>205</v>
      </c>
      <c r="E115" s="22" t="n">
        <v>9</v>
      </c>
      <c r="F115" s="22" t="s">
        <v>182</v>
      </c>
      <c r="G115" s="22" t="s">
        <v>241</v>
      </c>
      <c r="H115" s="22" t="n">
        <v>0.07</v>
      </c>
      <c r="I115" s="38" t="n">
        <v>1743.92</v>
      </c>
      <c r="J115" s="38" t="n">
        <v>1743.9</v>
      </c>
      <c r="K115" s="39" t="n">
        <f aca="false">IF(F115="BUY",J115-I115,I115-J115)</f>
        <v>0.0199999999999818</v>
      </c>
      <c r="L115" s="38" t="n">
        <v>1749.92</v>
      </c>
      <c r="M115" s="39" t="n">
        <f aca="false">ABS(I115-L115)</f>
        <v>6</v>
      </c>
      <c r="N115" s="24" t="n">
        <f aca="false">M115*H115*Summary!$C$6</f>
        <v>42</v>
      </c>
      <c r="O115" s="37" t="n">
        <v>44749.4398263889</v>
      </c>
      <c r="P115" s="22" t="n">
        <f aca="false">ROUND((O115-C115)*86400,0)</f>
        <v>2215</v>
      </c>
      <c r="Q115" s="22" t="str">
        <f aca="false">IF(P115&lt;10,"a) &lt;10s",IF(P115&lt;60,"b) 10-60s",IF(P115&lt;600,"c) 1-10min","d) &gt;10min")))</f>
        <v>d) &gt;10min</v>
      </c>
      <c r="R115" s="38" t="n">
        <v>1743.4</v>
      </c>
      <c r="S115" s="38" t="n">
        <v>1743.42</v>
      </c>
      <c r="T115" s="22" t="s">
        <v>189</v>
      </c>
      <c r="U115" s="39" t="n">
        <f aca="false">IF(R115="","",IF(F115="BUY",R115-S115,S115-R115))</f>
        <v>0.0199999999999818</v>
      </c>
      <c r="V115" s="39" t="n">
        <f aca="false">IF(F115="BUY",S115-J115,J115-S115)</f>
        <v>0.480000000000018</v>
      </c>
      <c r="W115" s="6" t="n">
        <v>3.36</v>
      </c>
      <c r="X115" s="26" t="n">
        <f aca="false">IFERROR(W115/N115,0)</f>
        <v>0.08</v>
      </c>
      <c r="Y115" s="22" t="str">
        <f aca="false">IF(W115&gt;0,"Win",IF(W115&lt;0,"Loss","Flat"))</f>
        <v>Win</v>
      </c>
      <c r="Z115" s="24" t="n">
        <f aca="false">Summary!$C$5+SUM(W$2:W115)</f>
        <v>4541.93</v>
      </c>
      <c r="AA115" s="24" t="n">
        <f aca="false">MAX(AA114,Z115)</f>
        <v>5000</v>
      </c>
      <c r="AB115" s="24" t="n">
        <f aca="false">AA115-Z115</f>
        <v>458.07</v>
      </c>
      <c r="AC115" s="23" t="n">
        <f aca="false">IFERROR(AB115/AA115,0)</f>
        <v>0.091614</v>
      </c>
      <c r="AD115" s="22" t="s">
        <v>352</v>
      </c>
    </row>
    <row r="116" customFormat="false" ht="15" hidden="false" customHeight="false" outlineLevel="0" collapsed="false">
      <c r="A116" s="22" t="n">
        <v>115</v>
      </c>
      <c r="B116" s="22" t="s">
        <v>123</v>
      </c>
      <c r="C116" s="37" t="n">
        <v>44750.3774652778</v>
      </c>
      <c r="D116" s="22" t="s">
        <v>206</v>
      </c>
      <c r="E116" s="22" t="n">
        <v>9</v>
      </c>
      <c r="F116" s="22" t="s">
        <v>181</v>
      </c>
      <c r="G116" s="22" t="s">
        <v>235</v>
      </c>
      <c r="H116" s="22" t="n">
        <v>0.07</v>
      </c>
      <c r="I116" s="38" t="n">
        <v>1743.36</v>
      </c>
      <c r="J116" s="38" t="n">
        <v>1743.41</v>
      </c>
      <c r="K116" s="39" t="n">
        <f aca="false">IF(F116="BUY",J116-I116,I116-J116)</f>
        <v>0.0500000000001819</v>
      </c>
      <c r="L116" s="38" t="n">
        <v>1737.36</v>
      </c>
      <c r="M116" s="39" t="n">
        <f aca="false">ABS(I116-L116)</f>
        <v>6</v>
      </c>
      <c r="N116" s="24" t="n">
        <f aca="false">M116*H116*Summary!$C$6</f>
        <v>42</v>
      </c>
      <c r="O116" s="37" t="n">
        <v>44750.4439467593</v>
      </c>
      <c r="P116" s="22" t="n">
        <f aca="false">ROUND((O116-C116)*86400,0)</f>
        <v>5744</v>
      </c>
      <c r="Q116" s="22" t="str">
        <f aca="false">IF(P116&lt;10,"a) &lt;10s",IF(P116&lt;60,"b) 10-60s",IF(P116&lt;600,"c) 1-10min","d) &gt;10min")))</f>
        <v>d) &gt;10min</v>
      </c>
      <c r="R116" s="38" t="n">
        <v>1737.36</v>
      </c>
      <c r="S116" s="38" t="n">
        <v>1737.31</v>
      </c>
      <c r="T116" s="22" t="s">
        <v>188</v>
      </c>
      <c r="U116" s="39" t="n">
        <f aca="false">IF(R116="","",IF(F116="BUY",R116-S116,S116-R116))</f>
        <v>0.0499999999999545</v>
      </c>
      <c r="V116" s="39" t="n">
        <f aca="false">IF(F116="BUY",S116-J116,J116-S116)</f>
        <v>-6.10000000000014</v>
      </c>
      <c r="W116" s="6" t="n">
        <v>-42.7</v>
      </c>
      <c r="X116" s="26" t="n">
        <f aca="false">IFERROR(W116/N116,0)</f>
        <v>-1.01666666666667</v>
      </c>
      <c r="Y116" s="22" t="str">
        <f aca="false">IF(W116&gt;0,"Win",IF(W116&lt;0,"Loss","Flat"))</f>
        <v>Loss</v>
      </c>
      <c r="Z116" s="24" t="n">
        <f aca="false">Summary!$C$5+SUM(W$2:W116)</f>
        <v>4499.23</v>
      </c>
      <c r="AA116" s="24" t="n">
        <f aca="false">MAX(AA115,Z116)</f>
        <v>5000</v>
      </c>
      <c r="AB116" s="24" t="n">
        <f aca="false">AA116-Z116</f>
        <v>500.77</v>
      </c>
      <c r="AC116" s="23" t="n">
        <f aca="false">IFERROR(AB116/AA116,0)</f>
        <v>0.100154</v>
      </c>
      <c r="AD116" s="22" t="s">
        <v>353</v>
      </c>
    </row>
    <row r="117" customFormat="false" ht="15" hidden="false" customHeight="false" outlineLevel="0" collapsed="false">
      <c r="A117" s="22" t="n">
        <v>116</v>
      </c>
      <c r="B117" s="22" t="s">
        <v>123</v>
      </c>
      <c r="C117" s="37" t="n">
        <v>44750.4443171296</v>
      </c>
      <c r="D117" s="22" t="s">
        <v>206</v>
      </c>
      <c r="E117" s="22" t="n">
        <v>10</v>
      </c>
      <c r="F117" s="22" t="s">
        <v>182</v>
      </c>
      <c r="G117" s="22" t="s">
        <v>237</v>
      </c>
      <c r="H117" s="22" t="n">
        <v>0.07</v>
      </c>
      <c r="I117" s="38" t="n">
        <v>1736.36</v>
      </c>
      <c r="J117" s="38" t="n">
        <v>1735.91</v>
      </c>
      <c r="K117" s="39" t="n">
        <f aca="false">IF(F117="BUY",J117-I117,I117-J117)</f>
        <v>0.449999999999818</v>
      </c>
      <c r="L117" s="38" t="n">
        <v>1742.36</v>
      </c>
      <c r="M117" s="39" t="n">
        <f aca="false">ABS(I117-L117)</f>
        <v>6</v>
      </c>
      <c r="N117" s="24" t="n">
        <f aca="false">M117*H117*Summary!$C$6</f>
        <v>42</v>
      </c>
      <c r="O117" s="37" t="n">
        <v>44750.4500462963</v>
      </c>
      <c r="P117" s="22" t="n">
        <f aca="false">ROUND((O117-C117)*86400,0)</f>
        <v>495</v>
      </c>
      <c r="Q117" s="22" t="str">
        <f aca="false">IF(P117&lt;10,"a) &lt;10s",IF(P117&lt;60,"b) 10-60s",IF(P117&lt;600,"c) 1-10min","d) &gt;10min")))</f>
        <v>c) 1-10min</v>
      </c>
      <c r="R117" s="38" t="n">
        <v>1735.41</v>
      </c>
      <c r="S117" s="38" t="n">
        <v>1735.44</v>
      </c>
      <c r="T117" s="22" t="s">
        <v>189</v>
      </c>
      <c r="U117" s="39" t="n">
        <f aca="false">IF(R117="","",IF(F117="BUY",R117-S117,S117-R117))</f>
        <v>0.0299999999999727</v>
      </c>
      <c r="V117" s="39" t="n">
        <f aca="false">IF(F117="BUY",S117-J117,J117-S117)</f>
        <v>0.470000000000027</v>
      </c>
      <c r="W117" s="6" t="n">
        <v>3.29</v>
      </c>
      <c r="X117" s="26" t="n">
        <f aca="false">IFERROR(W117/N117,0)</f>
        <v>0.0783333333333333</v>
      </c>
      <c r="Y117" s="22" t="str">
        <f aca="false">IF(W117&gt;0,"Win",IF(W117&lt;0,"Loss","Flat"))</f>
        <v>Win</v>
      </c>
      <c r="Z117" s="24" t="n">
        <f aca="false">Summary!$C$5+SUM(W$2:W117)</f>
        <v>4502.52</v>
      </c>
      <c r="AA117" s="24" t="n">
        <f aca="false">MAX(AA116,Z117)</f>
        <v>5000</v>
      </c>
      <c r="AB117" s="24" t="n">
        <f aca="false">AA117-Z117</f>
        <v>497.48</v>
      </c>
      <c r="AC117" s="23" t="n">
        <f aca="false">IFERROR(AB117/AA117,0)</f>
        <v>0.0994959999999999</v>
      </c>
      <c r="AD117" s="22" t="s">
        <v>354</v>
      </c>
    </row>
    <row r="118" customFormat="false" ht="15" hidden="false" customHeight="false" outlineLevel="0" collapsed="false">
      <c r="A118" s="22" t="n">
        <v>117</v>
      </c>
      <c r="B118" s="22" t="s">
        <v>123</v>
      </c>
      <c r="C118" s="37" t="n">
        <v>44753.38</v>
      </c>
      <c r="D118" s="22" t="s">
        <v>202</v>
      </c>
      <c r="E118" s="22" t="n">
        <v>9</v>
      </c>
      <c r="F118" s="22" t="s">
        <v>182</v>
      </c>
      <c r="G118" s="22" t="s">
        <v>241</v>
      </c>
      <c r="H118" s="22" t="n">
        <v>0.07</v>
      </c>
      <c r="I118" s="38" t="n">
        <v>1739.7</v>
      </c>
      <c r="J118" s="38" t="n">
        <v>1739.7</v>
      </c>
      <c r="K118" s="39" t="n">
        <f aca="false">IF(F118="BUY",J118-I118,I118-J118)</f>
        <v>0</v>
      </c>
      <c r="L118" s="38" t="n">
        <v>1745.7</v>
      </c>
      <c r="M118" s="39" t="n">
        <f aca="false">ABS(I118-L118)</f>
        <v>6</v>
      </c>
      <c r="N118" s="24" t="n">
        <f aca="false">M118*H118*Summary!$C$6</f>
        <v>42</v>
      </c>
      <c r="O118" s="37" t="n">
        <v>44753.4953125</v>
      </c>
      <c r="P118" s="22" t="n">
        <f aca="false">ROUND((O118-C118)*86400,0)</f>
        <v>9963</v>
      </c>
      <c r="Q118" s="22" t="str">
        <f aca="false">IF(P118&lt;10,"a) &lt;10s",IF(P118&lt;60,"b) 10-60s",IF(P118&lt;600,"c) 1-10min","d) &gt;10min")))</f>
        <v>d) &gt;10min</v>
      </c>
      <c r="R118" s="38" t="n">
        <v>1739.2</v>
      </c>
      <c r="S118" s="38" t="n">
        <v>1739.2</v>
      </c>
      <c r="T118" s="22" t="s">
        <v>189</v>
      </c>
      <c r="U118" s="39" t="n">
        <f aca="false">IF(R118="","",IF(F118="BUY",R118-S118,S118-R118))</f>
        <v>0</v>
      </c>
      <c r="V118" s="39" t="n">
        <f aca="false">IF(F118="BUY",S118-J118,J118-S118)</f>
        <v>0.5</v>
      </c>
      <c r="W118" s="6" t="n">
        <v>3.5</v>
      </c>
      <c r="X118" s="26" t="n">
        <f aca="false">IFERROR(W118/N118,0)</f>
        <v>0.0833333333333333</v>
      </c>
      <c r="Y118" s="22" t="str">
        <f aca="false">IF(W118&gt;0,"Win",IF(W118&lt;0,"Loss","Flat"))</f>
        <v>Win</v>
      </c>
      <c r="Z118" s="24" t="n">
        <f aca="false">Summary!$C$5+SUM(W$2:W118)</f>
        <v>4506.02</v>
      </c>
      <c r="AA118" s="24" t="n">
        <f aca="false">MAX(AA117,Z118)</f>
        <v>5000</v>
      </c>
      <c r="AB118" s="24" t="n">
        <f aca="false">AA118-Z118</f>
        <v>493.98</v>
      </c>
      <c r="AC118" s="23" t="n">
        <f aca="false">IFERROR(AB118/AA118,0)</f>
        <v>0.0987959999999999</v>
      </c>
      <c r="AD118" s="22" t="s">
        <v>355</v>
      </c>
    </row>
    <row r="119" customFormat="false" ht="15" hidden="false" customHeight="false" outlineLevel="0" collapsed="false">
      <c r="A119" s="22" t="n">
        <v>118</v>
      </c>
      <c r="B119" s="22" t="s">
        <v>123</v>
      </c>
      <c r="C119" s="37" t="n">
        <v>44753.8534953704</v>
      </c>
      <c r="D119" s="22" t="s">
        <v>202</v>
      </c>
      <c r="E119" s="22" t="n">
        <v>20</v>
      </c>
      <c r="F119" s="22" t="s">
        <v>182</v>
      </c>
      <c r="G119" s="22" t="s">
        <v>237</v>
      </c>
      <c r="H119" s="22" t="n">
        <v>0.07</v>
      </c>
      <c r="I119" s="38" t="n">
        <v>1732.92</v>
      </c>
      <c r="J119" s="38" t="n">
        <v>1732.9</v>
      </c>
      <c r="K119" s="39" t="n">
        <f aca="false">IF(F119="BUY",J119-I119,I119-J119)</f>
        <v>0.0199999999999818</v>
      </c>
      <c r="L119" s="38" t="n">
        <v>1738.92</v>
      </c>
      <c r="M119" s="39" t="n">
        <f aca="false">ABS(I119-L119)</f>
        <v>6</v>
      </c>
      <c r="N119" s="24" t="n">
        <f aca="false">M119*H119*Summary!$C$6</f>
        <v>42</v>
      </c>
      <c r="O119" s="37" t="n">
        <v>44753.9270833333</v>
      </c>
      <c r="P119" s="22" t="n">
        <f aca="false">ROUND((O119-C119)*86400,0)</f>
        <v>6358</v>
      </c>
      <c r="Q119" s="22" t="str">
        <f aca="false">IF(P119&lt;10,"a) &lt;10s",IF(P119&lt;60,"b) 10-60s",IF(P119&lt;600,"c) 1-10min","d) &gt;10min")))</f>
        <v>d) &gt;10min</v>
      </c>
      <c r="R119" s="38"/>
      <c r="S119" s="38" t="n">
        <v>1733.97</v>
      </c>
      <c r="T119" s="22" t="s">
        <v>191</v>
      </c>
      <c r="U119" s="39" t="str">
        <f aca="false">IF(R119="","",IF(F119="BUY",R119-S119,S119-R119))</f>
        <v/>
      </c>
      <c r="V119" s="39" t="n">
        <f aca="false">IF(F119="BUY",S119-J119,J119-S119)</f>
        <v>-1.06999999999994</v>
      </c>
      <c r="W119" s="6" t="n">
        <v>-7.49</v>
      </c>
      <c r="X119" s="26" t="n">
        <f aca="false">IFERROR(W119/N119,0)</f>
        <v>-0.178333333333333</v>
      </c>
      <c r="Y119" s="22" t="str">
        <f aca="false">IF(W119&gt;0,"Win",IF(W119&lt;0,"Loss","Flat"))</f>
        <v>Loss</v>
      </c>
      <c r="Z119" s="24" t="n">
        <f aca="false">Summary!$C$5+SUM(W$2:W119)</f>
        <v>4498.53</v>
      </c>
      <c r="AA119" s="24" t="n">
        <f aca="false">MAX(AA118,Z119)</f>
        <v>5000</v>
      </c>
      <c r="AB119" s="24" t="n">
        <f aca="false">AA119-Z119</f>
        <v>501.47</v>
      </c>
      <c r="AC119" s="23" t="n">
        <f aca="false">IFERROR(AB119/AA119,0)</f>
        <v>0.100294</v>
      </c>
      <c r="AD119" s="22" t="s">
        <v>356</v>
      </c>
    </row>
    <row r="120" customFormat="false" ht="15" hidden="false" customHeight="false" outlineLevel="0" collapsed="false">
      <c r="A120" s="22" t="n">
        <v>119</v>
      </c>
      <c r="B120" s="22" t="s">
        <v>123</v>
      </c>
      <c r="C120" s="37" t="n">
        <v>44754.1676388889</v>
      </c>
      <c r="D120" s="22" t="s">
        <v>203</v>
      </c>
      <c r="E120" s="22" t="n">
        <v>4</v>
      </c>
      <c r="F120" s="22" t="s">
        <v>182</v>
      </c>
      <c r="G120" s="22" t="s">
        <v>237</v>
      </c>
      <c r="H120" s="22" t="n">
        <v>0.07</v>
      </c>
      <c r="I120" s="38" t="n">
        <v>1731.13</v>
      </c>
      <c r="J120" s="38" t="n">
        <v>1730.77</v>
      </c>
      <c r="K120" s="39" t="n">
        <f aca="false">IF(F120="BUY",J120-I120,I120-J120)</f>
        <v>0.360000000000127</v>
      </c>
      <c r="L120" s="38" t="n">
        <v>1737.13</v>
      </c>
      <c r="M120" s="39" t="n">
        <f aca="false">ABS(I120-L120)</f>
        <v>6</v>
      </c>
      <c r="N120" s="24" t="n">
        <f aca="false">M120*H120*Summary!$C$6</f>
        <v>42</v>
      </c>
      <c r="O120" s="37" t="n">
        <v>44754.1691550926</v>
      </c>
      <c r="P120" s="22" t="n">
        <f aca="false">ROUND((O120-C120)*86400,0)</f>
        <v>131</v>
      </c>
      <c r="Q120" s="22" t="str">
        <f aca="false">IF(P120&lt;10,"a) &lt;10s",IF(P120&lt;60,"b) 10-60s",IF(P120&lt;600,"c) 1-10min","d) &gt;10min")))</f>
        <v>c) 1-10min</v>
      </c>
      <c r="R120" s="38" t="n">
        <v>1730.27</v>
      </c>
      <c r="S120" s="38" t="n">
        <v>1730.27</v>
      </c>
      <c r="T120" s="22" t="s">
        <v>189</v>
      </c>
      <c r="U120" s="39" t="n">
        <f aca="false">IF(R120="","",IF(F120="BUY",R120-S120,S120-R120))</f>
        <v>0</v>
      </c>
      <c r="V120" s="39" t="n">
        <f aca="false">IF(F120="BUY",S120-J120,J120-S120)</f>
        <v>0.5</v>
      </c>
      <c r="W120" s="6" t="n">
        <v>3.5</v>
      </c>
      <c r="X120" s="26" t="n">
        <f aca="false">IFERROR(W120/N120,0)</f>
        <v>0.0833333333333333</v>
      </c>
      <c r="Y120" s="22" t="str">
        <f aca="false">IF(W120&gt;0,"Win",IF(W120&lt;0,"Loss","Flat"))</f>
        <v>Win</v>
      </c>
      <c r="Z120" s="24" t="n">
        <f aca="false">Summary!$C$5+SUM(W$2:W120)</f>
        <v>4502.03</v>
      </c>
      <c r="AA120" s="24" t="n">
        <f aca="false">MAX(AA119,Z120)</f>
        <v>5000</v>
      </c>
      <c r="AB120" s="24" t="n">
        <f aca="false">AA120-Z120</f>
        <v>497.97</v>
      </c>
      <c r="AC120" s="23" t="n">
        <f aca="false">IFERROR(AB120/AA120,0)</f>
        <v>0.0995940000000001</v>
      </c>
      <c r="AD120" s="22" t="s">
        <v>357</v>
      </c>
    </row>
    <row r="121" customFormat="false" ht="15" hidden="false" customHeight="false" outlineLevel="0" collapsed="false">
      <c r="A121" s="22" t="n">
        <v>120</v>
      </c>
      <c r="B121" s="22" t="s">
        <v>123</v>
      </c>
      <c r="C121" s="37" t="n">
        <v>44754.3991319445</v>
      </c>
      <c r="D121" s="22" t="s">
        <v>203</v>
      </c>
      <c r="E121" s="22" t="n">
        <v>9</v>
      </c>
      <c r="F121" s="22" t="s">
        <v>181</v>
      </c>
      <c r="G121" s="22" t="s">
        <v>235</v>
      </c>
      <c r="H121" s="22" t="n">
        <v>0.07</v>
      </c>
      <c r="I121" s="38" t="n">
        <v>1733.33</v>
      </c>
      <c r="J121" s="38" t="n">
        <v>1733.35</v>
      </c>
      <c r="K121" s="39" t="n">
        <f aca="false">IF(F121="BUY",J121-I121,I121-J121)</f>
        <v>0.0199999999999818</v>
      </c>
      <c r="L121" s="38" t="n">
        <v>1727.33</v>
      </c>
      <c r="M121" s="39" t="n">
        <f aca="false">ABS(I121-L121)</f>
        <v>6</v>
      </c>
      <c r="N121" s="24" t="n">
        <f aca="false">M121*H121*Summary!$C$6</f>
        <v>42</v>
      </c>
      <c r="O121" s="37" t="n">
        <v>44754.4174305556</v>
      </c>
      <c r="P121" s="22" t="n">
        <f aca="false">ROUND((O121-C121)*86400,0)</f>
        <v>1581</v>
      </c>
      <c r="Q121" s="22" t="str">
        <f aca="false">IF(P121&lt;10,"a) &lt;10s",IF(P121&lt;60,"b) 10-60s",IF(P121&lt;600,"c) 1-10min","d) &gt;10min")))</f>
        <v>d) &gt;10min</v>
      </c>
      <c r="R121" s="38" t="n">
        <v>1733.85</v>
      </c>
      <c r="S121" s="38" t="n">
        <v>1733.84</v>
      </c>
      <c r="T121" s="22" t="s">
        <v>189</v>
      </c>
      <c r="U121" s="39" t="n">
        <f aca="false">IF(R121="","",IF(F121="BUY",R121-S121,S121-R121))</f>
        <v>0.00999999999999091</v>
      </c>
      <c r="V121" s="39" t="n">
        <f aca="false">IF(F121="BUY",S121-J121,J121-S121)</f>
        <v>0.490000000000009</v>
      </c>
      <c r="W121" s="6" t="n">
        <v>3.43</v>
      </c>
      <c r="X121" s="26" t="n">
        <f aca="false">IFERROR(W121/N121,0)</f>
        <v>0.0816666666666667</v>
      </c>
      <c r="Y121" s="22" t="str">
        <f aca="false">IF(W121&gt;0,"Win",IF(W121&lt;0,"Loss","Flat"))</f>
        <v>Win</v>
      </c>
      <c r="Z121" s="24" t="n">
        <f aca="false">Summary!$C$5+SUM(W$2:W121)</f>
        <v>4505.46</v>
      </c>
      <c r="AA121" s="24" t="n">
        <f aca="false">MAX(AA120,Z121)</f>
        <v>5000</v>
      </c>
      <c r="AB121" s="24" t="n">
        <f aca="false">AA121-Z121</f>
        <v>494.54</v>
      </c>
      <c r="AC121" s="23" t="n">
        <f aca="false">IFERROR(AB121/AA121,0)</f>
        <v>0.098908</v>
      </c>
      <c r="AD121" s="22" t="s">
        <v>358</v>
      </c>
    </row>
    <row r="122" customFormat="false" ht="15" hidden="false" customHeight="false" outlineLevel="0" collapsed="false">
      <c r="A122" s="22" t="n">
        <v>121</v>
      </c>
      <c r="B122" s="22" t="s">
        <v>123</v>
      </c>
      <c r="C122" s="37" t="n">
        <v>44755.1633564815</v>
      </c>
      <c r="D122" s="22" t="s">
        <v>204</v>
      </c>
      <c r="E122" s="22" t="n">
        <v>3</v>
      </c>
      <c r="F122" s="22" t="s">
        <v>182</v>
      </c>
      <c r="G122" s="22" t="s">
        <v>237</v>
      </c>
      <c r="H122" s="22" t="n">
        <v>0.07</v>
      </c>
      <c r="I122" s="38" t="n">
        <v>1723.05</v>
      </c>
      <c r="J122" s="38" t="n">
        <v>1723.05</v>
      </c>
      <c r="K122" s="39" t="n">
        <f aca="false">IF(F122="BUY",J122-I122,I122-J122)</f>
        <v>0</v>
      </c>
      <c r="L122" s="38" t="n">
        <v>1729.05</v>
      </c>
      <c r="M122" s="39" t="n">
        <f aca="false">ABS(I122-L122)</f>
        <v>6</v>
      </c>
      <c r="N122" s="24" t="n">
        <f aca="false">M122*H122*Summary!$C$6</f>
        <v>42</v>
      </c>
      <c r="O122" s="37" t="n">
        <v>44755.2497916667</v>
      </c>
      <c r="P122" s="22" t="n">
        <f aca="false">ROUND((O122-C122)*86400,0)</f>
        <v>7468</v>
      </c>
      <c r="Q122" s="22" t="str">
        <f aca="false">IF(P122&lt;10,"a) &lt;10s",IF(P122&lt;60,"b) 10-60s",IF(P122&lt;600,"c) 1-10min","d) &gt;10min")))</f>
        <v>d) &gt;10min</v>
      </c>
      <c r="R122" s="38" t="n">
        <v>1729.05</v>
      </c>
      <c r="S122" s="38" t="n">
        <v>1729.06</v>
      </c>
      <c r="T122" s="22" t="s">
        <v>188</v>
      </c>
      <c r="U122" s="39" t="n">
        <f aca="false">IF(R122="","",IF(F122="BUY",R122-S122,S122-R122))</f>
        <v>0.00999999999999091</v>
      </c>
      <c r="V122" s="39" t="n">
        <f aca="false">IF(F122="BUY",S122-J122,J122-S122)</f>
        <v>-6.00999999999999</v>
      </c>
      <c r="W122" s="6" t="n">
        <v>-42.07</v>
      </c>
      <c r="X122" s="26" t="n">
        <f aca="false">IFERROR(W122/N122,0)</f>
        <v>-1.00166666666667</v>
      </c>
      <c r="Y122" s="22" t="str">
        <f aca="false">IF(W122&gt;0,"Win",IF(W122&lt;0,"Loss","Flat"))</f>
        <v>Loss</v>
      </c>
      <c r="Z122" s="24" t="n">
        <f aca="false">Summary!$C$5+SUM(W$2:W122)</f>
        <v>4463.39</v>
      </c>
      <c r="AA122" s="24" t="n">
        <f aca="false">MAX(AA121,Z122)</f>
        <v>5000</v>
      </c>
      <c r="AB122" s="24" t="n">
        <f aca="false">AA122-Z122</f>
        <v>536.61</v>
      </c>
      <c r="AC122" s="23" t="n">
        <f aca="false">IFERROR(AB122/AA122,0)</f>
        <v>0.107322</v>
      </c>
      <c r="AD122" s="22" t="s">
        <v>359</v>
      </c>
    </row>
    <row r="123" customFormat="false" ht="15" hidden="false" customHeight="false" outlineLevel="0" collapsed="false">
      <c r="A123" s="22" t="n">
        <v>122</v>
      </c>
      <c r="B123" s="22" t="s">
        <v>123</v>
      </c>
      <c r="C123" s="37" t="n">
        <v>44755.3858564815</v>
      </c>
      <c r="D123" s="22" t="s">
        <v>204</v>
      </c>
      <c r="E123" s="22" t="n">
        <v>9</v>
      </c>
      <c r="F123" s="22" t="s">
        <v>182</v>
      </c>
      <c r="G123" s="22" t="s">
        <v>241</v>
      </c>
      <c r="H123" s="22" t="n">
        <v>0.07</v>
      </c>
      <c r="I123" s="38" t="n">
        <v>1724.1</v>
      </c>
      <c r="J123" s="38" t="n">
        <v>1724.09</v>
      </c>
      <c r="K123" s="39" t="n">
        <f aca="false">IF(F123="BUY",J123-I123,I123-J123)</f>
        <v>0.00999999999999091</v>
      </c>
      <c r="L123" s="38" t="n">
        <v>1730.1</v>
      </c>
      <c r="M123" s="39" t="n">
        <f aca="false">ABS(I123-L123)</f>
        <v>6</v>
      </c>
      <c r="N123" s="24" t="n">
        <f aca="false">M123*H123*Summary!$C$6</f>
        <v>42</v>
      </c>
      <c r="O123" s="37" t="n">
        <v>44755.5084490741</v>
      </c>
      <c r="P123" s="22" t="n">
        <f aca="false">ROUND((O123-C123)*86400,0)</f>
        <v>10592</v>
      </c>
      <c r="Q123" s="22" t="str">
        <f aca="false">IF(P123&lt;10,"a) &lt;10s",IF(P123&lt;60,"b) 10-60s",IF(P123&lt;600,"c) 1-10min","d) &gt;10min")))</f>
        <v>d) &gt;10min</v>
      </c>
      <c r="R123" s="38" t="n">
        <v>1730.1</v>
      </c>
      <c r="S123" s="38" t="n">
        <v>1730.13</v>
      </c>
      <c r="T123" s="22" t="s">
        <v>188</v>
      </c>
      <c r="U123" s="39" t="n">
        <f aca="false">IF(R123="","",IF(F123="BUY",R123-S123,S123-R123))</f>
        <v>0.0300000000002001</v>
      </c>
      <c r="V123" s="39" t="n">
        <f aca="false">IF(F123="BUY",S123-J123,J123-S123)</f>
        <v>-6.04000000000019</v>
      </c>
      <c r="W123" s="6" t="n">
        <v>-42.28</v>
      </c>
      <c r="X123" s="26" t="n">
        <f aca="false">IFERROR(W123/N123,0)</f>
        <v>-1.00666666666667</v>
      </c>
      <c r="Y123" s="22" t="str">
        <f aca="false">IF(W123&gt;0,"Win",IF(W123&lt;0,"Loss","Flat"))</f>
        <v>Loss</v>
      </c>
      <c r="Z123" s="24" t="n">
        <f aca="false">Summary!$C$5+SUM(W$2:W123)</f>
        <v>4421.11</v>
      </c>
      <c r="AA123" s="24" t="n">
        <f aca="false">MAX(AA122,Z123)</f>
        <v>5000</v>
      </c>
      <c r="AB123" s="24" t="n">
        <f aca="false">AA123-Z123</f>
        <v>578.89</v>
      </c>
      <c r="AC123" s="23" t="n">
        <f aca="false">IFERROR(AB123/AA123,0)</f>
        <v>0.115778</v>
      </c>
      <c r="AD123" s="22" t="s">
        <v>360</v>
      </c>
    </row>
    <row r="124" customFormat="false" ht="15" hidden="false" customHeight="false" outlineLevel="0" collapsed="false">
      <c r="A124" s="22" t="n">
        <v>123</v>
      </c>
      <c r="B124" s="22" t="s">
        <v>123</v>
      </c>
      <c r="C124" s="37" t="n">
        <v>44756.3834027778</v>
      </c>
      <c r="D124" s="22" t="s">
        <v>205</v>
      </c>
      <c r="E124" s="22" t="n">
        <v>9</v>
      </c>
      <c r="F124" s="22" t="s">
        <v>182</v>
      </c>
      <c r="G124" s="22" t="s">
        <v>241</v>
      </c>
      <c r="H124" s="22" t="n">
        <v>0.07</v>
      </c>
      <c r="I124" s="38" t="n">
        <v>1726.06</v>
      </c>
      <c r="J124" s="38" t="n">
        <v>1726.06</v>
      </c>
      <c r="K124" s="39" t="n">
        <f aca="false">IF(F124="BUY",J124-I124,I124-J124)</f>
        <v>0</v>
      </c>
      <c r="L124" s="38" t="n">
        <v>1732.06</v>
      </c>
      <c r="M124" s="39" t="n">
        <f aca="false">ABS(I124-L124)</f>
        <v>6</v>
      </c>
      <c r="N124" s="24" t="n">
        <f aca="false">M124*H124*Summary!$C$6</f>
        <v>42</v>
      </c>
      <c r="O124" s="37" t="n">
        <v>44756.393125</v>
      </c>
      <c r="P124" s="22" t="n">
        <f aca="false">ROUND((O124-C124)*86400,0)</f>
        <v>840</v>
      </c>
      <c r="Q124" s="22" t="str">
        <f aca="false">IF(P124&lt;10,"a) &lt;10s",IF(P124&lt;60,"b) 10-60s",IF(P124&lt;600,"c) 1-10min","d) &gt;10min")))</f>
        <v>d) &gt;10min</v>
      </c>
      <c r="R124" s="38" t="n">
        <v>1725.56</v>
      </c>
      <c r="S124" s="38" t="n">
        <v>1725.66</v>
      </c>
      <c r="T124" s="22" t="s">
        <v>189</v>
      </c>
      <c r="U124" s="39" t="n">
        <f aca="false">IF(R124="","",IF(F124="BUY",R124-S124,S124-R124))</f>
        <v>0.100000000000136</v>
      </c>
      <c r="V124" s="39" t="n">
        <f aca="false">IF(F124="BUY",S124-J124,J124-S124)</f>
        <v>0.399999999999864</v>
      </c>
      <c r="W124" s="6" t="n">
        <v>2.8</v>
      </c>
      <c r="X124" s="26" t="n">
        <f aca="false">IFERROR(W124/N124,0)</f>
        <v>0.0666666666666667</v>
      </c>
      <c r="Y124" s="22" t="str">
        <f aca="false">IF(W124&gt;0,"Win",IF(W124&lt;0,"Loss","Flat"))</f>
        <v>Win</v>
      </c>
      <c r="Z124" s="24" t="n">
        <f aca="false">Summary!$C$5+SUM(W$2:W124)</f>
        <v>4423.91</v>
      </c>
      <c r="AA124" s="24" t="n">
        <f aca="false">MAX(AA123,Z124)</f>
        <v>5000</v>
      </c>
      <c r="AB124" s="24" t="n">
        <f aca="false">AA124-Z124</f>
        <v>576.09</v>
      </c>
      <c r="AC124" s="23" t="n">
        <f aca="false">IFERROR(AB124/AA124,0)</f>
        <v>0.115218</v>
      </c>
      <c r="AD124" s="22" t="s">
        <v>361</v>
      </c>
    </row>
    <row r="125" customFormat="false" ht="15" hidden="false" customHeight="false" outlineLevel="0" collapsed="false">
      <c r="A125" s="22" t="n">
        <v>124</v>
      </c>
      <c r="B125" s="22" t="s">
        <v>123</v>
      </c>
      <c r="C125" s="37" t="n">
        <v>44756.6674652778</v>
      </c>
      <c r="D125" s="22" t="s">
        <v>205</v>
      </c>
      <c r="E125" s="22" t="n">
        <v>16</v>
      </c>
      <c r="F125" s="22" t="s">
        <v>182</v>
      </c>
      <c r="G125" s="22" t="s">
        <v>237</v>
      </c>
      <c r="H125" s="22" t="n">
        <v>0.07</v>
      </c>
      <c r="I125" s="38" t="n">
        <v>1706.95</v>
      </c>
      <c r="J125" s="38" t="n">
        <v>1706.88</v>
      </c>
      <c r="K125" s="39" t="n">
        <f aca="false">IF(F125="BUY",J125-I125,I125-J125)</f>
        <v>0.0699999999999363</v>
      </c>
      <c r="L125" s="38" t="n">
        <v>1712.95</v>
      </c>
      <c r="M125" s="39" t="n">
        <f aca="false">ABS(I125-L125)</f>
        <v>6</v>
      </c>
      <c r="N125" s="24" t="n">
        <f aca="false">M125*H125*Summary!$C$6</f>
        <v>42</v>
      </c>
      <c r="O125" s="37" t="n">
        <v>44756.6689814815</v>
      </c>
      <c r="P125" s="22" t="n">
        <f aca="false">ROUND((O125-C125)*86400,0)</f>
        <v>131</v>
      </c>
      <c r="Q125" s="22" t="str">
        <f aca="false">IF(P125&lt;10,"a) &lt;10s",IF(P125&lt;60,"b) 10-60s",IF(P125&lt;600,"c) 1-10min","d) &gt;10min")))</f>
        <v>c) 1-10min</v>
      </c>
      <c r="R125" s="38" t="n">
        <v>1706.38</v>
      </c>
      <c r="S125" s="38" t="n">
        <v>1706.39</v>
      </c>
      <c r="T125" s="22" t="s">
        <v>189</v>
      </c>
      <c r="U125" s="39" t="n">
        <f aca="false">IF(R125="","",IF(F125="BUY",R125-S125,S125-R125))</f>
        <v>0.00999999999999091</v>
      </c>
      <c r="V125" s="39" t="n">
        <f aca="false">IF(F125="BUY",S125-J125,J125-S125)</f>
        <v>0.490000000000009</v>
      </c>
      <c r="W125" s="6" t="n">
        <v>3.43</v>
      </c>
      <c r="X125" s="26" t="n">
        <f aca="false">IFERROR(W125/N125,0)</f>
        <v>0.0816666666666667</v>
      </c>
      <c r="Y125" s="22" t="str">
        <f aca="false">IF(W125&gt;0,"Win",IF(W125&lt;0,"Loss","Flat"))</f>
        <v>Win</v>
      </c>
      <c r="Z125" s="24" t="n">
        <f aca="false">Summary!$C$5+SUM(W$2:W125)</f>
        <v>4427.34</v>
      </c>
      <c r="AA125" s="24" t="n">
        <f aca="false">MAX(AA124,Z125)</f>
        <v>5000</v>
      </c>
      <c r="AB125" s="24" t="n">
        <f aca="false">AA125-Z125</f>
        <v>572.66</v>
      </c>
      <c r="AC125" s="23" t="n">
        <f aca="false">IFERROR(AB125/AA125,0)</f>
        <v>0.114532</v>
      </c>
      <c r="AD125" s="22" t="s">
        <v>362</v>
      </c>
    </row>
    <row r="126" customFormat="false" ht="15" hidden="false" customHeight="false" outlineLevel="0" collapsed="false">
      <c r="A126" s="22" t="n">
        <v>125</v>
      </c>
      <c r="B126" s="22" t="s">
        <v>123</v>
      </c>
      <c r="C126" s="37" t="n">
        <v>44757.3778125</v>
      </c>
      <c r="D126" s="22" t="s">
        <v>206</v>
      </c>
      <c r="E126" s="22" t="n">
        <v>9</v>
      </c>
      <c r="F126" s="22" t="s">
        <v>182</v>
      </c>
      <c r="G126" s="22" t="s">
        <v>241</v>
      </c>
      <c r="H126" s="22" t="n">
        <v>0.07</v>
      </c>
      <c r="I126" s="38" t="n">
        <v>1707.38</v>
      </c>
      <c r="J126" s="38" t="n">
        <v>1707.33</v>
      </c>
      <c r="K126" s="39" t="n">
        <f aca="false">IF(F126="BUY",J126-I126,I126-J126)</f>
        <v>0.0500000000001819</v>
      </c>
      <c r="L126" s="38" t="n">
        <v>1713.38</v>
      </c>
      <c r="M126" s="39" t="n">
        <f aca="false">ABS(I126-L126)</f>
        <v>6</v>
      </c>
      <c r="N126" s="24" t="n">
        <f aca="false">M126*H126*Summary!$C$6</f>
        <v>42</v>
      </c>
      <c r="O126" s="37" t="n">
        <v>44757.5804513889</v>
      </c>
      <c r="P126" s="22" t="n">
        <f aca="false">ROUND((O126-C126)*86400,0)</f>
        <v>17508</v>
      </c>
      <c r="Q126" s="22" t="str">
        <f aca="false">IF(P126&lt;10,"a) &lt;10s",IF(P126&lt;60,"b) 10-60s",IF(P126&lt;600,"c) 1-10min","d) &gt;10min")))</f>
        <v>d) &gt;10min</v>
      </c>
      <c r="R126" s="38" t="n">
        <v>1706.83</v>
      </c>
      <c r="S126" s="38" t="n">
        <v>1706.83</v>
      </c>
      <c r="T126" s="22" t="s">
        <v>189</v>
      </c>
      <c r="U126" s="39" t="n">
        <f aca="false">IF(R126="","",IF(F126="BUY",R126-S126,S126-R126))</f>
        <v>0</v>
      </c>
      <c r="V126" s="39" t="n">
        <f aca="false">IF(F126="BUY",S126-J126,J126-S126)</f>
        <v>0.5</v>
      </c>
      <c r="W126" s="6" t="n">
        <v>3.5</v>
      </c>
      <c r="X126" s="26" t="n">
        <f aca="false">IFERROR(W126/N126,0)</f>
        <v>0.0833333333333333</v>
      </c>
      <c r="Y126" s="22" t="str">
        <f aca="false">IF(W126&gt;0,"Win",IF(W126&lt;0,"Loss","Flat"))</f>
        <v>Win</v>
      </c>
      <c r="Z126" s="24" t="n">
        <f aca="false">Summary!$C$5+SUM(W$2:W126)</f>
        <v>4430.84</v>
      </c>
      <c r="AA126" s="24" t="n">
        <f aca="false">MAX(AA125,Z126)</f>
        <v>5000</v>
      </c>
      <c r="AB126" s="24" t="n">
        <f aca="false">AA126-Z126</f>
        <v>569.16</v>
      </c>
      <c r="AC126" s="23" t="n">
        <f aca="false">IFERROR(AB126/AA126,0)</f>
        <v>0.113832</v>
      </c>
      <c r="AD126" s="22" t="s">
        <v>363</v>
      </c>
    </row>
    <row r="127" customFormat="false" ht="15" hidden="false" customHeight="false" outlineLevel="0" collapsed="false">
      <c r="A127" s="22" t="n">
        <v>126</v>
      </c>
      <c r="B127" s="22" t="s">
        <v>123</v>
      </c>
      <c r="C127" s="37" t="n">
        <v>44760.2613078704</v>
      </c>
      <c r="D127" s="22" t="s">
        <v>202</v>
      </c>
      <c r="E127" s="22" t="n">
        <v>6</v>
      </c>
      <c r="F127" s="22" t="s">
        <v>181</v>
      </c>
      <c r="G127" s="22" t="s">
        <v>243</v>
      </c>
      <c r="H127" s="22" t="n">
        <v>0.07</v>
      </c>
      <c r="I127" s="38" t="n">
        <v>1716.52</v>
      </c>
      <c r="J127" s="38" t="n">
        <v>1716.54</v>
      </c>
      <c r="K127" s="39" t="n">
        <f aca="false">IF(F127="BUY",J127-I127,I127-J127)</f>
        <v>0.0199999999999818</v>
      </c>
      <c r="L127" s="38" t="n">
        <v>1710.52</v>
      </c>
      <c r="M127" s="39" t="n">
        <f aca="false">ABS(I127-L127)</f>
        <v>6</v>
      </c>
      <c r="N127" s="24" t="n">
        <f aca="false">M127*H127*Summary!$C$6</f>
        <v>42</v>
      </c>
      <c r="O127" s="37" t="n">
        <v>44760.5687731481</v>
      </c>
      <c r="P127" s="22" t="n">
        <f aca="false">ROUND((O127-C127)*86400,0)</f>
        <v>26565</v>
      </c>
      <c r="Q127" s="22" t="str">
        <f aca="false">IF(P127&lt;10,"a) &lt;10s",IF(P127&lt;60,"b) 10-60s",IF(P127&lt;600,"c) 1-10min","d) &gt;10min")))</f>
        <v>d) &gt;10min</v>
      </c>
      <c r="R127" s="38" t="n">
        <v>1717.04</v>
      </c>
      <c r="S127" s="38" t="n">
        <v>1716.98</v>
      </c>
      <c r="T127" s="22" t="s">
        <v>189</v>
      </c>
      <c r="U127" s="39" t="n">
        <f aca="false">IF(R127="","",IF(F127="BUY",R127-S127,S127-R127))</f>
        <v>0.0599999999999454</v>
      </c>
      <c r="V127" s="39" t="n">
        <f aca="false">IF(F127="BUY",S127-J127,J127-S127)</f>
        <v>0.440000000000055</v>
      </c>
      <c r="W127" s="6" t="n">
        <v>3.08</v>
      </c>
      <c r="X127" s="26" t="n">
        <f aca="false">IFERROR(W127/N127,0)</f>
        <v>0.0733333333333333</v>
      </c>
      <c r="Y127" s="22" t="str">
        <f aca="false">IF(W127&gt;0,"Win",IF(W127&lt;0,"Loss","Flat"))</f>
        <v>Win</v>
      </c>
      <c r="Z127" s="24" t="n">
        <f aca="false">Summary!$C$5+SUM(W$2:W127)</f>
        <v>4433.92</v>
      </c>
      <c r="AA127" s="24" t="n">
        <f aca="false">MAX(AA126,Z127)</f>
        <v>5000</v>
      </c>
      <c r="AB127" s="24" t="n">
        <f aca="false">AA127-Z127</f>
        <v>566.08</v>
      </c>
      <c r="AC127" s="23" t="n">
        <f aca="false">IFERROR(AB127/AA127,0)</f>
        <v>0.113216</v>
      </c>
      <c r="AD127" s="22" t="s">
        <v>364</v>
      </c>
    </row>
    <row r="128" customFormat="false" ht="15" hidden="false" customHeight="false" outlineLevel="0" collapsed="false">
      <c r="A128" s="22" t="n">
        <v>127</v>
      </c>
      <c r="B128" s="22" t="s">
        <v>123</v>
      </c>
      <c r="C128" s="37" t="n">
        <v>44761.1363310185</v>
      </c>
      <c r="D128" s="22" t="s">
        <v>203</v>
      </c>
      <c r="E128" s="22" t="n">
        <v>3</v>
      </c>
      <c r="F128" s="22" t="s">
        <v>182</v>
      </c>
      <c r="G128" s="22" t="s">
        <v>237</v>
      </c>
      <c r="H128" s="22" t="n">
        <v>0.07</v>
      </c>
      <c r="I128" s="38" t="n">
        <v>1705.76</v>
      </c>
      <c r="J128" s="38" t="n">
        <v>1705.76</v>
      </c>
      <c r="K128" s="39" t="n">
        <f aca="false">IF(F128="BUY",J128-I128,I128-J128)</f>
        <v>0</v>
      </c>
      <c r="L128" s="38" t="n">
        <v>1711.76</v>
      </c>
      <c r="M128" s="39" t="n">
        <f aca="false">ABS(I128-L128)</f>
        <v>6</v>
      </c>
      <c r="N128" s="24" t="n">
        <f aca="false">M128*H128*Summary!$C$6</f>
        <v>42</v>
      </c>
      <c r="O128" s="37" t="n">
        <v>44761.457337963</v>
      </c>
      <c r="P128" s="22" t="n">
        <f aca="false">ROUND((O128-C128)*86400,0)</f>
        <v>27735</v>
      </c>
      <c r="Q128" s="22" t="str">
        <f aca="false">IF(P128&lt;10,"a) &lt;10s",IF(P128&lt;60,"b) 10-60s",IF(P128&lt;600,"c) 1-10min","d) &gt;10min")))</f>
        <v>d) &gt;10min</v>
      </c>
      <c r="R128" s="38" t="n">
        <v>1711.76</v>
      </c>
      <c r="S128" s="38" t="n">
        <v>1711.76</v>
      </c>
      <c r="T128" s="22" t="s">
        <v>188</v>
      </c>
      <c r="U128" s="39" t="n">
        <f aca="false">IF(R128="","",IF(F128="BUY",R128-S128,S128-R128))</f>
        <v>0</v>
      </c>
      <c r="V128" s="39" t="n">
        <f aca="false">IF(F128="BUY",S128-J128,J128-S128)</f>
        <v>-6</v>
      </c>
      <c r="W128" s="6" t="n">
        <v>-42</v>
      </c>
      <c r="X128" s="26" t="n">
        <f aca="false">IFERROR(W128/N128,0)</f>
        <v>-1</v>
      </c>
      <c r="Y128" s="22" t="str">
        <f aca="false">IF(W128&gt;0,"Win",IF(W128&lt;0,"Loss","Flat"))</f>
        <v>Loss</v>
      </c>
      <c r="Z128" s="24" t="n">
        <f aca="false">Summary!$C$5+SUM(W$2:W128)</f>
        <v>4391.92</v>
      </c>
      <c r="AA128" s="24" t="n">
        <f aca="false">MAX(AA127,Z128)</f>
        <v>5000</v>
      </c>
      <c r="AB128" s="24" t="n">
        <f aca="false">AA128-Z128</f>
        <v>608.08</v>
      </c>
      <c r="AC128" s="23" t="n">
        <f aca="false">IFERROR(AB128/AA128,0)</f>
        <v>0.121616</v>
      </c>
      <c r="AD128" s="22" t="s">
        <v>365</v>
      </c>
    </row>
    <row r="129" customFormat="false" ht="15" hidden="false" customHeight="false" outlineLevel="0" collapsed="false">
      <c r="A129" s="22" t="n">
        <v>128</v>
      </c>
      <c r="B129" s="22" t="s">
        <v>123</v>
      </c>
      <c r="C129" s="37" t="n">
        <v>44762.3771064815</v>
      </c>
      <c r="D129" s="22" t="s">
        <v>204</v>
      </c>
      <c r="E129" s="22" t="n">
        <v>9</v>
      </c>
      <c r="F129" s="22" t="s">
        <v>182</v>
      </c>
      <c r="G129" s="22" t="s">
        <v>241</v>
      </c>
      <c r="H129" s="22" t="n">
        <v>0.07</v>
      </c>
      <c r="I129" s="38" t="n">
        <v>1708.12</v>
      </c>
      <c r="J129" s="38" t="n">
        <v>1708.03</v>
      </c>
      <c r="K129" s="39" t="n">
        <f aca="false">IF(F129="BUY",J129-I129,I129-J129)</f>
        <v>0.0899999999999182</v>
      </c>
      <c r="L129" s="38" t="n">
        <v>1714.12</v>
      </c>
      <c r="M129" s="39" t="n">
        <f aca="false">ABS(I129-L129)</f>
        <v>6</v>
      </c>
      <c r="N129" s="24" t="n">
        <f aca="false">M129*H129*Summary!$C$6</f>
        <v>42</v>
      </c>
      <c r="O129" s="37" t="n">
        <v>44762.5263773148</v>
      </c>
      <c r="P129" s="22" t="n">
        <f aca="false">ROUND((O129-C129)*86400,0)</f>
        <v>12897</v>
      </c>
      <c r="Q129" s="22" t="str">
        <f aca="false">IF(P129&lt;10,"a) &lt;10s",IF(P129&lt;60,"b) 10-60s",IF(P129&lt;600,"c) 1-10min","d) &gt;10min")))</f>
        <v>d) &gt;10min</v>
      </c>
      <c r="R129" s="38" t="n">
        <v>1714.12</v>
      </c>
      <c r="S129" s="38" t="n">
        <v>1714.19</v>
      </c>
      <c r="T129" s="22" t="s">
        <v>188</v>
      </c>
      <c r="U129" s="39" t="n">
        <f aca="false">IF(R129="","",IF(F129="BUY",R129-S129,S129-R129))</f>
        <v>0.0700000000001637</v>
      </c>
      <c r="V129" s="39" t="n">
        <f aca="false">IF(F129="BUY",S129-J129,J129-S129)</f>
        <v>-6.16000000000008</v>
      </c>
      <c r="W129" s="6" t="n">
        <v>-43.12</v>
      </c>
      <c r="X129" s="26" t="n">
        <f aca="false">IFERROR(W129/N129,0)</f>
        <v>-1.02666666666667</v>
      </c>
      <c r="Y129" s="22" t="str">
        <f aca="false">IF(W129&gt;0,"Win",IF(W129&lt;0,"Loss","Flat"))</f>
        <v>Loss</v>
      </c>
      <c r="Z129" s="24" t="n">
        <f aca="false">Summary!$C$5+SUM(W$2:W129)</f>
        <v>4348.8</v>
      </c>
      <c r="AA129" s="24" t="n">
        <f aca="false">MAX(AA128,Z129)</f>
        <v>5000</v>
      </c>
      <c r="AB129" s="24" t="n">
        <f aca="false">AA129-Z129</f>
        <v>651.2</v>
      </c>
      <c r="AC129" s="23" t="n">
        <f aca="false">IFERROR(AB129/AA129,0)</f>
        <v>0.13024</v>
      </c>
      <c r="AD129" s="22" t="s">
        <v>366</v>
      </c>
    </row>
    <row r="130" customFormat="false" ht="15" hidden="false" customHeight="false" outlineLevel="0" collapsed="false">
      <c r="A130" s="22" t="n">
        <v>129</v>
      </c>
      <c r="B130" s="22" t="s">
        <v>123</v>
      </c>
      <c r="C130" s="37" t="n">
        <v>44762.822337963</v>
      </c>
      <c r="D130" s="22" t="s">
        <v>204</v>
      </c>
      <c r="E130" s="22" t="n">
        <v>19</v>
      </c>
      <c r="F130" s="22" t="s">
        <v>182</v>
      </c>
      <c r="G130" s="22" t="s">
        <v>237</v>
      </c>
      <c r="H130" s="22" t="n">
        <v>0.07</v>
      </c>
      <c r="I130" s="38" t="n">
        <v>1705.22</v>
      </c>
      <c r="J130" s="38" t="n">
        <v>1705.18</v>
      </c>
      <c r="K130" s="39" t="n">
        <f aca="false">IF(F130="BUY",J130-I130,I130-J130)</f>
        <v>0.0399999999999636</v>
      </c>
      <c r="L130" s="38" t="n">
        <v>1711.22</v>
      </c>
      <c r="M130" s="39" t="n">
        <f aca="false">ABS(I130-L130)</f>
        <v>6</v>
      </c>
      <c r="N130" s="24" t="n">
        <f aca="false">M130*H130*Summary!$C$6</f>
        <v>42</v>
      </c>
      <c r="O130" s="37" t="n">
        <v>44762.9270833333</v>
      </c>
      <c r="P130" s="22" t="n">
        <f aca="false">ROUND((O130-C130)*86400,0)</f>
        <v>9050</v>
      </c>
      <c r="Q130" s="22" t="str">
        <f aca="false">IF(P130&lt;10,"a) &lt;10s",IF(P130&lt;60,"b) 10-60s",IF(P130&lt;600,"c) 1-10min","d) &gt;10min")))</f>
        <v>d) &gt;10min</v>
      </c>
      <c r="R130" s="38"/>
      <c r="S130" s="38" t="n">
        <v>1700.63</v>
      </c>
      <c r="T130" s="22" t="s">
        <v>191</v>
      </c>
      <c r="U130" s="39" t="str">
        <f aca="false">IF(R130="","",IF(F130="BUY",R130-S130,S130-R130))</f>
        <v/>
      </c>
      <c r="V130" s="39" t="n">
        <f aca="false">IF(F130="BUY",S130-J130,J130-S130)</f>
        <v>4.54999999999995</v>
      </c>
      <c r="W130" s="6" t="n">
        <v>31.85</v>
      </c>
      <c r="X130" s="26" t="n">
        <f aca="false">IFERROR(W130/N130,0)</f>
        <v>0.758333333333333</v>
      </c>
      <c r="Y130" s="22" t="str">
        <f aca="false">IF(W130&gt;0,"Win",IF(W130&lt;0,"Loss","Flat"))</f>
        <v>Win</v>
      </c>
      <c r="Z130" s="24" t="n">
        <f aca="false">Summary!$C$5+SUM(W$2:W130)</f>
        <v>4380.65</v>
      </c>
      <c r="AA130" s="24" t="n">
        <f aca="false">MAX(AA129,Z130)</f>
        <v>5000</v>
      </c>
      <c r="AB130" s="24" t="n">
        <f aca="false">AA130-Z130</f>
        <v>619.35</v>
      </c>
      <c r="AC130" s="23" t="n">
        <f aca="false">IFERROR(AB130/AA130,0)</f>
        <v>0.12387</v>
      </c>
      <c r="AD130" s="22" t="s">
        <v>367</v>
      </c>
    </row>
    <row r="131" customFormat="false" ht="15" hidden="false" customHeight="false" outlineLevel="0" collapsed="false">
      <c r="A131" s="22" t="n">
        <v>130</v>
      </c>
      <c r="B131" s="22" t="s">
        <v>123</v>
      </c>
      <c r="C131" s="37" t="n">
        <v>44763.1382291667</v>
      </c>
      <c r="D131" s="22" t="s">
        <v>205</v>
      </c>
      <c r="E131" s="22" t="n">
        <v>3</v>
      </c>
      <c r="F131" s="22" t="s">
        <v>182</v>
      </c>
      <c r="G131" s="22" t="s">
        <v>237</v>
      </c>
      <c r="H131" s="22" t="n">
        <v>0.07</v>
      </c>
      <c r="I131" s="38" t="n">
        <v>1692.34</v>
      </c>
      <c r="J131" s="38" t="n">
        <v>1692.34</v>
      </c>
      <c r="K131" s="39" t="n">
        <f aca="false">IF(F131="BUY",J131-I131,I131-J131)</f>
        <v>0</v>
      </c>
      <c r="L131" s="38" t="n">
        <v>1698.34</v>
      </c>
      <c r="M131" s="39" t="n">
        <f aca="false">ABS(I131-L131)</f>
        <v>6</v>
      </c>
      <c r="N131" s="24" t="n">
        <f aca="false">M131*H131*Summary!$C$6</f>
        <v>42</v>
      </c>
      <c r="O131" s="37" t="n">
        <v>44763.1790046296</v>
      </c>
      <c r="P131" s="22" t="n">
        <f aca="false">ROUND((O131-C131)*86400,0)</f>
        <v>3523</v>
      </c>
      <c r="Q131" s="22" t="str">
        <f aca="false">IF(P131&lt;10,"a) &lt;10s",IF(P131&lt;60,"b) 10-60s",IF(P131&lt;600,"c) 1-10min","d) &gt;10min")))</f>
        <v>d) &gt;10min</v>
      </c>
      <c r="R131" s="38" t="n">
        <v>1691.84</v>
      </c>
      <c r="S131" s="38" t="n">
        <v>1691.84</v>
      </c>
      <c r="T131" s="22" t="s">
        <v>189</v>
      </c>
      <c r="U131" s="39" t="n">
        <f aca="false">IF(R131="","",IF(F131="BUY",R131-S131,S131-R131))</f>
        <v>0</v>
      </c>
      <c r="V131" s="39" t="n">
        <f aca="false">IF(F131="BUY",S131-J131,J131-S131)</f>
        <v>0.5</v>
      </c>
      <c r="W131" s="6" t="n">
        <v>3.5</v>
      </c>
      <c r="X131" s="26" t="n">
        <f aca="false">IFERROR(W131/N131,0)</f>
        <v>0.0833333333333333</v>
      </c>
      <c r="Y131" s="22" t="str">
        <f aca="false">IF(W131&gt;0,"Win",IF(W131&lt;0,"Loss","Flat"))</f>
        <v>Win</v>
      </c>
      <c r="Z131" s="24" t="n">
        <f aca="false">Summary!$C$5+SUM(W$2:W131)</f>
        <v>4384.15</v>
      </c>
      <c r="AA131" s="24" t="n">
        <f aca="false">MAX(AA130,Z131)</f>
        <v>5000</v>
      </c>
      <c r="AB131" s="24" t="n">
        <f aca="false">AA131-Z131</f>
        <v>615.85</v>
      </c>
      <c r="AC131" s="23" t="n">
        <f aca="false">IFERROR(AB131/AA131,0)</f>
        <v>0.12317</v>
      </c>
      <c r="AD131" s="22" t="s">
        <v>368</v>
      </c>
    </row>
    <row r="132" customFormat="false" ht="15" hidden="false" customHeight="false" outlineLevel="0" collapsed="false">
      <c r="A132" s="22" t="n">
        <v>131</v>
      </c>
      <c r="B132" s="22" t="s">
        <v>123</v>
      </c>
      <c r="C132" s="37" t="n">
        <v>44763.3909259259</v>
      </c>
      <c r="D132" s="22" t="s">
        <v>205</v>
      </c>
      <c r="E132" s="22" t="n">
        <v>9</v>
      </c>
      <c r="F132" s="22" t="s">
        <v>182</v>
      </c>
      <c r="G132" s="22" t="s">
        <v>241</v>
      </c>
      <c r="H132" s="22" t="n">
        <v>0.07</v>
      </c>
      <c r="I132" s="38" t="n">
        <v>1690.8</v>
      </c>
      <c r="J132" s="38" t="n">
        <v>1690.75</v>
      </c>
      <c r="K132" s="39" t="n">
        <f aca="false">IF(F132="BUY",J132-I132,I132-J132)</f>
        <v>0.0499999999999545</v>
      </c>
      <c r="L132" s="38" t="n">
        <v>1696.8</v>
      </c>
      <c r="M132" s="39" t="n">
        <f aca="false">ABS(I132-L132)</f>
        <v>6</v>
      </c>
      <c r="N132" s="24" t="n">
        <f aca="false">M132*H132*Summary!$C$6</f>
        <v>42</v>
      </c>
      <c r="O132" s="37" t="n">
        <v>44763.4309837963</v>
      </c>
      <c r="P132" s="22" t="n">
        <f aca="false">ROUND((O132-C132)*86400,0)</f>
        <v>3461</v>
      </c>
      <c r="Q132" s="22" t="str">
        <f aca="false">IF(P132&lt;10,"a) &lt;10s",IF(P132&lt;60,"b) 10-60s",IF(P132&lt;600,"c) 1-10min","d) &gt;10min")))</f>
        <v>d) &gt;10min</v>
      </c>
      <c r="R132" s="38" t="n">
        <v>1690.25</v>
      </c>
      <c r="S132" s="38" t="n">
        <v>1690.32</v>
      </c>
      <c r="T132" s="22" t="s">
        <v>189</v>
      </c>
      <c r="U132" s="39" t="n">
        <f aca="false">IF(R132="","",IF(F132="BUY",R132-S132,S132-R132))</f>
        <v>0.0699999999999363</v>
      </c>
      <c r="V132" s="39" t="n">
        <f aca="false">IF(F132="BUY",S132-J132,J132-S132)</f>
        <v>0.430000000000064</v>
      </c>
      <c r="W132" s="6" t="n">
        <v>3.01</v>
      </c>
      <c r="X132" s="26" t="n">
        <f aca="false">IFERROR(W132/N132,0)</f>
        <v>0.0716666666666667</v>
      </c>
      <c r="Y132" s="22" t="str">
        <f aca="false">IF(W132&gt;0,"Win",IF(W132&lt;0,"Loss","Flat"))</f>
        <v>Win</v>
      </c>
      <c r="Z132" s="24" t="n">
        <f aca="false">Summary!$C$5+SUM(W$2:W132)</f>
        <v>4387.16</v>
      </c>
      <c r="AA132" s="24" t="n">
        <f aca="false">MAX(AA131,Z132)</f>
        <v>5000</v>
      </c>
      <c r="AB132" s="24" t="n">
        <f aca="false">AA132-Z132</f>
        <v>612.84</v>
      </c>
      <c r="AC132" s="23" t="n">
        <f aca="false">IFERROR(AB132/AA132,0)</f>
        <v>0.122568</v>
      </c>
      <c r="AD132" s="22" t="s">
        <v>369</v>
      </c>
    </row>
    <row r="133" customFormat="false" ht="15" hidden="false" customHeight="false" outlineLevel="0" collapsed="false">
      <c r="A133" s="22" t="n">
        <v>132</v>
      </c>
      <c r="B133" s="22" t="s">
        <v>123</v>
      </c>
      <c r="C133" s="37" t="n">
        <v>44764.3758101852</v>
      </c>
      <c r="D133" s="22" t="s">
        <v>206</v>
      </c>
      <c r="E133" s="22" t="n">
        <v>9</v>
      </c>
      <c r="F133" s="22" t="s">
        <v>181</v>
      </c>
      <c r="G133" s="22" t="s">
        <v>235</v>
      </c>
      <c r="H133" s="22" t="n">
        <v>0.07</v>
      </c>
      <c r="I133" s="38" t="n">
        <v>1716.74</v>
      </c>
      <c r="J133" s="38" t="n">
        <v>1716.8</v>
      </c>
      <c r="K133" s="39" t="n">
        <f aca="false">IF(F133="BUY",J133-I133,I133-J133)</f>
        <v>0.0599999999999454</v>
      </c>
      <c r="L133" s="38" t="n">
        <v>1710.74</v>
      </c>
      <c r="M133" s="39" t="n">
        <f aca="false">ABS(I133-L133)</f>
        <v>6</v>
      </c>
      <c r="N133" s="24" t="n">
        <f aca="false">M133*H133*Summary!$C$6</f>
        <v>42</v>
      </c>
      <c r="O133" s="37" t="n">
        <v>44764.4003009259</v>
      </c>
      <c r="P133" s="22" t="n">
        <f aca="false">ROUND((O133-C133)*86400,0)</f>
        <v>2116</v>
      </c>
      <c r="Q133" s="22" t="str">
        <f aca="false">IF(P133&lt;10,"a) &lt;10s",IF(P133&lt;60,"b) 10-60s",IF(P133&lt;600,"c) 1-10min","d) &gt;10min")))</f>
        <v>d) &gt;10min</v>
      </c>
      <c r="R133" s="38" t="n">
        <v>1717.3</v>
      </c>
      <c r="S133" s="38" t="n">
        <v>1717.29</v>
      </c>
      <c r="T133" s="22" t="s">
        <v>189</v>
      </c>
      <c r="U133" s="39" t="n">
        <f aca="false">IF(R133="","",IF(F133="BUY",R133-S133,S133-R133))</f>
        <v>0.00999999999999091</v>
      </c>
      <c r="V133" s="39" t="n">
        <f aca="false">IF(F133="BUY",S133-J133,J133-S133)</f>
        <v>0.490000000000009</v>
      </c>
      <c r="W133" s="6" t="n">
        <v>3.43</v>
      </c>
      <c r="X133" s="26" t="n">
        <f aca="false">IFERROR(W133/N133,0)</f>
        <v>0.0816666666666667</v>
      </c>
      <c r="Y133" s="22" t="str">
        <f aca="false">IF(W133&gt;0,"Win",IF(W133&lt;0,"Loss","Flat"))</f>
        <v>Win</v>
      </c>
      <c r="Z133" s="24" t="n">
        <f aca="false">Summary!$C$5+SUM(W$2:W133)</f>
        <v>4390.59</v>
      </c>
      <c r="AA133" s="24" t="n">
        <f aca="false">MAX(AA132,Z133)</f>
        <v>5000</v>
      </c>
      <c r="AB133" s="24" t="n">
        <f aca="false">AA133-Z133</f>
        <v>609.41</v>
      </c>
      <c r="AC133" s="23" t="n">
        <f aca="false">IFERROR(AB133/AA133,0)</f>
        <v>0.121882</v>
      </c>
      <c r="AD133" s="22" t="s">
        <v>370</v>
      </c>
    </row>
    <row r="134" customFormat="false" ht="15" hidden="false" customHeight="false" outlineLevel="0" collapsed="false">
      <c r="A134" s="22" t="n">
        <v>133</v>
      </c>
      <c r="B134" s="22" t="s">
        <v>123</v>
      </c>
      <c r="C134" s="37" t="n">
        <v>44764.4350694444</v>
      </c>
      <c r="D134" s="22" t="s">
        <v>206</v>
      </c>
      <c r="E134" s="22" t="n">
        <v>10</v>
      </c>
      <c r="F134" s="22" t="s">
        <v>181</v>
      </c>
      <c r="G134" s="22" t="s">
        <v>243</v>
      </c>
      <c r="H134" s="22" t="n">
        <v>0.07</v>
      </c>
      <c r="I134" s="38" t="n">
        <v>1720.24</v>
      </c>
      <c r="J134" s="38" t="n">
        <v>1720.27</v>
      </c>
      <c r="K134" s="39" t="n">
        <f aca="false">IF(F134="BUY",J134-I134,I134-J134)</f>
        <v>0.0299999999999727</v>
      </c>
      <c r="L134" s="38" t="n">
        <v>1714.24</v>
      </c>
      <c r="M134" s="39" t="n">
        <f aca="false">ABS(I134-L134)</f>
        <v>6</v>
      </c>
      <c r="N134" s="24" t="n">
        <f aca="false">M134*H134*Summary!$C$6</f>
        <v>42</v>
      </c>
      <c r="O134" s="37" t="n">
        <v>44764.8888425926</v>
      </c>
      <c r="P134" s="22" t="n">
        <f aca="false">ROUND((O134-C134)*86400,0)</f>
        <v>39206</v>
      </c>
      <c r="Q134" s="22" t="str">
        <f aca="false">IF(P134&lt;10,"a) &lt;10s",IF(P134&lt;60,"b) 10-60s",IF(P134&lt;600,"c) 1-10min","d) &gt;10min")))</f>
        <v>d) &gt;10min</v>
      </c>
      <c r="R134" s="38" t="n">
        <v>1720.77</v>
      </c>
      <c r="S134" s="38" t="n">
        <v>1720.77</v>
      </c>
      <c r="T134" s="22" t="s">
        <v>189</v>
      </c>
      <c r="U134" s="39" t="n">
        <f aca="false">IF(R134="","",IF(F134="BUY",R134-S134,S134-R134))</f>
        <v>0</v>
      </c>
      <c r="V134" s="39" t="n">
        <f aca="false">IF(F134="BUY",S134-J134,J134-S134)</f>
        <v>0.5</v>
      </c>
      <c r="W134" s="6" t="n">
        <v>3.5</v>
      </c>
      <c r="X134" s="26" t="n">
        <f aca="false">IFERROR(W134/N134,0)</f>
        <v>0.0833333333333333</v>
      </c>
      <c r="Y134" s="22" t="str">
        <f aca="false">IF(W134&gt;0,"Win",IF(W134&lt;0,"Loss","Flat"))</f>
        <v>Win</v>
      </c>
      <c r="Z134" s="24" t="n">
        <f aca="false">Summary!$C$5+SUM(W$2:W134)</f>
        <v>4394.09</v>
      </c>
      <c r="AA134" s="24" t="n">
        <f aca="false">MAX(AA133,Z134)</f>
        <v>5000</v>
      </c>
      <c r="AB134" s="24" t="n">
        <f aca="false">AA134-Z134</f>
        <v>605.91</v>
      </c>
      <c r="AC134" s="23" t="n">
        <f aca="false">IFERROR(AB134/AA134,0)</f>
        <v>0.121182</v>
      </c>
      <c r="AD134" s="22" t="s">
        <v>371</v>
      </c>
    </row>
    <row r="135" customFormat="false" ht="15" hidden="false" customHeight="false" outlineLevel="0" collapsed="false">
      <c r="A135" s="22" t="n">
        <v>134</v>
      </c>
      <c r="B135" s="22" t="s">
        <v>123</v>
      </c>
      <c r="C135" s="37" t="n">
        <v>44767.4333101852</v>
      </c>
      <c r="D135" s="22" t="s">
        <v>202</v>
      </c>
      <c r="E135" s="22" t="n">
        <v>10</v>
      </c>
      <c r="F135" s="22" t="s">
        <v>181</v>
      </c>
      <c r="G135" s="22" t="s">
        <v>235</v>
      </c>
      <c r="H135" s="22" t="n">
        <v>0.07</v>
      </c>
      <c r="I135" s="38" t="n">
        <v>1727.77</v>
      </c>
      <c r="J135" s="38" t="n">
        <v>1727.79</v>
      </c>
      <c r="K135" s="39" t="n">
        <f aca="false">IF(F135="BUY",J135-I135,I135-J135)</f>
        <v>0.0199999999999818</v>
      </c>
      <c r="L135" s="38" t="n">
        <v>1721.77</v>
      </c>
      <c r="M135" s="39" t="n">
        <f aca="false">ABS(I135-L135)</f>
        <v>6</v>
      </c>
      <c r="N135" s="24" t="n">
        <f aca="false">M135*H135*Summary!$C$6</f>
        <v>42</v>
      </c>
      <c r="O135" s="37" t="n">
        <v>44767.4989814815</v>
      </c>
      <c r="P135" s="22" t="n">
        <f aca="false">ROUND((O135-C135)*86400,0)</f>
        <v>5674</v>
      </c>
      <c r="Q135" s="22" t="str">
        <f aca="false">IF(P135&lt;10,"a) &lt;10s",IF(P135&lt;60,"b) 10-60s",IF(P135&lt;600,"c) 1-10min","d) &gt;10min")))</f>
        <v>d) &gt;10min</v>
      </c>
      <c r="R135" s="38" t="n">
        <v>1728.29</v>
      </c>
      <c r="S135" s="38" t="n">
        <v>1728.28</v>
      </c>
      <c r="T135" s="22" t="s">
        <v>189</v>
      </c>
      <c r="U135" s="39" t="n">
        <f aca="false">IF(R135="","",IF(F135="BUY",R135-S135,S135-R135))</f>
        <v>0.00999999999999091</v>
      </c>
      <c r="V135" s="39" t="n">
        <f aca="false">IF(F135="BUY",S135-J135,J135-S135)</f>
        <v>0.490000000000009</v>
      </c>
      <c r="W135" s="6" t="n">
        <v>3.43</v>
      </c>
      <c r="X135" s="26" t="n">
        <f aca="false">IFERROR(W135/N135,0)</f>
        <v>0.0816666666666667</v>
      </c>
      <c r="Y135" s="22" t="str">
        <f aca="false">IF(W135&gt;0,"Win",IF(W135&lt;0,"Loss","Flat"))</f>
        <v>Win</v>
      </c>
      <c r="Z135" s="24" t="n">
        <f aca="false">Summary!$C$5+SUM(W$2:W135)</f>
        <v>4397.52</v>
      </c>
      <c r="AA135" s="24" t="n">
        <f aca="false">MAX(AA134,Z135)</f>
        <v>5000</v>
      </c>
      <c r="AB135" s="24" t="n">
        <f aca="false">AA135-Z135</f>
        <v>602.48</v>
      </c>
      <c r="AC135" s="23" t="n">
        <f aca="false">IFERROR(AB135/AA135,0)</f>
        <v>0.120496</v>
      </c>
      <c r="AD135" s="22" t="s">
        <v>372</v>
      </c>
    </row>
    <row r="136" customFormat="false" ht="15" hidden="false" customHeight="false" outlineLevel="0" collapsed="false">
      <c r="A136" s="22" t="n">
        <v>135</v>
      </c>
      <c r="B136" s="22" t="s">
        <v>123</v>
      </c>
      <c r="C136" s="37" t="n">
        <v>44768.4002893519</v>
      </c>
      <c r="D136" s="22" t="s">
        <v>203</v>
      </c>
      <c r="E136" s="22" t="n">
        <v>9</v>
      </c>
      <c r="F136" s="22" t="s">
        <v>181</v>
      </c>
      <c r="G136" s="22" t="s">
        <v>235</v>
      </c>
      <c r="H136" s="22" t="n">
        <v>0.07</v>
      </c>
      <c r="I136" s="38" t="n">
        <v>1724.13</v>
      </c>
      <c r="J136" s="38" t="n">
        <v>1724.16</v>
      </c>
      <c r="K136" s="39" t="n">
        <f aca="false">IF(F136="BUY",J136-I136,I136-J136)</f>
        <v>0.0299999999999727</v>
      </c>
      <c r="L136" s="38" t="n">
        <v>1718.13</v>
      </c>
      <c r="M136" s="39" t="n">
        <f aca="false">ABS(I136-L136)</f>
        <v>6</v>
      </c>
      <c r="N136" s="24" t="n">
        <f aca="false">M136*H136*Summary!$C$6</f>
        <v>42</v>
      </c>
      <c r="O136" s="37" t="n">
        <v>44768.4156481482</v>
      </c>
      <c r="P136" s="22" t="n">
        <f aca="false">ROUND((O136-C136)*86400,0)</f>
        <v>1327</v>
      </c>
      <c r="Q136" s="22" t="str">
        <f aca="false">IF(P136&lt;10,"a) &lt;10s",IF(P136&lt;60,"b) 10-60s",IF(P136&lt;600,"c) 1-10min","d) &gt;10min")))</f>
        <v>d) &gt;10min</v>
      </c>
      <c r="R136" s="38" t="n">
        <v>1724.66</v>
      </c>
      <c r="S136" s="38" t="n">
        <v>1724.64</v>
      </c>
      <c r="T136" s="22" t="s">
        <v>189</v>
      </c>
      <c r="U136" s="39" t="n">
        <f aca="false">IF(R136="","",IF(F136="BUY",R136-S136,S136-R136))</f>
        <v>0.0199999999999818</v>
      </c>
      <c r="V136" s="39" t="n">
        <f aca="false">IF(F136="BUY",S136-J136,J136-S136)</f>
        <v>0.480000000000018</v>
      </c>
      <c r="W136" s="6" t="n">
        <v>3.36</v>
      </c>
      <c r="X136" s="26" t="n">
        <f aca="false">IFERROR(W136/N136,0)</f>
        <v>0.08</v>
      </c>
      <c r="Y136" s="22" t="str">
        <f aca="false">IF(W136&gt;0,"Win",IF(W136&lt;0,"Loss","Flat"))</f>
        <v>Win</v>
      </c>
      <c r="Z136" s="24" t="n">
        <f aca="false">Summary!$C$5+SUM(W$2:W136)</f>
        <v>4400.88</v>
      </c>
      <c r="AA136" s="24" t="n">
        <f aca="false">MAX(AA135,Z136)</f>
        <v>5000</v>
      </c>
      <c r="AB136" s="24" t="n">
        <f aca="false">AA136-Z136</f>
        <v>599.12</v>
      </c>
      <c r="AC136" s="23" t="n">
        <f aca="false">IFERROR(AB136/AA136,0)</f>
        <v>0.119824</v>
      </c>
      <c r="AD136" s="22" t="s">
        <v>373</v>
      </c>
    </row>
    <row r="137" customFormat="false" ht="15" hidden="false" customHeight="false" outlineLevel="0" collapsed="false">
      <c r="A137" s="22" t="n">
        <v>136</v>
      </c>
      <c r="B137" s="22" t="s">
        <v>123</v>
      </c>
      <c r="C137" s="37" t="n">
        <v>44768.6403009259</v>
      </c>
      <c r="D137" s="22" t="s">
        <v>203</v>
      </c>
      <c r="E137" s="22" t="n">
        <v>15</v>
      </c>
      <c r="F137" s="22" t="s">
        <v>182</v>
      </c>
      <c r="G137" s="22" t="s">
        <v>237</v>
      </c>
      <c r="H137" s="22" t="n">
        <v>0.07</v>
      </c>
      <c r="I137" s="38" t="n">
        <v>1714.65</v>
      </c>
      <c r="J137" s="38" t="n">
        <v>1714.62</v>
      </c>
      <c r="K137" s="39" t="n">
        <f aca="false">IF(F137="BUY",J137-I137,I137-J137)</f>
        <v>0.0300000000002001</v>
      </c>
      <c r="L137" s="38" t="n">
        <v>1720.65</v>
      </c>
      <c r="M137" s="39" t="n">
        <f aca="false">ABS(I137-L137)</f>
        <v>6</v>
      </c>
      <c r="N137" s="24" t="n">
        <f aca="false">M137*H137*Summary!$C$6</f>
        <v>42</v>
      </c>
      <c r="O137" s="37" t="n">
        <v>44768.6496180556</v>
      </c>
      <c r="P137" s="22" t="n">
        <f aca="false">ROUND((O137-C137)*86400,0)</f>
        <v>805</v>
      </c>
      <c r="Q137" s="22" t="str">
        <f aca="false">IF(P137&lt;10,"a) &lt;10s",IF(P137&lt;60,"b) 10-60s",IF(P137&lt;600,"c) 1-10min","d) &gt;10min")))</f>
        <v>d) &gt;10min</v>
      </c>
      <c r="R137" s="38" t="n">
        <v>1720.65</v>
      </c>
      <c r="S137" s="38" t="n">
        <v>1720.95</v>
      </c>
      <c r="T137" s="22" t="s">
        <v>188</v>
      </c>
      <c r="U137" s="39" t="n">
        <f aca="false">IF(R137="","",IF(F137="BUY",R137-S137,S137-R137))</f>
        <v>0.299999999999955</v>
      </c>
      <c r="V137" s="39" t="n">
        <f aca="false">IF(F137="BUY",S137-J137,J137-S137)</f>
        <v>-6.33000000000016</v>
      </c>
      <c r="W137" s="6" t="n">
        <v>-44.31</v>
      </c>
      <c r="X137" s="26" t="n">
        <f aca="false">IFERROR(W137/N137,0)</f>
        <v>-1.055</v>
      </c>
      <c r="Y137" s="22" t="str">
        <f aca="false">IF(W137&gt;0,"Win",IF(W137&lt;0,"Loss","Flat"))</f>
        <v>Loss</v>
      </c>
      <c r="Z137" s="24" t="n">
        <f aca="false">Summary!$C$5+SUM(W$2:W137)</f>
        <v>4356.57</v>
      </c>
      <c r="AA137" s="24" t="n">
        <f aca="false">MAX(AA136,Z137)</f>
        <v>5000</v>
      </c>
      <c r="AB137" s="24" t="n">
        <f aca="false">AA137-Z137</f>
        <v>643.43</v>
      </c>
      <c r="AC137" s="23" t="n">
        <f aca="false">IFERROR(AB137/AA137,0)</f>
        <v>0.128686</v>
      </c>
      <c r="AD137" s="22" t="s">
        <v>374</v>
      </c>
    </row>
    <row r="138" customFormat="false" ht="15" hidden="false" customHeight="false" outlineLevel="0" collapsed="false">
      <c r="A138" s="22" t="n">
        <v>137</v>
      </c>
      <c r="B138" s="22" t="s">
        <v>123</v>
      </c>
      <c r="C138" s="37" t="n">
        <v>44769.3764583333</v>
      </c>
      <c r="D138" s="22" t="s">
        <v>204</v>
      </c>
      <c r="E138" s="22" t="n">
        <v>9</v>
      </c>
      <c r="F138" s="22" t="s">
        <v>181</v>
      </c>
      <c r="G138" s="22" t="s">
        <v>235</v>
      </c>
      <c r="H138" s="22" t="n">
        <v>0.07</v>
      </c>
      <c r="I138" s="38" t="n">
        <v>1719.68</v>
      </c>
      <c r="J138" s="38" t="n">
        <v>1719.71</v>
      </c>
      <c r="K138" s="39" t="n">
        <f aca="false">IF(F138="BUY",J138-I138,I138-J138)</f>
        <v>0.0299999999999727</v>
      </c>
      <c r="L138" s="38" t="n">
        <v>1713.68</v>
      </c>
      <c r="M138" s="39" t="n">
        <f aca="false">ABS(I138-L138)</f>
        <v>6</v>
      </c>
      <c r="N138" s="24" t="n">
        <f aca="false">M138*H138*Summary!$C$6</f>
        <v>42</v>
      </c>
      <c r="O138" s="37" t="n">
        <v>44769.4244097222</v>
      </c>
      <c r="P138" s="22" t="n">
        <f aca="false">ROUND((O138-C138)*86400,0)</f>
        <v>4143</v>
      </c>
      <c r="Q138" s="22" t="str">
        <f aca="false">IF(P138&lt;10,"a) &lt;10s",IF(P138&lt;60,"b) 10-60s",IF(P138&lt;600,"c) 1-10min","d) &gt;10min")))</f>
        <v>d) &gt;10min</v>
      </c>
      <c r="R138" s="38" t="n">
        <v>1720.21</v>
      </c>
      <c r="S138" s="38" t="n">
        <v>1720.15</v>
      </c>
      <c r="T138" s="22" t="s">
        <v>189</v>
      </c>
      <c r="U138" s="39" t="n">
        <f aca="false">IF(R138="","",IF(F138="BUY",R138-S138,S138-R138))</f>
        <v>0.0599999999999454</v>
      </c>
      <c r="V138" s="39" t="n">
        <f aca="false">IF(F138="BUY",S138-J138,J138-S138)</f>
        <v>0.440000000000055</v>
      </c>
      <c r="W138" s="6" t="n">
        <v>3.08</v>
      </c>
      <c r="X138" s="26" t="n">
        <f aca="false">IFERROR(W138/N138,0)</f>
        <v>0.0733333333333333</v>
      </c>
      <c r="Y138" s="22" t="str">
        <f aca="false">IF(W138&gt;0,"Win",IF(W138&lt;0,"Loss","Flat"))</f>
        <v>Win</v>
      </c>
      <c r="Z138" s="24" t="n">
        <f aca="false">Summary!$C$5+SUM(W$2:W138)</f>
        <v>4359.65</v>
      </c>
      <c r="AA138" s="24" t="n">
        <f aca="false">MAX(AA137,Z138)</f>
        <v>5000</v>
      </c>
      <c r="AB138" s="24" t="n">
        <f aca="false">AA138-Z138</f>
        <v>640.35</v>
      </c>
      <c r="AC138" s="23" t="n">
        <f aca="false">IFERROR(AB138/AA138,0)</f>
        <v>0.12807</v>
      </c>
      <c r="AD138" s="22" t="s">
        <v>375</v>
      </c>
    </row>
    <row r="139" customFormat="false" ht="15" hidden="false" customHeight="false" outlineLevel="0" collapsed="false">
      <c r="A139" s="22" t="n">
        <v>138</v>
      </c>
      <c r="B139" s="22" t="s">
        <v>123</v>
      </c>
      <c r="C139" s="37" t="n">
        <v>44769.7056828704</v>
      </c>
      <c r="D139" s="22" t="s">
        <v>204</v>
      </c>
      <c r="E139" s="22" t="n">
        <v>16</v>
      </c>
      <c r="F139" s="22" t="s">
        <v>182</v>
      </c>
      <c r="G139" s="22" t="s">
        <v>237</v>
      </c>
      <c r="H139" s="22" t="n">
        <v>0.07</v>
      </c>
      <c r="I139" s="38" t="n">
        <v>1713.53</v>
      </c>
      <c r="J139" s="38" t="n">
        <v>1713.49</v>
      </c>
      <c r="K139" s="39" t="n">
        <f aca="false">IF(F139="BUY",J139-I139,I139-J139)</f>
        <v>0.0399999999999636</v>
      </c>
      <c r="L139" s="38" t="n">
        <v>1719.53</v>
      </c>
      <c r="M139" s="39" t="n">
        <f aca="false">ABS(I139-L139)</f>
        <v>6</v>
      </c>
      <c r="N139" s="24" t="n">
        <f aca="false">M139*H139*Summary!$C$6</f>
        <v>42</v>
      </c>
      <c r="O139" s="37" t="n">
        <v>44769.763587963</v>
      </c>
      <c r="P139" s="22" t="n">
        <f aca="false">ROUND((O139-C139)*86400,0)</f>
        <v>5003</v>
      </c>
      <c r="Q139" s="22" t="str">
        <f aca="false">IF(P139&lt;10,"a) &lt;10s",IF(P139&lt;60,"b) 10-60s",IF(P139&lt;600,"c) 1-10min","d) &gt;10min")))</f>
        <v>d) &gt;10min</v>
      </c>
      <c r="R139" s="38" t="n">
        <v>1719.53</v>
      </c>
      <c r="S139" s="38" t="n">
        <v>1719.54</v>
      </c>
      <c r="T139" s="22" t="s">
        <v>188</v>
      </c>
      <c r="U139" s="39" t="n">
        <f aca="false">IF(R139="","",IF(F139="BUY",R139-S139,S139-R139))</f>
        <v>0.00999999999999091</v>
      </c>
      <c r="V139" s="39" t="n">
        <f aca="false">IF(F139="BUY",S139-J139,J139-S139)</f>
        <v>-6.04999999999995</v>
      </c>
      <c r="W139" s="6" t="n">
        <v>-42.35</v>
      </c>
      <c r="X139" s="26" t="n">
        <f aca="false">IFERROR(W139/N139,0)</f>
        <v>-1.00833333333333</v>
      </c>
      <c r="Y139" s="22" t="str">
        <f aca="false">IF(W139&gt;0,"Win",IF(W139&lt;0,"Loss","Flat"))</f>
        <v>Loss</v>
      </c>
      <c r="Z139" s="24" t="n">
        <f aca="false">Summary!$C$5+SUM(W$2:W139)</f>
        <v>4317.3</v>
      </c>
      <c r="AA139" s="24" t="n">
        <f aca="false">MAX(AA138,Z139)</f>
        <v>5000</v>
      </c>
      <c r="AB139" s="24" t="n">
        <f aca="false">AA139-Z139</f>
        <v>682.7</v>
      </c>
      <c r="AC139" s="23" t="n">
        <f aca="false">IFERROR(AB139/AA139,0)</f>
        <v>0.13654</v>
      </c>
      <c r="AD139" s="22" t="s">
        <v>376</v>
      </c>
    </row>
    <row r="140" customFormat="false" ht="15" hidden="false" customHeight="false" outlineLevel="0" collapsed="false">
      <c r="A140" s="22" t="n">
        <v>139</v>
      </c>
      <c r="B140" s="22" t="s">
        <v>123</v>
      </c>
      <c r="C140" s="37" t="n">
        <v>44770.1131712963</v>
      </c>
      <c r="D140" s="22" t="s">
        <v>205</v>
      </c>
      <c r="E140" s="22" t="n">
        <v>2</v>
      </c>
      <c r="F140" s="22" t="s">
        <v>181</v>
      </c>
      <c r="G140" s="22" t="s">
        <v>243</v>
      </c>
      <c r="H140" s="22" t="n">
        <v>0.07</v>
      </c>
      <c r="I140" s="38" t="n">
        <v>1740.14</v>
      </c>
      <c r="J140" s="38" t="n">
        <v>1740.15</v>
      </c>
      <c r="K140" s="39" t="n">
        <f aca="false">IF(F140="BUY",J140-I140,I140-J140)</f>
        <v>0.00999999999999091</v>
      </c>
      <c r="L140" s="38" t="n">
        <v>1734.14</v>
      </c>
      <c r="M140" s="39" t="n">
        <f aca="false">ABS(I140-L140)</f>
        <v>6</v>
      </c>
      <c r="N140" s="24" t="n">
        <f aca="false">M140*H140*Summary!$C$6</f>
        <v>42</v>
      </c>
      <c r="O140" s="37" t="n">
        <v>44770.222037037</v>
      </c>
      <c r="P140" s="22" t="n">
        <f aca="false">ROUND((O140-C140)*86400,0)</f>
        <v>9406</v>
      </c>
      <c r="Q140" s="22" t="str">
        <f aca="false">IF(P140&lt;10,"a) &lt;10s",IF(P140&lt;60,"b) 10-60s",IF(P140&lt;600,"c) 1-10min","d) &gt;10min")))</f>
        <v>d) &gt;10min</v>
      </c>
      <c r="R140" s="38" t="n">
        <v>1734.14</v>
      </c>
      <c r="S140" s="38" t="n">
        <v>1733.98</v>
      </c>
      <c r="T140" s="22" t="s">
        <v>188</v>
      </c>
      <c r="U140" s="39" t="n">
        <f aca="false">IF(R140="","",IF(F140="BUY",R140-S140,S140-R140))</f>
        <v>0.160000000000082</v>
      </c>
      <c r="V140" s="39" t="n">
        <f aca="false">IF(F140="BUY",S140-J140,J140-S140)</f>
        <v>-6.17000000000007</v>
      </c>
      <c r="W140" s="6" t="n">
        <v>-43.19</v>
      </c>
      <c r="X140" s="26" t="n">
        <f aca="false">IFERROR(W140/N140,0)</f>
        <v>-1.02833333333333</v>
      </c>
      <c r="Y140" s="22" t="str">
        <f aca="false">IF(W140&gt;0,"Win",IF(W140&lt;0,"Loss","Flat"))</f>
        <v>Loss</v>
      </c>
      <c r="Z140" s="24" t="n">
        <f aca="false">Summary!$C$5+SUM(W$2:W140)</f>
        <v>4274.11</v>
      </c>
      <c r="AA140" s="24" t="n">
        <f aca="false">MAX(AA139,Z140)</f>
        <v>5000</v>
      </c>
      <c r="AB140" s="24" t="n">
        <f aca="false">AA140-Z140</f>
        <v>725.89</v>
      </c>
      <c r="AC140" s="23" t="n">
        <f aca="false">IFERROR(AB140/AA140,0)</f>
        <v>0.145178</v>
      </c>
      <c r="AD140" s="22" t="s">
        <v>377</v>
      </c>
    </row>
    <row r="141" customFormat="false" ht="15" hidden="false" customHeight="false" outlineLevel="0" collapsed="false">
      <c r="A141" s="22" t="n">
        <v>140</v>
      </c>
      <c r="B141" s="22" t="s">
        <v>123</v>
      </c>
      <c r="C141" s="37" t="n">
        <v>44771.2555439815</v>
      </c>
      <c r="D141" s="22" t="s">
        <v>206</v>
      </c>
      <c r="E141" s="22" t="n">
        <v>6</v>
      </c>
      <c r="F141" s="22" t="s">
        <v>181</v>
      </c>
      <c r="G141" s="22" t="s">
        <v>243</v>
      </c>
      <c r="H141" s="22" t="n">
        <v>0.07</v>
      </c>
      <c r="I141" s="38" t="n">
        <v>1757</v>
      </c>
      <c r="J141" s="38" t="n">
        <v>1757.02</v>
      </c>
      <c r="K141" s="39" t="n">
        <f aca="false">IF(F141="BUY",J141-I141,I141-J141)</f>
        <v>0.0199999999999818</v>
      </c>
      <c r="L141" s="38" t="n">
        <v>1751</v>
      </c>
      <c r="M141" s="39" t="n">
        <f aca="false">ABS(I141-L141)</f>
        <v>6</v>
      </c>
      <c r="N141" s="24" t="n">
        <f aca="false">M141*H141*Summary!$C$6</f>
        <v>42</v>
      </c>
      <c r="O141" s="37" t="n">
        <v>44771.5353240741</v>
      </c>
      <c r="P141" s="22" t="n">
        <f aca="false">ROUND((O141-C141)*86400,0)</f>
        <v>24173</v>
      </c>
      <c r="Q141" s="22" t="str">
        <f aca="false">IF(P141&lt;10,"a) &lt;10s",IF(P141&lt;60,"b) 10-60s",IF(P141&lt;600,"c) 1-10min","d) &gt;10min")))</f>
        <v>d) &gt;10min</v>
      </c>
      <c r="R141" s="38" t="n">
        <v>1757.52</v>
      </c>
      <c r="S141" s="38" t="n">
        <v>1757.33</v>
      </c>
      <c r="T141" s="22" t="s">
        <v>189</v>
      </c>
      <c r="U141" s="39" t="n">
        <f aca="false">IF(R141="","",IF(F141="BUY",R141-S141,S141-R141))</f>
        <v>0.190000000000055</v>
      </c>
      <c r="V141" s="39" t="n">
        <f aca="false">IF(F141="BUY",S141-J141,J141-S141)</f>
        <v>0.309999999999945</v>
      </c>
      <c r="W141" s="6" t="n">
        <v>2.17</v>
      </c>
      <c r="X141" s="26" t="n">
        <f aca="false">IFERROR(W141/N141,0)</f>
        <v>0.0516666666666667</v>
      </c>
      <c r="Y141" s="22" t="str">
        <f aca="false">IF(W141&gt;0,"Win",IF(W141&lt;0,"Loss","Flat"))</f>
        <v>Win</v>
      </c>
      <c r="Z141" s="24" t="n">
        <f aca="false">Summary!$C$5+SUM(W$2:W141)</f>
        <v>4276.28</v>
      </c>
      <c r="AA141" s="24" t="n">
        <f aca="false">MAX(AA140,Z141)</f>
        <v>5000</v>
      </c>
      <c r="AB141" s="24" t="n">
        <f aca="false">AA141-Z141</f>
        <v>723.72</v>
      </c>
      <c r="AC141" s="23" t="n">
        <f aca="false">IFERROR(AB141/AA141,0)</f>
        <v>0.144744</v>
      </c>
      <c r="AD141" s="22" t="s">
        <v>378</v>
      </c>
    </row>
    <row r="142" customFormat="false" ht="15" hidden="false" customHeight="false" outlineLevel="0" collapsed="false">
      <c r="A142" s="22" t="n">
        <v>141</v>
      </c>
      <c r="B142" s="22" t="s">
        <v>124</v>
      </c>
      <c r="C142" s="37" t="n">
        <v>44774.3881365741</v>
      </c>
      <c r="D142" s="22" t="s">
        <v>202</v>
      </c>
      <c r="E142" s="22" t="n">
        <v>9</v>
      </c>
      <c r="F142" s="22" t="s">
        <v>181</v>
      </c>
      <c r="G142" s="22" t="s">
        <v>235</v>
      </c>
      <c r="H142" s="22" t="n">
        <v>0.07</v>
      </c>
      <c r="I142" s="38" t="n">
        <v>1762.36</v>
      </c>
      <c r="J142" s="38" t="n">
        <v>1762.36</v>
      </c>
      <c r="K142" s="39" t="n">
        <f aca="false">IF(F142="BUY",J142-I142,I142-J142)</f>
        <v>0</v>
      </c>
      <c r="L142" s="38" t="n">
        <v>1756.36</v>
      </c>
      <c r="M142" s="39" t="n">
        <f aca="false">ABS(I142-L142)</f>
        <v>6</v>
      </c>
      <c r="N142" s="24" t="n">
        <f aca="false">M142*H142*Summary!$C$6</f>
        <v>42</v>
      </c>
      <c r="O142" s="37" t="n">
        <v>44774.4169212963</v>
      </c>
      <c r="P142" s="22" t="n">
        <f aca="false">ROUND((O142-C142)*86400,0)</f>
        <v>2487</v>
      </c>
      <c r="Q142" s="22" t="str">
        <f aca="false">IF(P142&lt;10,"a) &lt;10s",IF(P142&lt;60,"b) 10-60s",IF(P142&lt;600,"c) 1-10min","d) &gt;10min")))</f>
        <v>d) &gt;10min</v>
      </c>
      <c r="R142" s="38" t="n">
        <v>1762.86</v>
      </c>
      <c r="S142" s="38" t="n">
        <v>1762.85</v>
      </c>
      <c r="T142" s="22" t="s">
        <v>189</v>
      </c>
      <c r="U142" s="39" t="n">
        <f aca="false">IF(R142="","",IF(F142="BUY",R142-S142,S142-R142))</f>
        <v>0.00999999999999091</v>
      </c>
      <c r="V142" s="39" t="n">
        <f aca="false">IF(F142="BUY",S142-J142,J142-S142)</f>
        <v>0.490000000000009</v>
      </c>
      <c r="W142" s="6" t="n">
        <v>3.43</v>
      </c>
      <c r="X142" s="26" t="n">
        <f aca="false">IFERROR(W142/N142,0)</f>
        <v>0.0816666666666667</v>
      </c>
      <c r="Y142" s="22" t="str">
        <f aca="false">IF(W142&gt;0,"Win",IF(W142&lt;0,"Loss","Flat"))</f>
        <v>Win</v>
      </c>
      <c r="Z142" s="24" t="n">
        <f aca="false">Summary!$C$5+SUM(W$2:W142)</f>
        <v>4279.71</v>
      </c>
      <c r="AA142" s="24" t="n">
        <f aca="false">MAX(AA141,Z142)</f>
        <v>5000</v>
      </c>
      <c r="AB142" s="24" t="n">
        <f aca="false">AA142-Z142</f>
        <v>720.29</v>
      </c>
      <c r="AC142" s="23" t="n">
        <f aca="false">IFERROR(AB142/AA142,0)</f>
        <v>0.144058</v>
      </c>
      <c r="AD142" s="22" t="s">
        <v>379</v>
      </c>
    </row>
    <row r="143" customFormat="false" ht="15" hidden="false" customHeight="false" outlineLevel="0" collapsed="false">
      <c r="A143" s="22" t="n">
        <v>142</v>
      </c>
      <c r="B143" s="22" t="s">
        <v>124</v>
      </c>
      <c r="C143" s="37" t="n">
        <v>44774.5263425926</v>
      </c>
      <c r="D143" s="22" t="s">
        <v>202</v>
      </c>
      <c r="E143" s="22" t="n">
        <v>12</v>
      </c>
      <c r="F143" s="22" t="s">
        <v>181</v>
      </c>
      <c r="G143" s="22" t="s">
        <v>243</v>
      </c>
      <c r="H143" s="22" t="n">
        <v>0.07</v>
      </c>
      <c r="I143" s="38" t="n">
        <v>1767.78</v>
      </c>
      <c r="J143" s="38" t="n">
        <v>1769.46</v>
      </c>
      <c r="K143" s="39" t="n">
        <f aca="false">IF(F143="BUY",J143-I143,I143-J143)</f>
        <v>1.68000000000006</v>
      </c>
      <c r="L143" s="38" t="n">
        <v>1761.78</v>
      </c>
      <c r="M143" s="39" t="n">
        <f aca="false">ABS(I143-L143)</f>
        <v>6</v>
      </c>
      <c r="N143" s="24" t="n">
        <f aca="false">M143*H143*Summary!$C$6</f>
        <v>42</v>
      </c>
      <c r="O143" s="37" t="n">
        <v>44774.6471875</v>
      </c>
      <c r="P143" s="22" t="n">
        <f aca="false">ROUND((O143-C143)*86400,0)</f>
        <v>10441</v>
      </c>
      <c r="Q143" s="22" t="str">
        <f aca="false">IF(P143&lt;10,"a) &lt;10s",IF(P143&lt;60,"b) 10-60s",IF(P143&lt;600,"c) 1-10min","d) &gt;10min")))</f>
        <v>d) &gt;10min</v>
      </c>
      <c r="R143" s="38" t="n">
        <v>1769.96</v>
      </c>
      <c r="S143" s="38" t="n">
        <v>1769.9</v>
      </c>
      <c r="T143" s="22" t="s">
        <v>189</v>
      </c>
      <c r="U143" s="39" t="n">
        <f aca="false">IF(R143="","",IF(F143="BUY",R143-S143,S143-R143))</f>
        <v>0.0599999999999454</v>
      </c>
      <c r="V143" s="39" t="n">
        <f aca="false">IF(F143="BUY",S143-J143,J143-S143)</f>
        <v>0.440000000000055</v>
      </c>
      <c r="W143" s="6" t="n">
        <v>3.08</v>
      </c>
      <c r="X143" s="26" t="n">
        <f aca="false">IFERROR(W143/N143,0)</f>
        <v>0.0733333333333333</v>
      </c>
      <c r="Y143" s="22" t="str">
        <f aca="false">IF(W143&gt;0,"Win",IF(W143&lt;0,"Loss","Flat"))</f>
        <v>Win</v>
      </c>
      <c r="Z143" s="24" t="n">
        <f aca="false">Summary!$C$5+SUM(W$2:W143)</f>
        <v>4282.79</v>
      </c>
      <c r="AA143" s="24" t="n">
        <f aca="false">MAX(AA142,Z143)</f>
        <v>5000</v>
      </c>
      <c r="AB143" s="24" t="n">
        <f aca="false">AA143-Z143</f>
        <v>717.21</v>
      </c>
      <c r="AC143" s="23" t="n">
        <f aca="false">IFERROR(AB143/AA143,0)</f>
        <v>0.143442</v>
      </c>
      <c r="AD143" s="22" t="s">
        <v>380</v>
      </c>
    </row>
    <row r="144" customFormat="false" ht="15" hidden="false" customHeight="false" outlineLevel="0" collapsed="false">
      <c r="A144" s="22" t="n">
        <v>143</v>
      </c>
      <c r="B144" s="22" t="s">
        <v>124</v>
      </c>
      <c r="C144" s="37" t="n">
        <v>44775.1419675926</v>
      </c>
      <c r="D144" s="22" t="s">
        <v>203</v>
      </c>
      <c r="E144" s="22" t="n">
        <v>3</v>
      </c>
      <c r="F144" s="22" t="s">
        <v>181</v>
      </c>
      <c r="G144" s="22" t="s">
        <v>243</v>
      </c>
      <c r="H144" s="22" t="n">
        <v>0.07</v>
      </c>
      <c r="I144" s="38" t="n">
        <v>1775.31</v>
      </c>
      <c r="J144" s="38" t="n">
        <v>1775.31</v>
      </c>
      <c r="K144" s="39" t="n">
        <f aca="false">IF(F144="BUY",J144-I144,I144-J144)</f>
        <v>0</v>
      </c>
      <c r="L144" s="38" t="n">
        <v>1769.31</v>
      </c>
      <c r="M144" s="39" t="n">
        <f aca="false">ABS(I144-L144)</f>
        <v>6</v>
      </c>
      <c r="N144" s="24" t="n">
        <f aca="false">M144*H144*Summary!$C$6</f>
        <v>42</v>
      </c>
      <c r="O144" s="37" t="n">
        <v>44775.2393981482</v>
      </c>
      <c r="P144" s="22" t="n">
        <f aca="false">ROUND((O144-C144)*86400,0)</f>
        <v>8418</v>
      </c>
      <c r="Q144" s="22" t="str">
        <f aca="false">IF(P144&lt;10,"a) &lt;10s",IF(P144&lt;60,"b) 10-60s",IF(P144&lt;600,"c) 1-10min","d) &gt;10min")))</f>
        <v>d) &gt;10min</v>
      </c>
      <c r="R144" s="38" t="n">
        <v>1775.81</v>
      </c>
      <c r="S144" s="38" t="n">
        <v>1775.8</v>
      </c>
      <c r="T144" s="22" t="s">
        <v>189</v>
      </c>
      <c r="U144" s="39" t="n">
        <f aca="false">IF(R144="","",IF(F144="BUY",R144-S144,S144-R144))</f>
        <v>0.00999999999999091</v>
      </c>
      <c r="V144" s="39" t="n">
        <f aca="false">IF(F144="BUY",S144-J144,J144-S144)</f>
        <v>0.490000000000009</v>
      </c>
      <c r="W144" s="6" t="n">
        <v>3.43</v>
      </c>
      <c r="X144" s="26" t="n">
        <f aca="false">IFERROR(W144/N144,0)</f>
        <v>0.0816666666666667</v>
      </c>
      <c r="Y144" s="22" t="str">
        <f aca="false">IF(W144&gt;0,"Win",IF(W144&lt;0,"Loss","Flat"))</f>
        <v>Win</v>
      </c>
      <c r="Z144" s="24" t="n">
        <f aca="false">Summary!$C$5+SUM(W$2:W144)</f>
        <v>4286.22</v>
      </c>
      <c r="AA144" s="24" t="n">
        <f aca="false">MAX(AA143,Z144)</f>
        <v>5000</v>
      </c>
      <c r="AB144" s="24" t="n">
        <f aca="false">AA144-Z144</f>
        <v>713.78</v>
      </c>
      <c r="AC144" s="23" t="n">
        <f aca="false">IFERROR(AB144/AA144,0)</f>
        <v>0.142756</v>
      </c>
      <c r="AD144" s="22" t="s">
        <v>381</v>
      </c>
    </row>
    <row r="145" customFormat="false" ht="15" hidden="false" customHeight="false" outlineLevel="0" collapsed="false">
      <c r="A145" s="22" t="n">
        <v>144</v>
      </c>
      <c r="B145" s="22" t="s">
        <v>124</v>
      </c>
      <c r="C145" s="37" t="n">
        <v>44775.3926041667</v>
      </c>
      <c r="D145" s="22" t="s">
        <v>203</v>
      </c>
      <c r="E145" s="22" t="n">
        <v>9</v>
      </c>
      <c r="F145" s="22" t="s">
        <v>181</v>
      </c>
      <c r="G145" s="22" t="s">
        <v>235</v>
      </c>
      <c r="H145" s="22" t="n">
        <v>0.07</v>
      </c>
      <c r="I145" s="38" t="n">
        <v>1774.76</v>
      </c>
      <c r="J145" s="38" t="n">
        <v>1774.9</v>
      </c>
      <c r="K145" s="39" t="n">
        <f aca="false">IF(F145="BUY",J145-I145,I145-J145)</f>
        <v>0.1400000000001</v>
      </c>
      <c r="L145" s="38" t="n">
        <v>1768.76</v>
      </c>
      <c r="M145" s="39" t="n">
        <f aca="false">ABS(I145-L145)</f>
        <v>6</v>
      </c>
      <c r="N145" s="24" t="n">
        <f aca="false">M145*H145*Summary!$C$6</f>
        <v>42</v>
      </c>
      <c r="O145" s="37" t="n">
        <v>44775.6999768519</v>
      </c>
      <c r="P145" s="22" t="n">
        <f aca="false">ROUND((O145-C145)*86400,0)</f>
        <v>26557</v>
      </c>
      <c r="Q145" s="22" t="str">
        <f aca="false">IF(P145&lt;10,"a) &lt;10s",IF(P145&lt;60,"b) 10-60s",IF(P145&lt;600,"c) 1-10min","d) &gt;10min")))</f>
        <v>d) &gt;10min</v>
      </c>
      <c r="R145" s="38" t="n">
        <v>1775.4</v>
      </c>
      <c r="S145" s="38" t="n">
        <v>1775.38</v>
      </c>
      <c r="T145" s="22" t="s">
        <v>189</v>
      </c>
      <c r="U145" s="39" t="n">
        <f aca="false">IF(R145="","",IF(F145="BUY",R145-S145,S145-R145))</f>
        <v>0.0199999999999818</v>
      </c>
      <c r="V145" s="39" t="n">
        <f aca="false">IF(F145="BUY",S145-J145,J145-S145)</f>
        <v>0.480000000000018</v>
      </c>
      <c r="W145" s="6" t="n">
        <v>3.36</v>
      </c>
      <c r="X145" s="26" t="n">
        <f aca="false">IFERROR(W145/N145,0)</f>
        <v>0.08</v>
      </c>
      <c r="Y145" s="22" t="str">
        <f aca="false">IF(W145&gt;0,"Win",IF(W145&lt;0,"Loss","Flat"))</f>
        <v>Win</v>
      </c>
      <c r="Z145" s="24" t="n">
        <f aca="false">Summary!$C$5+SUM(W$2:W145)</f>
        <v>4289.58</v>
      </c>
      <c r="AA145" s="24" t="n">
        <f aca="false">MAX(AA144,Z145)</f>
        <v>5000</v>
      </c>
      <c r="AB145" s="24" t="n">
        <f aca="false">AA145-Z145</f>
        <v>710.42</v>
      </c>
      <c r="AC145" s="23" t="n">
        <f aca="false">IFERROR(AB145/AA145,0)</f>
        <v>0.142084</v>
      </c>
      <c r="AD145" s="22" t="s">
        <v>382</v>
      </c>
    </row>
    <row r="146" customFormat="false" ht="15" hidden="false" customHeight="false" outlineLevel="0" collapsed="false">
      <c r="A146" s="22" t="n">
        <v>145</v>
      </c>
      <c r="B146" s="22" t="s">
        <v>124</v>
      </c>
      <c r="C146" s="37" t="n">
        <v>44776.4052777778</v>
      </c>
      <c r="D146" s="22" t="s">
        <v>204</v>
      </c>
      <c r="E146" s="22" t="n">
        <v>9</v>
      </c>
      <c r="F146" s="22" t="s">
        <v>182</v>
      </c>
      <c r="G146" s="22" t="s">
        <v>241</v>
      </c>
      <c r="H146" s="22" t="n">
        <v>0.07</v>
      </c>
      <c r="I146" s="38" t="n">
        <v>1766.94</v>
      </c>
      <c r="J146" s="38" t="n">
        <v>1766.94</v>
      </c>
      <c r="K146" s="39" t="n">
        <f aca="false">IF(F146="BUY",J146-I146,I146-J146)</f>
        <v>0</v>
      </c>
      <c r="L146" s="38" t="n">
        <v>1772.94</v>
      </c>
      <c r="M146" s="39" t="n">
        <f aca="false">ABS(I146-L146)</f>
        <v>6</v>
      </c>
      <c r="N146" s="24" t="n">
        <f aca="false">M146*H146*Summary!$C$6</f>
        <v>42</v>
      </c>
      <c r="O146" s="37" t="n">
        <v>44776.5083333333</v>
      </c>
      <c r="P146" s="22" t="n">
        <f aca="false">ROUND((O146-C146)*86400,0)</f>
        <v>8904</v>
      </c>
      <c r="Q146" s="22" t="str">
        <f aca="false">IF(P146&lt;10,"a) &lt;10s",IF(P146&lt;60,"b) 10-60s",IF(P146&lt;600,"c) 1-10min","d) &gt;10min")))</f>
        <v>d) &gt;10min</v>
      </c>
      <c r="R146" s="38" t="n">
        <v>1766.44</v>
      </c>
      <c r="S146" s="38" t="n">
        <v>1766.47</v>
      </c>
      <c r="T146" s="22" t="s">
        <v>189</v>
      </c>
      <c r="U146" s="39" t="n">
        <f aca="false">IF(R146="","",IF(F146="BUY",R146-S146,S146-R146))</f>
        <v>0.0299999999999727</v>
      </c>
      <c r="V146" s="39" t="n">
        <f aca="false">IF(F146="BUY",S146-J146,J146-S146)</f>
        <v>0.470000000000027</v>
      </c>
      <c r="W146" s="6" t="n">
        <v>3.29</v>
      </c>
      <c r="X146" s="26" t="n">
        <f aca="false">IFERROR(W146/N146,0)</f>
        <v>0.0783333333333333</v>
      </c>
      <c r="Y146" s="22" t="str">
        <f aca="false">IF(W146&gt;0,"Win",IF(W146&lt;0,"Loss","Flat"))</f>
        <v>Win</v>
      </c>
      <c r="Z146" s="24" t="n">
        <f aca="false">Summary!$C$5+SUM(W$2:W146)</f>
        <v>4292.87</v>
      </c>
      <c r="AA146" s="24" t="n">
        <f aca="false">MAX(AA145,Z146)</f>
        <v>5000</v>
      </c>
      <c r="AB146" s="24" t="n">
        <f aca="false">AA146-Z146</f>
        <v>707.13</v>
      </c>
      <c r="AC146" s="23" t="n">
        <f aca="false">IFERROR(AB146/AA146,0)</f>
        <v>0.141426</v>
      </c>
      <c r="AD146" s="22" t="s">
        <v>383</v>
      </c>
    </row>
    <row r="147" customFormat="false" ht="15" hidden="false" customHeight="false" outlineLevel="0" collapsed="false">
      <c r="A147" s="22" t="n">
        <v>146</v>
      </c>
      <c r="B147" s="22" t="s">
        <v>124</v>
      </c>
      <c r="C147" s="37" t="n">
        <v>44777.3495717593</v>
      </c>
      <c r="D147" s="22" t="s">
        <v>205</v>
      </c>
      <c r="E147" s="22" t="n">
        <v>8</v>
      </c>
      <c r="F147" s="22" t="s">
        <v>181</v>
      </c>
      <c r="G147" s="22" t="s">
        <v>243</v>
      </c>
      <c r="H147" s="22" t="n">
        <v>0.07</v>
      </c>
      <c r="I147" s="38" t="n">
        <v>1772.66</v>
      </c>
      <c r="J147" s="38" t="n">
        <v>1773.36</v>
      </c>
      <c r="K147" s="39" t="n">
        <f aca="false">IF(F147="BUY",J147-I147,I147-J147)</f>
        <v>0.699999999999818</v>
      </c>
      <c r="L147" s="38" t="n">
        <v>1766.66</v>
      </c>
      <c r="M147" s="39" t="n">
        <f aca="false">ABS(I147-L147)</f>
        <v>6</v>
      </c>
      <c r="N147" s="24" t="n">
        <f aca="false">M147*H147*Summary!$C$6</f>
        <v>42</v>
      </c>
      <c r="O147" s="37" t="n">
        <v>44777.9270833333</v>
      </c>
      <c r="P147" s="22" t="n">
        <f aca="false">ROUND((O147-C147)*86400,0)</f>
        <v>49897</v>
      </c>
      <c r="Q147" s="22" t="str">
        <f aca="false">IF(P147&lt;10,"a) &lt;10s",IF(P147&lt;60,"b) 10-60s",IF(P147&lt;600,"c) 1-10min","d) &gt;10min")))</f>
        <v>d) &gt;10min</v>
      </c>
      <c r="R147" s="38"/>
      <c r="S147" s="38" t="n">
        <v>1793.23</v>
      </c>
      <c r="T147" s="22" t="s">
        <v>191</v>
      </c>
      <c r="U147" s="39" t="str">
        <f aca="false">IF(R147="","",IF(F147="BUY",R147-S147,S147-R147))</f>
        <v/>
      </c>
      <c r="V147" s="39" t="n">
        <f aca="false">IF(F147="BUY",S147-J147,J147-S147)</f>
        <v>19.8700000000001</v>
      </c>
      <c r="W147" s="6" t="n">
        <v>139.09</v>
      </c>
      <c r="X147" s="26" t="n">
        <f aca="false">IFERROR(W147/N147,0)</f>
        <v>3.31166666666667</v>
      </c>
      <c r="Y147" s="22" t="str">
        <f aca="false">IF(W147&gt;0,"Win",IF(W147&lt;0,"Loss","Flat"))</f>
        <v>Win</v>
      </c>
      <c r="Z147" s="24" t="n">
        <f aca="false">Summary!$C$5+SUM(W$2:W147)</f>
        <v>4431.96</v>
      </c>
      <c r="AA147" s="24" t="n">
        <f aca="false">MAX(AA146,Z147)</f>
        <v>5000</v>
      </c>
      <c r="AB147" s="24" t="n">
        <f aca="false">AA147-Z147</f>
        <v>568.04</v>
      </c>
      <c r="AC147" s="23" t="n">
        <f aca="false">IFERROR(AB147/AA147,0)</f>
        <v>0.113608</v>
      </c>
      <c r="AD147" s="22" t="s">
        <v>384</v>
      </c>
    </row>
    <row r="148" customFormat="false" ht="15" hidden="false" customHeight="false" outlineLevel="0" collapsed="false">
      <c r="A148" s="22" t="n">
        <v>147</v>
      </c>
      <c r="B148" s="22" t="s">
        <v>124</v>
      </c>
      <c r="C148" s="37" t="n">
        <v>44778.1576736111</v>
      </c>
      <c r="D148" s="22" t="s">
        <v>206</v>
      </c>
      <c r="E148" s="22" t="n">
        <v>3</v>
      </c>
      <c r="F148" s="22" t="s">
        <v>181</v>
      </c>
      <c r="G148" s="22" t="s">
        <v>243</v>
      </c>
      <c r="H148" s="22" t="n">
        <v>0.07</v>
      </c>
      <c r="I148" s="38" t="n">
        <v>1794.9</v>
      </c>
      <c r="J148" s="38" t="n">
        <v>1794.9</v>
      </c>
      <c r="K148" s="39" t="n">
        <f aca="false">IF(F148="BUY",J148-I148,I148-J148)</f>
        <v>0</v>
      </c>
      <c r="L148" s="38" t="n">
        <v>1788.9</v>
      </c>
      <c r="M148" s="39" t="n">
        <f aca="false">ABS(I148-L148)</f>
        <v>6</v>
      </c>
      <c r="N148" s="24" t="n">
        <f aca="false">M148*H148*Summary!$C$6</f>
        <v>42</v>
      </c>
      <c r="O148" s="37" t="n">
        <v>44778.1989236111</v>
      </c>
      <c r="P148" s="22" t="n">
        <f aca="false">ROUND((O148-C148)*86400,0)</f>
        <v>3564</v>
      </c>
      <c r="Q148" s="22" t="str">
        <f aca="false">IF(P148&lt;10,"a) &lt;10s",IF(P148&lt;60,"b) 10-60s",IF(P148&lt;600,"c) 1-10min","d) &gt;10min")))</f>
        <v>d) &gt;10min</v>
      </c>
      <c r="R148" s="38" t="n">
        <v>1788.9</v>
      </c>
      <c r="S148" s="38" t="n">
        <v>1788.87</v>
      </c>
      <c r="T148" s="22" t="s">
        <v>188</v>
      </c>
      <c r="U148" s="39" t="n">
        <f aca="false">IF(R148="","",IF(F148="BUY",R148-S148,S148-R148))</f>
        <v>0.0300000000002001</v>
      </c>
      <c r="V148" s="39" t="n">
        <f aca="false">IF(F148="BUY",S148-J148,J148-S148)</f>
        <v>-6.0300000000002</v>
      </c>
      <c r="W148" s="6" t="n">
        <v>-42.21</v>
      </c>
      <c r="X148" s="26" t="n">
        <f aca="false">IFERROR(W148/N148,0)</f>
        <v>-1.005</v>
      </c>
      <c r="Y148" s="22" t="str">
        <f aca="false">IF(W148&gt;0,"Win",IF(W148&lt;0,"Loss","Flat"))</f>
        <v>Loss</v>
      </c>
      <c r="Z148" s="24" t="n">
        <f aca="false">Summary!$C$5+SUM(W$2:W148)</f>
        <v>4389.75</v>
      </c>
      <c r="AA148" s="24" t="n">
        <f aca="false">MAX(AA147,Z148)</f>
        <v>5000</v>
      </c>
      <c r="AB148" s="24" t="n">
        <f aca="false">AA148-Z148</f>
        <v>610.25</v>
      </c>
      <c r="AC148" s="23" t="n">
        <f aca="false">IFERROR(AB148/AA148,0)</f>
        <v>0.12205</v>
      </c>
      <c r="AD148" s="22" t="s">
        <v>385</v>
      </c>
    </row>
    <row r="149" customFormat="false" ht="15" hidden="false" customHeight="false" outlineLevel="0" collapsed="false">
      <c r="A149" s="22" t="n">
        <v>148</v>
      </c>
      <c r="B149" s="22" t="s">
        <v>124</v>
      </c>
      <c r="C149" s="37" t="n">
        <v>44778.3852893519</v>
      </c>
      <c r="D149" s="22" t="s">
        <v>206</v>
      </c>
      <c r="E149" s="22" t="n">
        <v>9</v>
      </c>
      <c r="F149" s="22" t="s">
        <v>182</v>
      </c>
      <c r="G149" s="22" t="s">
        <v>241</v>
      </c>
      <c r="H149" s="22" t="n">
        <v>0.07</v>
      </c>
      <c r="I149" s="38" t="n">
        <v>1789.78</v>
      </c>
      <c r="J149" s="38" t="n">
        <v>1789.78</v>
      </c>
      <c r="K149" s="39" t="n">
        <f aca="false">IF(F149="BUY",J149-I149,I149-J149)</f>
        <v>0</v>
      </c>
      <c r="L149" s="38" t="n">
        <v>1795.78</v>
      </c>
      <c r="M149" s="39" t="n">
        <f aca="false">ABS(I149-L149)</f>
        <v>6</v>
      </c>
      <c r="N149" s="24" t="n">
        <f aca="false">M149*H149*Summary!$C$6</f>
        <v>42</v>
      </c>
      <c r="O149" s="37" t="n">
        <v>44778.6412847222</v>
      </c>
      <c r="P149" s="22" t="n">
        <f aca="false">ROUND((O149-C149)*86400,0)</f>
        <v>22118</v>
      </c>
      <c r="Q149" s="22" t="str">
        <f aca="false">IF(P149&lt;10,"a) &lt;10s",IF(P149&lt;60,"b) 10-60s",IF(P149&lt;600,"c) 1-10min","d) &gt;10min")))</f>
        <v>d) &gt;10min</v>
      </c>
      <c r="R149" s="38" t="n">
        <v>1789.28</v>
      </c>
      <c r="S149" s="38" t="n">
        <v>1789.28</v>
      </c>
      <c r="T149" s="22" t="s">
        <v>189</v>
      </c>
      <c r="U149" s="39" t="n">
        <f aca="false">IF(R149="","",IF(F149="BUY",R149-S149,S149-R149))</f>
        <v>0</v>
      </c>
      <c r="V149" s="39" t="n">
        <f aca="false">IF(F149="BUY",S149-J149,J149-S149)</f>
        <v>0.5</v>
      </c>
      <c r="W149" s="6" t="n">
        <v>3.5</v>
      </c>
      <c r="X149" s="26" t="n">
        <f aca="false">IFERROR(W149/N149,0)</f>
        <v>0.0833333333333333</v>
      </c>
      <c r="Y149" s="22" t="str">
        <f aca="false">IF(W149&gt;0,"Win",IF(W149&lt;0,"Loss","Flat"))</f>
        <v>Win</v>
      </c>
      <c r="Z149" s="24" t="n">
        <f aca="false">Summary!$C$5+SUM(W$2:W149)</f>
        <v>4393.25</v>
      </c>
      <c r="AA149" s="24" t="n">
        <f aca="false">MAX(AA148,Z149)</f>
        <v>5000</v>
      </c>
      <c r="AB149" s="24" t="n">
        <f aca="false">AA149-Z149</f>
        <v>606.75</v>
      </c>
      <c r="AC149" s="23" t="n">
        <f aca="false">IFERROR(AB149/AA149,0)</f>
        <v>0.12135</v>
      </c>
      <c r="AD149" s="22" t="s">
        <v>386</v>
      </c>
    </row>
    <row r="150" customFormat="false" ht="15" hidden="false" customHeight="false" outlineLevel="0" collapsed="false">
      <c r="A150" s="22" t="n">
        <v>149</v>
      </c>
      <c r="B150" s="22" t="s">
        <v>124</v>
      </c>
      <c r="C150" s="37" t="n">
        <v>44781.4237962963</v>
      </c>
      <c r="D150" s="22" t="s">
        <v>202</v>
      </c>
      <c r="E150" s="22" t="n">
        <v>10</v>
      </c>
      <c r="F150" s="22" t="s">
        <v>181</v>
      </c>
      <c r="G150" s="22" t="s">
        <v>235</v>
      </c>
      <c r="H150" s="22" t="n">
        <v>0.07</v>
      </c>
      <c r="I150" s="38" t="n">
        <v>1776.36</v>
      </c>
      <c r="J150" s="38" t="n">
        <v>1776.39</v>
      </c>
      <c r="K150" s="39" t="n">
        <f aca="false">IF(F150="BUY",J150-I150,I150-J150)</f>
        <v>0.0300000000002001</v>
      </c>
      <c r="L150" s="38" t="n">
        <v>1770.36</v>
      </c>
      <c r="M150" s="39" t="n">
        <f aca="false">ABS(I150-L150)</f>
        <v>6</v>
      </c>
      <c r="N150" s="24" t="n">
        <f aca="false">M150*H150*Summary!$C$6</f>
        <v>42</v>
      </c>
      <c r="O150" s="37" t="n">
        <v>44781.4448148148</v>
      </c>
      <c r="P150" s="22" t="n">
        <f aca="false">ROUND((O150-C150)*86400,0)</f>
        <v>1816</v>
      </c>
      <c r="Q150" s="22" t="str">
        <f aca="false">IF(P150&lt;10,"a) &lt;10s",IF(P150&lt;60,"b) 10-60s",IF(P150&lt;600,"c) 1-10min","d) &gt;10min")))</f>
        <v>d) &gt;10min</v>
      </c>
      <c r="R150" s="38" t="n">
        <v>1776.89</v>
      </c>
      <c r="S150" s="38" t="n">
        <v>1776.83</v>
      </c>
      <c r="T150" s="22" t="s">
        <v>189</v>
      </c>
      <c r="U150" s="39" t="n">
        <f aca="false">IF(R150="","",IF(F150="BUY",R150-S150,S150-R150))</f>
        <v>0.0600000000001728</v>
      </c>
      <c r="V150" s="39" t="n">
        <f aca="false">IF(F150="BUY",S150-J150,J150-S150)</f>
        <v>0.439999999999827</v>
      </c>
      <c r="W150" s="6" t="n">
        <v>3.08</v>
      </c>
      <c r="X150" s="26" t="n">
        <f aca="false">IFERROR(W150/N150,0)</f>
        <v>0.0733333333333333</v>
      </c>
      <c r="Y150" s="22" t="str">
        <f aca="false">IF(W150&gt;0,"Win",IF(W150&lt;0,"Loss","Flat"))</f>
        <v>Win</v>
      </c>
      <c r="Z150" s="24" t="n">
        <f aca="false">Summary!$C$5+SUM(W$2:W150)</f>
        <v>4396.33</v>
      </c>
      <c r="AA150" s="24" t="n">
        <f aca="false">MAX(AA149,Z150)</f>
        <v>5000</v>
      </c>
      <c r="AB150" s="24" t="n">
        <f aca="false">AA150-Z150</f>
        <v>603.67</v>
      </c>
      <c r="AC150" s="23" t="n">
        <f aca="false">IFERROR(AB150/AA150,0)</f>
        <v>0.120734</v>
      </c>
      <c r="AD150" s="22" t="s">
        <v>387</v>
      </c>
    </row>
    <row r="151" customFormat="false" ht="15" hidden="false" customHeight="false" outlineLevel="0" collapsed="false">
      <c r="A151" s="22" t="n">
        <v>150</v>
      </c>
      <c r="B151" s="22" t="s">
        <v>124</v>
      </c>
      <c r="C151" s="37" t="n">
        <v>44782.1073726852</v>
      </c>
      <c r="D151" s="22" t="s">
        <v>203</v>
      </c>
      <c r="E151" s="22" t="n">
        <v>2</v>
      </c>
      <c r="F151" s="22" t="s">
        <v>181</v>
      </c>
      <c r="G151" s="22" t="s">
        <v>243</v>
      </c>
      <c r="H151" s="22" t="n">
        <v>0.07</v>
      </c>
      <c r="I151" s="38" t="n">
        <v>1789.92</v>
      </c>
      <c r="J151" s="38" t="n">
        <v>1789.94</v>
      </c>
      <c r="K151" s="39" t="n">
        <f aca="false">IF(F151="BUY",J151-I151,I151-J151)</f>
        <v>0.0199999999999818</v>
      </c>
      <c r="L151" s="38" t="n">
        <v>1783.92</v>
      </c>
      <c r="M151" s="39" t="n">
        <f aca="false">ABS(I151-L151)</f>
        <v>6</v>
      </c>
      <c r="N151" s="24" t="n">
        <f aca="false">M151*H151*Summary!$C$6</f>
        <v>42</v>
      </c>
      <c r="O151" s="37" t="n">
        <v>44782.2069328704</v>
      </c>
      <c r="P151" s="22" t="n">
        <f aca="false">ROUND((O151-C151)*86400,0)</f>
        <v>8602</v>
      </c>
      <c r="Q151" s="22" t="str">
        <f aca="false">IF(P151&lt;10,"a) &lt;10s",IF(P151&lt;60,"b) 10-60s",IF(P151&lt;600,"c) 1-10min","d) &gt;10min")))</f>
        <v>d) &gt;10min</v>
      </c>
      <c r="R151" s="38" t="n">
        <v>1783.92</v>
      </c>
      <c r="S151" s="38" t="n">
        <v>1783.91</v>
      </c>
      <c r="T151" s="22" t="s">
        <v>188</v>
      </c>
      <c r="U151" s="39" t="n">
        <f aca="false">IF(R151="","",IF(F151="BUY",R151-S151,S151-R151))</f>
        <v>0.00999999999999091</v>
      </c>
      <c r="V151" s="39" t="n">
        <f aca="false">IF(F151="BUY",S151-J151,J151-S151)</f>
        <v>-6.02999999999997</v>
      </c>
      <c r="W151" s="6" t="n">
        <v>-42.21</v>
      </c>
      <c r="X151" s="26" t="n">
        <f aca="false">IFERROR(W151/N151,0)</f>
        <v>-1.005</v>
      </c>
      <c r="Y151" s="22" t="str">
        <f aca="false">IF(W151&gt;0,"Win",IF(W151&lt;0,"Loss","Flat"))</f>
        <v>Loss</v>
      </c>
      <c r="Z151" s="24" t="n">
        <f aca="false">Summary!$C$5+SUM(W$2:W151)</f>
        <v>4354.12</v>
      </c>
      <c r="AA151" s="24" t="n">
        <f aca="false">MAX(AA150,Z151)</f>
        <v>5000</v>
      </c>
      <c r="AB151" s="24" t="n">
        <f aca="false">AA151-Z151</f>
        <v>645.88</v>
      </c>
      <c r="AC151" s="23" t="n">
        <f aca="false">IFERROR(AB151/AA151,0)</f>
        <v>0.129176</v>
      </c>
      <c r="AD151" s="22" t="s">
        <v>388</v>
      </c>
    </row>
    <row r="152" customFormat="false" ht="15" hidden="false" customHeight="false" outlineLevel="0" collapsed="false">
      <c r="A152" s="22" t="n">
        <v>151</v>
      </c>
      <c r="B152" s="22" t="s">
        <v>124</v>
      </c>
      <c r="C152" s="37" t="n">
        <v>44782.3897222222</v>
      </c>
      <c r="D152" s="22" t="s">
        <v>203</v>
      </c>
      <c r="E152" s="22" t="n">
        <v>9</v>
      </c>
      <c r="F152" s="22" t="s">
        <v>182</v>
      </c>
      <c r="G152" s="22" t="s">
        <v>241</v>
      </c>
      <c r="H152" s="22" t="n">
        <v>0.07</v>
      </c>
      <c r="I152" s="38" t="n">
        <v>1785.21</v>
      </c>
      <c r="J152" s="38" t="n">
        <v>1785.21</v>
      </c>
      <c r="K152" s="39" t="n">
        <f aca="false">IF(F152="BUY",J152-I152,I152-J152)</f>
        <v>0</v>
      </c>
      <c r="L152" s="38" t="n">
        <v>1791.21</v>
      </c>
      <c r="M152" s="39" t="n">
        <f aca="false">ABS(I152-L152)</f>
        <v>6</v>
      </c>
      <c r="N152" s="24" t="n">
        <f aca="false">M152*H152*Summary!$C$6</f>
        <v>42</v>
      </c>
      <c r="O152" s="37" t="n">
        <v>44782.4625810185</v>
      </c>
      <c r="P152" s="22" t="n">
        <f aca="false">ROUND((O152-C152)*86400,0)</f>
        <v>6295</v>
      </c>
      <c r="Q152" s="22" t="str">
        <f aca="false">IF(P152&lt;10,"a) &lt;10s",IF(P152&lt;60,"b) 10-60s",IF(P152&lt;600,"c) 1-10min","d) &gt;10min")))</f>
        <v>d) &gt;10min</v>
      </c>
      <c r="R152" s="38" t="n">
        <v>1791.21</v>
      </c>
      <c r="S152" s="38" t="n">
        <v>1791.28</v>
      </c>
      <c r="T152" s="22" t="s">
        <v>188</v>
      </c>
      <c r="U152" s="39" t="n">
        <f aca="false">IF(R152="","",IF(F152="BUY",R152-S152,S152-R152))</f>
        <v>0.0699999999999363</v>
      </c>
      <c r="V152" s="39" t="n">
        <f aca="false">IF(F152="BUY",S152-J152,J152-S152)</f>
        <v>-6.06999999999994</v>
      </c>
      <c r="W152" s="6" t="n">
        <v>-42.49</v>
      </c>
      <c r="X152" s="26" t="n">
        <f aca="false">IFERROR(W152/N152,0)</f>
        <v>-1.01166666666667</v>
      </c>
      <c r="Y152" s="22" t="str">
        <f aca="false">IF(W152&gt;0,"Win",IF(W152&lt;0,"Loss","Flat"))</f>
        <v>Loss</v>
      </c>
      <c r="Z152" s="24" t="n">
        <f aca="false">Summary!$C$5+SUM(W$2:W152)</f>
        <v>4311.63</v>
      </c>
      <c r="AA152" s="24" t="n">
        <f aca="false">MAX(AA151,Z152)</f>
        <v>5000</v>
      </c>
      <c r="AB152" s="24" t="n">
        <f aca="false">AA152-Z152</f>
        <v>688.37</v>
      </c>
      <c r="AC152" s="23" t="n">
        <f aca="false">IFERROR(AB152/AA152,0)</f>
        <v>0.137674</v>
      </c>
      <c r="AD152" s="22" t="s">
        <v>389</v>
      </c>
    </row>
    <row r="153" customFormat="false" ht="15" hidden="false" customHeight="false" outlineLevel="0" collapsed="false">
      <c r="A153" s="22" t="n">
        <v>152</v>
      </c>
      <c r="B153" s="22" t="s">
        <v>124</v>
      </c>
      <c r="C153" s="37" t="n">
        <v>44783.375</v>
      </c>
      <c r="D153" s="22" t="s">
        <v>204</v>
      </c>
      <c r="E153" s="22" t="n">
        <v>9</v>
      </c>
      <c r="F153" s="22" t="s">
        <v>182</v>
      </c>
      <c r="G153" s="22" t="s">
        <v>241</v>
      </c>
      <c r="H153" s="22" t="n">
        <v>0.07</v>
      </c>
      <c r="I153" s="38" t="n">
        <v>1788.08</v>
      </c>
      <c r="J153" s="38" t="n">
        <v>1788.08</v>
      </c>
      <c r="K153" s="39" t="n">
        <f aca="false">IF(F153="BUY",J153-I153,I153-J153)</f>
        <v>0</v>
      </c>
      <c r="L153" s="38" t="n">
        <v>1794.08</v>
      </c>
      <c r="M153" s="39" t="n">
        <f aca="false">ABS(I153-L153)</f>
        <v>6</v>
      </c>
      <c r="N153" s="24" t="n">
        <f aca="false">M153*H153*Summary!$C$6</f>
        <v>42</v>
      </c>
      <c r="O153" s="37" t="n">
        <v>44783.5201736111</v>
      </c>
      <c r="P153" s="22" t="n">
        <f aca="false">ROUND((O153-C153)*86400,0)</f>
        <v>12543</v>
      </c>
      <c r="Q153" s="22" t="str">
        <f aca="false">IF(P153&lt;10,"a) &lt;10s",IF(P153&lt;60,"b) 10-60s",IF(P153&lt;600,"c) 1-10min","d) &gt;10min")))</f>
        <v>d) &gt;10min</v>
      </c>
      <c r="R153" s="38" t="n">
        <v>1794.08</v>
      </c>
      <c r="S153" s="38" t="n">
        <v>1794.08</v>
      </c>
      <c r="T153" s="22" t="s">
        <v>188</v>
      </c>
      <c r="U153" s="39" t="n">
        <f aca="false">IF(R153="","",IF(F153="BUY",R153-S153,S153-R153))</f>
        <v>0</v>
      </c>
      <c r="V153" s="39" t="n">
        <f aca="false">IF(F153="BUY",S153-J153,J153-S153)</f>
        <v>-6</v>
      </c>
      <c r="W153" s="6" t="n">
        <v>-42</v>
      </c>
      <c r="X153" s="26" t="n">
        <f aca="false">IFERROR(W153/N153,0)</f>
        <v>-1</v>
      </c>
      <c r="Y153" s="22" t="str">
        <f aca="false">IF(W153&gt;0,"Win",IF(W153&lt;0,"Loss","Flat"))</f>
        <v>Loss</v>
      </c>
      <c r="Z153" s="24" t="n">
        <f aca="false">Summary!$C$5+SUM(W$2:W153)</f>
        <v>4269.63</v>
      </c>
      <c r="AA153" s="24" t="n">
        <f aca="false">MAX(AA152,Z153)</f>
        <v>5000</v>
      </c>
      <c r="AB153" s="24" t="n">
        <f aca="false">AA153-Z153</f>
        <v>730.37</v>
      </c>
      <c r="AC153" s="23" t="n">
        <f aca="false">IFERROR(AB153/AA153,0)</f>
        <v>0.146074</v>
      </c>
      <c r="AD153" s="22" t="s">
        <v>390</v>
      </c>
    </row>
    <row r="154" customFormat="false" ht="15" hidden="false" customHeight="false" outlineLevel="0" collapsed="false">
      <c r="A154" s="22" t="n">
        <v>153</v>
      </c>
      <c r="B154" s="22" t="s">
        <v>124</v>
      </c>
      <c r="C154" s="37" t="n">
        <v>44783.6458796296</v>
      </c>
      <c r="D154" s="22" t="s">
        <v>204</v>
      </c>
      <c r="E154" s="22" t="n">
        <v>15</v>
      </c>
      <c r="F154" s="22" t="s">
        <v>181</v>
      </c>
      <c r="G154" s="22" t="s">
        <v>243</v>
      </c>
      <c r="H154" s="22" t="n">
        <v>0.07</v>
      </c>
      <c r="I154" s="38" t="n">
        <v>1800.36</v>
      </c>
      <c r="J154" s="38" t="n">
        <v>1800.47</v>
      </c>
      <c r="K154" s="39" t="n">
        <f aca="false">IF(F154="BUY",J154-I154,I154-J154)</f>
        <v>0.110000000000127</v>
      </c>
      <c r="L154" s="38" t="n">
        <v>1794.36</v>
      </c>
      <c r="M154" s="39" t="n">
        <f aca="false">ABS(I154-L154)</f>
        <v>6</v>
      </c>
      <c r="N154" s="24" t="n">
        <f aca="false">M154*H154*Summary!$C$6</f>
        <v>42</v>
      </c>
      <c r="O154" s="37" t="n">
        <v>44783.6491782407</v>
      </c>
      <c r="P154" s="22" t="n">
        <f aca="false">ROUND((O154-C154)*86400,0)</f>
        <v>285</v>
      </c>
      <c r="Q154" s="22" t="str">
        <f aca="false">IF(P154&lt;10,"a) &lt;10s",IF(P154&lt;60,"b) 10-60s",IF(P154&lt;600,"c) 1-10min","d) &gt;10min")))</f>
        <v>c) 1-10min</v>
      </c>
      <c r="R154" s="38" t="n">
        <v>1800.97</v>
      </c>
      <c r="S154" s="38" t="n">
        <v>1800.82</v>
      </c>
      <c r="T154" s="22" t="s">
        <v>189</v>
      </c>
      <c r="U154" s="39" t="n">
        <f aca="false">IF(R154="","",IF(F154="BUY",R154-S154,S154-R154))</f>
        <v>0.150000000000091</v>
      </c>
      <c r="V154" s="39" t="n">
        <f aca="false">IF(F154="BUY",S154-J154,J154-S154)</f>
        <v>0.349999999999909</v>
      </c>
      <c r="W154" s="6" t="n">
        <v>2.45</v>
      </c>
      <c r="X154" s="26" t="n">
        <f aca="false">IFERROR(W154/N154,0)</f>
        <v>0.0583333333333333</v>
      </c>
      <c r="Y154" s="22" t="str">
        <f aca="false">IF(W154&gt;0,"Win",IF(W154&lt;0,"Loss","Flat"))</f>
        <v>Win</v>
      </c>
      <c r="Z154" s="24" t="n">
        <f aca="false">Summary!$C$5+SUM(W$2:W154)</f>
        <v>4272.08</v>
      </c>
      <c r="AA154" s="24" t="n">
        <f aca="false">MAX(AA153,Z154)</f>
        <v>5000</v>
      </c>
      <c r="AB154" s="24" t="n">
        <f aca="false">AA154-Z154</f>
        <v>727.92</v>
      </c>
      <c r="AC154" s="23" t="n">
        <f aca="false">IFERROR(AB154/AA154,0)</f>
        <v>0.145584</v>
      </c>
      <c r="AD154" s="22" t="s">
        <v>391</v>
      </c>
    </row>
    <row r="155" customFormat="false" ht="15" hidden="false" customHeight="false" outlineLevel="0" collapsed="false">
      <c r="A155" s="22" t="n">
        <v>154</v>
      </c>
      <c r="B155" s="22" t="s">
        <v>124</v>
      </c>
      <c r="C155" s="37" t="n">
        <v>44784.1896180556</v>
      </c>
      <c r="D155" s="22" t="s">
        <v>205</v>
      </c>
      <c r="E155" s="22" t="n">
        <v>4</v>
      </c>
      <c r="F155" s="22" t="s">
        <v>182</v>
      </c>
      <c r="G155" s="22" t="s">
        <v>237</v>
      </c>
      <c r="H155" s="22" t="n">
        <v>0.07</v>
      </c>
      <c r="I155" s="38" t="n">
        <v>1787.48</v>
      </c>
      <c r="J155" s="38" t="n">
        <v>1787.47</v>
      </c>
      <c r="K155" s="39" t="n">
        <f aca="false">IF(F155="BUY",J155-I155,I155-J155)</f>
        <v>0.00999999999999091</v>
      </c>
      <c r="L155" s="38" t="n">
        <v>1793.48</v>
      </c>
      <c r="M155" s="39" t="n">
        <f aca="false">ABS(I155-L155)</f>
        <v>6</v>
      </c>
      <c r="N155" s="24" t="n">
        <f aca="false">M155*H155*Summary!$C$6</f>
        <v>42</v>
      </c>
      <c r="O155" s="37" t="n">
        <v>44784.2167939815</v>
      </c>
      <c r="P155" s="22" t="n">
        <f aca="false">ROUND((O155-C155)*86400,0)</f>
        <v>2348</v>
      </c>
      <c r="Q155" s="22" t="str">
        <f aca="false">IF(P155&lt;10,"a) &lt;10s",IF(P155&lt;60,"b) 10-60s",IF(P155&lt;600,"c) 1-10min","d) &gt;10min")))</f>
        <v>d) &gt;10min</v>
      </c>
      <c r="R155" s="38" t="n">
        <v>1786.97</v>
      </c>
      <c r="S155" s="38" t="n">
        <v>1787</v>
      </c>
      <c r="T155" s="22" t="s">
        <v>189</v>
      </c>
      <c r="U155" s="39" t="n">
        <f aca="false">IF(R155="","",IF(F155="BUY",R155-S155,S155-R155))</f>
        <v>0.0299999999999727</v>
      </c>
      <c r="V155" s="39" t="n">
        <f aca="false">IF(F155="BUY",S155-J155,J155-S155)</f>
        <v>0.470000000000027</v>
      </c>
      <c r="W155" s="6" t="n">
        <v>3.29</v>
      </c>
      <c r="X155" s="26" t="n">
        <f aca="false">IFERROR(W155/N155,0)</f>
        <v>0.0783333333333333</v>
      </c>
      <c r="Y155" s="22" t="str">
        <f aca="false">IF(W155&gt;0,"Win",IF(W155&lt;0,"Loss","Flat"))</f>
        <v>Win</v>
      </c>
      <c r="Z155" s="24" t="n">
        <f aca="false">Summary!$C$5+SUM(W$2:W155)</f>
        <v>4275.37</v>
      </c>
      <c r="AA155" s="24" t="n">
        <f aca="false">MAX(AA154,Z155)</f>
        <v>5000</v>
      </c>
      <c r="AB155" s="24" t="n">
        <f aca="false">AA155-Z155</f>
        <v>724.63</v>
      </c>
      <c r="AC155" s="23" t="n">
        <f aca="false">IFERROR(AB155/AA155,0)</f>
        <v>0.144926</v>
      </c>
      <c r="AD155" s="22" t="s">
        <v>392</v>
      </c>
    </row>
    <row r="156" customFormat="false" ht="15" hidden="false" customHeight="false" outlineLevel="0" collapsed="false">
      <c r="A156" s="22" t="n">
        <v>155</v>
      </c>
      <c r="B156" s="22" t="s">
        <v>124</v>
      </c>
      <c r="C156" s="37" t="n">
        <v>44784.3753125</v>
      </c>
      <c r="D156" s="22" t="s">
        <v>205</v>
      </c>
      <c r="E156" s="22" t="n">
        <v>9</v>
      </c>
      <c r="F156" s="22" t="s">
        <v>181</v>
      </c>
      <c r="G156" s="22" t="s">
        <v>235</v>
      </c>
      <c r="H156" s="22" t="n">
        <v>0.07</v>
      </c>
      <c r="I156" s="38" t="n">
        <v>1786.98</v>
      </c>
      <c r="J156" s="38" t="n">
        <v>1787</v>
      </c>
      <c r="K156" s="39" t="n">
        <f aca="false">IF(F156="BUY",J156-I156,I156-J156)</f>
        <v>0.0199999999999818</v>
      </c>
      <c r="L156" s="38" t="n">
        <v>1780.98</v>
      </c>
      <c r="M156" s="39" t="n">
        <f aca="false">ABS(I156-L156)</f>
        <v>6</v>
      </c>
      <c r="N156" s="24" t="n">
        <f aca="false">M156*H156*Summary!$C$6</f>
        <v>42</v>
      </c>
      <c r="O156" s="37" t="n">
        <v>44784.7604398148</v>
      </c>
      <c r="P156" s="22" t="n">
        <f aca="false">ROUND((O156-C156)*86400,0)</f>
        <v>33275</v>
      </c>
      <c r="Q156" s="22" t="str">
        <f aca="false">IF(P156&lt;10,"a) &lt;10s",IF(P156&lt;60,"b) 10-60s",IF(P156&lt;600,"c) 1-10min","d) &gt;10min")))</f>
        <v>d) &gt;10min</v>
      </c>
      <c r="R156" s="38" t="n">
        <v>1787.5</v>
      </c>
      <c r="S156" s="38" t="n">
        <v>1787.28</v>
      </c>
      <c r="T156" s="22" t="s">
        <v>189</v>
      </c>
      <c r="U156" s="39" t="n">
        <f aca="false">IF(R156="","",IF(F156="BUY",R156-S156,S156-R156))</f>
        <v>0.220000000000027</v>
      </c>
      <c r="V156" s="39" t="n">
        <f aca="false">IF(F156="BUY",S156-J156,J156-S156)</f>
        <v>0.279999999999973</v>
      </c>
      <c r="W156" s="6" t="n">
        <v>1.96</v>
      </c>
      <c r="X156" s="26" t="n">
        <f aca="false">IFERROR(W156/N156,0)</f>
        <v>0.0466666666666667</v>
      </c>
      <c r="Y156" s="22" t="str">
        <f aca="false">IF(W156&gt;0,"Win",IF(W156&lt;0,"Loss","Flat"))</f>
        <v>Win</v>
      </c>
      <c r="Z156" s="24" t="n">
        <f aca="false">Summary!$C$5+SUM(W$2:W156)</f>
        <v>4277.33</v>
      </c>
      <c r="AA156" s="24" t="n">
        <f aca="false">MAX(AA155,Z156)</f>
        <v>5000</v>
      </c>
      <c r="AB156" s="24" t="n">
        <f aca="false">AA156-Z156</f>
        <v>722.67</v>
      </c>
      <c r="AC156" s="23" t="n">
        <f aca="false">IFERROR(AB156/AA156,0)</f>
        <v>0.144534</v>
      </c>
      <c r="AD156" s="22" t="s">
        <v>393</v>
      </c>
    </row>
    <row r="157" customFormat="false" ht="15" hidden="false" customHeight="false" outlineLevel="0" collapsed="false">
      <c r="A157" s="22" t="n">
        <v>156</v>
      </c>
      <c r="B157" s="22" t="s">
        <v>124</v>
      </c>
      <c r="C157" s="37" t="n">
        <v>44785.3818171296</v>
      </c>
      <c r="D157" s="22" t="s">
        <v>206</v>
      </c>
      <c r="E157" s="22" t="n">
        <v>9</v>
      </c>
      <c r="F157" s="22" t="s">
        <v>181</v>
      </c>
      <c r="G157" s="22" t="s">
        <v>235</v>
      </c>
      <c r="H157" s="22" t="n">
        <v>0.07</v>
      </c>
      <c r="I157" s="38" t="n">
        <v>1792.45</v>
      </c>
      <c r="J157" s="38" t="n">
        <v>1792.46</v>
      </c>
      <c r="K157" s="39" t="n">
        <f aca="false">IF(F157="BUY",J157-I157,I157-J157)</f>
        <v>0.00999999999999091</v>
      </c>
      <c r="L157" s="38" t="n">
        <v>1786.45</v>
      </c>
      <c r="M157" s="39" t="n">
        <f aca="false">ABS(I157-L157)</f>
        <v>6</v>
      </c>
      <c r="N157" s="24" t="n">
        <f aca="false">M157*H157*Summary!$C$6</f>
        <v>42</v>
      </c>
      <c r="O157" s="37" t="n">
        <v>44785.4897106482</v>
      </c>
      <c r="P157" s="22" t="n">
        <f aca="false">ROUND((O157-C157)*86400,0)</f>
        <v>9322</v>
      </c>
      <c r="Q157" s="22" t="str">
        <f aca="false">IF(P157&lt;10,"a) &lt;10s",IF(P157&lt;60,"b) 10-60s",IF(P157&lt;600,"c) 1-10min","d) &gt;10min")))</f>
        <v>d) &gt;10min</v>
      </c>
      <c r="R157" s="38" t="n">
        <v>1786.45</v>
      </c>
      <c r="S157" s="38" t="n">
        <v>1786.45</v>
      </c>
      <c r="T157" s="22" t="s">
        <v>188</v>
      </c>
      <c r="U157" s="39" t="n">
        <f aca="false">IF(R157="","",IF(F157="BUY",R157-S157,S157-R157))</f>
        <v>0</v>
      </c>
      <c r="V157" s="39" t="n">
        <f aca="false">IF(F157="BUY",S157-J157,J157-S157)</f>
        <v>-6.00999999999999</v>
      </c>
      <c r="W157" s="6" t="n">
        <v>-42.07</v>
      </c>
      <c r="X157" s="26" t="n">
        <f aca="false">IFERROR(W157/N157,0)</f>
        <v>-1.00166666666667</v>
      </c>
      <c r="Y157" s="22" t="str">
        <f aca="false">IF(W157&gt;0,"Win",IF(W157&lt;0,"Loss","Flat"))</f>
        <v>Loss</v>
      </c>
      <c r="Z157" s="24" t="n">
        <f aca="false">Summary!$C$5+SUM(W$2:W157)</f>
        <v>4235.26</v>
      </c>
      <c r="AA157" s="24" t="n">
        <f aca="false">MAX(AA156,Z157)</f>
        <v>5000</v>
      </c>
      <c r="AB157" s="24" t="n">
        <f aca="false">AA157-Z157</f>
        <v>764.74</v>
      </c>
      <c r="AC157" s="23" t="n">
        <f aca="false">IFERROR(AB157/AA157,0)</f>
        <v>0.152948</v>
      </c>
      <c r="AD157" s="22" t="s">
        <v>394</v>
      </c>
    </row>
    <row r="158" customFormat="false" ht="15" hidden="false" customHeight="false" outlineLevel="0" collapsed="false">
      <c r="A158" s="22" t="n">
        <v>157</v>
      </c>
      <c r="B158" s="22" t="s">
        <v>124</v>
      </c>
      <c r="C158" s="37" t="n">
        <v>44785.8364583333</v>
      </c>
      <c r="D158" s="22" t="s">
        <v>206</v>
      </c>
      <c r="E158" s="22" t="n">
        <v>20</v>
      </c>
      <c r="F158" s="22" t="s">
        <v>181</v>
      </c>
      <c r="G158" s="22" t="s">
        <v>243</v>
      </c>
      <c r="H158" s="22" t="n">
        <v>0.07</v>
      </c>
      <c r="I158" s="38" t="n">
        <v>1799.15</v>
      </c>
      <c r="J158" s="38" t="n">
        <v>1799.31</v>
      </c>
      <c r="K158" s="39" t="n">
        <f aca="false">IF(F158="BUY",J158-I158,I158-J158)</f>
        <v>0.159999999999854</v>
      </c>
      <c r="L158" s="38" t="n">
        <v>1793.15</v>
      </c>
      <c r="M158" s="39" t="n">
        <f aca="false">ABS(I158-L158)</f>
        <v>6</v>
      </c>
      <c r="N158" s="24" t="n">
        <f aca="false">M158*H158*Summary!$C$6</f>
        <v>42</v>
      </c>
      <c r="O158" s="37" t="n">
        <v>44785.8462847222</v>
      </c>
      <c r="P158" s="22" t="n">
        <f aca="false">ROUND((O158-C158)*86400,0)</f>
        <v>849</v>
      </c>
      <c r="Q158" s="22" t="str">
        <f aca="false">IF(P158&lt;10,"a) &lt;10s",IF(P158&lt;60,"b) 10-60s",IF(P158&lt;600,"c) 1-10min","d) &gt;10min")))</f>
        <v>d) &gt;10min</v>
      </c>
      <c r="R158" s="38" t="n">
        <v>1799.81</v>
      </c>
      <c r="S158" s="38" t="n">
        <v>1799.73</v>
      </c>
      <c r="T158" s="22" t="s">
        <v>189</v>
      </c>
      <c r="U158" s="39" t="n">
        <f aca="false">IF(R158="","",IF(F158="BUY",R158-S158,S158-R158))</f>
        <v>0.0799999999999272</v>
      </c>
      <c r="V158" s="39" t="n">
        <f aca="false">IF(F158="BUY",S158-J158,J158-S158)</f>
        <v>0.420000000000073</v>
      </c>
      <c r="W158" s="6" t="n">
        <v>2.94</v>
      </c>
      <c r="X158" s="26" t="n">
        <f aca="false">IFERROR(W158/N158,0)</f>
        <v>0.07</v>
      </c>
      <c r="Y158" s="22" t="str">
        <f aca="false">IF(W158&gt;0,"Win",IF(W158&lt;0,"Loss","Flat"))</f>
        <v>Win</v>
      </c>
      <c r="Z158" s="24" t="n">
        <f aca="false">Summary!$C$5+SUM(W$2:W158)</f>
        <v>4238.2</v>
      </c>
      <c r="AA158" s="24" t="n">
        <f aca="false">MAX(AA157,Z158)</f>
        <v>5000</v>
      </c>
      <c r="AB158" s="24" t="n">
        <f aca="false">AA158-Z158</f>
        <v>761.8</v>
      </c>
      <c r="AC158" s="23" t="n">
        <f aca="false">IFERROR(AB158/AA158,0)</f>
        <v>0.15236</v>
      </c>
      <c r="AD158" s="22" t="s">
        <v>395</v>
      </c>
    </row>
    <row r="159" customFormat="false" ht="15" hidden="false" customHeight="false" outlineLevel="0" collapsed="false">
      <c r="A159" s="22" t="n">
        <v>158</v>
      </c>
      <c r="B159" s="22" t="s">
        <v>124</v>
      </c>
      <c r="C159" s="37" t="n">
        <v>44788.3821990741</v>
      </c>
      <c r="D159" s="22" t="s">
        <v>202</v>
      </c>
      <c r="E159" s="22" t="n">
        <v>9</v>
      </c>
      <c r="F159" s="22" t="s">
        <v>182</v>
      </c>
      <c r="G159" s="22" t="s">
        <v>241</v>
      </c>
      <c r="H159" s="22" t="n">
        <v>0.07</v>
      </c>
      <c r="I159" s="38" t="n">
        <v>1791.97</v>
      </c>
      <c r="J159" s="38" t="n">
        <v>1791.89</v>
      </c>
      <c r="K159" s="39" t="n">
        <f aca="false">IF(F159="BUY",J159-I159,I159-J159)</f>
        <v>0.0799999999999272</v>
      </c>
      <c r="L159" s="38" t="n">
        <v>1797.97</v>
      </c>
      <c r="M159" s="39" t="n">
        <f aca="false">ABS(I159-L159)</f>
        <v>6</v>
      </c>
      <c r="N159" s="24" t="n">
        <f aca="false">M159*H159*Summary!$C$6</f>
        <v>42</v>
      </c>
      <c r="O159" s="37" t="n">
        <v>44788.9270833333</v>
      </c>
      <c r="P159" s="22" t="n">
        <f aca="false">ROUND((O159-C159)*86400,0)</f>
        <v>47078</v>
      </c>
      <c r="Q159" s="22" t="str">
        <f aca="false">IF(P159&lt;10,"a) &lt;10s",IF(P159&lt;60,"b) 10-60s",IF(P159&lt;600,"c) 1-10min","d) &gt;10min")))</f>
        <v>d) &gt;10min</v>
      </c>
      <c r="R159" s="38"/>
      <c r="S159" s="38" t="n">
        <v>1779.45</v>
      </c>
      <c r="T159" s="22" t="s">
        <v>191</v>
      </c>
      <c r="U159" s="39" t="str">
        <f aca="false">IF(R159="","",IF(F159="BUY",R159-S159,S159-R159))</f>
        <v/>
      </c>
      <c r="V159" s="39" t="n">
        <f aca="false">IF(F159="BUY",S159-J159,J159-S159)</f>
        <v>12.4400000000001</v>
      </c>
      <c r="W159" s="6" t="n">
        <v>87.08</v>
      </c>
      <c r="X159" s="26" t="n">
        <f aca="false">IFERROR(W159/N159,0)</f>
        <v>2.07333333333333</v>
      </c>
      <c r="Y159" s="22" t="str">
        <f aca="false">IF(W159&gt;0,"Win",IF(W159&lt;0,"Loss","Flat"))</f>
        <v>Win</v>
      </c>
      <c r="Z159" s="24" t="n">
        <f aca="false">Summary!$C$5+SUM(W$2:W159)</f>
        <v>4325.28</v>
      </c>
      <c r="AA159" s="24" t="n">
        <f aca="false">MAX(AA158,Z159)</f>
        <v>5000</v>
      </c>
      <c r="AB159" s="24" t="n">
        <f aca="false">AA159-Z159</f>
        <v>674.72</v>
      </c>
      <c r="AC159" s="23" t="n">
        <f aca="false">IFERROR(AB159/AA159,0)</f>
        <v>0.134944</v>
      </c>
      <c r="AD159" s="22" t="s">
        <v>396</v>
      </c>
    </row>
    <row r="160" customFormat="false" ht="15" hidden="false" customHeight="false" outlineLevel="0" collapsed="false">
      <c r="A160" s="22" t="n">
        <v>159</v>
      </c>
      <c r="B160" s="22" t="s">
        <v>124</v>
      </c>
      <c r="C160" s="37" t="n">
        <v>44789.3804050926</v>
      </c>
      <c r="D160" s="22" t="s">
        <v>203</v>
      </c>
      <c r="E160" s="22" t="n">
        <v>9</v>
      </c>
      <c r="F160" s="22" t="s">
        <v>181</v>
      </c>
      <c r="G160" s="22" t="s">
        <v>235</v>
      </c>
      <c r="H160" s="22" t="n">
        <v>0.07</v>
      </c>
      <c r="I160" s="38" t="n">
        <v>1782.02</v>
      </c>
      <c r="J160" s="38" t="n">
        <v>1782.02</v>
      </c>
      <c r="K160" s="39" t="n">
        <f aca="false">IF(F160="BUY",J160-I160,I160-J160)</f>
        <v>0</v>
      </c>
      <c r="L160" s="38" t="n">
        <v>1776.02</v>
      </c>
      <c r="M160" s="39" t="n">
        <f aca="false">ABS(I160-L160)</f>
        <v>6</v>
      </c>
      <c r="N160" s="24" t="n">
        <f aca="false">M160*H160*Summary!$C$6</f>
        <v>42</v>
      </c>
      <c r="O160" s="37" t="n">
        <v>44789.4579282407</v>
      </c>
      <c r="P160" s="22" t="n">
        <f aca="false">ROUND((O160-C160)*86400,0)</f>
        <v>6698</v>
      </c>
      <c r="Q160" s="22" t="str">
        <f aca="false">IF(P160&lt;10,"a) &lt;10s",IF(P160&lt;60,"b) 10-60s",IF(P160&lt;600,"c) 1-10min","d) &gt;10min")))</f>
        <v>d) &gt;10min</v>
      </c>
      <c r="R160" s="38" t="n">
        <v>1776.02</v>
      </c>
      <c r="S160" s="38" t="n">
        <v>1776</v>
      </c>
      <c r="T160" s="22" t="s">
        <v>188</v>
      </c>
      <c r="U160" s="39" t="n">
        <f aca="false">IF(R160="","",IF(F160="BUY",R160-S160,S160-R160))</f>
        <v>0.0199999999999818</v>
      </c>
      <c r="V160" s="39" t="n">
        <f aca="false">IF(F160="BUY",S160-J160,J160-S160)</f>
        <v>-6.01999999999998</v>
      </c>
      <c r="W160" s="6" t="n">
        <v>-42.14</v>
      </c>
      <c r="X160" s="26" t="n">
        <f aca="false">IFERROR(W160/N160,0)</f>
        <v>-1.00333333333333</v>
      </c>
      <c r="Y160" s="22" t="str">
        <f aca="false">IF(W160&gt;0,"Win",IF(W160&lt;0,"Loss","Flat"))</f>
        <v>Loss</v>
      </c>
      <c r="Z160" s="24" t="n">
        <f aca="false">Summary!$C$5+SUM(W$2:W160)</f>
        <v>4283.14</v>
      </c>
      <c r="AA160" s="24" t="n">
        <f aca="false">MAX(AA159,Z160)</f>
        <v>5000</v>
      </c>
      <c r="AB160" s="24" t="n">
        <f aca="false">AA160-Z160</f>
        <v>716.86</v>
      </c>
      <c r="AC160" s="23" t="n">
        <f aca="false">IFERROR(AB160/AA160,0)</f>
        <v>0.143372</v>
      </c>
      <c r="AD160" s="22" t="s">
        <v>397</v>
      </c>
    </row>
    <row r="161" customFormat="false" ht="15" hidden="false" customHeight="false" outlineLevel="0" collapsed="false">
      <c r="A161" s="22" t="n">
        <v>160</v>
      </c>
      <c r="B161" s="22" t="s">
        <v>124</v>
      </c>
      <c r="C161" s="37" t="n">
        <v>44789.6472916667</v>
      </c>
      <c r="D161" s="22" t="s">
        <v>203</v>
      </c>
      <c r="E161" s="22" t="n">
        <v>15</v>
      </c>
      <c r="F161" s="22" t="s">
        <v>182</v>
      </c>
      <c r="G161" s="22" t="s">
        <v>237</v>
      </c>
      <c r="H161" s="22" t="n">
        <v>0.07</v>
      </c>
      <c r="I161" s="38" t="n">
        <v>1772.82</v>
      </c>
      <c r="J161" s="38" t="n">
        <v>1771.66</v>
      </c>
      <c r="K161" s="39" t="n">
        <f aca="false">IF(F161="BUY",J161-I161,I161-J161)</f>
        <v>1.15999999999985</v>
      </c>
      <c r="L161" s="38" t="n">
        <v>1778.82</v>
      </c>
      <c r="M161" s="39" t="n">
        <f aca="false">ABS(I161-L161)</f>
        <v>6</v>
      </c>
      <c r="N161" s="24" t="n">
        <f aca="false">M161*H161*Summary!$C$6</f>
        <v>42</v>
      </c>
      <c r="O161" s="37" t="n">
        <v>44789.9270833333</v>
      </c>
      <c r="P161" s="22" t="n">
        <f aca="false">ROUND((O161-C161)*86400,0)</f>
        <v>24174</v>
      </c>
      <c r="Q161" s="22" t="str">
        <f aca="false">IF(P161&lt;10,"a) &lt;10s",IF(P161&lt;60,"b) 10-60s",IF(P161&lt;600,"c) 1-10min","d) &gt;10min")))</f>
        <v>d) &gt;10min</v>
      </c>
      <c r="R161" s="38"/>
      <c r="S161" s="38" t="n">
        <v>1777.23</v>
      </c>
      <c r="T161" s="22" t="s">
        <v>191</v>
      </c>
      <c r="U161" s="39" t="str">
        <f aca="false">IF(R161="","",IF(F161="BUY",R161-S161,S161-R161))</f>
        <v/>
      </c>
      <c r="V161" s="39" t="n">
        <f aca="false">IF(F161="BUY",S161-J161,J161-S161)</f>
        <v>-5.56999999999994</v>
      </c>
      <c r="W161" s="6" t="n">
        <v>-38.99</v>
      </c>
      <c r="X161" s="26" t="n">
        <f aca="false">IFERROR(W161/N161,0)</f>
        <v>-0.928333333333333</v>
      </c>
      <c r="Y161" s="22" t="str">
        <f aca="false">IF(W161&gt;0,"Win",IF(W161&lt;0,"Loss","Flat"))</f>
        <v>Loss</v>
      </c>
      <c r="Z161" s="24" t="n">
        <f aca="false">Summary!$C$5+SUM(W$2:W161)</f>
        <v>4244.15</v>
      </c>
      <c r="AA161" s="24" t="n">
        <f aca="false">MAX(AA160,Z161)</f>
        <v>5000</v>
      </c>
      <c r="AB161" s="24" t="n">
        <f aca="false">AA161-Z161</f>
        <v>755.85</v>
      </c>
      <c r="AC161" s="23" t="n">
        <f aca="false">IFERROR(AB161/AA161,0)</f>
        <v>0.15117</v>
      </c>
      <c r="AD161" s="22" t="s">
        <v>398</v>
      </c>
    </row>
    <row r="162" customFormat="false" ht="15" hidden="false" customHeight="false" outlineLevel="0" collapsed="false">
      <c r="A162" s="22" t="n">
        <v>161</v>
      </c>
      <c r="B162" s="22" t="s">
        <v>124</v>
      </c>
      <c r="C162" s="37" t="n">
        <v>44790.4283680556</v>
      </c>
      <c r="D162" s="22" t="s">
        <v>204</v>
      </c>
      <c r="E162" s="22" t="n">
        <v>10</v>
      </c>
      <c r="F162" s="22" t="s">
        <v>182</v>
      </c>
      <c r="G162" s="22" t="s">
        <v>241</v>
      </c>
      <c r="H162" s="22" t="n">
        <v>0.07</v>
      </c>
      <c r="I162" s="38" t="n">
        <v>1775.31</v>
      </c>
      <c r="J162" s="38" t="n">
        <v>1775.29</v>
      </c>
      <c r="K162" s="39" t="n">
        <f aca="false">IF(F162="BUY",J162-I162,I162-J162)</f>
        <v>0.0199999999999818</v>
      </c>
      <c r="L162" s="38" t="n">
        <v>1781.31</v>
      </c>
      <c r="M162" s="39" t="n">
        <f aca="false">ABS(I162-L162)</f>
        <v>6</v>
      </c>
      <c r="N162" s="24" t="n">
        <f aca="false">M162*H162*Summary!$C$6</f>
        <v>42</v>
      </c>
      <c r="O162" s="37" t="n">
        <v>44790.4802893519</v>
      </c>
      <c r="P162" s="22" t="n">
        <f aca="false">ROUND((O162-C162)*86400,0)</f>
        <v>4486</v>
      </c>
      <c r="Q162" s="22" t="str">
        <f aca="false">IF(P162&lt;10,"a) &lt;10s",IF(P162&lt;60,"b) 10-60s",IF(P162&lt;600,"c) 1-10min","d) &gt;10min")))</f>
        <v>d) &gt;10min</v>
      </c>
      <c r="R162" s="38" t="n">
        <v>1774.79</v>
      </c>
      <c r="S162" s="38" t="n">
        <v>1774.83</v>
      </c>
      <c r="T162" s="22" t="s">
        <v>189</v>
      </c>
      <c r="U162" s="39" t="n">
        <f aca="false">IF(R162="","",IF(F162="BUY",R162-S162,S162-R162))</f>
        <v>0.0399999999999636</v>
      </c>
      <c r="V162" s="39" t="n">
        <f aca="false">IF(F162="BUY",S162-J162,J162-S162)</f>
        <v>0.460000000000036</v>
      </c>
      <c r="W162" s="6" t="n">
        <v>3.22</v>
      </c>
      <c r="X162" s="26" t="n">
        <f aca="false">IFERROR(W162/N162,0)</f>
        <v>0.0766666666666667</v>
      </c>
      <c r="Y162" s="22" t="str">
        <f aca="false">IF(W162&gt;0,"Win",IF(W162&lt;0,"Loss","Flat"))</f>
        <v>Win</v>
      </c>
      <c r="Z162" s="24" t="n">
        <f aca="false">Summary!$C$5+SUM(W$2:W162)</f>
        <v>4247.37</v>
      </c>
      <c r="AA162" s="24" t="n">
        <f aca="false">MAX(AA161,Z162)</f>
        <v>5000</v>
      </c>
      <c r="AB162" s="24" t="n">
        <f aca="false">AA162-Z162</f>
        <v>752.63</v>
      </c>
      <c r="AC162" s="23" t="n">
        <f aca="false">IFERROR(AB162/AA162,0)</f>
        <v>0.150526</v>
      </c>
      <c r="AD162" s="22" t="s">
        <v>399</v>
      </c>
    </row>
    <row r="163" customFormat="false" ht="15" hidden="false" customHeight="false" outlineLevel="0" collapsed="false">
      <c r="A163" s="22" t="n">
        <v>162</v>
      </c>
      <c r="B163" s="22" t="s">
        <v>124</v>
      </c>
      <c r="C163" s="37" t="n">
        <v>44790.561400463</v>
      </c>
      <c r="D163" s="22" t="s">
        <v>204</v>
      </c>
      <c r="E163" s="22" t="n">
        <v>13</v>
      </c>
      <c r="F163" s="22" t="s">
        <v>182</v>
      </c>
      <c r="G163" s="22" t="s">
        <v>237</v>
      </c>
      <c r="H163" s="22" t="n">
        <v>0.07</v>
      </c>
      <c r="I163" s="38" t="n">
        <v>1771.37</v>
      </c>
      <c r="J163" s="38" t="n">
        <v>1771.19</v>
      </c>
      <c r="K163" s="39" t="n">
        <f aca="false">IF(F163="BUY",J163-I163,I163-J163)</f>
        <v>0.179999999999836</v>
      </c>
      <c r="L163" s="38" t="n">
        <v>1777.37</v>
      </c>
      <c r="M163" s="39" t="n">
        <f aca="false">ABS(I163-L163)</f>
        <v>6</v>
      </c>
      <c r="N163" s="24" t="n">
        <f aca="false">M163*H163*Summary!$C$6</f>
        <v>42</v>
      </c>
      <c r="O163" s="37" t="n">
        <v>44790.6313194444</v>
      </c>
      <c r="P163" s="22" t="n">
        <f aca="false">ROUND((O163-C163)*86400,0)</f>
        <v>6041</v>
      </c>
      <c r="Q163" s="22" t="str">
        <f aca="false">IF(P163&lt;10,"a) &lt;10s",IF(P163&lt;60,"b) 10-60s",IF(P163&lt;600,"c) 1-10min","d) &gt;10min")))</f>
        <v>d) &gt;10min</v>
      </c>
      <c r="R163" s="38" t="n">
        <v>1770.69</v>
      </c>
      <c r="S163" s="38" t="n">
        <v>1770.72</v>
      </c>
      <c r="T163" s="22" t="s">
        <v>189</v>
      </c>
      <c r="U163" s="39" t="n">
        <f aca="false">IF(R163="","",IF(F163="BUY",R163-S163,S163-R163))</f>
        <v>0.0299999999999727</v>
      </c>
      <c r="V163" s="39" t="n">
        <f aca="false">IF(F163="BUY",S163-J163,J163-S163)</f>
        <v>0.470000000000027</v>
      </c>
      <c r="W163" s="6" t="n">
        <v>3.29</v>
      </c>
      <c r="X163" s="26" t="n">
        <f aca="false">IFERROR(W163/N163,0)</f>
        <v>0.0783333333333333</v>
      </c>
      <c r="Y163" s="22" t="str">
        <f aca="false">IF(W163&gt;0,"Win",IF(W163&lt;0,"Loss","Flat"))</f>
        <v>Win</v>
      </c>
      <c r="Z163" s="24" t="n">
        <f aca="false">Summary!$C$5+SUM(W$2:W163)</f>
        <v>4250.66</v>
      </c>
      <c r="AA163" s="24" t="n">
        <f aca="false">MAX(AA162,Z163)</f>
        <v>5000</v>
      </c>
      <c r="AB163" s="24" t="n">
        <f aca="false">AA163-Z163</f>
        <v>749.34</v>
      </c>
      <c r="AC163" s="23" t="n">
        <f aca="false">IFERROR(AB163/AA163,0)</f>
        <v>0.149868</v>
      </c>
      <c r="AD163" s="22" t="s">
        <v>400</v>
      </c>
    </row>
    <row r="164" customFormat="false" ht="15" hidden="false" customHeight="false" outlineLevel="0" collapsed="false">
      <c r="A164" s="22" t="n">
        <v>163</v>
      </c>
      <c r="B164" s="22" t="s">
        <v>124</v>
      </c>
      <c r="C164" s="37" t="n">
        <v>44791.4047222222</v>
      </c>
      <c r="D164" s="22" t="s">
        <v>205</v>
      </c>
      <c r="E164" s="22" t="n">
        <v>9</v>
      </c>
      <c r="F164" s="22" t="s">
        <v>182</v>
      </c>
      <c r="G164" s="22" t="s">
        <v>241</v>
      </c>
      <c r="H164" s="22" t="n">
        <v>0.07</v>
      </c>
      <c r="I164" s="38" t="n">
        <v>1761.48</v>
      </c>
      <c r="J164" s="38" t="n">
        <v>1761.44</v>
      </c>
      <c r="K164" s="39" t="n">
        <f aca="false">IF(F164="BUY",J164-I164,I164-J164)</f>
        <v>0.0399999999999636</v>
      </c>
      <c r="L164" s="38" t="n">
        <v>1767.48</v>
      </c>
      <c r="M164" s="39" t="n">
        <f aca="false">ABS(I164-L164)</f>
        <v>6</v>
      </c>
      <c r="N164" s="24" t="n">
        <f aca="false">M164*H164*Summary!$C$6</f>
        <v>42</v>
      </c>
      <c r="O164" s="37" t="n">
        <v>44791.5312615741</v>
      </c>
      <c r="P164" s="22" t="n">
        <f aca="false">ROUND((O164-C164)*86400,0)</f>
        <v>10933</v>
      </c>
      <c r="Q164" s="22" t="str">
        <f aca="false">IF(P164&lt;10,"a) &lt;10s",IF(P164&lt;60,"b) 10-60s",IF(P164&lt;600,"c) 1-10min","d) &gt;10min")))</f>
        <v>d) &gt;10min</v>
      </c>
      <c r="R164" s="38" t="n">
        <v>1767.48</v>
      </c>
      <c r="S164" s="38" t="n">
        <v>1767.49</v>
      </c>
      <c r="T164" s="22" t="s">
        <v>188</v>
      </c>
      <c r="U164" s="39" t="n">
        <f aca="false">IF(R164="","",IF(F164="BUY",R164-S164,S164-R164))</f>
        <v>0.00999999999999091</v>
      </c>
      <c r="V164" s="39" t="n">
        <f aca="false">IF(F164="BUY",S164-J164,J164-S164)</f>
        <v>-6.04999999999995</v>
      </c>
      <c r="W164" s="6" t="n">
        <v>-42.35</v>
      </c>
      <c r="X164" s="26" t="n">
        <f aca="false">IFERROR(W164/N164,0)</f>
        <v>-1.00833333333333</v>
      </c>
      <c r="Y164" s="22" t="str">
        <f aca="false">IF(W164&gt;0,"Win",IF(W164&lt;0,"Loss","Flat"))</f>
        <v>Loss</v>
      </c>
      <c r="Z164" s="24" t="n">
        <f aca="false">Summary!$C$5+SUM(W$2:W164)</f>
        <v>4208.31</v>
      </c>
      <c r="AA164" s="24" t="n">
        <f aca="false">MAX(AA163,Z164)</f>
        <v>5000</v>
      </c>
      <c r="AB164" s="24" t="n">
        <f aca="false">AA164-Z164</f>
        <v>791.690000000001</v>
      </c>
      <c r="AC164" s="23" t="n">
        <f aca="false">IFERROR(AB164/AA164,0)</f>
        <v>0.158338</v>
      </c>
      <c r="AD164" s="22" t="s">
        <v>401</v>
      </c>
    </row>
    <row r="165" customFormat="false" ht="15" hidden="false" customHeight="false" outlineLevel="0" collapsed="false">
      <c r="A165" s="22" t="n">
        <v>164</v>
      </c>
      <c r="B165" s="22" t="s">
        <v>124</v>
      </c>
      <c r="C165" s="37" t="n">
        <v>44791.7785648148</v>
      </c>
      <c r="D165" s="22" t="s">
        <v>205</v>
      </c>
      <c r="E165" s="22" t="n">
        <v>18</v>
      </c>
      <c r="F165" s="22" t="s">
        <v>182</v>
      </c>
      <c r="G165" s="22" t="s">
        <v>237</v>
      </c>
      <c r="H165" s="22" t="n">
        <v>0.07</v>
      </c>
      <c r="I165" s="38" t="n">
        <v>1759.71</v>
      </c>
      <c r="J165" s="38" t="n">
        <v>1759.7</v>
      </c>
      <c r="K165" s="39" t="n">
        <f aca="false">IF(F165="BUY",J165-I165,I165-J165)</f>
        <v>0.00999999999999091</v>
      </c>
      <c r="L165" s="38" t="n">
        <v>1765.71</v>
      </c>
      <c r="M165" s="39" t="n">
        <f aca="false">ABS(I165-L165)</f>
        <v>6</v>
      </c>
      <c r="N165" s="24" t="n">
        <f aca="false">M165*H165*Summary!$C$6</f>
        <v>42</v>
      </c>
      <c r="O165" s="37" t="n">
        <v>44791.8646180556</v>
      </c>
      <c r="P165" s="22" t="n">
        <f aca="false">ROUND((O165-C165)*86400,0)</f>
        <v>7435</v>
      </c>
      <c r="Q165" s="22" t="str">
        <f aca="false">IF(P165&lt;10,"a) &lt;10s",IF(P165&lt;60,"b) 10-60s",IF(P165&lt;600,"c) 1-10min","d) &gt;10min")))</f>
        <v>d) &gt;10min</v>
      </c>
      <c r="R165" s="38" t="n">
        <v>1759.2</v>
      </c>
      <c r="S165" s="38" t="n">
        <v>1759.23</v>
      </c>
      <c r="T165" s="22" t="s">
        <v>189</v>
      </c>
      <c r="U165" s="39" t="n">
        <f aca="false">IF(R165="","",IF(F165="BUY",R165-S165,S165-R165))</f>
        <v>0.0299999999999727</v>
      </c>
      <c r="V165" s="39" t="n">
        <f aca="false">IF(F165="BUY",S165-J165,J165-S165)</f>
        <v>0.470000000000027</v>
      </c>
      <c r="W165" s="6" t="n">
        <v>3.29</v>
      </c>
      <c r="X165" s="26" t="n">
        <f aca="false">IFERROR(W165/N165,0)</f>
        <v>0.0783333333333333</v>
      </c>
      <c r="Y165" s="22" t="str">
        <f aca="false">IF(W165&gt;0,"Win",IF(W165&lt;0,"Loss","Flat"))</f>
        <v>Win</v>
      </c>
      <c r="Z165" s="24" t="n">
        <f aca="false">Summary!$C$5+SUM(W$2:W165)</f>
        <v>4211.6</v>
      </c>
      <c r="AA165" s="24" t="n">
        <f aca="false">MAX(AA164,Z165)</f>
        <v>5000</v>
      </c>
      <c r="AB165" s="24" t="n">
        <f aca="false">AA165-Z165</f>
        <v>788.4</v>
      </c>
      <c r="AC165" s="23" t="n">
        <f aca="false">IFERROR(AB165/AA165,0)</f>
        <v>0.15768</v>
      </c>
      <c r="AD165" s="22" t="s">
        <v>402</v>
      </c>
    </row>
    <row r="166" customFormat="false" ht="15" hidden="false" customHeight="false" outlineLevel="0" collapsed="false">
      <c r="A166" s="22" t="n">
        <v>165</v>
      </c>
      <c r="B166" s="22" t="s">
        <v>124</v>
      </c>
      <c r="C166" s="37" t="n">
        <v>44792.1333680556</v>
      </c>
      <c r="D166" s="22" t="s">
        <v>206</v>
      </c>
      <c r="E166" s="22" t="n">
        <v>3</v>
      </c>
      <c r="F166" s="22" t="s">
        <v>182</v>
      </c>
      <c r="G166" s="22" t="s">
        <v>237</v>
      </c>
      <c r="H166" s="22" t="n">
        <v>0.07</v>
      </c>
      <c r="I166" s="38" t="n">
        <v>1755.22</v>
      </c>
      <c r="J166" s="38" t="n">
        <v>1755.08</v>
      </c>
      <c r="K166" s="39" t="n">
        <f aca="false">IF(F166="BUY",J166-I166,I166-J166)</f>
        <v>0.1400000000001</v>
      </c>
      <c r="L166" s="38" t="n">
        <v>1761.22</v>
      </c>
      <c r="M166" s="39" t="n">
        <f aca="false">ABS(I166-L166)</f>
        <v>6</v>
      </c>
      <c r="N166" s="24" t="n">
        <f aca="false">M166*H166*Summary!$C$6</f>
        <v>42</v>
      </c>
      <c r="O166" s="37" t="n">
        <v>44792.3620601852</v>
      </c>
      <c r="P166" s="22" t="n">
        <f aca="false">ROUND((O166-C166)*86400,0)</f>
        <v>19759</v>
      </c>
      <c r="Q166" s="22" t="str">
        <f aca="false">IF(P166&lt;10,"a) &lt;10s",IF(P166&lt;60,"b) 10-60s",IF(P166&lt;600,"c) 1-10min","d) &gt;10min")))</f>
        <v>d) &gt;10min</v>
      </c>
      <c r="R166" s="38" t="n">
        <v>1754.58</v>
      </c>
      <c r="S166" s="38" t="n">
        <v>1754.58</v>
      </c>
      <c r="T166" s="22" t="s">
        <v>189</v>
      </c>
      <c r="U166" s="39" t="n">
        <f aca="false">IF(R166="","",IF(F166="BUY",R166-S166,S166-R166))</f>
        <v>0</v>
      </c>
      <c r="V166" s="39" t="n">
        <f aca="false">IF(F166="BUY",S166-J166,J166-S166)</f>
        <v>0.5</v>
      </c>
      <c r="W166" s="6" t="n">
        <v>3.5</v>
      </c>
      <c r="X166" s="26" t="n">
        <f aca="false">IFERROR(W166/N166,0)</f>
        <v>0.0833333333333333</v>
      </c>
      <c r="Y166" s="22" t="str">
        <f aca="false">IF(W166&gt;0,"Win",IF(W166&lt;0,"Loss","Flat"))</f>
        <v>Win</v>
      </c>
      <c r="Z166" s="24" t="n">
        <f aca="false">Summary!$C$5+SUM(W$2:W166)</f>
        <v>4215.1</v>
      </c>
      <c r="AA166" s="24" t="n">
        <f aca="false">MAX(AA165,Z166)</f>
        <v>5000</v>
      </c>
      <c r="AB166" s="24" t="n">
        <f aca="false">AA166-Z166</f>
        <v>784.9</v>
      </c>
      <c r="AC166" s="23" t="n">
        <f aca="false">IFERROR(AB166/AA166,0)</f>
        <v>0.15698</v>
      </c>
      <c r="AD166" s="22" t="s">
        <v>403</v>
      </c>
    </row>
    <row r="167" customFormat="false" ht="15" hidden="false" customHeight="false" outlineLevel="0" collapsed="false">
      <c r="A167" s="22" t="n">
        <v>166</v>
      </c>
      <c r="B167" s="22" t="s">
        <v>124</v>
      </c>
      <c r="C167" s="37" t="n">
        <v>44792.3928587963</v>
      </c>
      <c r="D167" s="22" t="s">
        <v>206</v>
      </c>
      <c r="E167" s="22" t="n">
        <v>9</v>
      </c>
      <c r="F167" s="22" t="s">
        <v>181</v>
      </c>
      <c r="G167" s="22" t="s">
        <v>235</v>
      </c>
      <c r="H167" s="22" t="n">
        <v>0.07</v>
      </c>
      <c r="I167" s="38" t="n">
        <v>1756.92</v>
      </c>
      <c r="J167" s="38" t="n">
        <v>1756.92</v>
      </c>
      <c r="K167" s="39" t="n">
        <f aca="false">IF(F167="BUY",J167-I167,I167-J167)</f>
        <v>0</v>
      </c>
      <c r="L167" s="38" t="n">
        <v>1750.92</v>
      </c>
      <c r="M167" s="39" t="n">
        <f aca="false">ABS(I167-L167)</f>
        <v>6</v>
      </c>
      <c r="N167" s="24" t="n">
        <f aca="false">M167*H167*Summary!$C$6</f>
        <v>42</v>
      </c>
      <c r="O167" s="37" t="n">
        <v>44792.5440162037</v>
      </c>
      <c r="P167" s="22" t="n">
        <f aca="false">ROUND((O167-C167)*86400,0)</f>
        <v>13060</v>
      </c>
      <c r="Q167" s="22" t="str">
        <f aca="false">IF(P167&lt;10,"a) &lt;10s",IF(P167&lt;60,"b) 10-60s",IF(P167&lt;600,"c) 1-10min","d) &gt;10min")))</f>
        <v>d) &gt;10min</v>
      </c>
      <c r="R167" s="38" t="n">
        <v>1750.92</v>
      </c>
      <c r="S167" s="38" t="n">
        <v>1750.89</v>
      </c>
      <c r="T167" s="22" t="s">
        <v>188</v>
      </c>
      <c r="U167" s="39" t="n">
        <f aca="false">IF(R167="","",IF(F167="BUY",R167-S167,S167-R167))</f>
        <v>0.0299999999999727</v>
      </c>
      <c r="V167" s="39" t="n">
        <f aca="false">IF(F167="BUY",S167-J167,J167-S167)</f>
        <v>-6.02999999999997</v>
      </c>
      <c r="W167" s="6" t="n">
        <v>-42.21</v>
      </c>
      <c r="X167" s="26" t="n">
        <f aca="false">IFERROR(W167/N167,0)</f>
        <v>-1.005</v>
      </c>
      <c r="Y167" s="22" t="str">
        <f aca="false">IF(W167&gt;0,"Win",IF(W167&lt;0,"Loss","Flat"))</f>
        <v>Loss</v>
      </c>
      <c r="Z167" s="24" t="n">
        <f aca="false">Summary!$C$5+SUM(W$2:W167)</f>
        <v>4172.89</v>
      </c>
      <c r="AA167" s="24" t="n">
        <f aca="false">MAX(AA166,Z167)</f>
        <v>5000</v>
      </c>
      <c r="AB167" s="24" t="n">
        <f aca="false">AA167-Z167</f>
        <v>827.11</v>
      </c>
      <c r="AC167" s="23" t="n">
        <f aca="false">IFERROR(AB167/AA167,0)</f>
        <v>0.165422</v>
      </c>
      <c r="AD167" s="22" t="s">
        <v>404</v>
      </c>
    </row>
    <row r="168" customFormat="false" ht="15" hidden="false" customHeight="false" outlineLevel="0" collapsed="false">
      <c r="A168" s="22" t="n">
        <v>167</v>
      </c>
      <c r="B168" s="22" t="s">
        <v>124</v>
      </c>
      <c r="C168" s="37" t="n">
        <v>44795.3757291667</v>
      </c>
      <c r="D168" s="22" t="s">
        <v>202</v>
      </c>
      <c r="E168" s="22" t="n">
        <v>9</v>
      </c>
      <c r="F168" s="22" t="s">
        <v>182</v>
      </c>
      <c r="G168" s="22" t="s">
        <v>241</v>
      </c>
      <c r="H168" s="22" t="n">
        <v>0.06</v>
      </c>
      <c r="I168" s="38" t="n">
        <v>1742.72</v>
      </c>
      <c r="J168" s="38" t="n">
        <v>1742.72</v>
      </c>
      <c r="K168" s="39" t="n">
        <f aca="false">IF(F168="BUY",J168-I168,I168-J168)</f>
        <v>0</v>
      </c>
      <c r="L168" s="38" t="n">
        <v>1748.72</v>
      </c>
      <c r="M168" s="39" t="n">
        <f aca="false">ABS(I168-L168)</f>
        <v>6</v>
      </c>
      <c r="N168" s="24" t="n">
        <f aca="false">M168*H168*Summary!$C$6</f>
        <v>36</v>
      </c>
      <c r="O168" s="37" t="n">
        <v>44795.9270833333</v>
      </c>
      <c r="P168" s="22" t="n">
        <f aca="false">ROUND((O168-C168)*86400,0)</f>
        <v>47637</v>
      </c>
      <c r="Q168" s="22" t="str">
        <f aca="false">IF(P168&lt;10,"a) &lt;10s",IF(P168&lt;60,"b) 10-60s",IF(P168&lt;600,"c) 1-10min","d) &gt;10min")))</f>
        <v>d) &gt;10min</v>
      </c>
      <c r="R168" s="38"/>
      <c r="S168" s="38" t="n">
        <v>1737.57</v>
      </c>
      <c r="T168" s="22" t="s">
        <v>191</v>
      </c>
      <c r="U168" s="39" t="str">
        <f aca="false">IF(R168="","",IF(F168="BUY",R168-S168,S168-R168))</f>
        <v/>
      </c>
      <c r="V168" s="39" t="n">
        <f aca="false">IF(F168="BUY",S168-J168,J168-S168)</f>
        <v>5.15000000000009</v>
      </c>
      <c r="W168" s="6" t="n">
        <v>30.9</v>
      </c>
      <c r="X168" s="26" t="n">
        <f aca="false">IFERROR(W168/N168,0)</f>
        <v>0.858333333333333</v>
      </c>
      <c r="Y168" s="22" t="str">
        <f aca="false">IF(W168&gt;0,"Win",IF(W168&lt;0,"Loss","Flat"))</f>
        <v>Win</v>
      </c>
      <c r="Z168" s="24" t="n">
        <f aca="false">Summary!$C$5+SUM(W$2:W168)</f>
        <v>4203.79</v>
      </c>
      <c r="AA168" s="24" t="n">
        <f aca="false">MAX(AA167,Z168)</f>
        <v>5000</v>
      </c>
      <c r="AB168" s="24" t="n">
        <f aca="false">AA168-Z168</f>
        <v>796.21</v>
      </c>
      <c r="AC168" s="23" t="n">
        <f aca="false">IFERROR(AB168/AA168,0)</f>
        <v>0.159242</v>
      </c>
      <c r="AD168" s="22" t="s">
        <v>405</v>
      </c>
    </row>
    <row r="169" customFormat="false" ht="15" hidden="false" customHeight="false" outlineLevel="0" collapsed="false">
      <c r="A169" s="22" t="n">
        <v>168</v>
      </c>
      <c r="B169" s="22" t="s">
        <v>124</v>
      </c>
      <c r="C169" s="37" t="n">
        <v>44796.388287037</v>
      </c>
      <c r="D169" s="22" t="s">
        <v>203</v>
      </c>
      <c r="E169" s="22" t="n">
        <v>9</v>
      </c>
      <c r="F169" s="22" t="s">
        <v>182</v>
      </c>
      <c r="G169" s="22" t="s">
        <v>241</v>
      </c>
      <c r="H169" s="22" t="n">
        <v>0.07</v>
      </c>
      <c r="I169" s="38" t="n">
        <v>1735.65</v>
      </c>
      <c r="J169" s="38" t="n">
        <v>1735.64</v>
      </c>
      <c r="K169" s="39" t="n">
        <f aca="false">IF(F169="BUY",J169-I169,I169-J169)</f>
        <v>0.00999999999999091</v>
      </c>
      <c r="L169" s="38" t="n">
        <v>1741.65</v>
      </c>
      <c r="M169" s="39" t="n">
        <f aca="false">ABS(I169-L169)</f>
        <v>6</v>
      </c>
      <c r="N169" s="24" t="n">
        <f aca="false">M169*H169*Summary!$C$6</f>
        <v>42</v>
      </c>
      <c r="O169" s="37" t="n">
        <v>44796.47</v>
      </c>
      <c r="P169" s="22" t="n">
        <f aca="false">ROUND((O169-C169)*86400,0)</f>
        <v>7060</v>
      </c>
      <c r="Q169" s="22" t="str">
        <f aca="false">IF(P169&lt;10,"a) &lt;10s",IF(P169&lt;60,"b) 10-60s",IF(P169&lt;600,"c) 1-10min","d) &gt;10min")))</f>
        <v>d) &gt;10min</v>
      </c>
      <c r="R169" s="38" t="n">
        <v>1741.65</v>
      </c>
      <c r="S169" s="38" t="n">
        <v>1741.66</v>
      </c>
      <c r="T169" s="22" t="s">
        <v>188</v>
      </c>
      <c r="U169" s="39" t="n">
        <f aca="false">IF(R169="","",IF(F169="BUY",R169-S169,S169-R169))</f>
        <v>0.00999999999999091</v>
      </c>
      <c r="V169" s="39" t="n">
        <f aca="false">IF(F169="BUY",S169-J169,J169-S169)</f>
        <v>-6.01999999999998</v>
      </c>
      <c r="W169" s="6" t="n">
        <v>-42.14</v>
      </c>
      <c r="X169" s="26" t="n">
        <f aca="false">IFERROR(W169/N169,0)</f>
        <v>-1.00333333333333</v>
      </c>
      <c r="Y169" s="22" t="str">
        <f aca="false">IF(W169&gt;0,"Win",IF(W169&lt;0,"Loss","Flat"))</f>
        <v>Loss</v>
      </c>
      <c r="Z169" s="24" t="n">
        <f aca="false">Summary!$C$5+SUM(W$2:W169)</f>
        <v>4161.65</v>
      </c>
      <c r="AA169" s="24" t="n">
        <f aca="false">MAX(AA168,Z169)</f>
        <v>5000</v>
      </c>
      <c r="AB169" s="24" t="n">
        <f aca="false">AA169-Z169</f>
        <v>838.35</v>
      </c>
      <c r="AC169" s="23" t="n">
        <f aca="false">IFERROR(AB169/AA169,0)</f>
        <v>0.16767</v>
      </c>
      <c r="AD169" s="22" t="s">
        <v>406</v>
      </c>
    </row>
    <row r="170" customFormat="false" ht="15" hidden="false" customHeight="false" outlineLevel="0" collapsed="false">
      <c r="A170" s="22" t="n">
        <v>169</v>
      </c>
      <c r="B170" s="22" t="s">
        <v>124</v>
      </c>
      <c r="C170" s="37" t="n">
        <v>44796.7015162037</v>
      </c>
      <c r="D170" s="22" t="s">
        <v>203</v>
      </c>
      <c r="E170" s="22" t="n">
        <v>16</v>
      </c>
      <c r="F170" s="22" t="s">
        <v>181</v>
      </c>
      <c r="G170" s="22" t="s">
        <v>243</v>
      </c>
      <c r="H170" s="22" t="n">
        <v>0.06</v>
      </c>
      <c r="I170" s="38" t="n">
        <v>1748.96</v>
      </c>
      <c r="J170" s="38" t="n">
        <v>1749</v>
      </c>
      <c r="K170" s="39" t="n">
        <f aca="false">IF(F170="BUY",J170-I170,I170-J170)</f>
        <v>0.0399999999999636</v>
      </c>
      <c r="L170" s="38" t="n">
        <v>1742.96</v>
      </c>
      <c r="M170" s="39" t="n">
        <f aca="false">ABS(I170-L170)</f>
        <v>6</v>
      </c>
      <c r="N170" s="24" t="n">
        <f aca="false">M170*H170*Summary!$C$6</f>
        <v>36</v>
      </c>
      <c r="O170" s="37" t="n">
        <v>44796.7096527778</v>
      </c>
      <c r="P170" s="22" t="n">
        <f aca="false">ROUND((O170-C170)*86400,0)</f>
        <v>703</v>
      </c>
      <c r="Q170" s="22" t="str">
        <f aca="false">IF(P170&lt;10,"a) &lt;10s",IF(P170&lt;60,"b) 10-60s",IF(P170&lt;600,"c) 1-10min","d) &gt;10min")))</f>
        <v>d) &gt;10min</v>
      </c>
      <c r="R170" s="38" t="n">
        <v>1749.5</v>
      </c>
      <c r="S170" s="38" t="n">
        <v>1749.44</v>
      </c>
      <c r="T170" s="22" t="s">
        <v>189</v>
      </c>
      <c r="U170" s="39" t="n">
        <f aca="false">IF(R170="","",IF(F170="BUY",R170-S170,S170-R170))</f>
        <v>0.0599999999999454</v>
      </c>
      <c r="V170" s="39" t="n">
        <f aca="false">IF(F170="BUY",S170-J170,J170-S170)</f>
        <v>0.440000000000055</v>
      </c>
      <c r="W170" s="6" t="n">
        <v>2.64</v>
      </c>
      <c r="X170" s="26" t="n">
        <f aca="false">IFERROR(W170/N170,0)</f>
        <v>0.0733333333333333</v>
      </c>
      <c r="Y170" s="22" t="str">
        <f aca="false">IF(W170&gt;0,"Win",IF(W170&lt;0,"Loss","Flat"))</f>
        <v>Win</v>
      </c>
      <c r="Z170" s="24" t="n">
        <f aca="false">Summary!$C$5+SUM(W$2:W170)</f>
        <v>4164.29</v>
      </c>
      <c r="AA170" s="24" t="n">
        <f aca="false">MAX(AA169,Z170)</f>
        <v>5000</v>
      </c>
      <c r="AB170" s="24" t="n">
        <f aca="false">AA170-Z170</f>
        <v>835.71</v>
      </c>
      <c r="AC170" s="23" t="n">
        <f aca="false">IFERROR(AB170/AA170,0)</f>
        <v>0.167142</v>
      </c>
      <c r="AD170" s="22" t="s">
        <v>407</v>
      </c>
    </row>
    <row r="171" customFormat="false" ht="15" hidden="false" customHeight="false" outlineLevel="0" collapsed="false">
      <c r="A171" s="22" t="n">
        <v>170</v>
      </c>
      <c r="B171" s="22" t="s">
        <v>124</v>
      </c>
      <c r="C171" s="37" t="n">
        <v>44797.3754050926</v>
      </c>
      <c r="D171" s="22" t="s">
        <v>204</v>
      </c>
      <c r="E171" s="22" t="n">
        <v>9</v>
      </c>
      <c r="F171" s="22" t="s">
        <v>182</v>
      </c>
      <c r="G171" s="22" t="s">
        <v>241</v>
      </c>
      <c r="H171" s="22" t="n">
        <v>0.06</v>
      </c>
      <c r="I171" s="38" t="n">
        <v>1745</v>
      </c>
      <c r="J171" s="38" t="n">
        <v>1744.96</v>
      </c>
      <c r="K171" s="39" t="n">
        <f aca="false">IF(F171="BUY",J171-I171,I171-J171)</f>
        <v>0.0399999999999636</v>
      </c>
      <c r="L171" s="38" t="n">
        <v>1751</v>
      </c>
      <c r="M171" s="39" t="n">
        <f aca="false">ABS(I171-L171)</f>
        <v>6</v>
      </c>
      <c r="N171" s="24" t="n">
        <f aca="false">M171*H171*Summary!$C$6</f>
        <v>36</v>
      </c>
      <c r="O171" s="37" t="n">
        <v>44797.481400463</v>
      </c>
      <c r="P171" s="22" t="n">
        <f aca="false">ROUND((O171-C171)*86400,0)</f>
        <v>9158</v>
      </c>
      <c r="Q171" s="22" t="str">
        <f aca="false">IF(P171&lt;10,"a) &lt;10s",IF(P171&lt;60,"b) 10-60s",IF(P171&lt;600,"c) 1-10min","d) &gt;10min")))</f>
        <v>d) &gt;10min</v>
      </c>
      <c r="R171" s="38" t="n">
        <v>1751</v>
      </c>
      <c r="S171" s="38" t="n">
        <v>1751.02</v>
      </c>
      <c r="T171" s="22" t="s">
        <v>188</v>
      </c>
      <c r="U171" s="39" t="n">
        <f aca="false">IF(R171="","",IF(F171="BUY",R171-S171,S171-R171))</f>
        <v>0.0199999999999818</v>
      </c>
      <c r="V171" s="39" t="n">
        <f aca="false">IF(F171="BUY",S171-J171,J171-S171)</f>
        <v>-6.05999999999995</v>
      </c>
      <c r="W171" s="6" t="n">
        <v>-36.36</v>
      </c>
      <c r="X171" s="26" t="n">
        <f aca="false">IFERROR(W171/N171,0)</f>
        <v>-1.01</v>
      </c>
      <c r="Y171" s="22" t="str">
        <f aca="false">IF(W171&gt;0,"Win",IF(W171&lt;0,"Loss","Flat"))</f>
        <v>Loss</v>
      </c>
      <c r="Z171" s="24" t="n">
        <f aca="false">Summary!$C$5+SUM(W$2:W171)</f>
        <v>4127.93</v>
      </c>
      <c r="AA171" s="24" t="n">
        <f aca="false">MAX(AA170,Z171)</f>
        <v>5000</v>
      </c>
      <c r="AB171" s="24" t="n">
        <f aca="false">AA171-Z171</f>
        <v>872.07</v>
      </c>
      <c r="AC171" s="23" t="n">
        <f aca="false">IFERROR(AB171/AA171,0)</f>
        <v>0.174414</v>
      </c>
      <c r="AD171" s="22" t="s">
        <v>408</v>
      </c>
    </row>
    <row r="172" customFormat="false" ht="15" hidden="false" customHeight="false" outlineLevel="0" collapsed="false">
      <c r="A172" s="22" t="n">
        <v>171</v>
      </c>
      <c r="B172" s="22" t="s">
        <v>124</v>
      </c>
      <c r="C172" s="37" t="n">
        <v>44797.7586805556</v>
      </c>
      <c r="D172" s="22" t="s">
        <v>204</v>
      </c>
      <c r="E172" s="22" t="n">
        <v>18</v>
      </c>
      <c r="F172" s="22" t="s">
        <v>181</v>
      </c>
      <c r="G172" s="22" t="s">
        <v>243</v>
      </c>
      <c r="H172" s="22" t="n">
        <v>0.06</v>
      </c>
      <c r="I172" s="38" t="n">
        <v>1753.97</v>
      </c>
      <c r="J172" s="38" t="n">
        <v>1753.97</v>
      </c>
      <c r="K172" s="39" t="n">
        <f aca="false">IF(F172="BUY",J172-I172,I172-J172)</f>
        <v>0</v>
      </c>
      <c r="L172" s="38" t="n">
        <v>1747.97</v>
      </c>
      <c r="M172" s="39" t="n">
        <f aca="false">ABS(I172-L172)</f>
        <v>6</v>
      </c>
      <c r="N172" s="24" t="n">
        <f aca="false">M172*H172*Summary!$C$6</f>
        <v>36</v>
      </c>
      <c r="O172" s="37" t="n">
        <v>44797.855150463</v>
      </c>
      <c r="P172" s="22" t="n">
        <f aca="false">ROUND((O172-C172)*86400,0)</f>
        <v>8335</v>
      </c>
      <c r="Q172" s="22" t="str">
        <f aca="false">IF(P172&lt;10,"a) &lt;10s",IF(P172&lt;60,"b) 10-60s",IF(P172&lt;600,"c) 1-10min","d) &gt;10min")))</f>
        <v>d) &gt;10min</v>
      </c>
      <c r="R172" s="38" t="n">
        <v>1747.97</v>
      </c>
      <c r="S172" s="38" t="n">
        <v>1747.92</v>
      </c>
      <c r="T172" s="22" t="s">
        <v>188</v>
      </c>
      <c r="U172" s="39" t="n">
        <f aca="false">IF(R172="","",IF(F172="BUY",R172-S172,S172-R172))</f>
        <v>0.0499999999999545</v>
      </c>
      <c r="V172" s="39" t="n">
        <f aca="false">IF(F172="BUY",S172-J172,J172-S172)</f>
        <v>-6.04999999999995</v>
      </c>
      <c r="W172" s="6" t="n">
        <v>-36.3</v>
      </c>
      <c r="X172" s="26" t="n">
        <f aca="false">IFERROR(W172/N172,0)</f>
        <v>-1.00833333333333</v>
      </c>
      <c r="Y172" s="22" t="str">
        <f aca="false">IF(W172&gt;0,"Win",IF(W172&lt;0,"Loss","Flat"))</f>
        <v>Loss</v>
      </c>
      <c r="Z172" s="24" t="n">
        <f aca="false">Summary!$C$5+SUM(W$2:W172)</f>
        <v>4091.63</v>
      </c>
      <c r="AA172" s="24" t="n">
        <f aca="false">MAX(AA171,Z172)</f>
        <v>5000</v>
      </c>
      <c r="AB172" s="24" t="n">
        <f aca="false">AA172-Z172</f>
        <v>908.37</v>
      </c>
      <c r="AC172" s="23" t="n">
        <f aca="false">IFERROR(AB172/AA172,0)</f>
        <v>0.181674</v>
      </c>
      <c r="AD172" s="22" t="s">
        <v>409</v>
      </c>
    </row>
    <row r="173" customFormat="false" ht="15" hidden="false" customHeight="false" outlineLevel="0" collapsed="false">
      <c r="A173" s="22" t="n">
        <v>172</v>
      </c>
      <c r="B173" s="22" t="s">
        <v>124</v>
      </c>
      <c r="C173" s="37" t="n">
        <v>44798.18</v>
      </c>
      <c r="D173" s="22" t="s">
        <v>205</v>
      </c>
      <c r="E173" s="22" t="n">
        <v>4</v>
      </c>
      <c r="F173" s="22" t="s">
        <v>181</v>
      </c>
      <c r="G173" s="22" t="s">
        <v>243</v>
      </c>
      <c r="H173" s="22" t="n">
        <v>0.06</v>
      </c>
      <c r="I173" s="38" t="n">
        <v>1755.8</v>
      </c>
      <c r="J173" s="38" t="n">
        <v>1755.8</v>
      </c>
      <c r="K173" s="39" t="n">
        <f aca="false">IF(F173="BUY",J173-I173,I173-J173)</f>
        <v>0</v>
      </c>
      <c r="L173" s="38" t="n">
        <v>1749.8</v>
      </c>
      <c r="M173" s="39" t="n">
        <f aca="false">ABS(I173-L173)</f>
        <v>6</v>
      </c>
      <c r="N173" s="24" t="n">
        <f aca="false">M173*H173*Summary!$C$6</f>
        <v>36</v>
      </c>
      <c r="O173" s="37" t="n">
        <v>44798.3511805556</v>
      </c>
      <c r="P173" s="22" t="n">
        <f aca="false">ROUND((O173-C173)*86400,0)</f>
        <v>14790</v>
      </c>
      <c r="Q173" s="22" t="str">
        <f aca="false">IF(P173&lt;10,"a) &lt;10s",IF(P173&lt;60,"b) 10-60s",IF(P173&lt;600,"c) 1-10min","d) &gt;10min")))</f>
        <v>d) &gt;10min</v>
      </c>
      <c r="R173" s="38" t="n">
        <v>1756.3</v>
      </c>
      <c r="S173" s="38" t="n">
        <v>1756.27</v>
      </c>
      <c r="T173" s="22" t="s">
        <v>189</v>
      </c>
      <c r="U173" s="39" t="n">
        <f aca="false">IF(R173="","",IF(F173="BUY",R173-S173,S173-R173))</f>
        <v>0.0299999999999727</v>
      </c>
      <c r="V173" s="39" t="n">
        <f aca="false">IF(F173="BUY",S173-J173,J173-S173)</f>
        <v>0.470000000000027</v>
      </c>
      <c r="W173" s="6" t="n">
        <v>2.82</v>
      </c>
      <c r="X173" s="26" t="n">
        <f aca="false">IFERROR(W173/N173,0)</f>
        <v>0.0783333333333333</v>
      </c>
      <c r="Y173" s="22" t="str">
        <f aca="false">IF(W173&gt;0,"Win",IF(W173&lt;0,"Loss","Flat"))</f>
        <v>Win</v>
      </c>
      <c r="Z173" s="24" t="n">
        <f aca="false">Summary!$C$5+SUM(W$2:W173)</f>
        <v>4094.45</v>
      </c>
      <c r="AA173" s="24" t="n">
        <f aca="false">MAX(AA172,Z173)</f>
        <v>5000</v>
      </c>
      <c r="AB173" s="24" t="n">
        <f aca="false">AA173-Z173</f>
        <v>905.55</v>
      </c>
      <c r="AC173" s="23" t="n">
        <f aca="false">IFERROR(AB173/AA173,0)</f>
        <v>0.18111</v>
      </c>
      <c r="AD173" s="22" t="s">
        <v>410</v>
      </c>
    </row>
    <row r="174" customFormat="false" ht="15" hidden="false" customHeight="false" outlineLevel="0" collapsed="false">
      <c r="A174" s="22" t="n">
        <v>173</v>
      </c>
      <c r="B174" s="22" t="s">
        <v>124</v>
      </c>
      <c r="C174" s="37" t="n">
        <v>44798.3863310185</v>
      </c>
      <c r="D174" s="22" t="s">
        <v>205</v>
      </c>
      <c r="E174" s="22" t="n">
        <v>9</v>
      </c>
      <c r="F174" s="22" t="s">
        <v>181</v>
      </c>
      <c r="G174" s="22" t="s">
        <v>235</v>
      </c>
      <c r="H174" s="22" t="n">
        <v>0.06</v>
      </c>
      <c r="I174" s="38" t="n">
        <v>1758.65</v>
      </c>
      <c r="J174" s="38" t="n">
        <v>1758.65</v>
      </c>
      <c r="K174" s="39" t="n">
        <f aca="false">IF(F174="BUY",J174-I174,I174-J174)</f>
        <v>0</v>
      </c>
      <c r="L174" s="38" t="n">
        <v>1752.65</v>
      </c>
      <c r="M174" s="39" t="n">
        <f aca="false">ABS(I174-L174)</f>
        <v>6</v>
      </c>
      <c r="N174" s="24" t="n">
        <f aca="false">M174*H174*Summary!$C$6</f>
        <v>36</v>
      </c>
      <c r="O174" s="37" t="n">
        <v>44798.6459143519</v>
      </c>
      <c r="P174" s="22" t="n">
        <f aca="false">ROUND((O174-C174)*86400,0)</f>
        <v>22428</v>
      </c>
      <c r="Q174" s="22" t="str">
        <f aca="false">IF(P174&lt;10,"a) &lt;10s",IF(P174&lt;60,"b) 10-60s",IF(P174&lt;600,"c) 1-10min","d) &gt;10min")))</f>
        <v>d) &gt;10min</v>
      </c>
      <c r="R174" s="38" t="n">
        <v>1759.15</v>
      </c>
      <c r="S174" s="38" t="n">
        <v>1759.03</v>
      </c>
      <c r="T174" s="22" t="s">
        <v>189</v>
      </c>
      <c r="U174" s="39" t="n">
        <f aca="false">IF(R174="","",IF(F174="BUY",R174-S174,S174-R174))</f>
        <v>0.120000000000118</v>
      </c>
      <c r="V174" s="39" t="n">
        <f aca="false">IF(F174="BUY",S174-J174,J174-S174)</f>
        <v>0.379999999999882</v>
      </c>
      <c r="W174" s="6" t="n">
        <v>2.28</v>
      </c>
      <c r="X174" s="26" t="n">
        <f aca="false">IFERROR(W174/N174,0)</f>
        <v>0.0633333333333333</v>
      </c>
      <c r="Y174" s="22" t="str">
        <f aca="false">IF(W174&gt;0,"Win",IF(W174&lt;0,"Loss","Flat"))</f>
        <v>Win</v>
      </c>
      <c r="Z174" s="24" t="n">
        <f aca="false">Summary!$C$5+SUM(W$2:W174)</f>
        <v>4096.73</v>
      </c>
      <c r="AA174" s="24" t="n">
        <f aca="false">MAX(AA173,Z174)</f>
        <v>5000</v>
      </c>
      <c r="AB174" s="24" t="n">
        <f aca="false">AA174-Z174</f>
        <v>903.27</v>
      </c>
      <c r="AC174" s="23" t="n">
        <f aca="false">IFERROR(AB174/AA174,0)</f>
        <v>0.180654</v>
      </c>
      <c r="AD174" s="22" t="s">
        <v>411</v>
      </c>
    </row>
    <row r="175" customFormat="false" ht="15" hidden="false" customHeight="false" outlineLevel="0" collapsed="false">
      <c r="A175" s="22" t="n">
        <v>174</v>
      </c>
      <c r="B175" s="22" t="s">
        <v>124</v>
      </c>
      <c r="C175" s="37" t="n">
        <v>44799.3787731482</v>
      </c>
      <c r="D175" s="22" t="s">
        <v>206</v>
      </c>
      <c r="E175" s="22" t="n">
        <v>9</v>
      </c>
      <c r="F175" s="22" t="s">
        <v>181</v>
      </c>
      <c r="G175" s="22" t="s">
        <v>235</v>
      </c>
      <c r="H175" s="22" t="n">
        <v>0.06</v>
      </c>
      <c r="I175" s="38" t="n">
        <v>1757.29</v>
      </c>
      <c r="J175" s="38" t="n">
        <v>1757.37</v>
      </c>
      <c r="K175" s="39" t="n">
        <f aca="false">IF(F175="BUY",J175-I175,I175-J175)</f>
        <v>0.0799999999999272</v>
      </c>
      <c r="L175" s="38" t="n">
        <v>1751.29</v>
      </c>
      <c r="M175" s="39" t="n">
        <f aca="false">ABS(I175-L175)</f>
        <v>6</v>
      </c>
      <c r="N175" s="24" t="n">
        <f aca="false">M175*H175*Summary!$C$6</f>
        <v>36</v>
      </c>
      <c r="O175" s="37" t="n">
        <v>44799.464537037</v>
      </c>
      <c r="P175" s="22" t="n">
        <f aca="false">ROUND((O175-C175)*86400,0)</f>
        <v>7410</v>
      </c>
      <c r="Q175" s="22" t="str">
        <f aca="false">IF(P175&lt;10,"a) &lt;10s",IF(P175&lt;60,"b) 10-60s",IF(P175&lt;600,"c) 1-10min","d) &gt;10min")))</f>
        <v>d) &gt;10min</v>
      </c>
      <c r="R175" s="38" t="n">
        <v>1751.29</v>
      </c>
      <c r="S175" s="38" t="n">
        <v>1751.26</v>
      </c>
      <c r="T175" s="22" t="s">
        <v>188</v>
      </c>
      <c r="U175" s="39" t="n">
        <f aca="false">IF(R175="","",IF(F175="BUY",R175-S175,S175-R175))</f>
        <v>0.0299999999999727</v>
      </c>
      <c r="V175" s="39" t="n">
        <f aca="false">IF(F175="BUY",S175-J175,J175-S175)</f>
        <v>-6.1099999999999</v>
      </c>
      <c r="W175" s="6" t="n">
        <v>-36.66</v>
      </c>
      <c r="X175" s="26" t="n">
        <f aca="false">IFERROR(W175/N175,0)</f>
        <v>-1.01833333333333</v>
      </c>
      <c r="Y175" s="22" t="str">
        <f aca="false">IF(W175&gt;0,"Win",IF(W175&lt;0,"Loss","Flat"))</f>
        <v>Loss</v>
      </c>
      <c r="Z175" s="24" t="n">
        <f aca="false">Summary!$C$5+SUM(W$2:W175)</f>
        <v>4060.07</v>
      </c>
      <c r="AA175" s="24" t="n">
        <f aca="false">MAX(AA174,Z175)</f>
        <v>5000</v>
      </c>
      <c r="AB175" s="24" t="n">
        <f aca="false">AA175-Z175</f>
        <v>939.93</v>
      </c>
      <c r="AC175" s="23" t="n">
        <f aca="false">IFERROR(AB175/AA175,0)</f>
        <v>0.187986</v>
      </c>
      <c r="AD175" s="22" t="s">
        <v>412</v>
      </c>
    </row>
    <row r="176" customFormat="false" ht="15" hidden="false" customHeight="false" outlineLevel="0" collapsed="false">
      <c r="A176" s="22" t="n">
        <v>175</v>
      </c>
      <c r="B176" s="22" t="s">
        <v>124</v>
      </c>
      <c r="C176" s="37" t="n">
        <v>44799.5356597222</v>
      </c>
      <c r="D176" s="22" t="s">
        <v>206</v>
      </c>
      <c r="E176" s="22" t="n">
        <v>12</v>
      </c>
      <c r="F176" s="22" t="s">
        <v>182</v>
      </c>
      <c r="G176" s="22" t="s">
        <v>237</v>
      </c>
      <c r="H176" s="22" t="n">
        <v>0.06</v>
      </c>
      <c r="I176" s="38" t="n">
        <v>1749.83</v>
      </c>
      <c r="J176" s="38" t="n">
        <v>1749.76</v>
      </c>
      <c r="K176" s="39" t="n">
        <f aca="false">IF(F176="BUY",J176-I176,I176-J176)</f>
        <v>0.0699999999999363</v>
      </c>
      <c r="L176" s="38" t="n">
        <v>1755.83</v>
      </c>
      <c r="M176" s="39" t="n">
        <f aca="false">ABS(I176-L176)</f>
        <v>6</v>
      </c>
      <c r="N176" s="24" t="n">
        <f aca="false">M176*H176*Summary!$C$6</f>
        <v>36</v>
      </c>
      <c r="O176" s="37" t="n">
        <v>44799.6458796296</v>
      </c>
      <c r="P176" s="22" t="n">
        <f aca="false">ROUND((O176-C176)*86400,0)</f>
        <v>9523</v>
      </c>
      <c r="Q176" s="22" t="str">
        <f aca="false">IF(P176&lt;10,"a) &lt;10s",IF(P176&lt;60,"b) 10-60s",IF(P176&lt;600,"c) 1-10min","d) &gt;10min")))</f>
        <v>d) &gt;10min</v>
      </c>
      <c r="R176" s="38" t="n">
        <v>1749.26</v>
      </c>
      <c r="S176" s="38" t="n">
        <v>1749.34</v>
      </c>
      <c r="T176" s="22" t="s">
        <v>189</v>
      </c>
      <c r="U176" s="39" t="n">
        <f aca="false">IF(R176="","",IF(F176="BUY",R176-S176,S176-R176))</f>
        <v>0.0799999999999272</v>
      </c>
      <c r="V176" s="39" t="n">
        <f aca="false">IF(F176="BUY",S176-J176,J176-S176)</f>
        <v>0.420000000000073</v>
      </c>
      <c r="W176" s="6" t="n">
        <v>2.52</v>
      </c>
      <c r="X176" s="26" t="n">
        <f aca="false">IFERROR(W176/N176,0)</f>
        <v>0.07</v>
      </c>
      <c r="Y176" s="22" t="str">
        <f aca="false">IF(W176&gt;0,"Win",IF(W176&lt;0,"Loss","Flat"))</f>
        <v>Win</v>
      </c>
      <c r="Z176" s="24" t="n">
        <f aca="false">Summary!$C$5+SUM(W$2:W176)</f>
        <v>4062.59</v>
      </c>
      <c r="AA176" s="24" t="n">
        <f aca="false">MAX(AA175,Z176)</f>
        <v>5000</v>
      </c>
      <c r="AB176" s="24" t="n">
        <f aca="false">AA176-Z176</f>
        <v>937.41</v>
      </c>
      <c r="AC176" s="23" t="n">
        <f aca="false">IFERROR(AB176/AA176,0)</f>
        <v>0.187482</v>
      </c>
      <c r="AD176" s="22" t="s">
        <v>413</v>
      </c>
    </row>
    <row r="177" customFormat="false" ht="15" hidden="false" customHeight="false" outlineLevel="0" collapsed="false">
      <c r="A177" s="22" t="n">
        <v>176</v>
      </c>
      <c r="B177" s="22" t="s">
        <v>124</v>
      </c>
      <c r="C177" s="37" t="n">
        <v>44802.0995601852</v>
      </c>
      <c r="D177" s="22" t="s">
        <v>202</v>
      </c>
      <c r="E177" s="22" t="n">
        <v>2</v>
      </c>
      <c r="F177" s="22" t="s">
        <v>182</v>
      </c>
      <c r="G177" s="22" t="s">
        <v>237</v>
      </c>
      <c r="H177" s="22" t="n">
        <v>0.06</v>
      </c>
      <c r="I177" s="38" t="n">
        <v>1734.06</v>
      </c>
      <c r="J177" s="38" t="n">
        <v>1733.97</v>
      </c>
      <c r="K177" s="39" t="n">
        <f aca="false">IF(F177="BUY",J177-I177,I177-J177)</f>
        <v>0.0899999999999182</v>
      </c>
      <c r="L177" s="38" t="n">
        <v>1740.06</v>
      </c>
      <c r="M177" s="39" t="n">
        <f aca="false">ABS(I177-L177)</f>
        <v>6</v>
      </c>
      <c r="N177" s="24" t="n">
        <f aca="false">M177*H177*Summary!$C$6</f>
        <v>36</v>
      </c>
      <c r="O177" s="37" t="n">
        <v>44802.6476157407</v>
      </c>
      <c r="P177" s="22" t="n">
        <f aca="false">ROUND((O177-C177)*86400,0)</f>
        <v>47352</v>
      </c>
      <c r="Q177" s="22" t="str">
        <f aca="false">IF(P177&lt;10,"a) &lt;10s",IF(P177&lt;60,"b) 10-60s",IF(P177&lt;600,"c) 1-10min","d) &gt;10min")))</f>
        <v>d) &gt;10min</v>
      </c>
      <c r="R177" s="38" t="n">
        <v>1733.47</v>
      </c>
      <c r="S177" s="38" t="n">
        <v>1733.47</v>
      </c>
      <c r="T177" s="22" t="s">
        <v>189</v>
      </c>
      <c r="U177" s="39" t="n">
        <f aca="false">IF(R177="","",IF(F177="BUY",R177-S177,S177-R177))</f>
        <v>0</v>
      </c>
      <c r="V177" s="39" t="n">
        <f aca="false">IF(F177="BUY",S177-J177,J177-S177)</f>
        <v>0.5</v>
      </c>
      <c r="W177" s="6" t="n">
        <v>3</v>
      </c>
      <c r="X177" s="26" t="n">
        <f aca="false">IFERROR(W177/N177,0)</f>
        <v>0.0833333333333333</v>
      </c>
      <c r="Y177" s="22" t="str">
        <f aca="false">IF(W177&gt;0,"Win",IF(W177&lt;0,"Loss","Flat"))</f>
        <v>Win</v>
      </c>
      <c r="Z177" s="24" t="n">
        <f aca="false">Summary!$C$5+SUM(W$2:W177)</f>
        <v>4065.59</v>
      </c>
      <c r="AA177" s="24" t="n">
        <f aca="false">MAX(AA176,Z177)</f>
        <v>5000</v>
      </c>
      <c r="AB177" s="24" t="n">
        <f aca="false">AA177-Z177</f>
        <v>934.41</v>
      </c>
      <c r="AC177" s="23" t="n">
        <f aca="false">IFERROR(AB177/AA177,0)</f>
        <v>0.186882</v>
      </c>
      <c r="AD177" s="22" t="s">
        <v>414</v>
      </c>
    </row>
    <row r="178" customFormat="false" ht="15" hidden="false" customHeight="false" outlineLevel="0" collapsed="false">
      <c r="A178" s="22" t="n">
        <v>177</v>
      </c>
      <c r="B178" s="22" t="s">
        <v>124</v>
      </c>
      <c r="C178" s="37" t="n">
        <v>44803.3873842593</v>
      </c>
      <c r="D178" s="22" t="s">
        <v>203</v>
      </c>
      <c r="E178" s="22" t="n">
        <v>9</v>
      </c>
      <c r="F178" s="22" t="s">
        <v>182</v>
      </c>
      <c r="G178" s="22" t="s">
        <v>241</v>
      </c>
      <c r="H178" s="22" t="n">
        <v>0.06</v>
      </c>
      <c r="I178" s="38" t="n">
        <v>1733.51</v>
      </c>
      <c r="J178" s="38" t="n">
        <v>1733.51</v>
      </c>
      <c r="K178" s="39" t="n">
        <f aca="false">IF(F178="BUY",J178-I178,I178-J178)</f>
        <v>0</v>
      </c>
      <c r="L178" s="38" t="n">
        <v>1739.51</v>
      </c>
      <c r="M178" s="39" t="n">
        <f aca="false">ABS(I178-L178)</f>
        <v>6</v>
      </c>
      <c r="N178" s="24" t="n">
        <f aca="false">M178*H178*Summary!$C$6</f>
        <v>36</v>
      </c>
      <c r="O178" s="37" t="n">
        <v>44803.4426041667</v>
      </c>
      <c r="P178" s="22" t="n">
        <f aca="false">ROUND((O178-C178)*86400,0)</f>
        <v>4771</v>
      </c>
      <c r="Q178" s="22" t="str">
        <f aca="false">IF(P178&lt;10,"a) &lt;10s",IF(P178&lt;60,"b) 10-60s",IF(P178&lt;600,"c) 1-10min","d) &gt;10min")))</f>
        <v>d) &gt;10min</v>
      </c>
      <c r="R178" s="38" t="n">
        <v>1733.01</v>
      </c>
      <c r="S178" s="38" t="n">
        <v>1733.02</v>
      </c>
      <c r="T178" s="22" t="s">
        <v>189</v>
      </c>
      <c r="U178" s="39" t="n">
        <f aca="false">IF(R178="","",IF(F178="BUY",R178-S178,S178-R178))</f>
        <v>0.00999999999999091</v>
      </c>
      <c r="V178" s="39" t="n">
        <f aca="false">IF(F178="BUY",S178-J178,J178-S178)</f>
        <v>0.490000000000009</v>
      </c>
      <c r="W178" s="6" t="n">
        <v>2.94</v>
      </c>
      <c r="X178" s="26" t="n">
        <f aca="false">IFERROR(W178/N178,0)</f>
        <v>0.0816666666666667</v>
      </c>
      <c r="Y178" s="22" t="str">
        <f aca="false">IF(W178&gt;0,"Win",IF(W178&lt;0,"Loss","Flat"))</f>
        <v>Win</v>
      </c>
      <c r="Z178" s="24" t="n">
        <f aca="false">Summary!$C$5+SUM(W$2:W178)</f>
        <v>4068.53</v>
      </c>
      <c r="AA178" s="24" t="n">
        <f aca="false">MAX(AA177,Z178)</f>
        <v>5000</v>
      </c>
      <c r="AB178" s="24" t="n">
        <f aca="false">AA178-Z178</f>
        <v>931.47</v>
      </c>
      <c r="AC178" s="23" t="n">
        <f aca="false">IFERROR(AB178/AA178,0)</f>
        <v>0.186294</v>
      </c>
      <c r="AD178" s="22" t="s">
        <v>415</v>
      </c>
    </row>
    <row r="179" customFormat="false" ht="15" hidden="false" customHeight="false" outlineLevel="0" collapsed="false">
      <c r="A179" s="22" t="n">
        <v>178</v>
      </c>
      <c r="B179" s="22" t="s">
        <v>124</v>
      </c>
      <c r="C179" s="37" t="n">
        <v>44804.19125</v>
      </c>
      <c r="D179" s="22" t="s">
        <v>204</v>
      </c>
      <c r="E179" s="22" t="n">
        <v>4</v>
      </c>
      <c r="F179" s="22" t="s">
        <v>182</v>
      </c>
      <c r="G179" s="22" t="s">
        <v>237</v>
      </c>
      <c r="H179" s="22" t="n">
        <v>0.06</v>
      </c>
      <c r="I179" s="38" t="n">
        <v>1721.1</v>
      </c>
      <c r="J179" s="38" t="n">
        <v>1720.64</v>
      </c>
      <c r="K179" s="39" t="n">
        <f aca="false">IF(F179="BUY",J179-I179,I179-J179)</f>
        <v>0.459999999999809</v>
      </c>
      <c r="L179" s="38" t="n">
        <v>1727.1</v>
      </c>
      <c r="M179" s="39" t="n">
        <f aca="false">ABS(I179-L179)</f>
        <v>6</v>
      </c>
      <c r="N179" s="24" t="n">
        <f aca="false">M179*H179*Summary!$C$6</f>
        <v>36</v>
      </c>
      <c r="O179" s="37" t="n">
        <v>44804.7265509259</v>
      </c>
      <c r="P179" s="22" t="n">
        <f aca="false">ROUND((O179-C179)*86400,0)</f>
        <v>46250</v>
      </c>
      <c r="Q179" s="22" t="str">
        <f aca="false">IF(P179&lt;10,"a) &lt;10s",IF(P179&lt;60,"b) 10-60s",IF(P179&lt;600,"c) 1-10min","d) &gt;10min")))</f>
        <v>d) &gt;10min</v>
      </c>
      <c r="R179" s="38" t="n">
        <v>1720.14</v>
      </c>
      <c r="S179" s="38" t="n">
        <v>1720.14</v>
      </c>
      <c r="T179" s="22" t="s">
        <v>189</v>
      </c>
      <c r="U179" s="39" t="n">
        <f aca="false">IF(R179="","",IF(F179="BUY",R179-S179,S179-R179))</f>
        <v>0</v>
      </c>
      <c r="V179" s="39" t="n">
        <f aca="false">IF(F179="BUY",S179-J179,J179-S179)</f>
        <v>0.5</v>
      </c>
      <c r="W179" s="6" t="n">
        <v>3</v>
      </c>
      <c r="X179" s="26" t="n">
        <f aca="false">IFERROR(W179/N179,0)</f>
        <v>0.0833333333333333</v>
      </c>
      <c r="Y179" s="22" t="str">
        <f aca="false">IF(W179&gt;0,"Win",IF(W179&lt;0,"Loss","Flat"))</f>
        <v>Win</v>
      </c>
      <c r="Z179" s="24" t="n">
        <f aca="false">Summary!$C$5+SUM(W$2:W179)</f>
        <v>4071.53</v>
      </c>
      <c r="AA179" s="24" t="n">
        <f aca="false">MAX(AA178,Z179)</f>
        <v>5000</v>
      </c>
      <c r="AB179" s="24" t="n">
        <f aca="false">AA179-Z179</f>
        <v>928.47</v>
      </c>
      <c r="AC179" s="23" t="n">
        <f aca="false">IFERROR(AB179/AA179,0)</f>
        <v>0.185694</v>
      </c>
      <c r="AD179" s="22" t="s">
        <v>416</v>
      </c>
    </row>
    <row r="180" customFormat="false" ht="15" hidden="false" customHeight="false" outlineLevel="0" collapsed="false">
      <c r="A180" s="22" t="n">
        <v>179</v>
      </c>
      <c r="B180" s="22" t="s">
        <v>125</v>
      </c>
      <c r="C180" s="37" t="n">
        <v>44805.054837963</v>
      </c>
      <c r="D180" s="22" t="s">
        <v>205</v>
      </c>
      <c r="E180" s="22" t="n">
        <v>1</v>
      </c>
      <c r="F180" s="22" t="s">
        <v>182</v>
      </c>
      <c r="G180" s="22" t="s">
        <v>237</v>
      </c>
      <c r="H180" s="22" t="n">
        <v>0.06</v>
      </c>
      <c r="I180" s="38" t="n">
        <v>1709.51</v>
      </c>
      <c r="J180" s="38" t="n">
        <v>1709.51</v>
      </c>
      <c r="K180" s="39" t="n">
        <f aca="false">IF(F180="BUY",J180-I180,I180-J180)</f>
        <v>0</v>
      </c>
      <c r="L180" s="38" t="n">
        <v>1715.51</v>
      </c>
      <c r="M180" s="39" t="n">
        <f aca="false">ABS(I180-L180)</f>
        <v>6</v>
      </c>
      <c r="N180" s="24" t="n">
        <f aca="false">M180*H180*Summary!$C$6</f>
        <v>36</v>
      </c>
      <c r="O180" s="37" t="n">
        <v>44805.0572222222</v>
      </c>
      <c r="P180" s="22" t="n">
        <f aca="false">ROUND((O180-C180)*86400,0)</f>
        <v>206</v>
      </c>
      <c r="Q180" s="22" t="str">
        <f aca="false">IF(P180&lt;10,"a) &lt;10s",IF(P180&lt;60,"b) 10-60s",IF(P180&lt;600,"c) 1-10min","d) &gt;10min")))</f>
        <v>c) 1-10min</v>
      </c>
      <c r="R180" s="38" t="n">
        <v>1709.01</v>
      </c>
      <c r="S180" s="38" t="n">
        <v>1709.19</v>
      </c>
      <c r="T180" s="22" t="s">
        <v>189</v>
      </c>
      <c r="U180" s="39" t="n">
        <f aca="false">IF(R180="","",IF(F180="BUY",R180-S180,S180-R180))</f>
        <v>0.180000000000064</v>
      </c>
      <c r="V180" s="39" t="n">
        <f aca="false">IF(F180="BUY",S180-J180,J180-S180)</f>
        <v>0.319999999999936</v>
      </c>
      <c r="W180" s="6" t="n">
        <v>1.92</v>
      </c>
      <c r="X180" s="26" t="n">
        <f aca="false">IFERROR(W180/N180,0)</f>
        <v>0.0533333333333333</v>
      </c>
      <c r="Y180" s="22" t="str">
        <f aca="false">IF(W180&gt;0,"Win",IF(W180&lt;0,"Loss","Flat"))</f>
        <v>Win</v>
      </c>
      <c r="Z180" s="24" t="n">
        <f aca="false">Summary!$C$5+SUM(W$2:W180)</f>
        <v>4073.45</v>
      </c>
      <c r="AA180" s="24" t="n">
        <f aca="false">MAX(AA179,Z180)</f>
        <v>5000</v>
      </c>
      <c r="AB180" s="24" t="n">
        <f aca="false">AA180-Z180</f>
        <v>926.55</v>
      </c>
      <c r="AC180" s="23" t="n">
        <f aca="false">IFERROR(AB180/AA180,0)</f>
        <v>0.18531</v>
      </c>
      <c r="AD180" s="22" t="s">
        <v>417</v>
      </c>
    </row>
    <row r="181" customFormat="false" ht="15" hidden="false" customHeight="false" outlineLevel="0" collapsed="false">
      <c r="A181" s="22" t="n">
        <v>180</v>
      </c>
      <c r="B181" s="22" t="s">
        <v>125</v>
      </c>
      <c r="C181" s="37" t="n">
        <v>44805.4691550926</v>
      </c>
      <c r="D181" s="22" t="s">
        <v>205</v>
      </c>
      <c r="E181" s="22" t="n">
        <v>11</v>
      </c>
      <c r="F181" s="22" t="s">
        <v>182</v>
      </c>
      <c r="G181" s="22" t="s">
        <v>241</v>
      </c>
      <c r="H181" s="22" t="n">
        <v>0.06</v>
      </c>
      <c r="I181" s="38" t="n">
        <v>1702.58</v>
      </c>
      <c r="J181" s="38" t="n">
        <v>1702.58</v>
      </c>
      <c r="K181" s="39" t="n">
        <f aca="false">IF(F181="BUY",J181-I181,I181-J181)</f>
        <v>0</v>
      </c>
      <c r="L181" s="38" t="n">
        <v>1708.58</v>
      </c>
      <c r="M181" s="39" t="n">
        <f aca="false">ABS(I181-L181)</f>
        <v>6</v>
      </c>
      <c r="N181" s="24" t="n">
        <f aca="false">M181*H181*Summary!$C$6</f>
        <v>36</v>
      </c>
      <c r="O181" s="37" t="n">
        <v>44805.5287037037</v>
      </c>
      <c r="P181" s="22" t="n">
        <f aca="false">ROUND((O181-C181)*86400,0)</f>
        <v>5145</v>
      </c>
      <c r="Q181" s="22" t="str">
        <f aca="false">IF(P181&lt;10,"a) &lt;10s",IF(P181&lt;60,"b) 10-60s",IF(P181&lt;600,"c) 1-10min","d) &gt;10min")))</f>
        <v>d) &gt;10min</v>
      </c>
      <c r="R181" s="38" t="n">
        <v>1708.58</v>
      </c>
      <c r="S181" s="38" t="n">
        <v>1708.63</v>
      </c>
      <c r="T181" s="22" t="s">
        <v>188</v>
      </c>
      <c r="U181" s="39" t="n">
        <f aca="false">IF(R181="","",IF(F181="BUY",R181-S181,S181-R181))</f>
        <v>0.0500000000001819</v>
      </c>
      <c r="V181" s="39" t="n">
        <f aca="false">IF(F181="BUY",S181-J181,J181-S181)</f>
        <v>-6.05000000000018</v>
      </c>
      <c r="W181" s="6" t="n">
        <v>-36.3</v>
      </c>
      <c r="X181" s="26" t="n">
        <f aca="false">IFERROR(W181/N181,0)</f>
        <v>-1.00833333333333</v>
      </c>
      <c r="Y181" s="22" t="str">
        <f aca="false">IF(W181&gt;0,"Win",IF(W181&lt;0,"Loss","Flat"))</f>
        <v>Loss</v>
      </c>
      <c r="Z181" s="24" t="n">
        <f aca="false">Summary!$C$5+SUM(W$2:W181)</f>
        <v>4037.15</v>
      </c>
      <c r="AA181" s="24" t="n">
        <f aca="false">MAX(AA180,Z181)</f>
        <v>5000</v>
      </c>
      <c r="AB181" s="24" t="n">
        <f aca="false">AA181-Z181</f>
        <v>962.85</v>
      </c>
      <c r="AC181" s="23" t="n">
        <f aca="false">IFERROR(AB181/AA181,0)</f>
        <v>0.19257</v>
      </c>
      <c r="AD181" s="22" t="s">
        <v>418</v>
      </c>
    </row>
    <row r="182" customFormat="false" ht="15" hidden="false" customHeight="false" outlineLevel="0" collapsed="false">
      <c r="A182" s="22" t="n">
        <v>181</v>
      </c>
      <c r="B182" s="22" t="s">
        <v>125</v>
      </c>
      <c r="C182" s="37" t="n">
        <v>44806.6458449074</v>
      </c>
      <c r="D182" s="22" t="s">
        <v>206</v>
      </c>
      <c r="E182" s="22" t="n">
        <v>15</v>
      </c>
      <c r="F182" s="22" t="s">
        <v>181</v>
      </c>
      <c r="G182" s="22" t="s">
        <v>243</v>
      </c>
      <c r="H182" s="22" t="n">
        <v>0.06</v>
      </c>
      <c r="I182" s="38" t="n">
        <v>1711.31</v>
      </c>
      <c r="J182" s="38" t="n">
        <v>1713.78</v>
      </c>
      <c r="K182" s="39" t="n">
        <f aca="false">IF(F182="BUY",J182-I182,I182-J182)</f>
        <v>2.47000000000003</v>
      </c>
      <c r="L182" s="38" t="n">
        <v>1705.31</v>
      </c>
      <c r="M182" s="39" t="n">
        <f aca="false">ABS(I182-L182)</f>
        <v>6</v>
      </c>
      <c r="N182" s="24" t="n">
        <f aca="false">M182*H182*Summary!$C$6</f>
        <v>36</v>
      </c>
      <c r="O182" s="37" t="n">
        <v>44806.6459722222</v>
      </c>
      <c r="P182" s="22" t="n">
        <f aca="false">ROUND((O182-C182)*86400,0)</f>
        <v>11</v>
      </c>
      <c r="Q182" s="22" t="str">
        <f aca="false">IF(P182&lt;10,"a) &lt;10s",IF(P182&lt;60,"b) 10-60s",IF(P182&lt;600,"c) 1-10min","d) &gt;10min")))</f>
        <v>b) 10-60s</v>
      </c>
      <c r="R182" s="38" t="n">
        <v>1705.31</v>
      </c>
      <c r="S182" s="38" t="n">
        <v>1705.31</v>
      </c>
      <c r="T182" s="22" t="s">
        <v>188</v>
      </c>
      <c r="U182" s="39" t="n">
        <f aca="false">IF(R182="","",IF(F182="BUY",R182-S182,S182-R182))</f>
        <v>0</v>
      </c>
      <c r="V182" s="39" t="n">
        <f aca="false">IF(F182="BUY",S182-J182,J182-S182)</f>
        <v>-8.47000000000003</v>
      </c>
      <c r="W182" s="6" t="n">
        <v>-50.82</v>
      </c>
      <c r="X182" s="26" t="n">
        <f aca="false">IFERROR(W182/N182,0)</f>
        <v>-1.41166666666667</v>
      </c>
      <c r="Y182" s="22" t="str">
        <f aca="false">IF(W182&gt;0,"Win",IF(W182&lt;0,"Loss","Flat"))</f>
        <v>Loss</v>
      </c>
      <c r="Z182" s="24" t="n">
        <f aca="false">Summary!$C$5+SUM(W$2:W182)</f>
        <v>3986.33</v>
      </c>
      <c r="AA182" s="24" t="n">
        <f aca="false">MAX(AA181,Z182)</f>
        <v>5000</v>
      </c>
      <c r="AB182" s="24" t="n">
        <f aca="false">AA182-Z182</f>
        <v>1013.67</v>
      </c>
      <c r="AC182" s="23" t="n">
        <f aca="false">IFERROR(AB182/AA182,0)</f>
        <v>0.202734</v>
      </c>
      <c r="AD182" s="22" t="s">
        <v>419</v>
      </c>
    </row>
    <row r="183" customFormat="false" ht="15" hidden="false" customHeight="false" outlineLevel="0" collapsed="false">
      <c r="A183" s="22" t="n">
        <v>182</v>
      </c>
      <c r="B183" s="22" t="s">
        <v>125</v>
      </c>
      <c r="C183" s="37" t="n">
        <v>44809.3941087963</v>
      </c>
      <c r="D183" s="22" t="s">
        <v>202</v>
      </c>
      <c r="E183" s="22" t="n">
        <v>9</v>
      </c>
      <c r="F183" s="22" t="s">
        <v>182</v>
      </c>
      <c r="G183" s="22" t="s">
        <v>241</v>
      </c>
      <c r="H183" s="22" t="n">
        <v>0.06</v>
      </c>
      <c r="I183" s="38" t="n">
        <v>1710.89</v>
      </c>
      <c r="J183" s="38" t="n">
        <v>1710.85</v>
      </c>
      <c r="K183" s="39" t="n">
        <f aca="false">IF(F183="BUY",J183-I183,I183-J183)</f>
        <v>0.040000000000191</v>
      </c>
      <c r="L183" s="38" t="n">
        <v>1716.89</v>
      </c>
      <c r="M183" s="39" t="n">
        <f aca="false">ABS(I183-L183)</f>
        <v>6</v>
      </c>
      <c r="N183" s="24" t="n">
        <f aca="false">M183*H183*Summary!$C$6</f>
        <v>36</v>
      </c>
      <c r="O183" s="37" t="n">
        <v>44809.4395949074</v>
      </c>
      <c r="P183" s="22" t="n">
        <f aca="false">ROUND((O183-C183)*86400,0)</f>
        <v>3930</v>
      </c>
      <c r="Q183" s="22" t="str">
        <f aca="false">IF(P183&lt;10,"a) &lt;10s",IF(P183&lt;60,"b) 10-60s",IF(P183&lt;600,"c) 1-10min","d) &gt;10min")))</f>
        <v>d) &gt;10min</v>
      </c>
      <c r="R183" s="38" t="n">
        <v>1710.35</v>
      </c>
      <c r="S183" s="38" t="n">
        <v>1710.37</v>
      </c>
      <c r="T183" s="22" t="s">
        <v>189</v>
      </c>
      <c r="U183" s="39" t="n">
        <f aca="false">IF(R183="","",IF(F183="BUY",R183-S183,S183-R183))</f>
        <v>0.0199999999999818</v>
      </c>
      <c r="V183" s="39" t="n">
        <f aca="false">IF(F183="BUY",S183-J183,J183-S183)</f>
        <v>0.480000000000018</v>
      </c>
      <c r="W183" s="6" t="n">
        <v>2.88</v>
      </c>
      <c r="X183" s="26" t="n">
        <f aca="false">IFERROR(W183/N183,0)</f>
        <v>0.08</v>
      </c>
      <c r="Y183" s="22" t="str">
        <f aca="false">IF(W183&gt;0,"Win",IF(W183&lt;0,"Loss","Flat"))</f>
        <v>Win</v>
      </c>
      <c r="Z183" s="24" t="n">
        <f aca="false">Summary!$C$5+SUM(W$2:W183)</f>
        <v>3989.21</v>
      </c>
      <c r="AA183" s="24" t="n">
        <f aca="false">MAX(AA182,Z183)</f>
        <v>5000</v>
      </c>
      <c r="AB183" s="24" t="n">
        <f aca="false">AA183-Z183</f>
        <v>1010.79</v>
      </c>
      <c r="AC183" s="23" t="n">
        <f aca="false">IFERROR(AB183/AA183,0)</f>
        <v>0.202158</v>
      </c>
      <c r="AD183" s="22" t="s">
        <v>420</v>
      </c>
    </row>
    <row r="184" customFormat="false" ht="15" hidden="false" customHeight="false" outlineLevel="0" collapsed="false">
      <c r="A184" s="22" t="n">
        <v>183</v>
      </c>
      <c r="B184" s="22" t="s">
        <v>125</v>
      </c>
      <c r="C184" s="37" t="n">
        <v>44810.1294907407</v>
      </c>
      <c r="D184" s="22" t="s">
        <v>203</v>
      </c>
      <c r="E184" s="22" t="n">
        <v>3</v>
      </c>
      <c r="F184" s="22" t="s">
        <v>181</v>
      </c>
      <c r="G184" s="22" t="s">
        <v>243</v>
      </c>
      <c r="H184" s="22" t="n">
        <v>0.06</v>
      </c>
      <c r="I184" s="38" t="n">
        <v>1715.67</v>
      </c>
      <c r="J184" s="38" t="n">
        <v>1715.7</v>
      </c>
      <c r="K184" s="39" t="n">
        <f aca="false">IF(F184="BUY",J184-I184,I184-J184)</f>
        <v>0.0299999999999727</v>
      </c>
      <c r="L184" s="38" t="n">
        <v>1709.67</v>
      </c>
      <c r="M184" s="39" t="n">
        <f aca="false">ABS(I184-L184)</f>
        <v>6</v>
      </c>
      <c r="N184" s="24" t="n">
        <f aca="false">M184*H184*Summary!$C$6</f>
        <v>36</v>
      </c>
      <c r="O184" s="37" t="n">
        <v>44810.3294212963</v>
      </c>
      <c r="P184" s="22" t="n">
        <f aca="false">ROUND((O184-C184)*86400,0)</f>
        <v>17274</v>
      </c>
      <c r="Q184" s="22" t="str">
        <f aca="false">IF(P184&lt;10,"a) &lt;10s",IF(P184&lt;60,"b) 10-60s",IF(P184&lt;600,"c) 1-10min","d) &gt;10min")))</f>
        <v>d) &gt;10min</v>
      </c>
      <c r="R184" s="38" t="n">
        <v>1716.2</v>
      </c>
      <c r="S184" s="38" t="n">
        <v>1716.2</v>
      </c>
      <c r="T184" s="22" t="s">
        <v>189</v>
      </c>
      <c r="U184" s="39" t="n">
        <f aca="false">IF(R184="","",IF(F184="BUY",R184-S184,S184-R184))</f>
        <v>0</v>
      </c>
      <c r="V184" s="39" t="n">
        <f aca="false">IF(F184="BUY",S184-J184,J184-S184)</f>
        <v>0.5</v>
      </c>
      <c r="W184" s="6" t="n">
        <v>3</v>
      </c>
      <c r="X184" s="26" t="n">
        <f aca="false">IFERROR(W184/N184,0)</f>
        <v>0.0833333333333333</v>
      </c>
      <c r="Y184" s="22" t="str">
        <f aca="false">IF(W184&gt;0,"Win",IF(W184&lt;0,"Loss","Flat"))</f>
        <v>Win</v>
      </c>
      <c r="Z184" s="24" t="n">
        <f aca="false">Summary!$C$5+SUM(W$2:W184)</f>
        <v>3992.21</v>
      </c>
      <c r="AA184" s="24" t="n">
        <f aca="false">MAX(AA183,Z184)</f>
        <v>5000</v>
      </c>
      <c r="AB184" s="24" t="n">
        <f aca="false">AA184-Z184</f>
        <v>1007.79</v>
      </c>
      <c r="AC184" s="23" t="n">
        <f aca="false">IFERROR(AB184/AA184,0)</f>
        <v>0.201558</v>
      </c>
      <c r="AD184" s="22" t="s">
        <v>421</v>
      </c>
    </row>
    <row r="185" customFormat="false" ht="15" hidden="false" customHeight="false" outlineLevel="0" collapsed="false">
      <c r="A185" s="22" t="n">
        <v>184</v>
      </c>
      <c r="B185" s="22" t="s">
        <v>125</v>
      </c>
      <c r="C185" s="37" t="n">
        <v>44810.4047569444</v>
      </c>
      <c r="D185" s="22" t="s">
        <v>203</v>
      </c>
      <c r="E185" s="22" t="n">
        <v>9</v>
      </c>
      <c r="F185" s="22" t="s">
        <v>181</v>
      </c>
      <c r="G185" s="22" t="s">
        <v>235</v>
      </c>
      <c r="H185" s="22" t="n">
        <v>0.06</v>
      </c>
      <c r="I185" s="38" t="n">
        <v>1719.01</v>
      </c>
      <c r="J185" s="38" t="n">
        <v>1719.02</v>
      </c>
      <c r="K185" s="39" t="n">
        <f aca="false">IF(F185="BUY",J185-I185,I185-J185)</f>
        <v>0.00999999999999091</v>
      </c>
      <c r="L185" s="38" t="n">
        <v>1713.01</v>
      </c>
      <c r="M185" s="39" t="n">
        <f aca="false">ABS(I185-L185)</f>
        <v>6</v>
      </c>
      <c r="N185" s="24" t="n">
        <f aca="false">M185*H185*Summary!$C$6</f>
        <v>36</v>
      </c>
      <c r="O185" s="37" t="n">
        <v>44810.4882060185</v>
      </c>
      <c r="P185" s="22" t="n">
        <f aca="false">ROUND((O185-C185)*86400,0)</f>
        <v>7210</v>
      </c>
      <c r="Q185" s="22" t="str">
        <f aca="false">IF(P185&lt;10,"a) &lt;10s",IF(P185&lt;60,"b) 10-60s",IF(P185&lt;600,"c) 1-10min","d) &gt;10min")))</f>
        <v>d) &gt;10min</v>
      </c>
      <c r="R185" s="38" t="n">
        <v>1713.01</v>
      </c>
      <c r="S185" s="38" t="n">
        <v>1713</v>
      </c>
      <c r="T185" s="22" t="s">
        <v>188</v>
      </c>
      <c r="U185" s="39" t="n">
        <f aca="false">IF(R185="","",IF(F185="BUY",R185-S185,S185-R185))</f>
        <v>0.00999999999999091</v>
      </c>
      <c r="V185" s="39" t="n">
        <f aca="false">IF(F185="BUY",S185-J185,J185-S185)</f>
        <v>-6.01999999999998</v>
      </c>
      <c r="W185" s="6" t="n">
        <v>-36.12</v>
      </c>
      <c r="X185" s="26" t="n">
        <f aca="false">IFERROR(W185/N185,0)</f>
        <v>-1.00333333333333</v>
      </c>
      <c r="Y185" s="22" t="str">
        <f aca="false">IF(W185&gt;0,"Win",IF(W185&lt;0,"Loss","Flat"))</f>
        <v>Loss</v>
      </c>
      <c r="Z185" s="24" t="n">
        <f aca="false">Summary!$C$5+SUM(W$2:W185)</f>
        <v>3956.09</v>
      </c>
      <c r="AA185" s="24" t="n">
        <f aca="false">MAX(AA184,Z185)</f>
        <v>5000</v>
      </c>
      <c r="AB185" s="24" t="n">
        <f aca="false">AA185-Z185</f>
        <v>1043.91</v>
      </c>
      <c r="AC185" s="23" t="n">
        <f aca="false">IFERROR(AB185/AA185,0)</f>
        <v>0.208782</v>
      </c>
      <c r="AD185" s="22" t="s">
        <v>422</v>
      </c>
    </row>
    <row r="186" customFormat="false" ht="15" hidden="false" customHeight="false" outlineLevel="0" collapsed="false">
      <c r="A186" s="22" t="n">
        <v>185</v>
      </c>
      <c r="B186" s="22" t="s">
        <v>125</v>
      </c>
      <c r="C186" s="37" t="n">
        <v>44811.1383333333</v>
      </c>
      <c r="D186" s="22" t="s">
        <v>204</v>
      </c>
      <c r="E186" s="22" t="n">
        <v>3</v>
      </c>
      <c r="F186" s="22" t="s">
        <v>182</v>
      </c>
      <c r="G186" s="22" t="s">
        <v>237</v>
      </c>
      <c r="H186" s="22" t="n">
        <v>0.06</v>
      </c>
      <c r="I186" s="38" t="n">
        <v>1699.71</v>
      </c>
      <c r="J186" s="38" t="n">
        <v>1699.7</v>
      </c>
      <c r="K186" s="39" t="n">
        <f aca="false">IF(F186="BUY",J186-I186,I186-J186)</f>
        <v>0.00999999999999091</v>
      </c>
      <c r="L186" s="38" t="n">
        <v>1705.71</v>
      </c>
      <c r="M186" s="39" t="n">
        <f aca="false">ABS(I186-L186)</f>
        <v>6</v>
      </c>
      <c r="N186" s="24" t="n">
        <f aca="false">M186*H186*Summary!$C$6</f>
        <v>36</v>
      </c>
      <c r="O186" s="37" t="n">
        <v>44811.4083449074</v>
      </c>
      <c r="P186" s="22" t="n">
        <f aca="false">ROUND((O186-C186)*86400,0)</f>
        <v>23329</v>
      </c>
      <c r="Q186" s="22" t="str">
        <f aca="false">IF(P186&lt;10,"a) &lt;10s",IF(P186&lt;60,"b) 10-60s",IF(P186&lt;600,"c) 1-10min","d) &gt;10min")))</f>
        <v>d) &gt;10min</v>
      </c>
      <c r="R186" s="38" t="n">
        <v>1699.2</v>
      </c>
      <c r="S186" s="38" t="n">
        <v>1699.2</v>
      </c>
      <c r="T186" s="22" t="s">
        <v>189</v>
      </c>
      <c r="U186" s="39" t="n">
        <f aca="false">IF(R186="","",IF(F186="BUY",R186-S186,S186-R186))</f>
        <v>0</v>
      </c>
      <c r="V186" s="39" t="n">
        <f aca="false">IF(F186="BUY",S186-J186,J186-S186)</f>
        <v>0.5</v>
      </c>
      <c r="W186" s="6" t="n">
        <v>3</v>
      </c>
      <c r="X186" s="26" t="n">
        <f aca="false">IFERROR(W186/N186,0)</f>
        <v>0.0833333333333333</v>
      </c>
      <c r="Y186" s="22" t="str">
        <f aca="false">IF(W186&gt;0,"Win",IF(W186&lt;0,"Loss","Flat"))</f>
        <v>Win</v>
      </c>
      <c r="Z186" s="24" t="n">
        <f aca="false">Summary!$C$5+SUM(W$2:W186)</f>
        <v>3959.09</v>
      </c>
      <c r="AA186" s="24" t="n">
        <f aca="false">MAX(AA185,Z186)</f>
        <v>5000</v>
      </c>
      <c r="AB186" s="24" t="n">
        <f aca="false">AA186-Z186</f>
        <v>1040.91</v>
      </c>
      <c r="AC186" s="23" t="n">
        <f aca="false">IFERROR(AB186/AA186,0)</f>
        <v>0.208182</v>
      </c>
      <c r="AD186" s="22" t="s">
        <v>423</v>
      </c>
    </row>
    <row r="187" customFormat="false" ht="15" hidden="false" customHeight="false" outlineLevel="0" collapsed="false">
      <c r="A187" s="22" t="n">
        <v>186</v>
      </c>
      <c r="B187" s="22" t="s">
        <v>125</v>
      </c>
      <c r="C187" s="37" t="n">
        <v>44812.1878703704</v>
      </c>
      <c r="D187" s="22" t="s">
        <v>205</v>
      </c>
      <c r="E187" s="22" t="n">
        <v>4</v>
      </c>
      <c r="F187" s="22" t="s">
        <v>181</v>
      </c>
      <c r="G187" s="22" t="s">
        <v>243</v>
      </c>
      <c r="H187" s="22" t="n">
        <v>0.06</v>
      </c>
      <c r="I187" s="38" t="n">
        <v>1719.32</v>
      </c>
      <c r="J187" s="38" t="n">
        <v>1719.34</v>
      </c>
      <c r="K187" s="39" t="n">
        <f aca="false">IF(F187="BUY",J187-I187,I187-J187)</f>
        <v>0.0199999999999818</v>
      </c>
      <c r="L187" s="38" t="n">
        <v>1713.32</v>
      </c>
      <c r="M187" s="39" t="n">
        <f aca="false">ABS(I187-L187)</f>
        <v>6</v>
      </c>
      <c r="N187" s="24" t="n">
        <f aca="false">M187*H187*Summary!$C$6</f>
        <v>36</v>
      </c>
      <c r="O187" s="37" t="n">
        <v>44812.4284143519</v>
      </c>
      <c r="P187" s="22" t="n">
        <f aca="false">ROUND((O187-C187)*86400,0)</f>
        <v>20783</v>
      </c>
      <c r="Q187" s="22" t="str">
        <f aca="false">IF(P187&lt;10,"a) &lt;10s",IF(P187&lt;60,"b) 10-60s",IF(P187&lt;600,"c) 1-10min","d) &gt;10min")))</f>
        <v>d) &gt;10min</v>
      </c>
      <c r="R187" s="38" t="n">
        <v>1719.84</v>
      </c>
      <c r="S187" s="38" t="n">
        <v>1719.84</v>
      </c>
      <c r="T187" s="22" t="s">
        <v>189</v>
      </c>
      <c r="U187" s="39" t="n">
        <f aca="false">IF(R187="","",IF(F187="BUY",R187-S187,S187-R187))</f>
        <v>0</v>
      </c>
      <c r="V187" s="39" t="n">
        <f aca="false">IF(F187="BUY",S187-J187,J187-S187)</f>
        <v>0.5</v>
      </c>
      <c r="W187" s="6" t="n">
        <v>3</v>
      </c>
      <c r="X187" s="26" t="n">
        <f aca="false">IFERROR(W187/N187,0)</f>
        <v>0.0833333333333333</v>
      </c>
      <c r="Y187" s="22" t="str">
        <f aca="false">IF(W187&gt;0,"Win",IF(W187&lt;0,"Loss","Flat"))</f>
        <v>Win</v>
      </c>
      <c r="Z187" s="24" t="n">
        <f aca="false">Summary!$C$5+SUM(W$2:W187)</f>
        <v>3962.09</v>
      </c>
      <c r="AA187" s="24" t="n">
        <f aca="false">MAX(AA186,Z187)</f>
        <v>5000</v>
      </c>
      <c r="AB187" s="24" t="n">
        <f aca="false">AA187-Z187</f>
        <v>1037.91</v>
      </c>
      <c r="AC187" s="23" t="n">
        <f aca="false">IFERROR(AB187/AA187,0)</f>
        <v>0.207582</v>
      </c>
      <c r="AD187" s="22" t="s">
        <v>424</v>
      </c>
    </row>
    <row r="188" customFormat="false" ht="15" hidden="false" customHeight="false" outlineLevel="0" collapsed="false">
      <c r="A188" s="22" t="n">
        <v>187</v>
      </c>
      <c r="B188" s="22" t="s">
        <v>125</v>
      </c>
      <c r="C188" s="37" t="n">
        <v>44812.6659837963</v>
      </c>
      <c r="D188" s="22" t="s">
        <v>205</v>
      </c>
      <c r="E188" s="22" t="n">
        <v>15</v>
      </c>
      <c r="F188" s="22" t="s">
        <v>182</v>
      </c>
      <c r="G188" s="22" t="s">
        <v>241</v>
      </c>
      <c r="H188" s="22" t="n">
        <v>0.06</v>
      </c>
      <c r="I188" s="38" t="n">
        <v>1713.77</v>
      </c>
      <c r="J188" s="38" t="n">
        <v>1713.77</v>
      </c>
      <c r="K188" s="39" t="n">
        <f aca="false">IF(F188="BUY",J188-I188,I188-J188)</f>
        <v>0</v>
      </c>
      <c r="L188" s="38" t="n">
        <v>1719.77</v>
      </c>
      <c r="M188" s="39" t="n">
        <f aca="false">ABS(I188-L188)</f>
        <v>6</v>
      </c>
      <c r="N188" s="24" t="n">
        <f aca="false">M188*H188*Summary!$C$6</f>
        <v>36</v>
      </c>
      <c r="O188" s="37" t="n">
        <v>44812.6834027778</v>
      </c>
      <c r="P188" s="22" t="n">
        <f aca="false">ROUND((O188-C188)*86400,0)</f>
        <v>1505</v>
      </c>
      <c r="Q188" s="22" t="str">
        <f aca="false">IF(P188&lt;10,"a) &lt;10s",IF(P188&lt;60,"b) 10-60s",IF(P188&lt;600,"c) 1-10min","d) &gt;10min")))</f>
        <v>d) &gt;10min</v>
      </c>
      <c r="R188" s="38" t="n">
        <v>1713.27</v>
      </c>
      <c r="S188" s="38" t="n">
        <v>1713.27</v>
      </c>
      <c r="T188" s="22" t="s">
        <v>189</v>
      </c>
      <c r="U188" s="39" t="n">
        <f aca="false">IF(R188="","",IF(F188="BUY",R188-S188,S188-R188))</f>
        <v>0</v>
      </c>
      <c r="V188" s="39" t="n">
        <f aca="false">IF(F188="BUY",S188-J188,J188-S188)</f>
        <v>0.5</v>
      </c>
      <c r="W188" s="6" t="n">
        <v>3</v>
      </c>
      <c r="X188" s="26" t="n">
        <f aca="false">IFERROR(W188/N188,0)</f>
        <v>0.0833333333333333</v>
      </c>
      <c r="Y188" s="22" t="str">
        <f aca="false">IF(W188&gt;0,"Win",IF(W188&lt;0,"Loss","Flat"))</f>
        <v>Win</v>
      </c>
      <c r="Z188" s="24" t="n">
        <f aca="false">Summary!$C$5+SUM(W$2:W188)</f>
        <v>3965.09</v>
      </c>
      <c r="AA188" s="24" t="n">
        <f aca="false">MAX(AA187,Z188)</f>
        <v>5000</v>
      </c>
      <c r="AB188" s="24" t="n">
        <f aca="false">AA188-Z188</f>
        <v>1034.91</v>
      </c>
      <c r="AC188" s="23" t="n">
        <f aca="false">IFERROR(AB188/AA188,0)</f>
        <v>0.206982</v>
      </c>
      <c r="AD188" s="22" t="s">
        <v>425</v>
      </c>
    </row>
    <row r="189" customFormat="false" ht="15" hidden="false" customHeight="false" outlineLevel="0" collapsed="false">
      <c r="A189" s="22" t="n">
        <v>188</v>
      </c>
      <c r="B189" s="22" t="s">
        <v>125</v>
      </c>
      <c r="C189" s="37" t="n">
        <v>44813.3752662037</v>
      </c>
      <c r="D189" s="22" t="s">
        <v>206</v>
      </c>
      <c r="E189" s="22" t="n">
        <v>9</v>
      </c>
      <c r="F189" s="22" t="s">
        <v>182</v>
      </c>
      <c r="G189" s="22" t="s">
        <v>241</v>
      </c>
      <c r="H189" s="22" t="n">
        <v>0.06</v>
      </c>
      <c r="I189" s="38" t="n">
        <v>1718.78</v>
      </c>
      <c r="J189" s="38" t="n">
        <v>1718.76</v>
      </c>
      <c r="K189" s="39" t="n">
        <f aca="false">IF(F189="BUY",J189-I189,I189-J189)</f>
        <v>0.0199999999999818</v>
      </c>
      <c r="L189" s="38" t="n">
        <v>1724.78</v>
      </c>
      <c r="M189" s="39" t="n">
        <f aca="false">ABS(I189-L189)</f>
        <v>6</v>
      </c>
      <c r="N189" s="24" t="n">
        <f aca="false">M189*H189*Summary!$C$6</f>
        <v>36</v>
      </c>
      <c r="O189" s="37" t="n">
        <v>44813.4176157407</v>
      </c>
      <c r="P189" s="22" t="n">
        <f aca="false">ROUND((O189-C189)*86400,0)</f>
        <v>3659</v>
      </c>
      <c r="Q189" s="22" t="str">
        <f aca="false">IF(P189&lt;10,"a) &lt;10s",IF(P189&lt;60,"b) 10-60s",IF(P189&lt;600,"c) 1-10min","d) &gt;10min")))</f>
        <v>d) &gt;10min</v>
      </c>
      <c r="R189" s="38" t="n">
        <v>1724.78</v>
      </c>
      <c r="S189" s="38" t="n">
        <v>1725.13</v>
      </c>
      <c r="T189" s="22" t="s">
        <v>188</v>
      </c>
      <c r="U189" s="39" t="n">
        <f aca="false">IF(R189="","",IF(F189="BUY",R189-S189,S189-R189))</f>
        <v>0.350000000000136</v>
      </c>
      <c r="V189" s="39" t="n">
        <f aca="false">IF(F189="BUY",S189-J189,J189-S189)</f>
        <v>-6.37000000000012</v>
      </c>
      <c r="W189" s="6" t="n">
        <v>-38.22</v>
      </c>
      <c r="X189" s="26" t="n">
        <f aca="false">IFERROR(W189/N189,0)</f>
        <v>-1.06166666666667</v>
      </c>
      <c r="Y189" s="22" t="str">
        <f aca="false">IF(W189&gt;0,"Win",IF(W189&lt;0,"Loss","Flat"))</f>
        <v>Loss</v>
      </c>
      <c r="Z189" s="24" t="n">
        <f aca="false">Summary!$C$5+SUM(W$2:W189)</f>
        <v>3926.87</v>
      </c>
      <c r="AA189" s="24" t="n">
        <f aca="false">MAX(AA188,Z189)</f>
        <v>5000</v>
      </c>
      <c r="AB189" s="24" t="n">
        <f aca="false">AA189-Z189</f>
        <v>1073.13</v>
      </c>
      <c r="AC189" s="23" t="n">
        <f aca="false">IFERROR(AB189/AA189,0)</f>
        <v>0.214626</v>
      </c>
      <c r="AD189" s="22" t="s">
        <v>426</v>
      </c>
    </row>
    <row r="190" customFormat="false" ht="15" hidden="false" customHeight="false" outlineLevel="0" collapsed="false">
      <c r="A190" s="22" t="n">
        <v>189</v>
      </c>
      <c r="B190" s="22" t="s">
        <v>125</v>
      </c>
      <c r="C190" s="37" t="n">
        <v>44813.4337615741</v>
      </c>
      <c r="D190" s="22" t="s">
        <v>206</v>
      </c>
      <c r="E190" s="22" t="n">
        <v>10</v>
      </c>
      <c r="F190" s="22" t="s">
        <v>181</v>
      </c>
      <c r="G190" s="22" t="s">
        <v>243</v>
      </c>
      <c r="H190" s="22" t="n">
        <v>0.06</v>
      </c>
      <c r="I190" s="38" t="n">
        <v>1728.1</v>
      </c>
      <c r="J190" s="38" t="n">
        <v>1728.13</v>
      </c>
      <c r="K190" s="39" t="n">
        <f aca="false">IF(F190="BUY",J190-I190,I190-J190)</f>
        <v>0.0300000000002001</v>
      </c>
      <c r="L190" s="38" t="n">
        <v>1722.1</v>
      </c>
      <c r="M190" s="39" t="n">
        <f aca="false">ABS(I190-L190)</f>
        <v>6</v>
      </c>
      <c r="N190" s="24" t="n">
        <f aca="false">M190*H190*Summary!$C$6</f>
        <v>36</v>
      </c>
      <c r="O190" s="37" t="n">
        <v>44813.6213773148</v>
      </c>
      <c r="P190" s="22" t="n">
        <f aca="false">ROUND((O190-C190)*86400,0)</f>
        <v>16210</v>
      </c>
      <c r="Q190" s="22" t="str">
        <f aca="false">IF(P190&lt;10,"a) &lt;10s",IF(P190&lt;60,"b) 10-60s",IF(P190&lt;600,"c) 1-10min","d) &gt;10min")))</f>
        <v>d) &gt;10min</v>
      </c>
      <c r="R190" s="38" t="n">
        <v>1722.1</v>
      </c>
      <c r="S190" s="38" t="n">
        <v>1722.03</v>
      </c>
      <c r="T190" s="22" t="s">
        <v>188</v>
      </c>
      <c r="U190" s="39" t="n">
        <f aca="false">IF(R190="","",IF(F190="BUY",R190-S190,S190-R190))</f>
        <v>0.0699999999999363</v>
      </c>
      <c r="V190" s="39" t="n">
        <f aca="false">IF(F190="BUY",S190-J190,J190-S190)</f>
        <v>-6.10000000000014</v>
      </c>
      <c r="W190" s="6" t="n">
        <v>-36.6</v>
      </c>
      <c r="X190" s="26" t="n">
        <f aca="false">IFERROR(W190/N190,0)</f>
        <v>-1.01666666666667</v>
      </c>
      <c r="Y190" s="22" t="str">
        <f aca="false">IF(W190&gt;0,"Win",IF(W190&lt;0,"Loss","Flat"))</f>
        <v>Loss</v>
      </c>
      <c r="Z190" s="24" t="n">
        <f aca="false">Summary!$C$5+SUM(W$2:W190)</f>
        <v>3890.27</v>
      </c>
      <c r="AA190" s="24" t="n">
        <f aca="false">MAX(AA189,Z190)</f>
        <v>5000</v>
      </c>
      <c r="AB190" s="24" t="n">
        <f aca="false">AA190-Z190</f>
        <v>1109.73</v>
      </c>
      <c r="AC190" s="23" t="n">
        <f aca="false">IFERROR(AB190/AA190,0)</f>
        <v>0.221946</v>
      </c>
      <c r="AD190" s="22" t="s">
        <v>427</v>
      </c>
    </row>
    <row r="191" customFormat="false" ht="15" hidden="false" customHeight="false" outlineLevel="0" collapsed="false">
      <c r="A191" s="22" t="n">
        <v>190</v>
      </c>
      <c r="B191" s="22" t="s">
        <v>125</v>
      </c>
      <c r="C191" s="37" t="n">
        <v>44816.3975578704</v>
      </c>
      <c r="D191" s="22" t="s">
        <v>202</v>
      </c>
      <c r="E191" s="22" t="n">
        <v>9</v>
      </c>
      <c r="F191" s="22" t="s">
        <v>181</v>
      </c>
      <c r="G191" s="22" t="s">
        <v>235</v>
      </c>
      <c r="H191" s="22" t="n">
        <v>0.06</v>
      </c>
      <c r="I191" s="38" t="n">
        <v>1715.7</v>
      </c>
      <c r="J191" s="38" t="n">
        <v>1715.7</v>
      </c>
      <c r="K191" s="39" t="n">
        <f aca="false">IF(F191="BUY",J191-I191,I191-J191)</f>
        <v>0</v>
      </c>
      <c r="L191" s="38" t="n">
        <v>1709.7</v>
      </c>
      <c r="M191" s="39" t="n">
        <f aca="false">ABS(I191-L191)</f>
        <v>6</v>
      </c>
      <c r="N191" s="24" t="n">
        <f aca="false">M191*H191*Summary!$C$6</f>
        <v>36</v>
      </c>
      <c r="O191" s="37" t="n">
        <v>44816.9270833333</v>
      </c>
      <c r="P191" s="22" t="n">
        <f aca="false">ROUND((O191-C191)*86400,0)</f>
        <v>45751</v>
      </c>
      <c r="Q191" s="22" t="str">
        <f aca="false">IF(P191&lt;10,"a) &lt;10s",IF(P191&lt;60,"b) 10-60s",IF(P191&lt;600,"c) 1-10min","d) &gt;10min")))</f>
        <v>d) &gt;10min</v>
      </c>
      <c r="R191" s="38"/>
      <c r="S191" s="38" t="n">
        <v>1725.29</v>
      </c>
      <c r="T191" s="22" t="s">
        <v>191</v>
      </c>
      <c r="U191" s="39" t="str">
        <f aca="false">IF(R191="","",IF(F191="BUY",R191-S191,S191-R191))</f>
        <v/>
      </c>
      <c r="V191" s="39" t="n">
        <f aca="false">IF(F191="BUY",S191-J191,J191-S191)</f>
        <v>9.58999999999992</v>
      </c>
      <c r="W191" s="6" t="n">
        <v>57.54</v>
      </c>
      <c r="X191" s="26" t="n">
        <f aca="false">IFERROR(W191/N191,0)</f>
        <v>1.59833333333333</v>
      </c>
      <c r="Y191" s="22" t="str">
        <f aca="false">IF(W191&gt;0,"Win",IF(W191&lt;0,"Loss","Flat"))</f>
        <v>Win</v>
      </c>
      <c r="Z191" s="24" t="n">
        <f aca="false">Summary!$C$5+SUM(W$2:W191)</f>
        <v>3947.81</v>
      </c>
      <c r="AA191" s="24" t="n">
        <f aca="false">MAX(AA190,Z191)</f>
        <v>5000</v>
      </c>
      <c r="AB191" s="24" t="n">
        <f aca="false">AA191-Z191</f>
        <v>1052.19</v>
      </c>
      <c r="AC191" s="23" t="n">
        <f aca="false">IFERROR(AB191/AA191,0)</f>
        <v>0.210438</v>
      </c>
      <c r="AD191" s="22" t="s">
        <v>428</v>
      </c>
    </row>
    <row r="192" customFormat="false" ht="15" hidden="false" customHeight="false" outlineLevel="0" collapsed="false">
      <c r="A192" s="22" t="n">
        <v>191</v>
      </c>
      <c r="B192" s="22" t="s">
        <v>125</v>
      </c>
      <c r="C192" s="37" t="n">
        <v>44817.3762152778</v>
      </c>
      <c r="D192" s="22" t="s">
        <v>203</v>
      </c>
      <c r="E192" s="22" t="n">
        <v>9</v>
      </c>
      <c r="F192" s="22" t="s">
        <v>181</v>
      </c>
      <c r="G192" s="22" t="s">
        <v>235</v>
      </c>
      <c r="H192" s="22" t="n">
        <v>0.06</v>
      </c>
      <c r="I192" s="38" t="n">
        <v>1722.76</v>
      </c>
      <c r="J192" s="38" t="n">
        <v>1722.78</v>
      </c>
      <c r="K192" s="39" t="n">
        <f aca="false">IF(F192="BUY",J192-I192,I192-J192)</f>
        <v>0.0199999999999818</v>
      </c>
      <c r="L192" s="38" t="n">
        <v>1716.76</v>
      </c>
      <c r="M192" s="39" t="n">
        <f aca="false">ABS(I192-L192)</f>
        <v>6</v>
      </c>
      <c r="N192" s="24" t="n">
        <f aca="false">M192*H192*Summary!$C$6</f>
        <v>36</v>
      </c>
      <c r="O192" s="37" t="n">
        <v>44817.4044675926</v>
      </c>
      <c r="P192" s="22" t="n">
        <f aca="false">ROUND((O192-C192)*86400,0)</f>
        <v>2441</v>
      </c>
      <c r="Q192" s="22" t="str">
        <f aca="false">IF(P192&lt;10,"a) &lt;10s",IF(P192&lt;60,"b) 10-60s",IF(P192&lt;600,"c) 1-10min","d) &gt;10min")))</f>
        <v>d) &gt;10min</v>
      </c>
      <c r="R192" s="38" t="n">
        <v>1723.28</v>
      </c>
      <c r="S192" s="38" t="n">
        <v>1723.23</v>
      </c>
      <c r="T192" s="22" t="s">
        <v>189</v>
      </c>
      <c r="U192" s="39" t="n">
        <f aca="false">IF(R192="","",IF(F192="BUY",R192-S192,S192-R192))</f>
        <v>0.0499999999999545</v>
      </c>
      <c r="V192" s="39" t="n">
        <f aca="false">IF(F192="BUY",S192-J192,J192-S192)</f>
        <v>0.450000000000046</v>
      </c>
      <c r="W192" s="6" t="n">
        <v>2.7</v>
      </c>
      <c r="X192" s="26" t="n">
        <f aca="false">IFERROR(W192/N192,0)</f>
        <v>0.075</v>
      </c>
      <c r="Y192" s="22" t="str">
        <f aca="false">IF(W192&gt;0,"Win",IF(W192&lt;0,"Loss","Flat"))</f>
        <v>Win</v>
      </c>
      <c r="Z192" s="24" t="n">
        <f aca="false">Summary!$C$5+SUM(W$2:W192)</f>
        <v>3950.51</v>
      </c>
      <c r="AA192" s="24" t="n">
        <f aca="false">MAX(AA191,Z192)</f>
        <v>5000</v>
      </c>
      <c r="AB192" s="24" t="n">
        <f aca="false">AA192-Z192</f>
        <v>1049.49</v>
      </c>
      <c r="AC192" s="23" t="n">
        <f aca="false">IFERROR(AB192/AA192,0)</f>
        <v>0.209898</v>
      </c>
      <c r="AD192" s="22" t="s">
        <v>429</v>
      </c>
    </row>
    <row r="193" customFormat="false" ht="15" hidden="false" customHeight="false" outlineLevel="0" collapsed="false">
      <c r="A193" s="22" t="n">
        <v>192</v>
      </c>
      <c r="B193" s="22" t="s">
        <v>125</v>
      </c>
      <c r="C193" s="37" t="n">
        <v>44817.65</v>
      </c>
      <c r="D193" s="22" t="s">
        <v>203</v>
      </c>
      <c r="E193" s="22" t="n">
        <v>15</v>
      </c>
      <c r="F193" s="22" t="s">
        <v>182</v>
      </c>
      <c r="G193" s="22" t="s">
        <v>237</v>
      </c>
      <c r="H193" s="22" t="n">
        <v>0.06</v>
      </c>
      <c r="I193" s="38" t="n">
        <v>1711.81</v>
      </c>
      <c r="J193" s="38" t="n">
        <v>1711.8</v>
      </c>
      <c r="K193" s="39" t="n">
        <f aca="false">IF(F193="BUY",J193-I193,I193-J193)</f>
        <v>0.00999999999999091</v>
      </c>
      <c r="L193" s="38" t="n">
        <v>1717.81</v>
      </c>
      <c r="M193" s="39" t="n">
        <f aca="false">ABS(I193-L193)</f>
        <v>6</v>
      </c>
      <c r="N193" s="24" t="n">
        <f aca="false">M193*H193*Summary!$C$6</f>
        <v>36</v>
      </c>
      <c r="O193" s="37" t="n">
        <v>44817.6508796296</v>
      </c>
      <c r="P193" s="22" t="n">
        <f aca="false">ROUND((O193-C193)*86400,0)</f>
        <v>76</v>
      </c>
      <c r="Q193" s="22" t="str">
        <f aca="false">IF(P193&lt;10,"a) &lt;10s",IF(P193&lt;60,"b) 10-60s",IF(P193&lt;600,"c) 1-10min","d) &gt;10min")))</f>
        <v>c) 1-10min</v>
      </c>
      <c r="R193" s="38" t="n">
        <v>1711.3</v>
      </c>
      <c r="S193" s="38" t="n">
        <v>1711.35</v>
      </c>
      <c r="T193" s="22" t="s">
        <v>189</v>
      </c>
      <c r="U193" s="39" t="n">
        <f aca="false">IF(R193="","",IF(F193="BUY",R193-S193,S193-R193))</f>
        <v>0.0499999999999545</v>
      </c>
      <c r="V193" s="39" t="n">
        <f aca="false">IF(F193="BUY",S193-J193,J193-S193)</f>
        <v>0.450000000000046</v>
      </c>
      <c r="W193" s="6" t="n">
        <v>2.7</v>
      </c>
      <c r="X193" s="26" t="n">
        <f aca="false">IFERROR(W193/N193,0)</f>
        <v>0.075</v>
      </c>
      <c r="Y193" s="22" t="str">
        <f aca="false">IF(W193&gt;0,"Win",IF(W193&lt;0,"Loss","Flat"))</f>
        <v>Win</v>
      </c>
      <c r="Z193" s="24" t="n">
        <f aca="false">Summary!$C$5+SUM(W$2:W193)</f>
        <v>3953.21</v>
      </c>
      <c r="AA193" s="24" t="n">
        <f aca="false">MAX(AA192,Z193)</f>
        <v>5000</v>
      </c>
      <c r="AB193" s="24" t="n">
        <f aca="false">AA193-Z193</f>
        <v>1046.79</v>
      </c>
      <c r="AC193" s="23" t="n">
        <f aca="false">IFERROR(AB193/AA193,0)</f>
        <v>0.209358</v>
      </c>
      <c r="AD193" s="22" t="s">
        <v>430</v>
      </c>
    </row>
    <row r="194" customFormat="false" ht="15" hidden="false" customHeight="false" outlineLevel="0" collapsed="false">
      <c r="A194" s="22" t="n">
        <v>193</v>
      </c>
      <c r="B194" s="22" t="s">
        <v>125</v>
      </c>
      <c r="C194" s="37" t="n">
        <v>44818.4333101852</v>
      </c>
      <c r="D194" s="22" t="s">
        <v>204</v>
      </c>
      <c r="E194" s="22" t="n">
        <v>10</v>
      </c>
      <c r="F194" s="22" t="s">
        <v>182</v>
      </c>
      <c r="G194" s="22" t="s">
        <v>241</v>
      </c>
      <c r="H194" s="22" t="n">
        <v>0.06</v>
      </c>
      <c r="I194" s="38" t="n">
        <v>1699.12</v>
      </c>
      <c r="J194" s="38" t="n">
        <v>1699.11</v>
      </c>
      <c r="K194" s="39" t="n">
        <f aca="false">IF(F194="BUY",J194-I194,I194-J194)</f>
        <v>0.00999999999999091</v>
      </c>
      <c r="L194" s="38" t="n">
        <v>1705.12</v>
      </c>
      <c r="M194" s="39" t="n">
        <f aca="false">ABS(I194-L194)</f>
        <v>6</v>
      </c>
      <c r="N194" s="24" t="n">
        <f aca="false">M194*H194*Summary!$C$6</f>
        <v>36</v>
      </c>
      <c r="O194" s="37" t="n">
        <v>44818.4625462963</v>
      </c>
      <c r="P194" s="22" t="n">
        <f aca="false">ROUND((O194-C194)*86400,0)</f>
        <v>2526</v>
      </c>
      <c r="Q194" s="22" t="str">
        <f aca="false">IF(P194&lt;10,"a) &lt;10s",IF(P194&lt;60,"b) 10-60s",IF(P194&lt;600,"c) 1-10min","d) &gt;10min")))</f>
        <v>d) &gt;10min</v>
      </c>
      <c r="R194" s="38" t="n">
        <v>1705.12</v>
      </c>
      <c r="S194" s="38" t="n">
        <v>1705.16</v>
      </c>
      <c r="T194" s="22" t="s">
        <v>188</v>
      </c>
      <c r="U194" s="39" t="n">
        <f aca="false">IF(R194="","",IF(F194="BUY",R194-S194,S194-R194))</f>
        <v>0.040000000000191</v>
      </c>
      <c r="V194" s="39" t="n">
        <f aca="false">IF(F194="BUY",S194-J194,J194-S194)</f>
        <v>-6.05000000000018</v>
      </c>
      <c r="W194" s="6" t="n">
        <v>-36.3</v>
      </c>
      <c r="X194" s="26" t="n">
        <f aca="false">IFERROR(W194/N194,0)</f>
        <v>-1.00833333333333</v>
      </c>
      <c r="Y194" s="22" t="str">
        <f aca="false">IF(W194&gt;0,"Win",IF(W194&lt;0,"Loss","Flat"))</f>
        <v>Loss</v>
      </c>
      <c r="Z194" s="24" t="n">
        <f aca="false">Summary!$C$5+SUM(W$2:W194)</f>
        <v>3916.91</v>
      </c>
      <c r="AA194" s="24" t="n">
        <f aca="false">MAX(AA193,Z194)</f>
        <v>5000</v>
      </c>
      <c r="AB194" s="24" t="n">
        <f aca="false">AA194-Z194</f>
        <v>1083.09</v>
      </c>
      <c r="AC194" s="23" t="n">
        <f aca="false">IFERROR(AB194/AA194,0)</f>
        <v>0.216618</v>
      </c>
      <c r="AD194" s="22" t="s">
        <v>431</v>
      </c>
    </row>
    <row r="195" customFormat="false" ht="15" hidden="false" customHeight="false" outlineLevel="0" collapsed="false">
      <c r="A195" s="22" t="n">
        <v>194</v>
      </c>
      <c r="B195" s="22" t="s">
        <v>125</v>
      </c>
      <c r="C195" s="37" t="n">
        <v>44818.8840277778</v>
      </c>
      <c r="D195" s="22" t="s">
        <v>204</v>
      </c>
      <c r="E195" s="22" t="n">
        <v>21</v>
      </c>
      <c r="F195" s="22" t="s">
        <v>182</v>
      </c>
      <c r="G195" s="22" t="s">
        <v>237</v>
      </c>
      <c r="H195" s="22" t="n">
        <v>0.06</v>
      </c>
      <c r="I195" s="38" t="n">
        <v>1696.93</v>
      </c>
      <c r="J195" s="38" t="n">
        <v>1696.85</v>
      </c>
      <c r="K195" s="39" t="n">
        <f aca="false">IF(F195="BUY",J195-I195,I195-J195)</f>
        <v>0.0800000000001546</v>
      </c>
      <c r="L195" s="38" t="n">
        <v>1702.93</v>
      </c>
      <c r="M195" s="39" t="n">
        <f aca="false">ABS(I195-L195)</f>
        <v>6</v>
      </c>
      <c r="N195" s="24" t="n">
        <f aca="false">M195*H195*Summary!$C$6</f>
        <v>36</v>
      </c>
      <c r="O195" s="37" t="n">
        <v>44818.9270833333</v>
      </c>
      <c r="P195" s="22" t="n">
        <f aca="false">ROUND((O195-C195)*86400,0)</f>
        <v>3720</v>
      </c>
      <c r="Q195" s="22" t="str">
        <f aca="false">IF(P195&lt;10,"a) &lt;10s",IF(P195&lt;60,"b) 10-60s",IF(P195&lt;600,"c) 1-10min","d) &gt;10min")))</f>
        <v>d) &gt;10min</v>
      </c>
      <c r="R195" s="38"/>
      <c r="S195" s="38" t="n">
        <v>1694.75</v>
      </c>
      <c r="T195" s="22" t="s">
        <v>191</v>
      </c>
      <c r="U195" s="39" t="str">
        <f aca="false">IF(R195="","",IF(F195="BUY",R195-S195,S195-R195))</f>
        <v/>
      </c>
      <c r="V195" s="39" t="n">
        <f aca="false">IF(F195="BUY",S195-J195,J195-S195)</f>
        <v>2.09999999999991</v>
      </c>
      <c r="W195" s="6" t="n">
        <v>12.6</v>
      </c>
      <c r="X195" s="26" t="n">
        <f aca="false">IFERROR(W195/N195,0)</f>
        <v>0.35</v>
      </c>
      <c r="Y195" s="22" t="str">
        <f aca="false">IF(W195&gt;0,"Win",IF(W195&lt;0,"Loss","Flat"))</f>
        <v>Win</v>
      </c>
      <c r="Z195" s="24" t="n">
        <f aca="false">Summary!$C$5+SUM(W$2:W195)</f>
        <v>3929.51</v>
      </c>
      <c r="AA195" s="24" t="n">
        <f aca="false">MAX(AA194,Z195)</f>
        <v>5000</v>
      </c>
      <c r="AB195" s="24" t="n">
        <f aca="false">AA195-Z195</f>
        <v>1070.49</v>
      </c>
      <c r="AC195" s="23" t="n">
        <f aca="false">IFERROR(AB195/AA195,0)</f>
        <v>0.214098</v>
      </c>
      <c r="AD195" s="22" t="s">
        <v>432</v>
      </c>
    </row>
    <row r="196" customFormat="false" ht="15" hidden="false" customHeight="false" outlineLevel="0" collapsed="false">
      <c r="A196" s="22" t="n">
        <v>195</v>
      </c>
      <c r="B196" s="22" t="s">
        <v>125</v>
      </c>
      <c r="C196" s="37" t="n">
        <v>44819.2464236111</v>
      </c>
      <c r="D196" s="22" t="s">
        <v>205</v>
      </c>
      <c r="E196" s="22" t="n">
        <v>5</v>
      </c>
      <c r="F196" s="22" t="s">
        <v>182</v>
      </c>
      <c r="G196" s="22" t="s">
        <v>237</v>
      </c>
      <c r="H196" s="22" t="n">
        <v>0.06</v>
      </c>
      <c r="I196" s="38" t="n">
        <v>1693.52</v>
      </c>
      <c r="J196" s="38" t="n">
        <v>1693.29</v>
      </c>
      <c r="K196" s="39" t="n">
        <f aca="false">IF(F196="BUY",J196-I196,I196-J196)</f>
        <v>0.230000000000018</v>
      </c>
      <c r="L196" s="38" t="n">
        <v>1699.52</v>
      </c>
      <c r="M196" s="39" t="n">
        <f aca="false">ABS(I196-L196)</f>
        <v>6</v>
      </c>
      <c r="N196" s="24" t="n">
        <f aca="false">M196*H196*Summary!$C$6</f>
        <v>36</v>
      </c>
      <c r="O196" s="37" t="n">
        <v>44819.2787268519</v>
      </c>
      <c r="P196" s="22" t="n">
        <f aca="false">ROUND((O196-C196)*86400,0)</f>
        <v>2791</v>
      </c>
      <c r="Q196" s="22" t="str">
        <f aca="false">IF(P196&lt;10,"a) &lt;10s",IF(P196&lt;60,"b) 10-60s",IF(P196&lt;600,"c) 1-10min","d) &gt;10min")))</f>
        <v>d) &gt;10min</v>
      </c>
      <c r="R196" s="38" t="n">
        <v>1692.79</v>
      </c>
      <c r="S196" s="38" t="n">
        <v>1692.93</v>
      </c>
      <c r="T196" s="22" t="s">
        <v>189</v>
      </c>
      <c r="U196" s="39" t="n">
        <f aca="false">IF(R196="","",IF(F196="BUY",R196-S196,S196-R196))</f>
        <v>0.1400000000001</v>
      </c>
      <c r="V196" s="39" t="n">
        <f aca="false">IF(F196="BUY",S196-J196,J196-S196)</f>
        <v>0.3599999999999</v>
      </c>
      <c r="W196" s="6" t="n">
        <v>2.16</v>
      </c>
      <c r="X196" s="26" t="n">
        <f aca="false">IFERROR(W196/N196,0)</f>
        <v>0.06</v>
      </c>
      <c r="Y196" s="22" t="str">
        <f aca="false">IF(W196&gt;0,"Win",IF(W196&lt;0,"Loss","Flat"))</f>
        <v>Win</v>
      </c>
      <c r="Z196" s="24" t="n">
        <f aca="false">Summary!$C$5+SUM(W$2:W196)</f>
        <v>3931.67</v>
      </c>
      <c r="AA196" s="24" t="n">
        <f aca="false">MAX(AA195,Z196)</f>
        <v>5000</v>
      </c>
      <c r="AB196" s="24" t="n">
        <f aca="false">AA196-Z196</f>
        <v>1068.33</v>
      </c>
      <c r="AC196" s="23" t="n">
        <f aca="false">IFERROR(AB196/AA196,0)</f>
        <v>0.213666</v>
      </c>
      <c r="AD196" s="22" t="s">
        <v>433</v>
      </c>
    </row>
    <row r="197" customFormat="false" ht="15" hidden="false" customHeight="false" outlineLevel="0" collapsed="false">
      <c r="A197" s="22" t="n">
        <v>196</v>
      </c>
      <c r="B197" s="22" t="s">
        <v>125</v>
      </c>
      <c r="C197" s="37" t="n">
        <v>44819.4230092593</v>
      </c>
      <c r="D197" s="22" t="s">
        <v>205</v>
      </c>
      <c r="E197" s="22" t="n">
        <v>10</v>
      </c>
      <c r="F197" s="22" t="s">
        <v>182</v>
      </c>
      <c r="G197" s="22" t="s">
        <v>241</v>
      </c>
      <c r="H197" s="22" t="n">
        <v>0.06</v>
      </c>
      <c r="I197" s="38" t="n">
        <v>1685.94</v>
      </c>
      <c r="J197" s="38" t="n">
        <v>1685.85</v>
      </c>
      <c r="K197" s="39" t="n">
        <f aca="false">IF(F197="BUY",J197-I197,I197-J197)</f>
        <v>0.0900000000001455</v>
      </c>
      <c r="L197" s="38" t="n">
        <v>1691.94</v>
      </c>
      <c r="M197" s="39" t="n">
        <f aca="false">ABS(I197-L197)</f>
        <v>6</v>
      </c>
      <c r="N197" s="24" t="n">
        <f aca="false">M197*H197*Summary!$C$6</f>
        <v>36</v>
      </c>
      <c r="O197" s="37" t="n">
        <v>44819.6452546296</v>
      </c>
      <c r="P197" s="22" t="n">
        <f aca="false">ROUND((O197-C197)*86400,0)</f>
        <v>19202</v>
      </c>
      <c r="Q197" s="22" t="str">
        <f aca="false">IF(P197&lt;10,"a) &lt;10s",IF(P197&lt;60,"b) 10-60s",IF(P197&lt;600,"c) 1-10min","d) &gt;10min")))</f>
        <v>d) &gt;10min</v>
      </c>
      <c r="R197" s="38" t="n">
        <v>1685.35</v>
      </c>
      <c r="S197" s="38" t="n">
        <v>1685.35</v>
      </c>
      <c r="T197" s="22" t="s">
        <v>189</v>
      </c>
      <c r="U197" s="39" t="n">
        <f aca="false">IF(R197="","",IF(F197="BUY",R197-S197,S197-R197))</f>
        <v>0</v>
      </c>
      <c r="V197" s="39" t="n">
        <f aca="false">IF(F197="BUY",S197-J197,J197-S197)</f>
        <v>0.5</v>
      </c>
      <c r="W197" s="6" t="n">
        <v>3</v>
      </c>
      <c r="X197" s="26" t="n">
        <f aca="false">IFERROR(W197/N197,0)</f>
        <v>0.0833333333333333</v>
      </c>
      <c r="Y197" s="22" t="str">
        <f aca="false">IF(W197&gt;0,"Win",IF(W197&lt;0,"Loss","Flat"))</f>
        <v>Win</v>
      </c>
      <c r="Z197" s="24" t="n">
        <f aca="false">Summary!$C$5+SUM(W$2:W197)</f>
        <v>3934.67</v>
      </c>
      <c r="AA197" s="24" t="n">
        <f aca="false">MAX(AA196,Z197)</f>
        <v>5000</v>
      </c>
      <c r="AB197" s="24" t="n">
        <f aca="false">AA197-Z197</f>
        <v>1065.33</v>
      </c>
      <c r="AC197" s="23" t="n">
        <f aca="false">IFERROR(AB197/AA197,0)</f>
        <v>0.213066</v>
      </c>
      <c r="AD197" s="22" t="s">
        <v>434</v>
      </c>
    </row>
    <row r="198" customFormat="false" ht="15" hidden="false" customHeight="false" outlineLevel="0" collapsed="false">
      <c r="A198" s="22" t="n">
        <v>197</v>
      </c>
      <c r="B198" s="22" t="s">
        <v>125</v>
      </c>
      <c r="C198" s="37" t="n">
        <v>44820.3750115741</v>
      </c>
      <c r="D198" s="22" t="s">
        <v>206</v>
      </c>
      <c r="E198" s="22" t="n">
        <v>9</v>
      </c>
      <c r="F198" s="22" t="s">
        <v>182</v>
      </c>
      <c r="G198" s="22" t="s">
        <v>241</v>
      </c>
      <c r="H198" s="22" t="n">
        <v>0.06</v>
      </c>
      <c r="I198" s="38" t="n">
        <v>1662.63</v>
      </c>
      <c r="J198" s="38" t="n">
        <v>1662.6</v>
      </c>
      <c r="K198" s="39" t="n">
        <f aca="false">IF(F198="BUY",J198-I198,I198-J198)</f>
        <v>0.0300000000002001</v>
      </c>
      <c r="L198" s="38" t="n">
        <v>1668.63</v>
      </c>
      <c r="M198" s="39" t="n">
        <f aca="false">ABS(I198-L198)</f>
        <v>6</v>
      </c>
      <c r="N198" s="24" t="n">
        <f aca="false">M198*H198*Summary!$C$6</f>
        <v>36</v>
      </c>
      <c r="O198" s="37" t="n">
        <v>44820.4206597222</v>
      </c>
      <c r="P198" s="22" t="n">
        <f aca="false">ROUND((O198-C198)*86400,0)</f>
        <v>3944</v>
      </c>
      <c r="Q198" s="22" t="str">
        <f aca="false">IF(P198&lt;10,"a) &lt;10s",IF(P198&lt;60,"b) 10-60s",IF(P198&lt;600,"c) 1-10min","d) &gt;10min")))</f>
        <v>d) &gt;10min</v>
      </c>
      <c r="R198" s="38" t="n">
        <v>1662.1</v>
      </c>
      <c r="S198" s="38" t="n">
        <v>1662.19</v>
      </c>
      <c r="T198" s="22" t="s">
        <v>189</v>
      </c>
      <c r="U198" s="39" t="n">
        <f aca="false">IF(R198="","",IF(F198="BUY",R198-S198,S198-R198))</f>
        <v>0.0900000000001455</v>
      </c>
      <c r="V198" s="39" t="n">
        <f aca="false">IF(F198="BUY",S198-J198,J198-S198)</f>
        <v>0.409999999999855</v>
      </c>
      <c r="W198" s="6" t="n">
        <v>2.46</v>
      </c>
      <c r="X198" s="26" t="n">
        <f aca="false">IFERROR(W198/N198,0)</f>
        <v>0.0683333333333333</v>
      </c>
      <c r="Y198" s="22" t="str">
        <f aca="false">IF(W198&gt;0,"Win",IF(W198&lt;0,"Loss","Flat"))</f>
        <v>Win</v>
      </c>
      <c r="Z198" s="24" t="n">
        <f aca="false">Summary!$C$5+SUM(W$2:W198)</f>
        <v>3937.13</v>
      </c>
      <c r="AA198" s="24" t="n">
        <f aca="false">MAX(AA197,Z198)</f>
        <v>5000</v>
      </c>
      <c r="AB198" s="24" t="n">
        <f aca="false">AA198-Z198</f>
        <v>1062.87</v>
      </c>
      <c r="AC198" s="23" t="n">
        <f aca="false">IFERROR(AB198/AA198,0)</f>
        <v>0.212574</v>
      </c>
      <c r="AD198" s="22" t="s">
        <v>435</v>
      </c>
    </row>
    <row r="199" customFormat="false" ht="15" hidden="false" customHeight="false" outlineLevel="0" collapsed="false">
      <c r="A199" s="22" t="n">
        <v>198</v>
      </c>
      <c r="B199" s="22" t="s">
        <v>125</v>
      </c>
      <c r="C199" s="37" t="n">
        <v>44823.3769212963</v>
      </c>
      <c r="D199" s="22" t="s">
        <v>202</v>
      </c>
      <c r="E199" s="22" t="n">
        <v>9</v>
      </c>
      <c r="F199" s="22" t="s">
        <v>182</v>
      </c>
      <c r="G199" s="22" t="s">
        <v>241</v>
      </c>
      <c r="H199" s="22" t="n">
        <v>0.06</v>
      </c>
      <c r="I199" s="38" t="n">
        <v>1666.67</v>
      </c>
      <c r="J199" s="38" t="n">
        <v>1666.65</v>
      </c>
      <c r="K199" s="39" t="n">
        <f aca="false">IF(F199="BUY",J199-I199,I199-J199)</f>
        <v>0.0199999999999818</v>
      </c>
      <c r="L199" s="38" t="n">
        <v>1672.67</v>
      </c>
      <c r="M199" s="39" t="n">
        <f aca="false">ABS(I199-L199)</f>
        <v>6</v>
      </c>
      <c r="N199" s="24" t="n">
        <f aca="false">M199*H199*Summary!$C$6</f>
        <v>36</v>
      </c>
      <c r="O199" s="37" t="n">
        <v>44823.4844097222</v>
      </c>
      <c r="P199" s="22" t="n">
        <f aca="false">ROUND((O199-C199)*86400,0)</f>
        <v>9287</v>
      </c>
      <c r="Q199" s="22" t="str">
        <f aca="false">IF(P199&lt;10,"a) &lt;10s",IF(P199&lt;60,"b) 10-60s",IF(P199&lt;600,"c) 1-10min","d) &gt;10min")))</f>
        <v>d) &gt;10min</v>
      </c>
      <c r="R199" s="38" t="n">
        <v>1666.15</v>
      </c>
      <c r="S199" s="38" t="n">
        <v>1666.3</v>
      </c>
      <c r="T199" s="22" t="s">
        <v>189</v>
      </c>
      <c r="U199" s="39" t="n">
        <f aca="false">IF(R199="","",IF(F199="BUY",R199-S199,S199-R199))</f>
        <v>0.149999999999864</v>
      </c>
      <c r="V199" s="39" t="n">
        <f aca="false">IF(F199="BUY",S199-J199,J199-S199)</f>
        <v>0.350000000000136</v>
      </c>
      <c r="W199" s="6" t="n">
        <v>2.1</v>
      </c>
      <c r="X199" s="26" t="n">
        <f aca="false">IFERROR(W199/N199,0)</f>
        <v>0.0583333333333333</v>
      </c>
      <c r="Y199" s="22" t="str">
        <f aca="false">IF(W199&gt;0,"Win",IF(W199&lt;0,"Loss","Flat"))</f>
        <v>Win</v>
      </c>
      <c r="Z199" s="24" t="n">
        <f aca="false">Summary!$C$5+SUM(W$2:W199)</f>
        <v>3939.23</v>
      </c>
      <c r="AA199" s="24" t="n">
        <f aca="false">MAX(AA198,Z199)</f>
        <v>5000</v>
      </c>
      <c r="AB199" s="24" t="n">
        <f aca="false">AA199-Z199</f>
        <v>1060.77</v>
      </c>
      <c r="AC199" s="23" t="n">
        <f aca="false">IFERROR(AB199/AA199,0)</f>
        <v>0.212154</v>
      </c>
      <c r="AD199" s="22" t="s">
        <v>436</v>
      </c>
    </row>
    <row r="200" customFormat="false" ht="15" hidden="false" customHeight="false" outlineLevel="0" collapsed="false">
      <c r="A200" s="22" t="n">
        <v>199</v>
      </c>
      <c r="B200" s="22" t="s">
        <v>125</v>
      </c>
      <c r="C200" s="37" t="n">
        <v>44824.3754976852</v>
      </c>
      <c r="D200" s="22" t="s">
        <v>203</v>
      </c>
      <c r="E200" s="22" t="n">
        <v>9</v>
      </c>
      <c r="F200" s="22" t="s">
        <v>182</v>
      </c>
      <c r="G200" s="22" t="s">
        <v>241</v>
      </c>
      <c r="H200" s="22" t="n">
        <v>0.06</v>
      </c>
      <c r="I200" s="38" t="n">
        <v>1670.3</v>
      </c>
      <c r="J200" s="38" t="n">
        <v>1670.29</v>
      </c>
      <c r="K200" s="39" t="n">
        <f aca="false">IF(F200="BUY",J200-I200,I200-J200)</f>
        <v>0.00999999999999091</v>
      </c>
      <c r="L200" s="38" t="n">
        <v>1676.3</v>
      </c>
      <c r="M200" s="39" t="n">
        <f aca="false">ABS(I200-L200)</f>
        <v>6</v>
      </c>
      <c r="N200" s="24" t="n">
        <f aca="false">M200*H200*Summary!$C$6</f>
        <v>36</v>
      </c>
      <c r="O200" s="37" t="n">
        <v>44824.4817361111</v>
      </c>
      <c r="P200" s="22" t="n">
        <f aca="false">ROUND((O200-C200)*86400,0)</f>
        <v>9179</v>
      </c>
      <c r="Q200" s="22" t="str">
        <f aca="false">IF(P200&lt;10,"a) &lt;10s",IF(P200&lt;60,"b) 10-60s",IF(P200&lt;600,"c) 1-10min","d) &gt;10min")))</f>
        <v>d) &gt;10min</v>
      </c>
      <c r="R200" s="38" t="n">
        <v>1669.79</v>
      </c>
      <c r="S200" s="38" t="n">
        <v>1669.79</v>
      </c>
      <c r="T200" s="22" t="s">
        <v>189</v>
      </c>
      <c r="U200" s="39" t="n">
        <f aca="false">IF(R200="","",IF(F200="BUY",R200-S200,S200-R200))</f>
        <v>0</v>
      </c>
      <c r="V200" s="39" t="n">
        <f aca="false">IF(F200="BUY",S200-J200,J200-S200)</f>
        <v>0.5</v>
      </c>
      <c r="W200" s="6" t="n">
        <v>3</v>
      </c>
      <c r="X200" s="26" t="n">
        <f aca="false">IFERROR(W200/N200,0)</f>
        <v>0.0833333333333333</v>
      </c>
      <c r="Y200" s="22" t="str">
        <f aca="false">IF(W200&gt;0,"Win",IF(W200&lt;0,"Loss","Flat"))</f>
        <v>Win</v>
      </c>
      <c r="Z200" s="24" t="n">
        <f aca="false">Summary!$C$5+SUM(W$2:W200)</f>
        <v>3942.23</v>
      </c>
      <c r="AA200" s="24" t="n">
        <f aca="false">MAX(AA199,Z200)</f>
        <v>5000</v>
      </c>
      <c r="AB200" s="24" t="n">
        <f aca="false">AA200-Z200</f>
        <v>1057.77</v>
      </c>
      <c r="AC200" s="23" t="n">
        <f aca="false">IFERROR(AB200/AA200,0)</f>
        <v>0.211554</v>
      </c>
      <c r="AD200" s="22" t="s">
        <v>437</v>
      </c>
    </row>
    <row r="201" customFormat="false" ht="15" hidden="false" customHeight="false" outlineLevel="0" collapsed="false">
      <c r="A201" s="22" t="n">
        <v>200</v>
      </c>
      <c r="B201" s="22" t="s">
        <v>125</v>
      </c>
      <c r="C201" s="37" t="n">
        <v>44825.375474537</v>
      </c>
      <c r="D201" s="22" t="s">
        <v>204</v>
      </c>
      <c r="E201" s="22" t="n">
        <v>9</v>
      </c>
      <c r="F201" s="22" t="s">
        <v>181</v>
      </c>
      <c r="G201" s="22" t="s">
        <v>235</v>
      </c>
      <c r="H201" s="22" t="n">
        <v>0.06</v>
      </c>
      <c r="I201" s="38" t="n">
        <v>1666.24</v>
      </c>
      <c r="J201" s="38" t="n">
        <v>1666.31</v>
      </c>
      <c r="K201" s="39" t="n">
        <f aca="false">IF(F201="BUY",J201-I201,I201-J201)</f>
        <v>0.0699999999999363</v>
      </c>
      <c r="L201" s="38" t="n">
        <v>1660.24</v>
      </c>
      <c r="M201" s="39" t="n">
        <f aca="false">ABS(I201-L201)</f>
        <v>6</v>
      </c>
      <c r="N201" s="24" t="n">
        <f aca="false">M201*H201*Summary!$C$6</f>
        <v>36</v>
      </c>
      <c r="O201" s="37" t="n">
        <v>44825.73375</v>
      </c>
      <c r="P201" s="22" t="n">
        <f aca="false">ROUND((O201-C201)*86400,0)</f>
        <v>30955</v>
      </c>
      <c r="Q201" s="22" t="str">
        <f aca="false">IF(P201&lt;10,"a) &lt;10s",IF(P201&lt;60,"b) 10-60s",IF(P201&lt;600,"c) 1-10min","d) &gt;10min")))</f>
        <v>d) &gt;10min</v>
      </c>
      <c r="R201" s="38" t="n">
        <v>1666.81</v>
      </c>
      <c r="S201" s="38" t="n">
        <v>1666.73</v>
      </c>
      <c r="T201" s="22" t="s">
        <v>189</v>
      </c>
      <c r="U201" s="39" t="n">
        <f aca="false">IF(R201="","",IF(F201="BUY",R201-S201,S201-R201))</f>
        <v>0.0799999999999272</v>
      </c>
      <c r="V201" s="39" t="n">
        <f aca="false">IF(F201="BUY",S201-J201,J201-S201)</f>
        <v>0.420000000000073</v>
      </c>
      <c r="W201" s="6" t="n">
        <v>2.52</v>
      </c>
      <c r="X201" s="26" t="n">
        <f aca="false">IFERROR(W201/N201,0)</f>
        <v>0.07</v>
      </c>
      <c r="Y201" s="22" t="str">
        <f aca="false">IF(W201&gt;0,"Win",IF(W201&lt;0,"Loss","Flat"))</f>
        <v>Win</v>
      </c>
      <c r="Z201" s="24" t="n">
        <f aca="false">Summary!$C$5+SUM(W$2:W201)</f>
        <v>3944.75</v>
      </c>
      <c r="AA201" s="24" t="n">
        <f aca="false">MAX(AA200,Z201)</f>
        <v>5000</v>
      </c>
      <c r="AB201" s="24" t="n">
        <f aca="false">AA201-Z201</f>
        <v>1055.25</v>
      </c>
      <c r="AC201" s="23" t="n">
        <f aca="false">IFERROR(AB201/AA201,0)</f>
        <v>0.21105</v>
      </c>
      <c r="AD201" s="22" t="s">
        <v>438</v>
      </c>
    </row>
    <row r="202" customFormat="false" ht="15" hidden="false" customHeight="false" outlineLevel="0" collapsed="false">
      <c r="A202" s="22" t="n">
        <v>201</v>
      </c>
      <c r="B202" s="22" t="s">
        <v>125</v>
      </c>
      <c r="C202" s="37" t="n">
        <v>44825.8757175926</v>
      </c>
      <c r="D202" s="22" t="s">
        <v>204</v>
      </c>
      <c r="E202" s="22" t="n">
        <v>21</v>
      </c>
      <c r="F202" s="22" t="s">
        <v>182</v>
      </c>
      <c r="G202" s="22" t="s">
        <v>237</v>
      </c>
      <c r="H202" s="22" t="n">
        <v>0.06</v>
      </c>
      <c r="I202" s="38" t="n">
        <v>1659.88</v>
      </c>
      <c r="J202" s="38" t="n">
        <v>1659.7</v>
      </c>
      <c r="K202" s="39" t="n">
        <f aca="false">IF(F202="BUY",J202-I202,I202-J202)</f>
        <v>0.180000000000064</v>
      </c>
      <c r="L202" s="38" t="n">
        <v>1665.88</v>
      </c>
      <c r="M202" s="39" t="n">
        <f aca="false">ABS(I202-L202)</f>
        <v>6</v>
      </c>
      <c r="N202" s="24" t="n">
        <f aca="false">M202*H202*Summary!$C$6</f>
        <v>36</v>
      </c>
      <c r="O202" s="37" t="n">
        <v>44825.8810069444</v>
      </c>
      <c r="P202" s="22" t="n">
        <f aca="false">ROUND((O202-C202)*86400,0)</f>
        <v>457</v>
      </c>
      <c r="Q202" s="22" t="str">
        <f aca="false">IF(P202&lt;10,"a) &lt;10s",IF(P202&lt;60,"b) 10-60s",IF(P202&lt;600,"c) 1-10min","d) &gt;10min")))</f>
        <v>c) 1-10min</v>
      </c>
      <c r="R202" s="38" t="n">
        <v>1659.2</v>
      </c>
      <c r="S202" s="38" t="n">
        <v>1659.46</v>
      </c>
      <c r="T202" s="22" t="s">
        <v>189</v>
      </c>
      <c r="U202" s="39" t="n">
        <f aca="false">IF(R202="","",IF(F202="BUY",R202-S202,S202-R202))</f>
        <v>0.259999999999991</v>
      </c>
      <c r="V202" s="39" t="n">
        <f aca="false">IF(F202="BUY",S202-J202,J202-S202)</f>
        <v>0.240000000000009</v>
      </c>
      <c r="W202" s="6" t="n">
        <v>1.44</v>
      </c>
      <c r="X202" s="26" t="n">
        <f aca="false">IFERROR(W202/N202,0)</f>
        <v>0.04</v>
      </c>
      <c r="Y202" s="22" t="str">
        <f aca="false">IF(W202&gt;0,"Win",IF(W202&lt;0,"Loss","Flat"))</f>
        <v>Win</v>
      </c>
      <c r="Z202" s="24" t="n">
        <f aca="false">Summary!$C$5+SUM(W$2:W202)</f>
        <v>3946.19</v>
      </c>
      <c r="AA202" s="24" t="n">
        <f aca="false">MAX(AA201,Z202)</f>
        <v>5000</v>
      </c>
      <c r="AB202" s="24" t="n">
        <f aca="false">AA202-Z202</f>
        <v>1053.81</v>
      </c>
      <c r="AC202" s="23" t="n">
        <f aca="false">IFERROR(AB202/AA202,0)</f>
        <v>0.210762</v>
      </c>
      <c r="AD202" s="22" t="s">
        <v>439</v>
      </c>
    </row>
    <row r="203" customFormat="false" ht="15" hidden="false" customHeight="false" outlineLevel="0" collapsed="false">
      <c r="A203" s="22" t="n">
        <v>202</v>
      </c>
      <c r="B203" s="22" t="s">
        <v>125</v>
      </c>
      <c r="C203" s="37" t="n">
        <v>44826.3922106482</v>
      </c>
      <c r="D203" s="22" t="s">
        <v>205</v>
      </c>
      <c r="E203" s="22" t="n">
        <v>9</v>
      </c>
      <c r="F203" s="22" t="s">
        <v>182</v>
      </c>
      <c r="G203" s="22" t="s">
        <v>241</v>
      </c>
      <c r="H203" s="22" t="n">
        <v>0.06</v>
      </c>
      <c r="I203" s="38" t="n">
        <v>1659.19</v>
      </c>
      <c r="J203" s="38" t="n">
        <v>1659.19</v>
      </c>
      <c r="K203" s="39" t="n">
        <f aca="false">IF(F203="BUY",J203-I203,I203-J203)</f>
        <v>0</v>
      </c>
      <c r="L203" s="38" t="n">
        <v>1665.19</v>
      </c>
      <c r="M203" s="39" t="n">
        <f aca="false">ABS(I203-L203)</f>
        <v>6</v>
      </c>
      <c r="N203" s="24" t="n">
        <f aca="false">M203*H203*Summary!$C$6</f>
        <v>36</v>
      </c>
      <c r="O203" s="37" t="n">
        <v>44826.4265625</v>
      </c>
      <c r="P203" s="22" t="n">
        <f aca="false">ROUND((O203-C203)*86400,0)</f>
        <v>2968</v>
      </c>
      <c r="Q203" s="22" t="str">
        <f aca="false">IF(P203&lt;10,"a) &lt;10s",IF(P203&lt;60,"b) 10-60s",IF(P203&lt;600,"c) 1-10min","d) &gt;10min")))</f>
        <v>d) &gt;10min</v>
      </c>
      <c r="R203" s="38" t="n">
        <v>1658.69</v>
      </c>
      <c r="S203" s="38" t="n">
        <v>1658.7</v>
      </c>
      <c r="T203" s="22" t="s">
        <v>189</v>
      </c>
      <c r="U203" s="39" t="n">
        <f aca="false">IF(R203="","",IF(F203="BUY",R203-S203,S203-R203))</f>
        <v>0.00999999999999091</v>
      </c>
      <c r="V203" s="39" t="n">
        <f aca="false">IF(F203="BUY",S203-J203,J203-S203)</f>
        <v>0.490000000000009</v>
      </c>
      <c r="W203" s="6" t="n">
        <v>2.94</v>
      </c>
      <c r="X203" s="26" t="n">
        <f aca="false">IFERROR(W203/N203,0)</f>
        <v>0.0816666666666667</v>
      </c>
      <c r="Y203" s="22" t="str">
        <f aca="false">IF(W203&gt;0,"Win",IF(W203&lt;0,"Loss","Flat"))</f>
        <v>Win</v>
      </c>
      <c r="Z203" s="24" t="n">
        <f aca="false">Summary!$C$5+SUM(W$2:W203)</f>
        <v>3949.13</v>
      </c>
      <c r="AA203" s="24" t="n">
        <f aca="false">MAX(AA202,Z203)</f>
        <v>5000</v>
      </c>
      <c r="AB203" s="24" t="n">
        <f aca="false">AA203-Z203</f>
        <v>1050.87</v>
      </c>
      <c r="AC203" s="23" t="n">
        <f aca="false">IFERROR(AB203/AA203,0)</f>
        <v>0.210174</v>
      </c>
      <c r="AD203" s="22" t="s">
        <v>440</v>
      </c>
    </row>
    <row r="204" customFormat="false" ht="15" hidden="false" customHeight="false" outlineLevel="0" collapsed="false">
      <c r="A204" s="22" t="n">
        <v>203</v>
      </c>
      <c r="B204" s="22" t="s">
        <v>125</v>
      </c>
      <c r="C204" s="37" t="n">
        <v>44827.377349537</v>
      </c>
      <c r="D204" s="22" t="s">
        <v>206</v>
      </c>
      <c r="E204" s="22" t="n">
        <v>9</v>
      </c>
      <c r="F204" s="22" t="s">
        <v>181</v>
      </c>
      <c r="G204" s="22" t="s">
        <v>235</v>
      </c>
      <c r="H204" s="22" t="n">
        <v>0.06</v>
      </c>
      <c r="I204" s="38" t="n">
        <v>1672.41</v>
      </c>
      <c r="J204" s="38" t="n">
        <v>1672.41</v>
      </c>
      <c r="K204" s="39" t="n">
        <f aca="false">IF(F204="BUY",J204-I204,I204-J204)</f>
        <v>0</v>
      </c>
      <c r="L204" s="38" t="n">
        <v>1666.41</v>
      </c>
      <c r="M204" s="39" t="n">
        <f aca="false">ABS(I204-L204)</f>
        <v>6</v>
      </c>
      <c r="N204" s="24" t="n">
        <f aca="false">M204*H204*Summary!$C$6</f>
        <v>36</v>
      </c>
      <c r="O204" s="37" t="n">
        <v>44827.4463078704</v>
      </c>
      <c r="P204" s="22" t="n">
        <f aca="false">ROUND((O204-C204)*86400,0)</f>
        <v>5958</v>
      </c>
      <c r="Q204" s="22" t="str">
        <f aca="false">IF(P204&lt;10,"a) &lt;10s",IF(P204&lt;60,"b) 10-60s",IF(P204&lt;600,"c) 1-10min","d) &gt;10min")))</f>
        <v>d) &gt;10min</v>
      </c>
      <c r="R204" s="38" t="n">
        <v>1666.41</v>
      </c>
      <c r="S204" s="38" t="n">
        <v>1666.41</v>
      </c>
      <c r="T204" s="22" t="s">
        <v>188</v>
      </c>
      <c r="U204" s="39" t="n">
        <f aca="false">IF(R204="","",IF(F204="BUY",R204-S204,S204-R204))</f>
        <v>0</v>
      </c>
      <c r="V204" s="39" t="n">
        <f aca="false">IF(F204="BUY",S204-J204,J204-S204)</f>
        <v>-6</v>
      </c>
      <c r="W204" s="6" t="n">
        <v>-36</v>
      </c>
      <c r="X204" s="26" t="n">
        <f aca="false">IFERROR(W204/N204,0)</f>
        <v>-1</v>
      </c>
      <c r="Y204" s="22" t="str">
        <f aca="false">IF(W204&gt;0,"Win",IF(W204&lt;0,"Loss","Flat"))</f>
        <v>Loss</v>
      </c>
      <c r="Z204" s="24" t="n">
        <f aca="false">Summary!$C$5+SUM(W$2:W204)</f>
        <v>3913.13</v>
      </c>
      <c r="AA204" s="24" t="n">
        <f aca="false">MAX(AA203,Z204)</f>
        <v>5000</v>
      </c>
      <c r="AB204" s="24" t="n">
        <f aca="false">AA204-Z204</f>
        <v>1086.87</v>
      </c>
      <c r="AC204" s="23" t="n">
        <f aca="false">IFERROR(AB204/AA204,0)</f>
        <v>0.217374</v>
      </c>
      <c r="AD204" s="22" t="s">
        <v>441</v>
      </c>
    </row>
    <row r="205" customFormat="false" ht="15" hidden="false" customHeight="false" outlineLevel="0" collapsed="false">
      <c r="A205" s="22" t="n">
        <v>204</v>
      </c>
      <c r="B205" s="22" t="s">
        <v>125</v>
      </c>
      <c r="C205" s="37" t="n">
        <v>44827.5356597222</v>
      </c>
      <c r="D205" s="22" t="s">
        <v>206</v>
      </c>
      <c r="E205" s="22" t="n">
        <v>12</v>
      </c>
      <c r="F205" s="22" t="s">
        <v>182</v>
      </c>
      <c r="G205" s="22" t="s">
        <v>237</v>
      </c>
      <c r="H205" s="22" t="n">
        <v>0.06</v>
      </c>
      <c r="I205" s="38" t="n">
        <v>1655.54</v>
      </c>
      <c r="J205" s="38" t="n">
        <v>1654.74</v>
      </c>
      <c r="K205" s="39" t="n">
        <f aca="false">IF(F205="BUY",J205-I205,I205-J205)</f>
        <v>0.799999999999955</v>
      </c>
      <c r="L205" s="38" t="n">
        <v>1661.54</v>
      </c>
      <c r="M205" s="39" t="n">
        <f aca="false">ABS(I205-L205)</f>
        <v>6</v>
      </c>
      <c r="N205" s="24" t="n">
        <f aca="false">M205*H205*Summary!$C$6</f>
        <v>36</v>
      </c>
      <c r="O205" s="37" t="n">
        <v>44827.5395486111</v>
      </c>
      <c r="P205" s="22" t="n">
        <f aca="false">ROUND((O205-C205)*86400,0)</f>
        <v>336</v>
      </c>
      <c r="Q205" s="22" t="str">
        <f aca="false">IF(P205&lt;10,"a) &lt;10s",IF(P205&lt;60,"b) 10-60s",IF(P205&lt;600,"c) 1-10min","d) &gt;10min")))</f>
        <v>c) 1-10min</v>
      </c>
      <c r="R205" s="38" t="n">
        <v>1661.54</v>
      </c>
      <c r="S205" s="38" t="n">
        <v>1661.61</v>
      </c>
      <c r="T205" s="22" t="s">
        <v>188</v>
      </c>
      <c r="U205" s="39" t="n">
        <f aca="false">IF(R205="","",IF(F205="BUY",R205-S205,S205-R205))</f>
        <v>0.0699999999999363</v>
      </c>
      <c r="V205" s="39" t="n">
        <f aca="false">IF(F205="BUY",S205-J205,J205-S205)</f>
        <v>-6.86999999999989</v>
      </c>
      <c r="W205" s="6" t="n">
        <v>-41.22</v>
      </c>
      <c r="X205" s="26" t="n">
        <f aca="false">IFERROR(W205/N205,0)</f>
        <v>-1.145</v>
      </c>
      <c r="Y205" s="22" t="str">
        <f aca="false">IF(W205&gt;0,"Win",IF(W205&lt;0,"Loss","Flat"))</f>
        <v>Loss</v>
      </c>
      <c r="Z205" s="24" t="n">
        <f aca="false">Summary!$C$5+SUM(W$2:W205)</f>
        <v>3871.91</v>
      </c>
      <c r="AA205" s="24" t="n">
        <f aca="false">MAX(AA204,Z205)</f>
        <v>5000</v>
      </c>
      <c r="AB205" s="24" t="n">
        <f aca="false">AA205-Z205</f>
        <v>1128.09</v>
      </c>
      <c r="AC205" s="23" t="n">
        <f aca="false">IFERROR(AB205/AA205,0)</f>
        <v>0.225618</v>
      </c>
      <c r="AD205" s="22" t="s">
        <v>442</v>
      </c>
    </row>
    <row r="206" customFormat="false" ht="15" hidden="false" customHeight="false" outlineLevel="0" collapsed="false">
      <c r="A206" s="22" t="n">
        <v>205</v>
      </c>
      <c r="B206" s="22" t="s">
        <v>125</v>
      </c>
      <c r="C206" s="37" t="n">
        <v>44830.1553125</v>
      </c>
      <c r="D206" s="22" t="s">
        <v>202</v>
      </c>
      <c r="E206" s="22" t="n">
        <v>3</v>
      </c>
      <c r="F206" s="22" t="s">
        <v>182</v>
      </c>
      <c r="G206" s="22" t="s">
        <v>237</v>
      </c>
      <c r="H206" s="22" t="n">
        <v>0.06</v>
      </c>
      <c r="I206" s="38" t="n">
        <v>1639.62</v>
      </c>
      <c r="J206" s="38" t="n">
        <v>1639</v>
      </c>
      <c r="K206" s="39" t="n">
        <f aca="false">IF(F206="BUY",J206-I206,I206-J206)</f>
        <v>0.619999999999891</v>
      </c>
      <c r="L206" s="38" t="n">
        <v>1645.62</v>
      </c>
      <c r="M206" s="39" t="n">
        <f aca="false">ABS(I206-L206)</f>
        <v>6</v>
      </c>
      <c r="N206" s="24" t="n">
        <f aca="false">M206*H206*Summary!$C$6</f>
        <v>36</v>
      </c>
      <c r="O206" s="37" t="n">
        <v>44830.1683333333</v>
      </c>
      <c r="P206" s="22" t="n">
        <f aca="false">ROUND((O206-C206)*86400,0)</f>
        <v>1125</v>
      </c>
      <c r="Q206" s="22" t="str">
        <f aca="false">IF(P206&lt;10,"a) &lt;10s",IF(P206&lt;60,"b) 10-60s",IF(P206&lt;600,"c) 1-10min","d) &gt;10min")))</f>
        <v>d) &gt;10min</v>
      </c>
      <c r="R206" s="38" t="n">
        <v>1638.5</v>
      </c>
      <c r="S206" s="38" t="n">
        <v>1638.52</v>
      </c>
      <c r="T206" s="22" t="s">
        <v>189</v>
      </c>
      <c r="U206" s="39" t="n">
        <f aca="false">IF(R206="","",IF(F206="BUY",R206-S206,S206-R206))</f>
        <v>0.0199999999999818</v>
      </c>
      <c r="V206" s="39" t="n">
        <f aca="false">IF(F206="BUY",S206-J206,J206-S206)</f>
        <v>0.480000000000018</v>
      </c>
      <c r="W206" s="6" t="n">
        <v>2.88</v>
      </c>
      <c r="X206" s="26" t="n">
        <f aca="false">IFERROR(W206/N206,0)</f>
        <v>0.08</v>
      </c>
      <c r="Y206" s="22" t="str">
        <f aca="false">IF(W206&gt;0,"Win",IF(W206&lt;0,"Loss","Flat"))</f>
        <v>Win</v>
      </c>
      <c r="Z206" s="24" t="n">
        <f aca="false">Summary!$C$5+SUM(W$2:W206)</f>
        <v>3874.79</v>
      </c>
      <c r="AA206" s="24" t="n">
        <f aca="false">MAX(AA205,Z206)</f>
        <v>5000</v>
      </c>
      <c r="AB206" s="24" t="n">
        <f aca="false">AA206-Z206</f>
        <v>1125.21</v>
      </c>
      <c r="AC206" s="23" t="n">
        <f aca="false">IFERROR(AB206/AA206,0)</f>
        <v>0.225042</v>
      </c>
      <c r="AD206" s="22" t="s">
        <v>443</v>
      </c>
    </row>
    <row r="207" customFormat="false" ht="15" hidden="false" customHeight="false" outlineLevel="0" collapsed="false">
      <c r="A207" s="22" t="n">
        <v>206</v>
      </c>
      <c r="B207" s="22" t="s">
        <v>125</v>
      </c>
      <c r="C207" s="37" t="n">
        <v>44830.3779166667</v>
      </c>
      <c r="D207" s="22" t="s">
        <v>202</v>
      </c>
      <c r="E207" s="22" t="n">
        <v>9</v>
      </c>
      <c r="F207" s="22" t="s">
        <v>181</v>
      </c>
      <c r="G207" s="22" t="s">
        <v>235</v>
      </c>
      <c r="H207" s="22" t="n">
        <v>0.06</v>
      </c>
      <c r="I207" s="38" t="n">
        <v>1640.21</v>
      </c>
      <c r="J207" s="38" t="n">
        <v>1640.27</v>
      </c>
      <c r="K207" s="39" t="n">
        <f aca="false">IF(F207="BUY",J207-I207,I207-J207)</f>
        <v>0.0599999999999454</v>
      </c>
      <c r="L207" s="38" t="n">
        <v>1634.21</v>
      </c>
      <c r="M207" s="39" t="n">
        <f aca="false">ABS(I207-L207)</f>
        <v>6</v>
      </c>
      <c r="N207" s="24" t="n">
        <f aca="false">M207*H207*Summary!$C$6</f>
        <v>36</v>
      </c>
      <c r="O207" s="37" t="n">
        <v>44830.4271990741</v>
      </c>
      <c r="P207" s="22" t="n">
        <f aca="false">ROUND((O207-C207)*86400,0)</f>
        <v>4258</v>
      </c>
      <c r="Q207" s="22" t="str">
        <f aca="false">IF(P207&lt;10,"a) &lt;10s",IF(P207&lt;60,"b) 10-60s",IF(P207&lt;600,"c) 1-10min","d) &gt;10min")))</f>
        <v>d) &gt;10min</v>
      </c>
      <c r="R207" s="38" t="n">
        <v>1640.77</v>
      </c>
      <c r="S207" s="38" t="n">
        <v>1640.76</v>
      </c>
      <c r="T207" s="22" t="s">
        <v>189</v>
      </c>
      <c r="U207" s="39" t="n">
        <f aca="false">IF(R207="","",IF(F207="BUY",R207-S207,S207-R207))</f>
        <v>0.00999999999999091</v>
      </c>
      <c r="V207" s="39" t="n">
        <f aca="false">IF(F207="BUY",S207-J207,J207-S207)</f>
        <v>0.490000000000009</v>
      </c>
      <c r="W207" s="6" t="n">
        <v>2.94</v>
      </c>
      <c r="X207" s="26" t="n">
        <f aca="false">IFERROR(W207/N207,0)</f>
        <v>0.0816666666666667</v>
      </c>
      <c r="Y207" s="22" t="str">
        <f aca="false">IF(W207&gt;0,"Win",IF(W207&lt;0,"Loss","Flat"))</f>
        <v>Win</v>
      </c>
      <c r="Z207" s="24" t="n">
        <f aca="false">Summary!$C$5+SUM(W$2:W207)</f>
        <v>3877.73</v>
      </c>
      <c r="AA207" s="24" t="n">
        <f aca="false">MAX(AA206,Z207)</f>
        <v>5000</v>
      </c>
      <c r="AB207" s="24" t="n">
        <f aca="false">AA207-Z207</f>
        <v>1122.27</v>
      </c>
      <c r="AC207" s="23" t="n">
        <f aca="false">IFERROR(AB207/AA207,0)</f>
        <v>0.224454</v>
      </c>
      <c r="AD207" s="22" t="s">
        <v>444</v>
      </c>
    </row>
    <row r="208" customFormat="false" ht="15" hidden="false" customHeight="false" outlineLevel="0" collapsed="false">
      <c r="A208" s="22" t="n">
        <v>207</v>
      </c>
      <c r="B208" s="22" t="s">
        <v>125</v>
      </c>
      <c r="C208" s="37" t="n">
        <v>44831.7982986111</v>
      </c>
      <c r="D208" s="22" t="s">
        <v>203</v>
      </c>
      <c r="E208" s="22" t="n">
        <v>19</v>
      </c>
      <c r="F208" s="22" t="s">
        <v>182</v>
      </c>
      <c r="G208" s="22" t="s">
        <v>241</v>
      </c>
      <c r="H208" s="22" t="n">
        <v>0.06</v>
      </c>
      <c r="I208" s="38" t="n">
        <v>1630.87</v>
      </c>
      <c r="J208" s="38" t="n">
        <v>1630.87</v>
      </c>
      <c r="K208" s="39" t="n">
        <f aca="false">IF(F208="BUY",J208-I208,I208-J208)</f>
        <v>0</v>
      </c>
      <c r="L208" s="38" t="n">
        <v>1636.87</v>
      </c>
      <c r="M208" s="39" t="n">
        <f aca="false">ABS(I208-L208)</f>
        <v>6</v>
      </c>
      <c r="N208" s="24" t="n">
        <f aca="false">M208*H208*Summary!$C$6</f>
        <v>36</v>
      </c>
      <c r="O208" s="37" t="n">
        <v>44831.8294328704</v>
      </c>
      <c r="P208" s="22" t="n">
        <f aca="false">ROUND((O208-C208)*86400,0)</f>
        <v>2690</v>
      </c>
      <c r="Q208" s="22" t="str">
        <f aca="false">IF(P208&lt;10,"a) &lt;10s",IF(P208&lt;60,"b) 10-60s",IF(P208&lt;600,"c) 1-10min","d) &gt;10min")))</f>
        <v>d) &gt;10min</v>
      </c>
      <c r="R208" s="38" t="n">
        <v>1630.37</v>
      </c>
      <c r="S208" s="38" t="n">
        <v>1630.38</v>
      </c>
      <c r="T208" s="22" t="s">
        <v>189</v>
      </c>
      <c r="U208" s="39" t="n">
        <f aca="false">IF(R208="","",IF(F208="BUY",R208-S208,S208-R208))</f>
        <v>0.0100000000002183</v>
      </c>
      <c r="V208" s="39" t="n">
        <f aca="false">IF(F208="BUY",S208-J208,J208-S208)</f>
        <v>0.489999999999782</v>
      </c>
      <c r="W208" s="6" t="n">
        <v>2.94</v>
      </c>
      <c r="X208" s="26" t="n">
        <f aca="false">IFERROR(W208/N208,0)</f>
        <v>0.0816666666666667</v>
      </c>
      <c r="Y208" s="22" t="str">
        <f aca="false">IF(W208&gt;0,"Win",IF(W208&lt;0,"Loss","Flat"))</f>
        <v>Win</v>
      </c>
      <c r="Z208" s="24" t="n">
        <f aca="false">Summary!$C$5+SUM(W$2:W208)</f>
        <v>3880.67</v>
      </c>
      <c r="AA208" s="24" t="n">
        <f aca="false">MAX(AA207,Z208)</f>
        <v>5000</v>
      </c>
      <c r="AB208" s="24" t="n">
        <f aca="false">AA208-Z208</f>
        <v>1119.33</v>
      </c>
      <c r="AC208" s="23" t="n">
        <f aca="false">IFERROR(AB208/AA208,0)</f>
        <v>0.223866</v>
      </c>
      <c r="AD208" s="22" t="s">
        <v>445</v>
      </c>
    </row>
    <row r="209" customFormat="false" ht="15" hidden="false" customHeight="false" outlineLevel="0" collapsed="false">
      <c r="A209" s="22" t="n">
        <v>208</v>
      </c>
      <c r="B209" s="22" t="s">
        <v>125</v>
      </c>
      <c r="C209" s="37" t="n">
        <v>44832.3797800926</v>
      </c>
      <c r="D209" s="22" t="s">
        <v>204</v>
      </c>
      <c r="E209" s="22" t="n">
        <v>9</v>
      </c>
      <c r="F209" s="22" t="s">
        <v>182</v>
      </c>
      <c r="G209" s="22" t="s">
        <v>241</v>
      </c>
      <c r="H209" s="22" t="n">
        <v>0.06</v>
      </c>
      <c r="I209" s="38" t="n">
        <v>1622.56</v>
      </c>
      <c r="J209" s="38" t="n">
        <v>1622.53</v>
      </c>
      <c r="K209" s="39" t="n">
        <f aca="false">IF(F209="BUY",J209-I209,I209-J209)</f>
        <v>0.0299999999999727</v>
      </c>
      <c r="L209" s="38" t="n">
        <v>1628.56</v>
      </c>
      <c r="M209" s="39" t="n">
        <f aca="false">ABS(I209-L209)</f>
        <v>6</v>
      </c>
      <c r="N209" s="24" t="n">
        <f aca="false">M209*H209*Summary!$C$6</f>
        <v>36</v>
      </c>
      <c r="O209" s="37" t="n">
        <v>44832.388900463</v>
      </c>
      <c r="P209" s="22" t="n">
        <f aca="false">ROUND((O209-C209)*86400,0)</f>
        <v>788</v>
      </c>
      <c r="Q209" s="22" t="str">
        <f aca="false">IF(P209&lt;10,"a) &lt;10s",IF(P209&lt;60,"b) 10-60s",IF(P209&lt;600,"c) 1-10min","d) &gt;10min")))</f>
        <v>d) &gt;10min</v>
      </c>
      <c r="R209" s="38" t="n">
        <v>1622.03</v>
      </c>
      <c r="S209" s="38" t="n">
        <v>1622.03</v>
      </c>
      <c r="T209" s="22" t="s">
        <v>189</v>
      </c>
      <c r="U209" s="39" t="n">
        <f aca="false">IF(R209="","",IF(F209="BUY",R209-S209,S209-R209))</f>
        <v>0</v>
      </c>
      <c r="V209" s="39" t="n">
        <f aca="false">IF(F209="BUY",S209-J209,J209-S209)</f>
        <v>0.5</v>
      </c>
      <c r="W209" s="6" t="n">
        <v>3</v>
      </c>
      <c r="X209" s="26" t="n">
        <f aca="false">IFERROR(W209/N209,0)</f>
        <v>0.0833333333333333</v>
      </c>
      <c r="Y209" s="22" t="str">
        <f aca="false">IF(W209&gt;0,"Win",IF(W209&lt;0,"Loss","Flat"))</f>
        <v>Win</v>
      </c>
      <c r="Z209" s="24" t="n">
        <f aca="false">Summary!$C$5+SUM(W$2:W209)</f>
        <v>3883.67</v>
      </c>
      <c r="AA209" s="24" t="n">
        <f aca="false">MAX(AA208,Z209)</f>
        <v>5000</v>
      </c>
      <c r="AB209" s="24" t="n">
        <f aca="false">AA209-Z209</f>
        <v>1116.33</v>
      </c>
      <c r="AC209" s="23" t="n">
        <f aca="false">IFERROR(AB209/AA209,0)</f>
        <v>0.223266</v>
      </c>
      <c r="AD209" s="22" t="s">
        <v>446</v>
      </c>
    </row>
    <row r="210" customFormat="false" ht="15" hidden="false" customHeight="false" outlineLevel="0" collapsed="false">
      <c r="A210" s="22" t="n">
        <v>209</v>
      </c>
      <c r="B210" s="22" t="s">
        <v>125</v>
      </c>
      <c r="C210" s="37" t="n">
        <v>44832.6844328704</v>
      </c>
      <c r="D210" s="22" t="s">
        <v>204</v>
      </c>
      <c r="E210" s="22" t="n">
        <v>16</v>
      </c>
      <c r="F210" s="22" t="s">
        <v>181</v>
      </c>
      <c r="G210" s="22" t="s">
        <v>243</v>
      </c>
      <c r="H210" s="22" t="n">
        <v>0.06</v>
      </c>
      <c r="I210" s="38" t="n">
        <v>1642.34</v>
      </c>
      <c r="J210" s="38" t="n">
        <v>1642.36</v>
      </c>
      <c r="K210" s="39" t="n">
        <f aca="false">IF(F210="BUY",J210-I210,I210-J210)</f>
        <v>0.0199999999999818</v>
      </c>
      <c r="L210" s="38" t="n">
        <v>1636.34</v>
      </c>
      <c r="M210" s="39" t="n">
        <f aca="false">ABS(I210-L210)</f>
        <v>6</v>
      </c>
      <c r="N210" s="24" t="n">
        <f aca="false">M210*H210*Summary!$C$6</f>
        <v>36</v>
      </c>
      <c r="O210" s="37" t="n">
        <v>44832.6946180556</v>
      </c>
      <c r="P210" s="22" t="n">
        <f aca="false">ROUND((O210-C210)*86400,0)</f>
        <v>880</v>
      </c>
      <c r="Q210" s="22" t="str">
        <f aca="false">IF(P210&lt;10,"a) &lt;10s",IF(P210&lt;60,"b) 10-60s",IF(P210&lt;600,"c) 1-10min","d) &gt;10min")))</f>
        <v>d) &gt;10min</v>
      </c>
      <c r="R210" s="38" t="n">
        <v>1642.86</v>
      </c>
      <c r="S210" s="38" t="n">
        <v>1642.84</v>
      </c>
      <c r="T210" s="22" t="s">
        <v>189</v>
      </c>
      <c r="U210" s="39" t="n">
        <f aca="false">IF(R210="","",IF(F210="BUY",R210-S210,S210-R210))</f>
        <v>0.0199999999999818</v>
      </c>
      <c r="V210" s="39" t="n">
        <f aca="false">IF(F210="BUY",S210-J210,J210-S210)</f>
        <v>0.480000000000018</v>
      </c>
      <c r="W210" s="6" t="n">
        <v>2.88</v>
      </c>
      <c r="X210" s="26" t="n">
        <f aca="false">IFERROR(W210/N210,0)</f>
        <v>0.08</v>
      </c>
      <c r="Y210" s="22" t="str">
        <f aca="false">IF(W210&gt;0,"Win",IF(W210&lt;0,"Loss","Flat"))</f>
        <v>Win</v>
      </c>
      <c r="Z210" s="24" t="n">
        <f aca="false">Summary!$C$5+SUM(W$2:W210)</f>
        <v>3886.55</v>
      </c>
      <c r="AA210" s="24" t="n">
        <f aca="false">MAX(AA209,Z210)</f>
        <v>5000</v>
      </c>
      <c r="AB210" s="24" t="n">
        <f aca="false">AA210-Z210</f>
        <v>1113.45</v>
      </c>
      <c r="AC210" s="23" t="n">
        <f aca="false">IFERROR(AB210/AA210,0)</f>
        <v>0.22269</v>
      </c>
      <c r="AD210" s="22" t="s">
        <v>447</v>
      </c>
    </row>
    <row r="211" customFormat="false" ht="15" hidden="false" customHeight="false" outlineLevel="0" collapsed="false">
      <c r="A211" s="22" t="n">
        <v>210</v>
      </c>
      <c r="B211" s="22" t="s">
        <v>125</v>
      </c>
      <c r="C211" s="37" t="n">
        <v>44833.3858912037</v>
      </c>
      <c r="D211" s="22" t="s">
        <v>205</v>
      </c>
      <c r="E211" s="22" t="n">
        <v>9</v>
      </c>
      <c r="F211" s="22" t="s">
        <v>182</v>
      </c>
      <c r="G211" s="22" t="s">
        <v>241</v>
      </c>
      <c r="H211" s="22" t="n">
        <v>0.06</v>
      </c>
      <c r="I211" s="38" t="n">
        <v>1642.78</v>
      </c>
      <c r="J211" s="38" t="n">
        <v>1642.77</v>
      </c>
      <c r="K211" s="39" t="n">
        <f aca="false">IF(F211="BUY",J211-I211,I211-J211)</f>
        <v>0.00999999999999091</v>
      </c>
      <c r="L211" s="38" t="n">
        <v>1648.78</v>
      </c>
      <c r="M211" s="39" t="n">
        <f aca="false">ABS(I211-L211)</f>
        <v>6</v>
      </c>
      <c r="N211" s="24" t="n">
        <f aca="false">M211*H211*Summary!$C$6</f>
        <v>36</v>
      </c>
      <c r="O211" s="37" t="n">
        <v>44833.5198958333</v>
      </c>
      <c r="P211" s="22" t="n">
        <f aca="false">ROUND((O211-C211)*86400,0)</f>
        <v>11578</v>
      </c>
      <c r="Q211" s="22" t="str">
        <f aca="false">IF(P211&lt;10,"a) &lt;10s",IF(P211&lt;60,"b) 10-60s",IF(P211&lt;600,"c) 1-10min","d) &gt;10min")))</f>
        <v>d) &gt;10min</v>
      </c>
      <c r="R211" s="38" t="n">
        <v>1648.78</v>
      </c>
      <c r="S211" s="38" t="n">
        <v>1648.8</v>
      </c>
      <c r="T211" s="22" t="s">
        <v>188</v>
      </c>
      <c r="U211" s="39" t="n">
        <f aca="false">IF(R211="","",IF(F211="BUY",R211-S211,S211-R211))</f>
        <v>0.0199999999999818</v>
      </c>
      <c r="V211" s="39" t="n">
        <f aca="false">IF(F211="BUY",S211-J211,J211-S211)</f>
        <v>-6.02999999999997</v>
      </c>
      <c r="W211" s="6" t="n">
        <v>-36.18</v>
      </c>
      <c r="X211" s="26" t="n">
        <f aca="false">IFERROR(W211/N211,0)</f>
        <v>-1.005</v>
      </c>
      <c r="Y211" s="22" t="str">
        <f aca="false">IF(W211&gt;0,"Win",IF(W211&lt;0,"Loss","Flat"))</f>
        <v>Loss</v>
      </c>
      <c r="Z211" s="24" t="n">
        <f aca="false">Summary!$C$5+SUM(W$2:W211)</f>
        <v>3850.37</v>
      </c>
      <c r="AA211" s="24" t="n">
        <f aca="false">MAX(AA210,Z211)</f>
        <v>5000</v>
      </c>
      <c r="AB211" s="24" t="n">
        <f aca="false">AA211-Z211</f>
        <v>1149.63</v>
      </c>
      <c r="AC211" s="23" t="n">
        <f aca="false">IFERROR(AB211/AA211,0)</f>
        <v>0.229926</v>
      </c>
      <c r="AD211" s="22" t="s">
        <v>448</v>
      </c>
    </row>
    <row r="212" customFormat="false" ht="15" hidden="false" customHeight="false" outlineLevel="0" collapsed="false">
      <c r="A212" s="22" t="n">
        <v>211</v>
      </c>
      <c r="B212" s="22" t="s">
        <v>125</v>
      </c>
      <c r="C212" s="37" t="n">
        <v>44833.7969444445</v>
      </c>
      <c r="D212" s="22" t="s">
        <v>205</v>
      </c>
      <c r="E212" s="22" t="n">
        <v>19</v>
      </c>
      <c r="F212" s="22" t="s">
        <v>181</v>
      </c>
      <c r="G212" s="22" t="s">
        <v>243</v>
      </c>
      <c r="H212" s="22" t="n">
        <v>0.06</v>
      </c>
      <c r="I212" s="38" t="n">
        <v>1662.65</v>
      </c>
      <c r="J212" s="38" t="n">
        <v>1662.65</v>
      </c>
      <c r="K212" s="39" t="n">
        <f aca="false">IF(F212="BUY",J212-I212,I212-J212)</f>
        <v>0</v>
      </c>
      <c r="L212" s="38" t="n">
        <v>1656.65</v>
      </c>
      <c r="M212" s="39" t="n">
        <f aca="false">ABS(I212-L212)</f>
        <v>6</v>
      </c>
      <c r="N212" s="24" t="n">
        <f aca="false">M212*H212*Summary!$C$6</f>
        <v>36</v>
      </c>
      <c r="O212" s="37" t="n">
        <v>44833.8040509259</v>
      </c>
      <c r="P212" s="22" t="n">
        <f aca="false">ROUND((O212-C212)*86400,0)</f>
        <v>614</v>
      </c>
      <c r="Q212" s="22" t="str">
        <f aca="false">IF(P212&lt;10,"a) &lt;10s",IF(P212&lt;60,"b) 10-60s",IF(P212&lt;600,"c) 1-10min","d) &gt;10min")))</f>
        <v>d) &gt;10min</v>
      </c>
      <c r="R212" s="38" t="n">
        <v>1663.15</v>
      </c>
      <c r="S212" s="38" t="n">
        <v>1663.12</v>
      </c>
      <c r="T212" s="22" t="s">
        <v>189</v>
      </c>
      <c r="U212" s="39" t="n">
        <f aca="false">IF(R212="","",IF(F212="BUY",R212-S212,S212-R212))</f>
        <v>0.0300000000002001</v>
      </c>
      <c r="V212" s="39" t="n">
        <f aca="false">IF(F212="BUY",S212-J212,J212-S212)</f>
        <v>0.4699999999998</v>
      </c>
      <c r="W212" s="6" t="n">
        <v>2.82</v>
      </c>
      <c r="X212" s="26" t="n">
        <f aca="false">IFERROR(W212/N212,0)</f>
        <v>0.0783333333333333</v>
      </c>
      <c r="Y212" s="22" t="str">
        <f aca="false">IF(W212&gt;0,"Win",IF(W212&lt;0,"Loss","Flat"))</f>
        <v>Win</v>
      </c>
      <c r="Z212" s="24" t="n">
        <f aca="false">Summary!$C$5+SUM(W$2:W212)</f>
        <v>3853.19</v>
      </c>
      <c r="AA212" s="24" t="n">
        <f aca="false">MAX(AA211,Z212)</f>
        <v>5000</v>
      </c>
      <c r="AB212" s="24" t="n">
        <f aca="false">AA212-Z212</f>
        <v>1146.81</v>
      </c>
      <c r="AC212" s="23" t="n">
        <f aca="false">IFERROR(AB212/AA212,0)</f>
        <v>0.229362</v>
      </c>
      <c r="AD212" s="22" t="s">
        <v>449</v>
      </c>
    </row>
    <row r="213" customFormat="false" ht="15" hidden="false" customHeight="false" outlineLevel="0" collapsed="false">
      <c r="A213" s="22" t="n">
        <v>212</v>
      </c>
      <c r="B213" s="22" t="s">
        <v>125</v>
      </c>
      <c r="C213" s="37" t="n">
        <v>44834.1189583333</v>
      </c>
      <c r="D213" s="22" t="s">
        <v>206</v>
      </c>
      <c r="E213" s="22" t="n">
        <v>2</v>
      </c>
      <c r="F213" s="22" t="s">
        <v>181</v>
      </c>
      <c r="G213" s="22" t="s">
        <v>243</v>
      </c>
      <c r="H213" s="22" t="n">
        <v>0.06</v>
      </c>
      <c r="I213" s="38" t="n">
        <v>1664.75</v>
      </c>
      <c r="J213" s="38" t="n">
        <v>1664.75</v>
      </c>
      <c r="K213" s="39" t="n">
        <f aca="false">IF(F213="BUY",J213-I213,I213-J213)</f>
        <v>0</v>
      </c>
      <c r="L213" s="38" t="n">
        <v>1658.75</v>
      </c>
      <c r="M213" s="39" t="n">
        <f aca="false">ABS(I213-L213)</f>
        <v>6</v>
      </c>
      <c r="N213" s="24" t="n">
        <f aca="false">M213*H213*Summary!$C$6</f>
        <v>36</v>
      </c>
      <c r="O213" s="37" t="n">
        <v>44834.3883101852</v>
      </c>
      <c r="P213" s="22" t="n">
        <f aca="false">ROUND((O213-C213)*86400,0)</f>
        <v>23272</v>
      </c>
      <c r="Q213" s="22" t="str">
        <f aca="false">IF(P213&lt;10,"a) &lt;10s",IF(P213&lt;60,"b) 10-60s",IF(P213&lt;600,"c) 1-10min","d) &gt;10min")))</f>
        <v>d) &gt;10min</v>
      </c>
      <c r="R213" s="38" t="n">
        <v>1665.25</v>
      </c>
      <c r="S213" s="38" t="n">
        <v>1665.22</v>
      </c>
      <c r="T213" s="22" t="s">
        <v>189</v>
      </c>
      <c r="U213" s="39" t="n">
        <f aca="false">IF(R213="","",IF(F213="BUY",R213-S213,S213-R213))</f>
        <v>0.0299999999999727</v>
      </c>
      <c r="V213" s="39" t="n">
        <f aca="false">IF(F213="BUY",S213-J213,J213-S213)</f>
        <v>0.470000000000027</v>
      </c>
      <c r="W213" s="6" t="n">
        <v>2.82</v>
      </c>
      <c r="X213" s="26" t="n">
        <f aca="false">IFERROR(W213/N213,0)</f>
        <v>0.0783333333333333</v>
      </c>
      <c r="Y213" s="22" t="str">
        <f aca="false">IF(W213&gt;0,"Win",IF(W213&lt;0,"Loss","Flat"))</f>
        <v>Win</v>
      </c>
      <c r="Z213" s="24" t="n">
        <f aca="false">Summary!$C$5+SUM(W$2:W213)</f>
        <v>3856.01</v>
      </c>
      <c r="AA213" s="24" t="n">
        <f aca="false">MAX(AA212,Z213)</f>
        <v>5000</v>
      </c>
      <c r="AB213" s="24" t="n">
        <f aca="false">AA213-Z213</f>
        <v>1143.99</v>
      </c>
      <c r="AC213" s="23" t="n">
        <f aca="false">IFERROR(AB213/AA213,0)</f>
        <v>0.228798</v>
      </c>
      <c r="AD213" s="22" t="s">
        <v>450</v>
      </c>
    </row>
    <row r="214" customFormat="false" ht="15" hidden="false" customHeight="false" outlineLevel="0" collapsed="false">
      <c r="A214" s="22" t="n">
        <v>213</v>
      </c>
      <c r="B214" s="22" t="s">
        <v>125</v>
      </c>
      <c r="C214" s="37" t="n">
        <v>44834.8654166667</v>
      </c>
      <c r="D214" s="22" t="s">
        <v>206</v>
      </c>
      <c r="E214" s="22" t="n">
        <v>20</v>
      </c>
      <c r="F214" s="22" t="s">
        <v>182</v>
      </c>
      <c r="G214" s="22" t="s">
        <v>241</v>
      </c>
      <c r="H214" s="22" t="n">
        <v>0.06</v>
      </c>
      <c r="I214" s="38" t="n">
        <v>1661.09</v>
      </c>
      <c r="J214" s="38" t="n">
        <v>1661.07</v>
      </c>
      <c r="K214" s="39" t="n">
        <f aca="false">IF(F214="BUY",J214-I214,I214-J214)</f>
        <v>0.0199999999999818</v>
      </c>
      <c r="L214" s="38" t="n">
        <v>1667.09</v>
      </c>
      <c r="M214" s="39" t="n">
        <f aca="false">ABS(I214-L214)</f>
        <v>6</v>
      </c>
      <c r="N214" s="24" t="n">
        <f aca="false">M214*H214*Summary!$C$6</f>
        <v>36</v>
      </c>
      <c r="O214" s="37" t="n">
        <v>44834.9270833333</v>
      </c>
      <c r="P214" s="22" t="n">
        <f aca="false">ROUND((O214-C214)*86400,0)</f>
        <v>5328</v>
      </c>
      <c r="Q214" s="22" t="str">
        <f aca="false">IF(P214&lt;10,"a) &lt;10s",IF(P214&lt;60,"b) 10-60s",IF(P214&lt;600,"c) 1-10min","d) &gt;10min")))</f>
        <v>d) &gt;10min</v>
      </c>
      <c r="R214" s="38"/>
      <c r="S214" s="38" t="n">
        <v>1662.07</v>
      </c>
      <c r="T214" s="22" t="s">
        <v>191</v>
      </c>
      <c r="U214" s="39" t="str">
        <f aca="false">IF(R214="","",IF(F214="BUY",R214-S214,S214-R214))</f>
        <v/>
      </c>
      <c r="V214" s="39" t="n">
        <f aca="false">IF(F214="BUY",S214-J214,J214-S214)</f>
        <v>-1</v>
      </c>
      <c r="W214" s="6" t="n">
        <v>-6</v>
      </c>
      <c r="X214" s="26" t="n">
        <f aca="false">IFERROR(W214/N214,0)</f>
        <v>-0.166666666666667</v>
      </c>
      <c r="Y214" s="22" t="str">
        <f aca="false">IF(W214&gt;0,"Win",IF(W214&lt;0,"Loss","Flat"))</f>
        <v>Loss</v>
      </c>
      <c r="Z214" s="24" t="n">
        <f aca="false">Summary!$C$5+SUM(W$2:W214)</f>
        <v>3850.01</v>
      </c>
      <c r="AA214" s="24" t="n">
        <f aca="false">MAX(AA213,Z214)</f>
        <v>5000</v>
      </c>
      <c r="AB214" s="24" t="n">
        <f aca="false">AA214-Z214</f>
        <v>1149.99</v>
      </c>
      <c r="AC214" s="23" t="n">
        <f aca="false">IFERROR(AB214/AA214,0)</f>
        <v>0.229998</v>
      </c>
      <c r="AD214" s="22" t="s">
        <v>451</v>
      </c>
    </row>
    <row r="215" customFormat="false" ht="15" hidden="false" customHeight="false" outlineLevel="0" collapsed="false">
      <c r="A215" s="22" t="n">
        <v>214</v>
      </c>
      <c r="B215" s="22" t="s">
        <v>126</v>
      </c>
      <c r="C215" s="37" t="n">
        <v>44837.375</v>
      </c>
      <c r="D215" s="22" t="s">
        <v>202</v>
      </c>
      <c r="E215" s="22" t="n">
        <v>9</v>
      </c>
      <c r="F215" s="22" t="s">
        <v>181</v>
      </c>
      <c r="G215" s="22" t="s">
        <v>235</v>
      </c>
      <c r="H215" s="22" t="n">
        <v>0.06</v>
      </c>
      <c r="I215" s="38" t="n">
        <v>1667.41</v>
      </c>
      <c r="J215" s="38" t="n">
        <v>1667.46</v>
      </c>
      <c r="K215" s="39" t="n">
        <f aca="false">IF(F215="BUY",J215-I215,I215-J215)</f>
        <v>0.0499999999999545</v>
      </c>
      <c r="L215" s="38" t="n">
        <v>1661.41</v>
      </c>
      <c r="M215" s="39" t="n">
        <f aca="false">ABS(I215-L215)</f>
        <v>6</v>
      </c>
      <c r="N215" s="24" t="n">
        <f aca="false">M215*H215*Summary!$C$6</f>
        <v>36</v>
      </c>
      <c r="O215" s="37" t="n">
        <v>44837.4611111111</v>
      </c>
      <c r="P215" s="22" t="n">
        <f aca="false">ROUND((O215-C215)*86400,0)</f>
        <v>7440</v>
      </c>
      <c r="Q215" s="22" t="str">
        <f aca="false">IF(P215&lt;10,"a) &lt;10s",IF(P215&lt;60,"b) 10-60s",IF(P215&lt;600,"c) 1-10min","d) &gt;10min")))</f>
        <v>d) &gt;10min</v>
      </c>
      <c r="R215" s="38" t="n">
        <v>1661.41</v>
      </c>
      <c r="S215" s="38" t="n">
        <v>1661.36</v>
      </c>
      <c r="T215" s="22" t="s">
        <v>188</v>
      </c>
      <c r="U215" s="39" t="n">
        <f aca="false">IF(R215="","",IF(F215="BUY",R215-S215,S215-R215))</f>
        <v>0.0500000000001819</v>
      </c>
      <c r="V215" s="39" t="n">
        <f aca="false">IF(F215="BUY",S215-J215,J215-S215)</f>
        <v>-6.10000000000014</v>
      </c>
      <c r="W215" s="6" t="n">
        <v>-36.6</v>
      </c>
      <c r="X215" s="26" t="n">
        <f aca="false">IFERROR(W215/N215,0)</f>
        <v>-1.01666666666667</v>
      </c>
      <c r="Y215" s="22" t="str">
        <f aca="false">IF(W215&gt;0,"Win",IF(W215&lt;0,"Loss","Flat"))</f>
        <v>Loss</v>
      </c>
      <c r="Z215" s="24" t="n">
        <f aca="false">Summary!$C$5+SUM(W$2:W215)</f>
        <v>3813.41</v>
      </c>
      <c r="AA215" s="24" t="n">
        <f aca="false">MAX(AA214,Z215)</f>
        <v>5000</v>
      </c>
      <c r="AB215" s="24" t="n">
        <f aca="false">AA215-Z215</f>
        <v>1186.59</v>
      </c>
      <c r="AC215" s="23" t="n">
        <f aca="false">IFERROR(AB215/AA215,0)</f>
        <v>0.237318</v>
      </c>
      <c r="AD215" s="22" t="s">
        <v>452</v>
      </c>
    </row>
    <row r="216" customFormat="false" ht="15" hidden="false" customHeight="false" outlineLevel="0" collapsed="false">
      <c r="A216" s="22" t="n">
        <v>215</v>
      </c>
      <c r="B216" s="22" t="s">
        <v>126</v>
      </c>
      <c r="C216" s="37" t="n">
        <v>44837.712650463</v>
      </c>
      <c r="D216" s="22" t="s">
        <v>202</v>
      </c>
      <c r="E216" s="22" t="n">
        <v>17</v>
      </c>
      <c r="F216" s="22" t="s">
        <v>181</v>
      </c>
      <c r="G216" s="22" t="s">
        <v>243</v>
      </c>
      <c r="H216" s="22" t="n">
        <v>0.06</v>
      </c>
      <c r="I216" s="38" t="n">
        <v>1675.27</v>
      </c>
      <c r="J216" s="38" t="n">
        <v>1675.27</v>
      </c>
      <c r="K216" s="39" t="n">
        <f aca="false">IF(F216="BUY",J216-I216,I216-J216)</f>
        <v>0</v>
      </c>
      <c r="L216" s="38" t="n">
        <v>1669.27</v>
      </c>
      <c r="M216" s="39" t="n">
        <f aca="false">ABS(I216-L216)</f>
        <v>6</v>
      </c>
      <c r="N216" s="24" t="n">
        <f aca="false">M216*H216*Summary!$C$6</f>
        <v>36</v>
      </c>
      <c r="O216" s="37" t="n">
        <v>44837.9270833333</v>
      </c>
      <c r="P216" s="22" t="n">
        <f aca="false">ROUND((O216-C216)*86400,0)</f>
        <v>18527</v>
      </c>
      <c r="Q216" s="22" t="str">
        <f aca="false">IF(P216&lt;10,"a) &lt;10s",IF(P216&lt;60,"b) 10-60s",IF(P216&lt;600,"c) 1-10min","d) &gt;10min")))</f>
        <v>d) &gt;10min</v>
      </c>
      <c r="R216" s="38"/>
      <c r="S216" s="38" t="n">
        <v>1696.32</v>
      </c>
      <c r="T216" s="22" t="s">
        <v>191</v>
      </c>
      <c r="U216" s="39" t="str">
        <f aca="false">IF(R216="","",IF(F216="BUY",R216-S216,S216-R216))</f>
        <v/>
      </c>
      <c r="V216" s="39" t="n">
        <f aca="false">IF(F216="BUY",S216-J216,J216-S216)</f>
        <v>21.05</v>
      </c>
      <c r="W216" s="6" t="n">
        <v>126.3</v>
      </c>
      <c r="X216" s="26" t="n">
        <f aca="false">IFERROR(W216/N216,0)</f>
        <v>3.50833333333333</v>
      </c>
      <c r="Y216" s="22" t="str">
        <f aca="false">IF(W216&gt;0,"Win",IF(W216&lt;0,"Loss","Flat"))</f>
        <v>Win</v>
      </c>
      <c r="Z216" s="24" t="n">
        <f aca="false">Summary!$C$5+SUM(W$2:W216)</f>
        <v>3939.71</v>
      </c>
      <c r="AA216" s="24" t="n">
        <f aca="false">MAX(AA215,Z216)</f>
        <v>5000</v>
      </c>
      <c r="AB216" s="24" t="n">
        <f aca="false">AA216-Z216</f>
        <v>1060.29</v>
      </c>
      <c r="AC216" s="23" t="n">
        <f aca="false">IFERROR(AB216/AA216,0)</f>
        <v>0.212058</v>
      </c>
      <c r="AD216" s="22" t="s">
        <v>453</v>
      </c>
    </row>
    <row r="217" customFormat="false" ht="15" hidden="false" customHeight="false" outlineLevel="0" collapsed="false">
      <c r="A217" s="22" t="n">
        <v>216</v>
      </c>
      <c r="B217" s="22" t="s">
        <v>126</v>
      </c>
      <c r="C217" s="37" t="n">
        <v>44838.0714467593</v>
      </c>
      <c r="D217" s="22" t="s">
        <v>203</v>
      </c>
      <c r="E217" s="22" t="n">
        <v>1</v>
      </c>
      <c r="F217" s="22" t="s">
        <v>181</v>
      </c>
      <c r="G217" s="22" t="s">
        <v>243</v>
      </c>
      <c r="H217" s="22" t="n">
        <v>0.06</v>
      </c>
      <c r="I217" s="38" t="n">
        <v>1701.39</v>
      </c>
      <c r="J217" s="38" t="n">
        <v>1701.42</v>
      </c>
      <c r="K217" s="39" t="n">
        <f aca="false">IF(F217="BUY",J217-I217,I217-J217)</f>
        <v>0.0299999999999727</v>
      </c>
      <c r="L217" s="38" t="n">
        <v>1695.39</v>
      </c>
      <c r="M217" s="39" t="n">
        <f aca="false">ABS(I217-L217)</f>
        <v>6</v>
      </c>
      <c r="N217" s="24" t="n">
        <f aca="false">M217*H217*Summary!$C$6</f>
        <v>36</v>
      </c>
      <c r="O217" s="37" t="n">
        <v>44838.2073611111</v>
      </c>
      <c r="P217" s="22" t="n">
        <f aca="false">ROUND((O217-C217)*86400,0)</f>
        <v>11743</v>
      </c>
      <c r="Q217" s="22" t="str">
        <f aca="false">IF(P217&lt;10,"a) &lt;10s",IF(P217&lt;60,"b) 10-60s",IF(P217&lt;600,"c) 1-10min","d) &gt;10min")))</f>
        <v>d) &gt;10min</v>
      </c>
      <c r="R217" s="38" t="n">
        <v>1695.39</v>
      </c>
      <c r="S217" s="38" t="n">
        <v>1695.39</v>
      </c>
      <c r="T217" s="22" t="s">
        <v>188</v>
      </c>
      <c r="U217" s="39" t="n">
        <f aca="false">IF(R217="","",IF(F217="BUY",R217-S217,S217-R217))</f>
        <v>0</v>
      </c>
      <c r="V217" s="39" t="n">
        <f aca="false">IF(F217="BUY",S217-J217,J217-S217)</f>
        <v>-6.02999999999997</v>
      </c>
      <c r="W217" s="6" t="n">
        <v>-36.18</v>
      </c>
      <c r="X217" s="26" t="n">
        <f aca="false">IFERROR(W217/N217,0)</f>
        <v>-1.005</v>
      </c>
      <c r="Y217" s="22" t="str">
        <f aca="false">IF(W217&gt;0,"Win",IF(W217&lt;0,"Loss","Flat"))</f>
        <v>Loss</v>
      </c>
      <c r="Z217" s="24" t="n">
        <f aca="false">Summary!$C$5+SUM(W$2:W217)</f>
        <v>3903.53</v>
      </c>
      <c r="AA217" s="24" t="n">
        <f aca="false">MAX(AA216,Z217)</f>
        <v>5000</v>
      </c>
      <c r="AB217" s="24" t="n">
        <f aca="false">AA217-Z217</f>
        <v>1096.47</v>
      </c>
      <c r="AC217" s="23" t="n">
        <f aca="false">IFERROR(AB217/AA217,0)</f>
        <v>0.219294</v>
      </c>
      <c r="AD217" s="22" t="s">
        <v>454</v>
      </c>
    </row>
    <row r="218" customFormat="false" ht="15" hidden="false" customHeight="false" outlineLevel="0" collapsed="false">
      <c r="A218" s="22" t="n">
        <v>217</v>
      </c>
      <c r="B218" s="22" t="s">
        <v>126</v>
      </c>
      <c r="C218" s="37" t="n">
        <v>44838.379375</v>
      </c>
      <c r="D218" s="22" t="s">
        <v>203</v>
      </c>
      <c r="E218" s="22" t="n">
        <v>9</v>
      </c>
      <c r="F218" s="22" t="s">
        <v>181</v>
      </c>
      <c r="G218" s="22" t="s">
        <v>235</v>
      </c>
      <c r="H218" s="22" t="n">
        <v>0.06</v>
      </c>
      <c r="I218" s="38" t="n">
        <v>1704.01</v>
      </c>
      <c r="J218" s="38" t="n">
        <v>1704.01</v>
      </c>
      <c r="K218" s="39" t="n">
        <f aca="false">IF(F218="BUY",J218-I218,I218-J218)</f>
        <v>0</v>
      </c>
      <c r="L218" s="38" t="n">
        <v>1698.01</v>
      </c>
      <c r="M218" s="39" t="n">
        <f aca="false">ABS(I218-L218)</f>
        <v>6</v>
      </c>
      <c r="N218" s="24" t="n">
        <f aca="false">M218*H218*Summary!$C$6</f>
        <v>36</v>
      </c>
      <c r="O218" s="37" t="n">
        <v>44838.5845833333</v>
      </c>
      <c r="P218" s="22" t="n">
        <f aca="false">ROUND((O218-C218)*86400,0)</f>
        <v>17730</v>
      </c>
      <c r="Q218" s="22" t="str">
        <f aca="false">IF(P218&lt;10,"a) &lt;10s",IF(P218&lt;60,"b) 10-60s",IF(P218&lt;600,"c) 1-10min","d) &gt;10min")))</f>
        <v>d) &gt;10min</v>
      </c>
      <c r="R218" s="38" t="n">
        <v>1704.51</v>
      </c>
      <c r="S218" s="38" t="n">
        <v>1704.46</v>
      </c>
      <c r="T218" s="22" t="s">
        <v>189</v>
      </c>
      <c r="U218" s="39" t="n">
        <f aca="false">IF(R218="","",IF(F218="BUY",R218-S218,S218-R218))</f>
        <v>0.0499999999999545</v>
      </c>
      <c r="V218" s="39" t="n">
        <f aca="false">IF(F218="BUY",S218-J218,J218-S218)</f>
        <v>0.450000000000046</v>
      </c>
      <c r="W218" s="6" t="n">
        <v>2.7</v>
      </c>
      <c r="X218" s="26" t="n">
        <f aca="false">IFERROR(W218/N218,0)</f>
        <v>0.075</v>
      </c>
      <c r="Y218" s="22" t="str">
        <f aca="false">IF(W218&gt;0,"Win",IF(W218&lt;0,"Loss","Flat"))</f>
        <v>Win</v>
      </c>
      <c r="Z218" s="24" t="n">
        <f aca="false">Summary!$C$5+SUM(W$2:W218)</f>
        <v>3906.23</v>
      </c>
      <c r="AA218" s="24" t="n">
        <f aca="false">MAX(AA217,Z218)</f>
        <v>5000</v>
      </c>
      <c r="AB218" s="24" t="n">
        <f aca="false">AA218-Z218</f>
        <v>1093.77</v>
      </c>
      <c r="AC218" s="23" t="n">
        <f aca="false">IFERROR(AB218/AA218,0)</f>
        <v>0.218754</v>
      </c>
      <c r="AD218" s="22" t="s">
        <v>455</v>
      </c>
    </row>
    <row r="219" customFormat="false" ht="15" hidden="false" customHeight="false" outlineLevel="0" collapsed="false">
      <c r="A219" s="22" t="n">
        <v>218</v>
      </c>
      <c r="B219" s="22" t="s">
        <v>126</v>
      </c>
      <c r="C219" s="37" t="n">
        <v>44839.3915393519</v>
      </c>
      <c r="D219" s="22" t="s">
        <v>204</v>
      </c>
      <c r="E219" s="22" t="n">
        <v>9</v>
      </c>
      <c r="F219" s="22" t="s">
        <v>181</v>
      </c>
      <c r="G219" s="22" t="s">
        <v>235</v>
      </c>
      <c r="H219" s="22" t="n">
        <v>0.06</v>
      </c>
      <c r="I219" s="38" t="n">
        <v>1722.34</v>
      </c>
      <c r="J219" s="38" t="n">
        <v>1722.34</v>
      </c>
      <c r="K219" s="39" t="n">
        <f aca="false">IF(F219="BUY",J219-I219,I219-J219)</f>
        <v>0</v>
      </c>
      <c r="L219" s="38" t="n">
        <v>1716.34</v>
      </c>
      <c r="M219" s="39" t="n">
        <f aca="false">ABS(I219-L219)</f>
        <v>6</v>
      </c>
      <c r="N219" s="24" t="n">
        <f aca="false">M219*H219*Summary!$C$6</f>
        <v>36</v>
      </c>
      <c r="O219" s="37" t="n">
        <v>44839.4219212963</v>
      </c>
      <c r="P219" s="22" t="n">
        <f aca="false">ROUND((O219-C219)*86400,0)</f>
        <v>2625</v>
      </c>
      <c r="Q219" s="22" t="str">
        <f aca="false">IF(P219&lt;10,"a) &lt;10s",IF(P219&lt;60,"b) 10-60s",IF(P219&lt;600,"c) 1-10min","d) &gt;10min")))</f>
        <v>d) &gt;10min</v>
      </c>
      <c r="R219" s="38" t="n">
        <v>1722.84</v>
      </c>
      <c r="S219" s="38" t="n">
        <v>1722.83</v>
      </c>
      <c r="T219" s="22" t="s">
        <v>189</v>
      </c>
      <c r="U219" s="39" t="n">
        <f aca="false">IF(R219="","",IF(F219="BUY",R219-S219,S219-R219))</f>
        <v>0.00999999999999091</v>
      </c>
      <c r="V219" s="39" t="n">
        <f aca="false">IF(F219="BUY",S219-J219,J219-S219)</f>
        <v>0.490000000000009</v>
      </c>
      <c r="W219" s="6" t="n">
        <v>2.94</v>
      </c>
      <c r="X219" s="26" t="n">
        <f aca="false">IFERROR(W219/N219,0)</f>
        <v>0.0816666666666667</v>
      </c>
      <c r="Y219" s="22" t="str">
        <f aca="false">IF(W219&gt;0,"Win",IF(W219&lt;0,"Loss","Flat"))</f>
        <v>Win</v>
      </c>
      <c r="Z219" s="24" t="n">
        <f aca="false">Summary!$C$5+SUM(W$2:W219)</f>
        <v>3909.17</v>
      </c>
      <c r="AA219" s="24" t="n">
        <f aca="false">MAX(AA218,Z219)</f>
        <v>5000</v>
      </c>
      <c r="AB219" s="24" t="n">
        <f aca="false">AA219-Z219</f>
        <v>1090.83</v>
      </c>
      <c r="AC219" s="23" t="n">
        <f aca="false">IFERROR(AB219/AA219,0)</f>
        <v>0.218166</v>
      </c>
      <c r="AD219" s="22" t="s">
        <v>456</v>
      </c>
    </row>
    <row r="220" customFormat="false" ht="15" hidden="false" customHeight="false" outlineLevel="0" collapsed="false">
      <c r="A220" s="22" t="n">
        <v>219</v>
      </c>
      <c r="B220" s="22" t="s">
        <v>126</v>
      </c>
      <c r="C220" s="37" t="n">
        <v>44840.4165856482</v>
      </c>
      <c r="D220" s="22" t="s">
        <v>205</v>
      </c>
      <c r="E220" s="22" t="n">
        <v>9</v>
      </c>
      <c r="F220" s="22" t="s">
        <v>182</v>
      </c>
      <c r="G220" s="22" t="s">
        <v>241</v>
      </c>
      <c r="H220" s="22" t="n">
        <v>0.06</v>
      </c>
      <c r="I220" s="38" t="n">
        <v>1721.08</v>
      </c>
      <c r="J220" s="38" t="n">
        <v>1721.05</v>
      </c>
      <c r="K220" s="39" t="n">
        <f aca="false">IF(F220="BUY",J220-I220,I220-J220)</f>
        <v>0.0299999999999727</v>
      </c>
      <c r="L220" s="38" t="n">
        <v>1727.08</v>
      </c>
      <c r="M220" s="39" t="n">
        <f aca="false">ABS(I220-L220)</f>
        <v>6</v>
      </c>
      <c r="N220" s="24" t="n">
        <f aca="false">M220*H220*Summary!$C$6</f>
        <v>36</v>
      </c>
      <c r="O220" s="37" t="n">
        <v>44840.9270833333</v>
      </c>
      <c r="P220" s="22" t="n">
        <f aca="false">ROUND((O220-C220)*86400,0)</f>
        <v>44107</v>
      </c>
      <c r="Q220" s="22" t="str">
        <f aca="false">IF(P220&lt;10,"a) &lt;10s",IF(P220&lt;60,"b) 10-60s",IF(P220&lt;600,"c) 1-10min","d) &gt;10min")))</f>
        <v>d) &gt;10min</v>
      </c>
      <c r="R220" s="38"/>
      <c r="S220" s="38" t="n">
        <v>1714.3</v>
      </c>
      <c r="T220" s="22" t="s">
        <v>191</v>
      </c>
      <c r="U220" s="39" t="str">
        <f aca="false">IF(R220="","",IF(F220="BUY",R220-S220,S220-R220))</f>
        <v/>
      </c>
      <c r="V220" s="39" t="n">
        <f aca="false">IF(F220="BUY",S220-J220,J220-S220)</f>
        <v>6.75</v>
      </c>
      <c r="W220" s="6" t="n">
        <v>40.5</v>
      </c>
      <c r="X220" s="26" t="n">
        <f aca="false">IFERROR(W220/N220,0)</f>
        <v>1.125</v>
      </c>
      <c r="Y220" s="22" t="str">
        <f aca="false">IF(W220&gt;0,"Win",IF(W220&lt;0,"Loss","Flat"))</f>
        <v>Win</v>
      </c>
      <c r="Z220" s="24" t="n">
        <f aca="false">Summary!$C$5+SUM(W$2:W220)</f>
        <v>3949.67</v>
      </c>
      <c r="AA220" s="24" t="n">
        <f aca="false">MAX(AA219,Z220)</f>
        <v>5000</v>
      </c>
      <c r="AB220" s="24" t="n">
        <f aca="false">AA220-Z220</f>
        <v>1050.33</v>
      </c>
      <c r="AC220" s="23" t="n">
        <f aca="false">IFERROR(AB220/AA220,0)</f>
        <v>0.210066</v>
      </c>
      <c r="AD220" s="22" t="s">
        <v>457</v>
      </c>
    </row>
    <row r="221" customFormat="false" ht="15" hidden="false" customHeight="false" outlineLevel="0" collapsed="false">
      <c r="A221" s="22" t="n">
        <v>220</v>
      </c>
      <c r="B221" s="22" t="s">
        <v>126</v>
      </c>
      <c r="C221" s="37" t="n">
        <v>44841.3796759259</v>
      </c>
      <c r="D221" s="22" t="s">
        <v>206</v>
      </c>
      <c r="E221" s="22" t="n">
        <v>9</v>
      </c>
      <c r="F221" s="22" t="s">
        <v>181</v>
      </c>
      <c r="G221" s="22" t="s">
        <v>235</v>
      </c>
      <c r="H221" s="22" t="n">
        <v>0.06</v>
      </c>
      <c r="I221" s="38" t="n">
        <v>1713.74</v>
      </c>
      <c r="J221" s="38" t="n">
        <v>1713.74</v>
      </c>
      <c r="K221" s="39" t="n">
        <f aca="false">IF(F221="BUY",J221-I221,I221-J221)</f>
        <v>0</v>
      </c>
      <c r="L221" s="38" t="n">
        <v>1707.74</v>
      </c>
      <c r="M221" s="39" t="n">
        <f aca="false">ABS(I221-L221)</f>
        <v>6</v>
      </c>
      <c r="N221" s="24" t="n">
        <f aca="false">M221*H221*Summary!$C$6</f>
        <v>36</v>
      </c>
      <c r="O221" s="37" t="n">
        <v>44841.5586226852</v>
      </c>
      <c r="P221" s="22" t="n">
        <f aca="false">ROUND((O221-C221)*86400,0)</f>
        <v>15461</v>
      </c>
      <c r="Q221" s="22" t="str">
        <f aca="false">IF(P221&lt;10,"a) &lt;10s",IF(P221&lt;60,"b) 10-60s",IF(P221&lt;600,"c) 1-10min","d) &gt;10min")))</f>
        <v>d) &gt;10min</v>
      </c>
      <c r="R221" s="38" t="n">
        <v>1707.74</v>
      </c>
      <c r="S221" s="38" t="n">
        <v>1707.69</v>
      </c>
      <c r="T221" s="22" t="s">
        <v>188</v>
      </c>
      <c r="U221" s="39" t="n">
        <f aca="false">IF(R221="","",IF(F221="BUY",R221-S221,S221-R221))</f>
        <v>0.0499999999999545</v>
      </c>
      <c r="V221" s="39" t="n">
        <f aca="false">IF(F221="BUY",S221-J221,J221-S221)</f>
        <v>-6.04999999999995</v>
      </c>
      <c r="W221" s="6" t="n">
        <v>-36.3</v>
      </c>
      <c r="X221" s="26" t="n">
        <f aca="false">IFERROR(W221/N221,0)</f>
        <v>-1.00833333333333</v>
      </c>
      <c r="Y221" s="22" t="str">
        <f aca="false">IF(W221&gt;0,"Win",IF(W221&lt;0,"Loss","Flat"))</f>
        <v>Loss</v>
      </c>
      <c r="Z221" s="24" t="n">
        <f aca="false">Summary!$C$5+SUM(W$2:W221)</f>
        <v>3913.37</v>
      </c>
      <c r="AA221" s="24" t="n">
        <f aca="false">MAX(AA220,Z221)</f>
        <v>5000</v>
      </c>
      <c r="AB221" s="24" t="n">
        <f aca="false">AA221-Z221</f>
        <v>1086.63</v>
      </c>
      <c r="AC221" s="23" t="n">
        <f aca="false">IFERROR(AB221/AA221,0)</f>
        <v>0.217326</v>
      </c>
      <c r="AD221" s="22" t="s">
        <v>458</v>
      </c>
    </row>
    <row r="222" customFormat="false" ht="15" hidden="false" customHeight="false" outlineLevel="0" collapsed="false">
      <c r="A222" s="22" t="n">
        <v>221</v>
      </c>
      <c r="B222" s="22" t="s">
        <v>126</v>
      </c>
      <c r="C222" s="37" t="n">
        <v>44841.5616203704</v>
      </c>
      <c r="D222" s="22" t="s">
        <v>206</v>
      </c>
      <c r="E222" s="22" t="n">
        <v>13</v>
      </c>
      <c r="F222" s="22" t="s">
        <v>182</v>
      </c>
      <c r="G222" s="22" t="s">
        <v>237</v>
      </c>
      <c r="H222" s="22" t="n">
        <v>0.06</v>
      </c>
      <c r="I222" s="38" t="n">
        <v>1706.81</v>
      </c>
      <c r="J222" s="38" t="n">
        <v>1706.74</v>
      </c>
      <c r="K222" s="39" t="n">
        <f aca="false">IF(F222="BUY",J222-I222,I222-J222)</f>
        <v>0.0699999999999363</v>
      </c>
      <c r="L222" s="38" t="n">
        <v>1712.81</v>
      </c>
      <c r="M222" s="39" t="n">
        <f aca="false">ABS(I222-L222)</f>
        <v>6</v>
      </c>
      <c r="N222" s="24" t="n">
        <f aca="false">M222*H222*Summary!$C$6</f>
        <v>36</v>
      </c>
      <c r="O222" s="37" t="n">
        <v>44841.6465277778</v>
      </c>
      <c r="P222" s="22" t="n">
        <f aca="false">ROUND((O222-C222)*86400,0)</f>
        <v>7336</v>
      </c>
      <c r="Q222" s="22" t="str">
        <f aca="false">IF(P222&lt;10,"a) &lt;10s",IF(P222&lt;60,"b) 10-60s",IF(P222&lt;600,"c) 1-10min","d) &gt;10min")))</f>
        <v>d) &gt;10min</v>
      </c>
      <c r="R222" s="38" t="n">
        <v>1706.24</v>
      </c>
      <c r="S222" s="38" t="n">
        <v>1706.46</v>
      </c>
      <c r="T222" s="22" t="s">
        <v>189</v>
      </c>
      <c r="U222" s="39" t="n">
        <f aca="false">IF(R222="","",IF(F222="BUY",R222-S222,S222-R222))</f>
        <v>0.220000000000027</v>
      </c>
      <c r="V222" s="39" t="n">
        <f aca="false">IF(F222="BUY",S222-J222,J222-S222)</f>
        <v>0.279999999999973</v>
      </c>
      <c r="W222" s="6" t="n">
        <v>1.68</v>
      </c>
      <c r="X222" s="26" t="n">
        <f aca="false">IFERROR(W222/N222,0)</f>
        <v>0.0466666666666667</v>
      </c>
      <c r="Y222" s="22" t="str">
        <f aca="false">IF(W222&gt;0,"Win",IF(W222&lt;0,"Loss","Flat"))</f>
        <v>Win</v>
      </c>
      <c r="Z222" s="24" t="n">
        <f aca="false">Summary!$C$5+SUM(W$2:W222)</f>
        <v>3915.05</v>
      </c>
      <c r="AA222" s="24" t="n">
        <f aca="false">MAX(AA221,Z222)</f>
        <v>5000</v>
      </c>
      <c r="AB222" s="24" t="n">
        <f aca="false">AA222-Z222</f>
        <v>1084.95</v>
      </c>
      <c r="AC222" s="23" t="n">
        <f aca="false">IFERROR(AB222/AA222,0)</f>
        <v>0.21699</v>
      </c>
      <c r="AD222" s="22" t="s">
        <v>459</v>
      </c>
    </row>
    <row r="223" customFormat="false" ht="15" hidden="false" customHeight="false" outlineLevel="0" collapsed="false">
      <c r="A223" s="22" t="n">
        <v>222</v>
      </c>
      <c r="B223" s="22" t="s">
        <v>126</v>
      </c>
      <c r="C223" s="37" t="n">
        <v>44844.2540393519</v>
      </c>
      <c r="D223" s="22" t="s">
        <v>202</v>
      </c>
      <c r="E223" s="22" t="n">
        <v>6</v>
      </c>
      <c r="F223" s="22" t="s">
        <v>182</v>
      </c>
      <c r="G223" s="22" t="s">
        <v>237</v>
      </c>
      <c r="H223" s="22" t="n">
        <v>0.06</v>
      </c>
      <c r="I223" s="38" t="n">
        <v>1690.5</v>
      </c>
      <c r="J223" s="38" t="n">
        <v>1690.47</v>
      </c>
      <c r="K223" s="39" t="n">
        <f aca="false">IF(F223="BUY",J223-I223,I223-J223)</f>
        <v>0.0299999999999727</v>
      </c>
      <c r="L223" s="38" t="n">
        <v>1696.5</v>
      </c>
      <c r="M223" s="39" t="n">
        <f aca="false">ABS(I223-L223)</f>
        <v>6</v>
      </c>
      <c r="N223" s="24" t="n">
        <f aca="false">M223*H223*Summary!$C$6</f>
        <v>36</v>
      </c>
      <c r="O223" s="37" t="n">
        <v>44844.9270833333</v>
      </c>
      <c r="P223" s="22" t="n">
        <f aca="false">ROUND((O223-C223)*86400,0)</f>
        <v>58151</v>
      </c>
      <c r="Q223" s="22" t="str">
        <f aca="false">IF(P223&lt;10,"a) &lt;10s",IF(P223&lt;60,"b) 10-60s",IF(P223&lt;600,"c) 1-10min","d) &gt;10min")))</f>
        <v>d) &gt;10min</v>
      </c>
      <c r="R223" s="38"/>
      <c r="S223" s="38" t="n">
        <v>1668.75</v>
      </c>
      <c r="T223" s="22" t="s">
        <v>191</v>
      </c>
      <c r="U223" s="39" t="str">
        <f aca="false">IF(R223="","",IF(F223="BUY",R223-S223,S223-R223))</f>
        <v/>
      </c>
      <c r="V223" s="39" t="n">
        <f aca="false">IF(F223="BUY",S223-J223,J223-S223)</f>
        <v>21.72</v>
      </c>
      <c r="W223" s="6" t="n">
        <v>130.32</v>
      </c>
      <c r="X223" s="26" t="n">
        <f aca="false">IFERROR(W223/N223,0)</f>
        <v>3.62</v>
      </c>
      <c r="Y223" s="22" t="str">
        <f aca="false">IF(W223&gt;0,"Win",IF(W223&lt;0,"Loss","Flat"))</f>
        <v>Win</v>
      </c>
      <c r="Z223" s="24" t="n">
        <f aca="false">Summary!$C$5+SUM(W$2:W223)</f>
        <v>4045.37</v>
      </c>
      <c r="AA223" s="24" t="n">
        <f aca="false">MAX(AA222,Z223)</f>
        <v>5000</v>
      </c>
      <c r="AB223" s="24" t="n">
        <f aca="false">AA223-Z223</f>
        <v>954.63</v>
      </c>
      <c r="AC223" s="23" t="n">
        <f aca="false">IFERROR(AB223/AA223,0)</f>
        <v>0.190926</v>
      </c>
      <c r="AD223" s="22" t="s">
        <v>460</v>
      </c>
    </row>
    <row r="224" customFormat="false" ht="15" hidden="false" customHeight="false" outlineLevel="0" collapsed="false">
      <c r="A224" s="22" t="n">
        <v>223</v>
      </c>
      <c r="B224" s="22" t="s">
        <v>126</v>
      </c>
      <c r="C224" s="37" t="n">
        <v>44845.2162152778</v>
      </c>
      <c r="D224" s="22" t="s">
        <v>203</v>
      </c>
      <c r="E224" s="22" t="n">
        <v>5</v>
      </c>
      <c r="F224" s="22" t="s">
        <v>182</v>
      </c>
      <c r="G224" s="22" t="s">
        <v>237</v>
      </c>
      <c r="H224" s="22" t="n">
        <v>0.06</v>
      </c>
      <c r="I224" s="38" t="n">
        <v>1665.48</v>
      </c>
      <c r="J224" s="38" t="n">
        <v>1665.44</v>
      </c>
      <c r="K224" s="39" t="n">
        <f aca="false">IF(F224="BUY",J224-I224,I224-J224)</f>
        <v>0.0399999999999636</v>
      </c>
      <c r="L224" s="38" t="n">
        <v>1671.48</v>
      </c>
      <c r="M224" s="39" t="n">
        <f aca="false">ABS(I224-L224)</f>
        <v>6</v>
      </c>
      <c r="N224" s="24" t="n">
        <f aca="false">M224*H224*Summary!$C$6</f>
        <v>36</v>
      </c>
      <c r="O224" s="37" t="n">
        <v>44845.2244791667</v>
      </c>
      <c r="P224" s="22" t="n">
        <f aca="false">ROUND((O224-C224)*86400,0)</f>
        <v>714</v>
      </c>
      <c r="Q224" s="22" t="str">
        <f aca="false">IF(P224&lt;10,"a) &lt;10s",IF(P224&lt;60,"b) 10-60s",IF(P224&lt;600,"c) 1-10min","d) &gt;10min")))</f>
        <v>d) &gt;10min</v>
      </c>
      <c r="R224" s="38" t="n">
        <v>1664.94</v>
      </c>
      <c r="S224" s="38" t="n">
        <v>1664.95</v>
      </c>
      <c r="T224" s="22" t="s">
        <v>189</v>
      </c>
      <c r="U224" s="39" t="n">
        <f aca="false">IF(R224="","",IF(F224="BUY",R224-S224,S224-R224))</f>
        <v>0.00999999999999091</v>
      </c>
      <c r="V224" s="39" t="n">
        <f aca="false">IF(F224="BUY",S224-J224,J224-S224)</f>
        <v>0.490000000000009</v>
      </c>
      <c r="W224" s="6" t="n">
        <v>2.94</v>
      </c>
      <c r="X224" s="26" t="n">
        <f aca="false">IFERROR(W224/N224,0)</f>
        <v>0.0816666666666667</v>
      </c>
      <c r="Y224" s="22" t="str">
        <f aca="false">IF(W224&gt;0,"Win",IF(W224&lt;0,"Loss","Flat"))</f>
        <v>Win</v>
      </c>
      <c r="Z224" s="24" t="n">
        <f aca="false">Summary!$C$5+SUM(W$2:W224)</f>
        <v>4048.31</v>
      </c>
      <c r="AA224" s="24" t="n">
        <f aca="false">MAX(AA223,Z224)</f>
        <v>5000</v>
      </c>
      <c r="AB224" s="24" t="n">
        <f aca="false">AA224-Z224</f>
        <v>951.69</v>
      </c>
      <c r="AC224" s="23" t="n">
        <f aca="false">IFERROR(AB224/AA224,0)</f>
        <v>0.190338</v>
      </c>
      <c r="AD224" s="22" t="s">
        <v>461</v>
      </c>
    </row>
    <row r="225" customFormat="false" ht="15" hidden="false" customHeight="false" outlineLevel="0" collapsed="false">
      <c r="A225" s="22" t="n">
        <v>224</v>
      </c>
      <c r="B225" s="22" t="s">
        <v>126</v>
      </c>
      <c r="C225" s="37" t="n">
        <v>44845.5450462963</v>
      </c>
      <c r="D225" s="22" t="s">
        <v>203</v>
      </c>
      <c r="E225" s="22" t="n">
        <v>13</v>
      </c>
      <c r="F225" s="22" t="s">
        <v>182</v>
      </c>
      <c r="G225" s="22" t="s">
        <v>241</v>
      </c>
      <c r="H225" s="22" t="n">
        <v>0.06</v>
      </c>
      <c r="I225" s="38" t="n">
        <v>1661.75</v>
      </c>
      <c r="J225" s="38" t="n">
        <v>1661.74</v>
      </c>
      <c r="K225" s="39" t="n">
        <f aca="false">IF(F225="BUY",J225-I225,I225-J225)</f>
        <v>0.00999999999999091</v>
      </c>
      <c r="L225" s="38" t="n">
        <v>1667.75</v>
      </c>
      <c r="M225" s="39" t="n">
        <f aca="false">ABS(I225-L225)</f>
        <v>6</v>
      </c>
      <c r="N225" s="24" t="n">
        <f aca="false">M225*H225*Summary!$C$6</f>
        <v>36</v>
      </c>
      <c r="O225" s="37" t="n">
        <v>44845.5836574074</v>
      </c>
      <c r="P225" s="22" t="n">
        <f aca="false">ROUND((O225-C225)*86400,0)</f>
        <v>3336</v>
      </c>
      <c r="Q225" s="22" t="str">
        <f aca="false">IF(P225&lt;10,"a) &lt;10s",IF(P225&lt;60,"b) 10-60s",IF(P225&lt;600,"c) 1-10min","d) &gt;10min")))</f>
        <v>d) &gt;10min</v>
      </c>
      <c r="R225" s="38" t="n">
        <v>1667.75</v>
      </c>
      <c r="S225" s="38" t="n">
        <v>1667.75</v>
      </c>
      <c r="T225" s="22" t="s">
        <v>188</v>
      </c>
      <c r="U225" s="39" t="n">
        <f aca="false">IF(R225="","",IF(F225="BUY",R225-S225,S225-R225))</f>
        <v>0</v>
      </c>
      <c r="V225" s="39" t="n">
        <f aca="false">IF(F225="BUY",S225-J225,J225-S225)</f>
        <v>-6.00999999999999</v>
      </c>
      <c r="W225" s="6" t="n">
        <v>-36.06</v>
      </c>
      <c r="X225" s="26" t="n">
        <f aca="false">IFERROR(W225/N225,0)</f>
        <v>-1.00166666666667</v>
      </c>
      <c r="Y225" s="22" t="str">
        <f aca="false">IF(W225&gt;0,"Win",IF(W225&lt;0,"Loss","Flat"))</f>
        <v>Loss</v>
      </c>
      <c r="Z225" s="24" t="n">
        <f aca="false">Summary!$C$5+SUM(W$2:W225)</f>
        <v>4012.25</v>
      </c>
      <c r="AA225" s="24" t="n">
        <f aca="false">MAX(AA224,Z225)</f>
        <v>5000</v>
      </c>
      <c r="AB225" s="24" t="n">
        <f aca="false">AA225-Z225</f>
        <v>987.75</v>
      </c>
      <c r="AC225" s="23" t="n">
        <f aca="false">IFERROR(AB225/AA225,0)</f>
        <v>0.19755</v>
      </c>
      <c r="AD225" s="22" t="s">
        <v>462</v>
      </c>
    </row>
    <row r="226" customFormat="false" ht="15" hidden="false" customHeight="false" outlineLevel="0" collapsed="false">
      <c r="A226" s="22" t="n">
        <v>225</v>
      </c>
      <c r="B226" s="22" t="s">
        <v>126</v>
      </c>
      <c r="C226" s="37" t="n">
        <v>44846.392650463</v>
      </c>
      <c r="D226" s="22" t="s">
        <v>204</v>
      </c>
      <c r="E226" s="22" t="n">
        <v>9</v>
      </c>
      <c r="F226" s="22" t="s">
        <v>181</v>
      </c>
      <c r="G226" s="22" t="s">
        <v>235</v>
      </c>
      <c r="H226" s="22" t="n">
        <v>0.06</v>
      </c>
      <c r="I226" s="38" t="n">
        <v>1672.07</v>
      </c>
      <c r="J226" s="38" t="n">
        <v>1672.08</v>
      </c>
      <c r="K226" s="39" t="n">
        <f aca="false">IF(F226="BUY",J226-I226,I226-J226)</f>
        <v>0.00999999999999091</v>
      </c>
      <c r="L226" s="38" t="n">
        <v>1666.07</v>
      </c>
      <c r="M226" s="39" t="n">
        <f aca="false">ABS(I226-L226)</f>
        <v>6</v>
      </c>
      <c r="N226" s="24" t="n">
        <f aca="false">M226*H226*Summary!$C$6</f>
        <v>36</v>
      </c>
      <c r="O226" s="37" t="n">
        <v>44846.4129398148</v>
      </c>
      <c r="P226" s="22" t="n">
        <f aca="false">ROUND((O226-C226)*86400,0)</f>
        <v>1753</v>
      </c>
      <c r="Q226" s="22" t="str">
        <f aca="false">IF(P226&lt;10,"a) &lt;10s",IF(P226&lt;60,"b) 10-60s",IF(P226&lt;600,"c) 1-10min","d) &gt;10min")))</f>
        <v>d) &gt;10min</v>
      </c>
      <c r="R226" s="38" t="n">
        <v>1672.58</v>
      </c>
      <c r="S226" s="38" t="n">
        <v>1672.57</v>
      </c>
      <c r="T226" s="22" t="s">
        <v>189</v>
      </c>
      <c r="U226" s="39" t="n">
        <f aca="false">IF(R226="","",IF(F226="BUY",R226-S226,S226-R226))</f>
        <v>0.00999999999999091</v>
      </c>
      <c r="V226" s="39" t="n">
        <f aca="false">IF(F226="BUY",S226-J226,J226-S226)</f>
        <v>0.490000000000009</v>
      </c>
      <c r="W226" s="6" t="n">
        <v>2.94</v>
      </c>
      <c r="X226" s="26" t="n">
        <f aca="false">IFERROR(W226/N226,0)</f>
        <v>0.0816666666666667</v>
      </c>
      <c r="Y226" s="22" t="str">
        <f aca="false">IF(W226&gt;0,"Win",IF(W226&lt;0,"Loss","Flat"))</f>
        <v>Win</v>
      </c>
      <c r="Z226" s="24" t="n">
        <f aca="false">Summary!$C$5+SUM(W$2:W226)</f>
        <v>4015.19</v>
      </c>
      <c r="AA226" s="24" t="n">
        <f aca="false">MAX(AA225,Z226)</f>
        <v>5000</v>
      </c>
      <c r="AB226" s="24" t="n">
        <f aca="false">AA226-Z226</f>
        <v>984.81</v>
      </c>
      <c r="AC226" s="23" t="n">
        <f aca="false">IFERROR(AB226/AA226,0)</f>
        <v>0.196962</v>
      </c>
      <c r="AD226" s="22" t="s">
        <v>463</v>
      </c>
    </row>
    <row r="227" customFormat="false" ht="15" hidden="false" customHeight="false" outlineLevel="0" collapsed="false">
      <c r="A227" s="22" t="n">
        <v>226</v>
      </c>
      <c r="B227" s="22" t="s">
        <v>126</v>
      </c>
      <c r="C227" s="37" t="n">
        <v>44847.3750115741</v>
      </c>
      <c r="D227" s="22" t="s">
        <v>205</v>
      </c>
      <c r="E227" s="22" t="n">
        <v>9</v>
      </c>
      <c r="F227" s="22" t="s">
        <v>182</v>
      </c>
      <c r="G227" s="22" t="s">
        <v>241</v>
      </c>
      <c r="H227" s="22" t="n">
        <v>0.06</v>
      </c>
      <c r="I227" s="38" t="n">
        <v>1668.91</v>
      </c>
      <c r="J227" s="38" t="n">
        <v>1668.9</v>
      </c>
      <c r="K227" s="39" t="n">
        <f aca="false">IF(F227="BUY",J227-I227,I227-J227)</f>
        <v>0.00999999999999091</v>
      </c>
      <c r="L227" s="38" t="n">
        <v>1674.91</v>
      </c>
      <c r="M227" s="39" t="n">
        <f aca="false">ABS(I227-L227)</f>
        <v>6</v>
      </c>
      <c r="N227" s="24" t="n">
        <f aca="false">M227*H227*Summary!$C$6</f>
        <v>36</v>
      </c>
      <c r="O227" s="37" t="n">
        <v>44847.4972453704</v>
      </c>
      <c r="P227" s="22" t="n">
        <f aca="false">ROUND((O227-C227)*86400,0)</f>
        <v>10561</v>
      </c>
      <c r="Q227" s="22" t="str">
        <f aca="false">IF(P227&lt;10,"a) &lt;10s",IF(P227&lt;60,"b) 10-60s",IF(P227&lt;600,"c) 1-10min","d) &gt;10min")))</f>
        <v>d) &gt;10min</v>
      </c>
      <c r="R227" s="38" t="n">
        <v>1674.91</v>
      </c>
      <c r="S227" s="38" t="n">
        <v>1674.92</v>
      </c>
      <c r="T227" s="22" t="s">
        <v>188</v>
      </c>
      <c r="U227" s="39" t="n">
        <f aca="false">IF(R227="","",IF(F227="BUY",R227-S227,S227-R227))</f>
        <v>0.00999999999999091</v>
      </c>
      <c r="V227" s="39" t="n">
        <f aca="false">IF(F227="BUY",S227-J227,J227-S227)</f>
        <v>-6.01999999999998</v>
      </c>
      <c r="W227" s="6" t="n">
        <v>-36.12</v>
      </c>
      <c r="X227" s="26" t="n">
        <f aca="false">IFERROR(W227/N227,0)</f>
        <v>-1.00333333333333</v>
      </c>
      <c r="Y227" s="22" t="str">
        <f aca="false">IF(W227&gt;0,"Win",IF(W227&lt;0,"Loss","Flat"))</f>
        <v>Loss</v>
      </c>
      <c r="Z227" s="24" t="n">
        <f aca="false">Summary!$C$5+SUM(W$2:W227)</f>
        <v>3979.07</v>
      </c>
      <c r="AA227" s="24" t="n">
        <f aca="false">MAX(AA226,Z227)</f>
        <v>5000</v>
      </c>
      <c r="AB227" s="24" t="n">
        <f aca="false">AA227-Z227</f>
        <v>1020.93</v>
      </c>
      <c r="AC227" s="23" t="n">
        <f aca="false">IFERROR(AB227/AA227,0)</f>
        <v>0.204186</v>
      </c>
      <c r="AD227" s="22" t="s">
        <v>464</v>
      </c>
    </row>
    <row r="228" customFormat="false" ht="15" hidden="false" customHeight="false" outlineLevel="0" collapsed="false">
      <c r="A228" s="22" t="n">
        <v>227</v>
      </c>
      <c r="B228" s="22" t="s">
        <v>126</v>
      </c>
      <c r="C228" s="37" t="n">
        <v>44847.6062962963</v>
      </c>
      <c r="D228" s="22" t="s">
        <v>205</v>
      </c>
      <c r="E228" s="22" t="n">
        <v>14</v>
      </c>
      <c r="F228" s="22" t="s">
        <v>181</v>
      </c>
      <c r="G228" s="22" t="s">
        <v>243</v>
      </c>
      <c r="H228" s="22" t="n">
        <v>0.06</v>
      </c>
      <c r="I228" s="38" t="n">
        <v>1678.22</v>
      </c>
      <c r="J228" s="38" t="n">
        <v>1678.3</v>
      </c>
      <c r="K228" s="39" t="n">
        <f aca="false">IF(F228="BUY",J228-I228,I228-J228)</f>
        <v>0.0799999999999272</v>
      </c>
      <c r="L228" s="38" t="n">
        <v>1672.22</v>
      </c>
      <c r="M228" s="39" t="n">
        <f aca="false">ABS(I228-L228)</f>
        <v>6</v>
      </c>
      <c r="N228" s="24" t="n">
        <f aca="false">M228*H228*Summary!$C$6</f>
        <v>36</v>
      </c>
      <c r="O228" s="37" t="n">
        <v>44847.6095601852</v>
      </c>
      <c r="P228" s="22" t="n">
        <f aca="false">ROUND((O228-C228)*86400,0)</f>
        <v>282</v>
      </c>
      <c r="Q228" s="22" t="str">
        <f aca="false">IF(P228&lt;10,"a) &lt;10s",IF(P228&lt;60,"b) 10-60s",IF(P228&lt;600,"c) 1-10min","d) &gt;10min")))</f>
        <v>c) 1-10min</v>
      </c>
      <c r="R228" s="38" t="n">
        <v>1678.8</v>
      </c>
      <c r="S228" s="38" t="n">
        <v>1678.77</v>
      </c>
      <c r="T228" s="22" t="s">
        <v>189</v>
      </c>
      <c r="U228" s="39" t="n">
        <f aca="false">IF(R228="","",IF(F228="BUY",R228-S228,S228-R228))</f>
        <v>0.0299999999999727</v>
      </c>
      <c r="V228" s="39" t="n">
        <f aca="false">IF(F228="BUY",S228-J228,J228-S228)</f>
        <v>0.470000000000027</v>
      </c>
      <c r="W228" s="6" t="n">
        <v>2.82</v>
      </c>
      <c r="X228" s="26" t="n">
        <f aca="false">IFERROR(W228/N228,0)</f>
        <v>0.0783333333333333</v>
      </c>
      <c r="Y228" s="22" t="str">
        <f aca="false">IF(W228&gt;0,"Win",IF(W228&lt;0,"Loss","Flat"))</f>
        <v>Win</v>
      </c>
      <c r="Z228" s="24" t="n">
        <f aca="false">Summary!$C$5+SUM(W$2:W228)</f>
        <v>3981.89</v>
      </c>
      <c r="AA228" s="24" t="n">
        <f aca="false">MAX(AA227,Z228)</f>
        <v>5000</v>
      </c>
      <c r="AB228" s="24" t="n">
        <f aca="false">AA228-Z228</f>
        <v>1018.11</v>
      </c>
      <c r="AC228" s="23" t="n">
        <f aca="false">IFERROR(AB228/AA228,0)</f>
        <v>0.203622</v>
      </c>
      <c r="AD228" s="22" t="s">
        <v>465</v>
      </c>
    </row>
    <row r="229" customFormat="false" ht="15" hidden="false" customHeight="false" outlineLevel="0" collapsed="false">
      <c r="A229" s="22" t="n">
        <v>228</v>
      </c>
      <c r="B229" s="22" t="s">
        <v>126</v>
      </c>
      <c r="C229" s="37" t="n">
        <v>44848.3780092593</v>
      </c>
      <c r="D229" s="22" t="s">
        <v>206</v>
      </c>
      <c r="E229" s="22" t="n">
        <v>9</v>
      </c>
      <c r="F229" s="22" t="s">
        <v>181</v>
      </c>
      <c r="G229" s="22" t="s">
        <v>235</v>
      </c>
      <c r="H229" s="22" t="n">
        <v>0.06</v>
      </c>
      <c r="I229" s="38" t="n">
        <v>1670.48</v>
      </c>
      <c r="J229" s="38" t="n">
        <v>1670.49</v>
      </c>
      <c r="K229" s="39" t="n">
        <f aca="false">IF(F229="BUY",J229-I229,I229-J229)</f>
        <v>0.00999999999999091</v>
      </c>
      <c r="L229" s="38" t="n">
        <v>1664.48</v>
      </c>
      <c r="M229" s="39" t="n">
        <f aca="false">ABS(I229-L229)</f>
        <v>6</v>
      </c>
      <c r="N229" s="24" t="n">
        <f aca="false">M229*H229*Summary!$C$6</f>
        <v>36</v>
      </c>
      <c r="O229" s="37" t="n">
        <v>44848.4318518519</v>
      </c>
      <c r="P229" s="22" t="n">
        <f aca="false">ROUND((O229-C229)*86400,0)</f>
        <v>4652</v>
      </c>
      <c r="Q229" s="22" t="str">
        <f aca="false">IF(P229&lt;10,"a) &lt;10s",IF(P229&lt;60,"b) 10-60s",IF(P229&lt;600,"c) 1-10min","d) &gt;10min")))</f>
        <v>d) &gt;10min</v>
      </c>
      <c r="R229" s="38" t="n">
        <v>1664.48</v>
      </c>
      <c r="S229" s="38" t="n">
        <v>1664.46</v>
      </c>
      <c r="T229" s="22" t="s">
        <v>188</v>
      </c>
      <c r="U229" s="39" t="n">
        <f aca="false">IF(R229="","",IF(F229="BUY",R229-S229,S229-R229))</f>
        <v>0.0199999999999818</v>
      </c>
      <c r="V229" s="39" t="n">
        <f aca="false">IF(F229="BUY",S229-J229,J229-S229)</f>
        <v>-6.02999999999997</v>
      </c>
      <c r="W229" s="6" t="n">
        <v>-36.18</v>
      </c>
      <c r="X229" s="26" t="n">
        <f aca="false">IFERROR(W229/N229,0)</f>
        <v>-1.005</v>
      </c>
      <c r="Y229" s="22" t="str">
        <f aca="false">IF(W229&gt;0,"Win",IF(W229&lt;0,"Loss","Flat"))</f>
        <v>Loss</v>
      </c>
      <c r="Z229" s="24" t="n">
        <f aca="false">Summary!$C$5+SUM(W$2:W229)</f>
        <v>3945.71</v>
      </c>
      <c r="AA229" s="24" t="n">
        <f aca="false">MAX(AA228,Z229)</f>
        <v>5000</v>
      </c>
      <c r="AB229" s="24" t="n">
        <f aca="false">AA229-Z229</f>
        <v>1054.29</v>
      </c>
      <c r="AC229" s="23" t="n">
        <f aca="false">IFERROR(AB229/AA229,0)</f>
        <v>0.210858</v>
      </c>
      <c r="AD229" s="22" t="s">
        <v>466</v>
      </c>
    </row>
    <row r="230" customFormat="false" ht="15" hidden="false" customHeight="false" outlineLevel="0" collapsed="false">
      <c r="A230" s="22" t="n">
        <v>229</v>
      </c>
      <c r="B230" s="22" t="s">
        <v>126</v>
      </c>
      <c r="C230" s="37" t="n">
        <v>44848.7983449074</v>
      </c>
      <c r="D230" s="22" t="s">
        <v>206</v>
      </c>
      <c r="E230" s="22" t="n">
        <v>19</v>
      </c>
      <c r="F230" s="22" t="s">
        <v>182</v>
      </c>
      <c r="G230" s="22" t="s">
        <v>237</v>
      </c>
      <c r="H230" s="22" t="n">
        <v>0.06</v>
      </c>
      <c r="I230" s="38" t="n">
        <v>1642.29</v>
      </c>
      <c r="J230" s="38" t="n">
        <v>1642.29</v>
      </c>
      <c r="K230" s="39" t="n">
        <f aca="false">IF(F230="BUY",J230-I230,I230-J230)</f>
        <v>0</v>
      </c>
      <c r="L230" s="38" t="n">
        <v>1648.29</v>
      </c>
      <c r="M230" s="39" t="n">
        <f aca="false">ABS(I230-L230)</f>
        <v>6</v>
      </c>
      <c r="N230" s="24" t="n">
        <f aca="false">M230*H230*Summary!$C$6</f>
        <v>36</v>
      </c>
      <c r="O230" s="37" t="n">
        <v>44848.9270833333</v>
      </c>
      <c r="P230" s="22" t="n">
        <f aca="false">ROUND((O230-C230)*86400,0)</f>
        <v>11123</v>
      </c>
      <c r="Q230" s="22" t="str">
        <f aca="false">IF(P230&lt;10,"a) &lt;10s",IF(P230&lt;60,"b) 10-60s",IF(P230&lt;600,"c) 1-10min","d) &gt;10min")))</f>
        <v>d) &gt;10min</v>
      </c>
      <c r="R230" s="38"/>
      <c r="S230" s="38" t="n">
        <v>1641.17</v>
      </c>
      <c r="T230" s="22" t="s">
        <v>191</v>
      </c>
      <c r="U230" s="39" t="str">
        <f aca="false">IF(R230="","",IF(F230="BUY",R230-S230,S230-R230))</f>
        <v/>
      </c>
      <c r="V230" s="39" t="n">
        <f aca="false">IF(F230="BUY",S230-J230,J230-S230)</f>
        <v>1.11999999999989</v>
      </c>
      <c r="W230" s="6" t="n">
        <v>6.72</v>
      </c>
      <c r="X230" s="26" t="n">
        <f aca="false">IFERROR(W230/N230,0)</f>
        <v>0.186666666666667</v>
      </c>
      <c r="Y230" s="22" t="str">
        <f aca="false">IF(W230&gt;0,"Win",IF(W230&lt;0,"Loss","Flat"))</f>
        <v>Win</v>
      </c>
      <c r="Z230" s="24" t="n">
        <f aca="false">Summary!$C$5+SUM(W$2:W230)</f>
        <v>3952.43</v>
      </c>
      <c r="AA230" s="24" t="n">
        <f aca="false">MAX(AA229,Z230)</f>
        <v>5000</v>
      </c>
      <c r="AB230" s="24" t="n">
        <f aca="false">AA230-Z230</f>
        <v>1047.57</v>
      </c>
      <c r="AC230" s="23" t="n">
        <f aca="false">IFERROR(AB230/AA230,0)</f>
        <v>0.209514</v>
      </c>
      <c r="AD230" s="22" t="s">
        <v>467</v>
      </c>
    </row>
    <row r="231" customFormat="false" ht="15" hidden="false" customHeight="false" outlineLevel="0" collapsed="false">
      <c r="A231" s="22" t="n">
        <v>230</v>
      </c>
      <c r="B231" s="22" t="s">
        <v>126</v>
      </c>
      <c r="C231" s="37" t="n">
        <v>44852.4303472222</v>
      </c>
      <c r="D231" s="22" t="s">
        <v>203</v>
      </c>
      <c r="E231" s="22" t="n">
        <v>10</v>
      </c>
      <c r="F231" s="22" t="s">
        <v>182</v>
      </c>
      <c r="G231" s="22" t="s">
        <v>241</v>
      </c>
      <c r="H231" s="22" t="n">
        <v>0.06</v>
      </c>
      <c r="I231" s="38" t="n">
        <v>1652.27</v>
      </c>
      <c r="J231" s="38" t="n">
        <v>1652.26</v>
      </c>
      <c r="K231" s="39" t="n">
        <f aca="false">IF(F231="BUY",J231-I231,I231-J231)</f>
        <v>0.00999999999999091</v>
      </c>
      <c r="L231" s="38" t="n">
        <v>1658.27</v>
      </c>
      <c r="M231" s="39" t="n">
        <f aca="false">ABS(I231-L231)</f>
        <v>6</v>
      </c>
      <c r="N231" s="24" t="n">
        <f aca="false">M231*H231*Summary!$C$6</f>
        <v>36</v>
      </c>
      <c r="O231" s="37" t="n">
        <v>44852.5028356482</v>
      </c>
      <c r="P231" s="22" t="n">
        <f aca="false">ROUND((O231-C231)*86400,0)</f>
        <v>6263</v>
      </c>
      <c r="Q231" s="22" t="str">
        <f aca="false">IF(P231&lt;10,"a) &lt;10s",IF(P231&lt;60,"b) 10-60s",IF(P231&lt;600,"c) 1-10min","d) &gt;10min")))</f>
        <v>d) &gt;10min</v>
      </c>
      <c r="R231" s="38" t="n">
        <v>1651.76</v>
      </c>
      <c r="S231" s="38" t="n">
        <v>1651.9</v>
      </c>
      <c r="T231" s="22" t="s">
        <v>189</v>
      </c>
      <c r="U231" s="39" t="n">
        <f aca="false">IF(R231="","",IF(F231="BUY",R231-S231,S231-R231))</f>
        <v>0.1400000000001</v>
      </c>
      <c r="V231" s="39" t="n">
        <f aca="false">IF(F231="BUY",S231-J231,J231-S231)</f>
        <v>0.3599999999999</v>
      </c>
      <c r="W231" s="6" t="n">
        <v>2.16</v>
      </c>
      <c r="X231" s="26" t="n">
        <f aca="false">IFERROR(W231/N231,0)</f>
        <v>0.06</v>
      </c>
      <c r="Y231" s="22" t="str">
        <f aca="false">IF(W231&gt;0,"Win",IF(W231&lt;0,"Loss","Flat"))</f>
        <v>Win</v>
      </c>
      <c r="Z231" s="24" t="n">
        <f aca="false">Summary!$C$5+SUM(W$2:W231)</f>
        <v>3954.59</v>
      </c>
      <c r="AA231" s="24" t="n">
        <f aca="false">MAX(AA230,Z231)</f>
        <v>5000</v>
      </c>
      <c r="AB231" s="24" t="n">
        <f aca="false">AA231-Z231</f>
        <v>1045.41</v>
      </c>
      <c r="AC231" s="23" t="n">
        <f aca="false">IFERROR(AB231/AA231,0)</f>
        <v>0.209082</v>
      </c>
      <c r="AD231" s="22" t="s">
        <v>468</v>
      </c>
    </row>
    <row r="232" customFormat="false" ht="15" hidden="false" customHeight="false" outlineLevel="0" collapsed="false">
      <c r="A232" s="22" t="n">
        <v>231</v>
      </c>
      <c r="B232" s="22" t="s">
        <v>126</v>
      </c>
      <c r="C232" s="37" t="n">
        <v>44853.3244675926</v>
      </c>
      <c r="D232" s="22" t="s">
        <v>204</v>
      </c>
      <c r="E232" s="22" t="n">
        <v>7</v>
      </c>
      <c r="F232" s="22" t="s">
        <v>182</v>
      </c>
      <c r="G232" s="22" t="s">
        <v>237</v>
      </c>
      <c r="H232" s="22" t="n">
        <v>0.06</v>
      </c>
      <c r="I232" s="38" t="n">
        <v>1645.65</v>
      </c>
      <c r="J232" s="38" t="n">
        <v>1645.62</v>
      </c>
      <c r="K232" s="39" t="n">
        <f aca="false">IF(F232="BUY",J232-I232,I232-J232)</f>
        <v>0.0300000000002001</v>
      </c>
      <c r="L232" s="38" t="n">
        <v>1651.65</v>
      </c>
      <c r="M232" s="39" t="n">
        <f aca="false">ABS(I232-L232)</f>
        <v>6</v>
      </c>
      <c r="N232" s="24" t="n">
        <f aca="false">M232*H232*Summary!$C$6</f>
        <v>36</v>
      </c>
      <c r="O232" s="37" t="n">
        <v>44853.4453587963</v>
      </c>
      <c r="P232" s="22" t="n">
        <f aca="false">ROUND((O232-C232)*86400,0)</f>
        <v>10445</v>
      </c>
      <c r="Q232" s="22" t="str">
        <f aca="false">IF(P232&lt;10,"a) &lt;10s",IF(P232&lt;60,"b) 10-60s",IF(P232&lt;600,"c) 1-10min","d) &gt;10min")))</f>
        <v>d) &gt;10min</v>
      </c>
      <c r="R232" s="38" t="n">
        <v>1645.12</v>
      </c>
      <c r="S232" s="38" t="n">
        <v>1645.13</v>
      </c>
      <c r="T232" s="22" t="s">
        <v>189</v>
      </c>
      <c r="U232" s="39" t="n">
        <f aca="false">IF(R232="","",IF(F232="BUY",R232-S232,S232-R232))</f>
        <v>0.0100000000002183</v>
      </c>
      <c r="V232" s="39" t="n">
        <f aca="false">IF(F232="BUY",S232-J232,J232-S232)</f>
        <v>0.489999999999782</v>
      </c>
      <c r="W232" s="6" t="n">
        <v>2.94</v>
      </c>
      <c r="X232" s="26" t="n">
        <f aca="false">IFERROR(W232/N232,0)</f>
        <v>0.0816666666666667</v>
      </c>
      <c r="Y232" s="22" t="str">
        <f aca="false">IF(W232&gt;0,"Win",IF(W232&lt;0,"Loss","Flat"))</f>
        <v>Win</v>
      </c>
      <c r="Z232" s="24" t="n">
        <f aca="false">Summary!$C$5+SUM(W$2:W232)</f>
        <v>3957.53</v>
      </c>
      <c r="AA232" s="24" t="n">
        <f aca="false">MAX(AA231,Z232)</f>
        <v>5000</v>
      </c>
      <c r="AB232" s="24" t="n">
        <f aca="false">AA232-Z232</f>
        <v>1042.47</v>
      </c>
      <c r="AC232" s="23" t="n">
        <f aca="false">IFERROR(AB232/AA232,0)</f>
        <v>0.208494</v>
      </c>
      <c r="AD232" s="22" t="s">
        <v>469</v>
      </c>
    </row>
    <row r="233" customFormat="false" ht="15" hidden="false" customHeight="false" outlineLevel="0" collapsed="false">
      <c r="A233" s="22" t="n">
        <v>232</v>
      </c>
      <c r="B233" s="22" t="s">
        <v>126</v>
      </c>
      <c r="C233" s="37" t="n">
        <v>44854.0840856481</v>
      </c>
      <c r="D233" s="22" t="s">
        <v>205</v>
      </c>
      <c r="E233" s="22" t="n">
        <v>2</v>
      </c>
      <c r="F233" s="22" t="s">
        <v>182</v>
      </c>
      <c r="G233" s="22" t="s">
        <v>237</v>
      </c>
      <c r="H233" s="22" t="n">
        <v>0.06</v>
      </c>
      <c r="I233" s="38" t="n">
        <v>1627.49</v>
      </c>
      <c r="J233" s="38" t="n">
        <v>1627.45</v>
      </c>
      <c r="K233" s="39" t="n">
        <f aca="false">IF(F233="BUY",J233-I233,I233-J233)</f>
        <v>0.0399999999999636</v>
      </c>
      <c r="L233" s="38" t="n">
        <v>1633.49</v>
      </c>
      <c r="M233" s="39" t="n">
        <f aca="false">ABS(I233-L233)</f>
        <v>6</v>
      </c>
      <c r="N233" s="24" t="n">
        <f aca="false">M233*H233*Summary!$C$6</f>
        <v>36</v>
      </c>
      <c r="O233" s="37" t="n">
        <v>44854.1785648148</v>
      </c>
      <c r="P233" s="22" t="n">
        <f aca="false">ROUND((O233-C233)*86400,0)</f>
        <v>8163</v>
      </c>
      <c r="Q233" s="22" t="str">
        <f aca="false">IF(P233&lt;10,"a) &lt;10s",IF(P233&lt;60,"b) 10-60s",IF(P233&lt;600,"c) 1-10min","d) &gt;10min")))</f>
        <v>d) &gt;10min</v>
      </c>
      <c r="R233" s="38" t="n">
        <v>1626.95</v>
      </c>
      <c r="S233" s="38" t="n">
        <v>1626.98</v>
      </c>
      <c r="T233" s="22" t="s">
        <v>189</v>
      </c>
      <c r="U233" s="39" t="n">
        <f aca="false">IF(R233="","",IF(F233="BUY",R233-S233,S233-R233))</f>
        <v>0.0299999999999727</v>
      </c>
      <c r="V233" s="39" t="n">
        <f aca="false">IF(F233="BUY",S233-J233,J233-S233)</f>
        <v>0.470000000000027</v>
      </c>
      <c r="W233" s="6" t="n">
        <v>2.82</v>
      </c>
      <c r="X233" s="26" t="n">
        <f aca="false">IFERROR(W233/N233,0)</f>
        <v>0.0783333333333333</v>
      </c>
      <c r="Y233" s="22" t="str">
        <f aca="false">IF(W233&gt;0,"Win",IF(W233&lt;0,"Loss","Flat"))</f>
        <v>Win</v>
      </c>
      <c r="Z233" s="24" t="n">
        <f aca="false">Summary!$C$5+SUM(W$2:W233)</f>
        <v>3960.35</v>
      </c>
      <c r="AA233" s="24" t="n">
        <f aca="false">MAX(AA232,Z233)</f>
        <v>5000</v>
      </c>
      <c r="AB233" s="24" t="n">
        <f aca="false">AA233-Z233</f>
        <v>1039.65</v>
      </c>
      <c r="AC233" s="23" t="n">
        <f aca="false">IFERROR(AB233/AA233,0)</f>
        <v>0.20793</v>
      </c>
      <c r="AD233" s="22" t="s">
        <v>470</v>
      </c>
    </row>
    <row r="234" customFormat="false" ht="15" hidden="false" customHeight="false" outlineLevel="0" collapsed="false">
      <c r="A234" s="22" t="n">
        <v>233</v>
      </c>
      <c r="B234" s="22" t="s">
        <v>126</v>
      </c>
      <c r="C234" s="37" t="n">
        <v>44854.5318518519</v>
      </c>
      <c r="D234" s="22" t="s">
        <v>205</v>
      </c>
      <c r="E234" s="22" t="n">
        <v>12</v>
      </c>
      <c r="F234" s="22" t="s">
        <v>181</v>
      </c>
      <c r="G234" s="22" t="s">
        <v>235</v>
      </c>
      <c r="H234" s="22" t="n">
        <v>0.06</v>
      </c>
      <c r="I234" s="38" t="n">
        <v>1634.84</v>
      </c>
      <c r="J234" s="38" t="n">
        <v>1634.88</v>
      </c>
      <c r="K234" s="39" t="n">
        <f aca="false">IF(F234="BUY",J234-I234,I234-J234)</f>
        <v>0.040000000000191</v>
      </c>
      <c r="L234" s="38" t="n">
        <v>1628.84</v>
      </c>
      <c r="M234" s="39" t="n">
        <f aca="false">ABS(I234-L234)</f>
        <v>6</v>
      </c>
      <c r="N234" s="24" t="n">
        <f aca="false">M234*H234*Summary!$C$6</f>
        <v>36</v>
      </c>
      <c r="O234" s="37" t="n">
        <v>44854.618599537</v>
      </c>
      <c r="P234" s="22" t="n">
        <f aca="false">ROUND((O234-C234)*86400,0)</f>
        <v>7495</v>
      </c>
      <c r="Q234" s="22" t="str">
        <f aca="false">IF(P234&lt;10,"a) &lt;10s",IF(P234&lt;60,"b) 10-60s",IF(P234&lt;600,"c) 1-10min","d) &gt;10min")))</f>
        <v>d) &gt;10min</v>
      </c>
      <c r="R234" s="38" t="n">
        <v>1635.38</v>
      </c>
      <c r="S234" s="38" t="n">
        <v>1635.32</v>
      </c>
      <c r="T234" s="22" t="s">
        <v>189</v>
      </c>
      <c r="U234" s="39" t="n">
        <f aca="false">IF(R234="","",IF(F234="BUY",R234-S234,S234-R234))</f>
        <v>0.0600000000001728</v>
      </c>
      <c r="V234" s="39" t="n">
        <f aca="false">IF(F234="BUY",S234-J234,J234-S234)</f>
        <v>0.439999999999827</v>
      </c>
      <c r="W234" s="6" t="n">
        <v>2.64</v>
      </c>
      <c r="X234" s="26" t="n">
        <f aca="false">IFERROR(W234/N234,0)</f>
        <v>0.0733333333333333</v>
      </c>
      <c r="Y234" s="22" t="str">
        <f aca="false">IF(W234&gt;0,"Win",IF(W234&lt;0,"Loss","Flat"))</f>
        <v>Win</v>
      </c>
      <c r="Z234" s="24" t="n">
        <f aca="false">Summary!$C$5+SUM(W$2:W234)</f>
        <v>3962.99</v>
      </c>
      <c r="AA234" s="24" t="n">
        <f aca="false">MAX(AA233,Z234)</f>
        <v>5000</v>
      </c>
      <c r="AB234" s="24" t="n">
        <f aca="false">AA234-Z234</f>
        <v>1037.01</v>
      </c>
      <c r="AC234" s="23" t="n">
        <f aca="false">IFERROR(AB234/AA234,0)</f>
        <v>0.207402</v>
      </c>
      <c r="AD234" s="22" t="s">
        <v>471</v>
      </c>
    </row>
    <row r="235" customFormat="false" ht="15" hidden="false" customHeight="false" outlineLevel="0" collapsed="false">
      <c r="A235" s="22" t="n">
        <v>234</v>
      </c>
      <c r="B235" s="22" t="s">
        <v>126</v>
      </c>
      <c r="C235" s="37" t="n">
        <v>44855.280462963</v>
      </c>
      <c r="D235" s="22" t="s">
        <v>206</v>
      </c>
      <c r="E235" s="22" t="n">
        <v>6</v>
      </c>
      <c r="F235" s="22" t="s">
        <v>182</v>
      </c>
      <c r="G235" s="22" t="s">
        <v>237</v>
      </c>
      <c r="H235" s="22" t="n">
        <v>0.06</v>
      </c>
      <c r="I235" s="38" t="n">
        <v>1622.26</v>
      </c>
      <c r="J235" s="38" t="n">
        <v>1622.21</v>
      </c>
      <c r="K235" s="39" t="n">
        <f aca="false">IF(F235="BUY",J235-I235,I235-J235)</f>
        <v>0.0499999999999545</v>
      </c>
      <c r="L235" s="38" t="n">
        <v>1628.26</v>
      </c>
      <c r="M235" s="39" t="n">
        <f aca="false">ABS(I235-L235)</f>
        <v>6</v>
      </c>
      <c r="N235" s="24" t="n">
        <f aca="false">M235*H235*Summary!$C$6</f>
        <v>36</v>
      </c>
      <c r="O235" s="37" t="n">
        <v>44855.3565046296</v>
      </c>
      <c r="P235" s="22" t="n">
        <f aca="false">ROUND((O235-C235)*86400,0)</f>
        <v>6570</v>
      </c>
      <c r="Q235" s="22" t="str">
        <f aca="false">IF(P235&lt;10,"a) &lt;10s",IF(P235&lt;60,"b) 10-60s",IF(P235&lt;600,"c) 1-10min","d) &gt;10min")))</f>
        <v>d) &gt;10min</v>
      </c>
      <c r="R235" s="38" t="n">
        <v>1621.71</v>
      </c>
      <c r="S235" s="38" t="n">
        <v>1621.82</v>
      </c>
      <c r="T235" s="22" t="s">
        <v>189</v>
      </c>
      <c r="U235" s="39" t="n">
        <f aca="false">IF(R235="","",IF(F235="BUY",R235-S235,S235-R235))</f>
        <v>0.1099999999999</v>
      </c>
      <c r="V235" s="39" t="n">
        <f aca="false">IF(F235="BUY",S235-J235,J235-S235)</f>
        <v>0.3900000000001</v>
      </c>
      <c r="W235" s="6" t="n">
        <v>2.34</v>
      </c>
      <c r="X235" s="26" t="n">
        <f aca="false">IFERROR(W235/N235,0)</f>
        <v>0.065</v>
      </c>
      <c r="Y235" s="22" t="str">
        <f aca="false">IF(W235&gt;0,"Win",IF(W235&lt;0,"Loss","Flat"))</f>
        <v>Win</v>
      </c>
      <c r="Z235" s="24" t="n">
        <f aca="false">Summary!$C$5+SUM(W$2:W235)</f>
        <v>3965.33</v>
      </c>
      <c r="AA235" s="24" t="n">
        <f aca="false">MAX(AA234,Z235)</f>
        <v>5000</v>
      </c>
      <c r="AB235" s="24" t="n">
        <f aca="false">AA235-Z235</f>
        <v>1034.67</v>
      </c>
      <c r="AC235" s="23" t="n">
        <f aca="false">IFERROR(AB235/AA235,0)</f>
        <v>0.206934</v>
      </c>
      <c r="AD235" s="22" t="s">
        <v>472</v>
      </c>
    </row>
    <row r="236" customFormat="false" ht="15" hidden="false" customHeight="false" outlineLevel="0" collapsed="false">
      <c r="A236" s="22" t="n">
        <v>235</v>
      </c>
      <c r="B236" s="22" t="s">
        <v>126</v>
      </c>
      <c r="C236" s="37" t="n">
        <v>44855.3886226852</v>
      </c>
      <c r="D236" s="22" t="s">
        <v>206</v>
      </c>
      <c r="E236" s="22" t="n">
        <v>9</v>
      </c>
      <c r="F236" s="22" t="s">
        <v>182</v>
      </c>
      <c r="G236" s="22" t="s">
        <v>241</v>
      </c>
      <c r="H236" s="22" t="n">
        <v>0.06</v>
      </c>
      <c r="I236" s="38" t="n">
        <v>1619.68</v>
      </c>
      <c r="J236" s="38" t="n">
        <v>1619.67</v>
      </c>
      <c r="K236" s="39" t="n">
        <f aca="false">IF(F236="BUY",J236-I236,I236-J236)</f>
        <v>0.00999999999999091</v>
      </c>
      <c r="L236" s="38" t="n">
        <v>1625.68</v>
      </c>
      <c r="M236" s="39" t="n">
        <f aca="false">ABS(I236-L236)</f>
        <v>6</v>
      </c>
      <c r="N236" s="24" t="n">
        <f aca="false">M236*H236*Summary!$C$6</f>
        <v>36</v>
      </c>
      <c r="O236" s="37" t="n">
        <v>44855.4272453704</v>
      </c>
      <c r="P236" s="22" t="n">
        <f aca="false">ROUND((O236-C236)*86400,0)</f>
        <v>3337</v>
      </c>
      <c r="Q236" s="22" t="str">
        <f aca="false">IF(P236&lt;10,"a) &lt;10s",IF(P236&lt;60,"b) 10-60s",IF(P236&lt;600,"c) 1-10min","d) &gt;10min")))</f>
        <v>d) &gt;10min</v>
      </c>
      <c r="R236" s="38" t="n">
        <v>1619.17</v>
      </c>
      <c r="S236" s="38" t="n">
        <v>1619.27</v>
      </c>
      <c r="T236" s="22" t="s">
        <v>189</v>
      </c>
      <c r="U236" s="39" t="n">
        <f aca="false">IF(R236="","",IF(F236="BUY",R236-S236,S236-R236))</f>
        <v>0.0999999999999091</v>
      </c>
      <c r="V236" s="39" t="n">
        <f aca="false">IF(F236="BUY",S236-J236,J236-S236)</f>
        <v>0.400000000000091</v>
      </c>
      <c r="W236" s="6" t="n">
        <v>2.4</v>
      </c>
      <c r="X236" s="26" t="n">
        <f aca="false">IFERROR(W236/N236,0)</f>
        <v>0.0666666666666667</v>
      </c>
      <c r="Y236" s="22" t="str">
        <f aca="false">IF(W236&gt;0,"Win",IF(W236&lt;0,"Loss","Flat"))</f>
        <v>Win</v>
      </c>
      <c r="Z236" s="24" t="n">
        <f aca="false">Summary!$C$5+SUM(W$2:W236)</f>
        <v>3967.73</v>
      </c>
      <c r="AA236" s="24" t="n">
        <f aca="false">MAX(AA235,Z236)</f>
        <v>5000</v>
      </c>
      <c r="AB236" s="24" t="n">
        <f aca="false">AA236-Z236</f>
        <v>1032.27</v>
      </c>
      <c r="AC236" s="23" t="n">
        <f aca="false">IFERROR(AB236/AA236,0)</f>
        <v>0.206454</v>
      </c>
      <c r="AD236" s="22" t="s">
        <v>473</v>
      </c>
    </row>
    <row r="237" customFormat="false" ht="15" hidden="false" customHeight="false" outlineLevel="0" collapsed="false">
      <c r="A237" s="22" t="n">
        <v>236</v>
      </c>
      <c r="B237" s="22" t="s">
        <v>126</v>
      </c>
      <c r="C237" s="37" t="n">
        <v>44858.3750115741</v>
      </c>
      <c r="D237" s="22" t="s">
        <v>202</v>
      </c>
      <c r="E237" s="22" t="n">
        <v>9</v>
      </c>
      <c r="F237" s="22" t="s">
        <v>182</v>
      </c>
      <c r="G237" s="22" t="s">
        <v>241</v>
      </c>
      <c r="H237" s="22" t="n">
        <v>0.06</v>
      </c>
      <c r="I237" s="38" t="n">
        <v>1653.72</v>
      </c>
      <c r="J237" s="38" t="n">
        <v>1653.56</v>
      </c>
      <c r="K237" s="39" t="n">
        <f aca="false">IF(F237="BUY",J237-I237,I237-J237)</f>
        <v>0.160000000000082</v>
      </c>
      <c r="L237" s="38" t="n">
        <v>1659.72</v>
      </c>
      <c r="M237" s="39" t="n">
        <f aca="false">ABS(I237-L237)</f>
        <v>6</v>
      </c>
      <c r="N237" s="24" t="n">
        <f aca="false">M237*H237*Summary!$C$6</f>
        <v>36</v>
      </c>
      <c r="O237" s="37" t="n">
        <v>44858.6992013889</v>
      </c>
      <c r="P237" s="22" t="n">
        <f aca="false">ROUND((O237-C237)*86400,0)</f>
        <v>28010</v>
      </c>
      <c r="Q237" s="22" t="str">
        <f aca="false">IF(P237&lt;10,"a) &lt;10s",IF(P237&lt;60,"b) 10-60s",IF(P237&lt;600,"c) 1-10min","d) &gt;10min")))</f>
        <v>d) &gt;10min</v>
      </c>
      <c r="R237" s="38" t="n">
        <v>1653.06</v>
      </c>
      <c r="S237" s="38" t="n">
        <v>1653.14</v>
      </c>
      <c r="T237" s="22" t="s">
        <v>189</v>
      </c>
      <c r="U237" s="39" t="n">
        <f aca="false">IF(R237="","",IF(F237="BUY",R237-S237,S237-R237))</f>
        <v>0.0800000000001546</v>
      </c>
      <c r="V237" s="39" t="n">
        <f aca="false">IF(F237="BUY",S237-J237,J237-S237)</f>
        <v>0.419999999999845</v>
      </c>
      <c r="W237" s="6" t="n">
        <v>2.52</v>
      </c>
      <c r="X237" s="26" t="n">
        <f aca="false">IFERROR(W237/N237,0)</f>
        <v>0.07</v>
      </c>
      <c r="Y237" s="22" t="str">
        <f aca="false">IF(W237&gt;0,"Win",IF(W237&lt;0,"Loss","Flat"))</f>
        <v>Win</v>
      </c>
      <c r="Z237" s="24" t="n">
        <f aca="false">Summary!$C$5+SUM(W$2:W237)</f>
        <v>3970.25</v>
      </c>
      <c r="AA237" s="24" t="n">
        <f aca="false">MAX(AA236,Z237)</f>
        <v>5000</v>
      </c>
      <c r="AB237" s="24" t="n">
        <f aca="false">AA237-Z237</f>
        <v>1029.75</v>
      </c>
      <c r="AC237" s="23" t="n">
        <f aca="false">IFERROR(AB237/AA237,0)</f>
        <v>0.20595</v>
      </c>
      <c r="AD237" s="22" t="s">
        <v>474</v>
      </c>
    </row>
    <row r="238" customFormat="false" ht="15" hidden="false" customHeight="false" outlineLevel="0" collapsed="false">
      <c r="A238" s="22" t="n">
        <v>237</v>
      </c>
      <c r="B238" s="22" t="s">
        <v>126</v>
      </c>
      <c r="C238" s="37" t="n">
        <v>44859.4352430556</v>
      </c>
      <c r="D238" s="22" t="s">
        <v>203</v>
      </c>
      <c r="E238" s="22" t="n">
        <v>10</v>
      </c>
      <c r="F238" s="22" t="s">
        <v>182</v>
      </c>
      <c r="G238" s="22" t="s">
        <v>241</v>
      </c>
      <c r="H238" s="22" t="n">
        <v>0.06</v>
      </c>
      <c r="I238" s="38" t="n">
        <v>1647.13</v>
      </c>
      <c r="J238" s="38" t="n">
        <v>1646.88</v>
      </c>
      <c r="K238" s="39" t="n">
        <f aca="false">IF(F238="BUY",J238-I238,I238-J238)</f>
        <v>0.25</v>
      </c>
      <c r="L238" s="38" t="n">
        <v>1653.13</v>
      </c>
      <c r="M238" s="39" t="n">
        <f aca="false">ABS(I238-L238)</f>
        <v>6</v>
      </c>
      <c r="N238" s="24" t="n">
        <f aca="false">M238*H238*Summary!$C$6</f>
        <v>36</v>
      </c>
      <c r="O238" s="37" t="n">
        <v>44859.4521064815</v>
      </c>
      <c r="P238" s="22" t="n">
        <f aca="false">ROUND((O238-C238)*86400,0)</f>
        <v>1457</v>
      </c>
      <c r="Q238" s="22" t="str">
        <f aca="false">IF(P238&lt;10,"a) &lt;10s",IF(P238&lt;60,"b) 10-60s",IF(P238&lt;600,"c) 1-10min","d) &gt;10min")))</f>
        <v>d) &gt;10min</v>
      </c>
      <c r="R238" s="38" t="n">
        <v>1646.38</v>
      </c>
      <c r="S238" s="38" t="n">
        <v>1646.39</v>
      </c>
      <c r="T238" s="22" t="s">
        <v>189</v>
      </c>
      <c r="U238" s="39" t="n">
        <f aca="false">IF(R238="","",IF(F238="BUY",R238-S238,S238-R238))</f>
        <v>0.00999999999999091</v>
      </c>
      <c r="V238" s="39" t="n">
        <f aca="false">IF(F238="BUY",S238-J238,J238-S238)</f>
        <v>0.490000000000009</v>
      </c>
      <c r="W238" s="6" t="n">
        <v>2.94</v>
      </c>
      <c r="X238" s="26" t="n">
        <f aca="false">IFERROR(W238/N238,0)</f>
        <v>0.0816666666666667</v>
      </c>
      <c r="Y238" s="22" t="str">
        <f aca="false">IF(W238&gt;0,"Win",IF(W238&lt;0,"Loss","Flat"))</f>
        <v>Win</v>
      </c>
      <c r="Z238" s="24" t="n">
        <f aca="false">Summary!$C$5+SUM(W$2:W238)</f>
        <v>3973.19</v>
      </c>
      <c r="AA238" s="24" t="n">
        <f aca="false">MAX(AA237,Z238)</f>
        <v>5000</v>
      </c>
      <c r="AB238" s="24" t="n">
        <f aca="false">AA238-Z238</f>
        <v>1026.81</v>
      </c>
      <c r="AC238" s="23" t="n">
        <f aca="false">IFERROR(AB238/AA238,0)</f>
        <v>0.205362</v>
      </c>
      <c r="AD238" s="22" t="s">
        <v>475</v>
      </c>
    </row>
    <row r="239" customFormat="false" ht="15" hidden="false" customHeight="false" outlineLevel="0" collapsed="false">
      <c r="A239" s="22" t="n">
        <v>238</v>
      </c>
      <c r="B239" s="22" t="s">
        <v>126</v>
      </c>
      <c r="C239" s="37" t="n">
        <v>44859.4971412037</v>
      </c>
      <c r="D239" s="22" t="s">
        <v>203</v>
      </c>
      <c r="E239" s="22" t="n">
        <v>11</v>
      </c>
      <c r="F239" s="22" t="s">
        <v>182</v>
      </c>
      <c r="G239" s="22" t="s">
        <v>237</v>
      </c>
      <c r="H239" s="22" t="n">
        <v>0.06</v>
      </c>
      <c r="I239" s="38" t="n">
        <v>1643.75</v>
      </c>
      <c r="J239" s="38" t="n">
        <v>1643.54</v>
      </c>
      <c r="K239" s="39" t="n">
        <f aca="false">IF(F239="BUY",J239-I239,I239-J239)</f>
        <v>0.210000000000036</v>
      </c>
      <c r="L239" s="38" t="n">
        <v>1649.75</v>
      </c>
      <c r="M239" s="39" t="n">
        <f aca="false">ABS(I239-L239)</f>
        <v>6</v>
      </c>
      <c r="N239" s="24" t="n">
        <f aca="false">M239*H239*Summary!$C$6</f>
        <v>36</v>
      </c>
      <c r="O239" s="37" t="n">
        <v>44859.6029166667</v>
      </c>
      <c r="P239" s="22" t="n">
        <f aca="false">ROUND((O239-C239)*86400,0)</f>
        <v>9139</v>
      </c>
      <c r="Q239" s="22" t="str">
        <f aca="false">IF(P239&lt;10,"a) &lt;10s",IF(P239&lt;60,"b) 10-60s",IF(P239&lt;600,"c) 1-10min","d) &gt;10min")))</f>
        <v>d) &gt;10min</v>
      </c>
      <c r="R239" s="38" t="n">
        <v>1643.04</v>
      </c>
      <c r="S239" s="38" t="n">
        <v>1643.06</v>
      </c>
      <c r="T239" s="22" t="s">
        <v>189</v>
      </c>
      <c r="U239" s="39" t="n">
        <f aca="false">IF(R239="","",IF(F239="BUY",R239-S239,S239-R239))</f>
        <v>0.0199999999999818</v>
      </c>
      <c r="V239" s="39" t="n">
        <f aca="false">IF(F239="BUY",S239-J239,J239-S239)</f>
        <v>0.480000000000018</v>
      </c>
      <c r="W239" s="6" t="n">
        <v>2.88</v>
      </c>
      <c r="X239" s="26" t="n">
        <f aca="false">IFERROR(W239/N239,0)</f>
        <v>0.08</v>
      </c>
      <c r="Y239" s="22" t="str">
        <f aca="false">IF(W239&gt;0,"Win",IF(W239&lt;0,"Loss","Flat"))</f>
        <v>Win</v>
      </c>
      <c r="Z239" s="24" t="n">
        <f aca="false">Summary!$C$5+SUM(W$2:W239)</f>
        <v>3976.07</v>
      </c>
      <c r="AA239" s="24" t="n">
        <f aca="false">MAX(AA238,Z239)</f>
        <v>5000</v>
      </c>
      <c r="AB239" s="24" t="n">
        <f aca="false">AA239-Z239</f>
        <v>1023.93</v>
      </c>
      <c r="AC239" s="23" t="n">
        <f aca="false">IFERROR(AB239/AA239,0)</f>
        <v>0.204786</v>
      </c>
      <c r="AD239" s="22" t="s">
        <v>476</v>
      </c>
    </row>
    <row r="240" customFormat="false" ht="15" hidden="false" customHeight="false" outlineLevel="0" collapsed="false">
      <c r="A240" s="22" t="n">
        <v>239</v>
      </c>
      <c r="B240" s="22" t="s">
        <v>126</v>
      </c>
      <c r="C240" s="37" t="n">
        <v>44860.3831944445</v>
      </c>
      <c r="D240" s="22" t="s">
        <v>204</v>
      </c>
      <c r="E240" s="22" t="n">
        <v>9</v>
      </c>
      <c r="F240" s="22" t="s">
        <v>181</v>
      </c>
      <c r="G240" s="22" t="s">
        <v>235</v>
      </c>
      <c r="H240" s="22" t="n">
        <v>0.06</v>
      </c>
      <c r="I240" s="38" t="n">
        <v>1660.13</v>
      </c>
      <c r="J240" s="38" t="n">
        <v>1660.14</v>
      </c>
      <c r="K240" s="39" t="n">
        <f aca="false">IF(F240="BUY",J240-I240,I240-J240)</f>
        <v>0.00999999999999091</v>
      </c>
      <c r="L240" s="38" t="n">
        <v>1654.13</v>
      </c>
      <c r="M240" s="39" t="n">
        <f aca="false">ABS(I240-L240)</f>
        <v>6</v>
      </c>
      <c r="N240" s="24" t="n">
        <f aca="false">M240*H240*Summary!$C$6</f>
        <v>36</v>
      </c>
      <c r="O240" s="37" t="n">
        <v>44860.665462963</v>
      </c>
      <c r="P240" s="22" t="n">
        <f aca="false">ROUND((O240-C240)*86400,0)</f>
        <v>24388</v>
      </c>
      <c r="Q240" s="22" t="str">
        <f aca="false">IF(P240&lt;10,"a) &lt;10s",IF(P240&lt;60,"b) 10-60s",IF(P240&lt;600,"c) 1-10min","d) &gt;10min")))</f>
        <v>d) &gt;10min</v>
      </c>
      <c r="R240" s="38" t="n">
        <v>1660.64</v>
      </c>
      <c r="S240" s="38" t="n">
        <v>1660.63</v>
      </c>
      <c r="T240" s="22" t="s">
        <v>189</v>
      </c>
      <c r="U240" s="39" t="n">
        <f aca="false">IF(R240="","",IF(F240="BUY",R240-S240,S240-R240))</f>
        <v>0.00999999999999091</v>
      </c>
      <c r="V240" s="39" t="n">
        <f aca="false">IF(F240="BUY",S240-J240,J240-S240)</f>
        <v>0.490000000000009</v>
      </c>
      <c r="W240" s="6" t="n">
        <v>2.94</v>
      </c>
      <c r="X240" s="26" t="n">
        <f aca="false">IFERROR(W240/N240,0)</f>
        <v>0.0816666666666667</v>
      </c>
      <c r="Y240" s="22" t="str">
        <f aca="false">IF(W240&gt;0,"Win",IF(W240&lt;0,"Loss","Flat"))</f>
        <v>Win</v>
      </c>
      <c r="Z240" s="24" t="n">
        <f aca="false">Summary!$C$5+SUM(W$2:W240)</f>
        <v>3979.01</v>
      </c>
      <c r="AA240" s="24" t="n">
        <f aca="false">MAX(AA239,Z240)</f>
        <v>5000</v>
      </c>
      <c r="AB240" s="24" t="n">
        <f aca="false">AA240-Z240</f>
        <v>1020.99</v>
      </c>
      <c r="AC240" s="23" t="n">
        <f aca="false">IFERROR(AB240/AA240,0)</f>
        <v>0.204198</v>
      </c>
      <c r="AD240" s="22" t="s">
        <v>477</v>
      </c>
    </row>
    <row r="241" customFormat="false" ht="15" hidden="false" customHeight="false" outlineLevel="0" collapsed="false">
      <c r="A241" s="22" t="n">
        <v>240</v>
      </c>
      <c r="B241" s="22" t="s">
        <v>126</v>
      </c>
      <c r="C241" s="37" t="n">
        <v>44861.3990046296</v>
      </c>
      <c r="D241" s="22" t="s">
        <v>205</v>
      </c>
      <c r="E241" s="22" t="n">
        <v>9</v>
      </c>
      <c r="F241" s="22" t="s">
        <v>182</v>
      </c>
      <c r="G241" s="22" t="s">
        <v>241</v>
      </c>
      <c r="H241" s="22" t="n">
        <v>0.06</v>
      </c>
      <c r="I241" s="38" t="n">
        <v>1662.85</v>
      </c>
      <c r="J241" s="38" t="n">
        <v>1662.84</v>
      </c>
      <c r="K241" s="39" t="n">
        <f aca="false">IF(F241="BUY",J241-I241,I241-J241)</f>
        <v>0.00999999999999091</v>
      </c>
      <c r="L241" s="38" t="n">
        <v>1668.85</v>
      </c>
      <c r="M241" s="39" t="n">
        <f aca="false">ABS(I241-L241)</f>
        <v>6</v>
      </c>
      <c r="N241" s="24" t="n">
        <f aca="false">M241*H241*Summary!$C$6</f>
        <v>36</v>
      </c>
      <c r="O241" s="37" t="n">
        <v>44861.4234953704</v>
      </c>
      <c r="P241" s="22" t="n">
        <f aca="false">ROUND((O241-C241)*86400,0)</f>
        <v>2116</v>
      </c>
      <c r="Q241" s="22" t="str">
        <f aca="false">IF(P241&lt;10,"a) &lt;10s",IF(P241&lt;60,"b) 10-60s",IF(P241&lt;600,"c) 1-10min","d) &gt;10min")))</f>
        <v>d) &gt;10min</v>
      </c>
      <c r="R241" s="38" t="n">
        <v>1662.34</v>
      </c>
      <c r="S241" s="38" t="n">
        <v>1662.5</v>
      </c>
      <c r="T241" s="22" t="s">
        <v>189</v>
      </c>
      <c r="U241" s="39" t="n">
        <f aca="false">IF(R241="","",IF(F241="BUY",R241-S241,S241-R241))</f>
        <v>0.160000000000082</v>
      </c>
      <c r="V241" s="39" t="n">
        <f aca="false">IF(F241="BUY",S241-J241,J241-S241)</f>
        <v>0.339999999999918</v>
      </c>
      <c r="W241" s="6" t="n">
        <v>2.04</v>
      </c>
      <c r="X241" s="26" t="n">
        <f aca="false">IFERROR(W241/N241,0)</f>
        <v>0.0566666666666667</v>
      </c>
      <c r="Y241" s="22" t="str">
        <f aca="false">IF(W241&gt;0,"Win",IF(W241&lt;0,"Loss","Flat"))</f>
        <v>Win</v>
      </c>
      <c r="Z241" s="24" t="n">
        <f aca="false">Summary!$C$5+SUM(W$2:W241)</f>
        <v>3981.05</v>
      </c>
      <c r="AA241" s="24" t="n">
        <f aca="false">MAX(AA240,Z241)</f>
        <v>5000</v>
      </c>
      <c r="AB241" s="24" t="n">
        <f aca="false">AA241-Z241</f>
        <v>1018.95</v>
      </c>
      <c r="AC241" s="23" t="n">
        <f aca="false">IFERROR(AB241/AA241,0)</f>
        <v>0.20379</v>
      </c>
      <c r="AD241" s="22" t="s">
        <v>478</v>
      </c>
    </row>
    <row r="242" customFormat="false" ht="15" hidden="false" customHeight="false" outlineLevel="0" collapsed="false">
      <c r="A242" s="22" t="n">
        <v>241</v>
      </c>
      <c r="B242" s="22" t="s">
        <v>126</v>
      </c>
      <c r="C242" s="37" t="n">
        <v>44862.3837037037</v>
      </c>
      <c r="D242" s="22" t="s">
        <v>206</v>
      </c>
      <c r="E242" s="22" t="n">
        <v>9</v>
      </c>
      <c r="F242" s="22" t="s">
        <v>182</v>
      </c>
      <c r="G242" s="22" t="s">
        <v>241</v>
      </c>
      <c r="H242" s="22" t="n">
        <v>0.06</v>
      </c>
      <c r="I242" s="38" t="n">
        <v>1659.27</v>
      </c>
      <c r="J242" s="38" t="n">
        <v>1659.26</v>
      </c>
      <c r="K242" s="39" t="n">
        <f aca="false">IF(F242="BUY",J242-I242,I242-J242)</f>
        <v>0.00999999999999091</v>
      </c>
      <c r="L242" s="38" t="n">
        <v>1665.27</v>
      </c>
      <c r="M242" s="39" t="n">
        <f aca="false">ABS(I242-L242)</f>
        <v>6</v>
      </c>
      <c r="N242" s="24" t="n">
        <f aca="false">M242*H242*Summary!$C$6</f>
        <v>36</v>
      </c>
      <c r="O242" s="37" t="n">
        <v>44862.9270833333</v>
      </c>
      <c r="P242" s="22" t="n">
        <f aca="false">ROUND((O242-C242)*86400,0)</f>
        <v>46948</v>
      </c>
      <c r="Q242" s="22" t="str">
        <f aca="false">IF(P242&lt;10,"a) &lt;10s",IF(P242&lt;60,"b) 10-60s",IF(P242&lt;600,"c) 1-10min","d) &gt;10min")))</f>
        <v>d) &gt;10min</v>
      </c>
      <c r="R242" s="38"/>
      <c r="S242" s="38" t="n">
        <v>1643.65</v>
      </c>
      <c r="T242" s="22" t="s">
        <v>191</v>
      </c>
      <c r="U242" s="39" t="str">
        <f aca="false">IF(R242="","",IF(F242="BUY",R242-S242,S242-R242))</f>
        <v/>
      </c>
      <c r="V242" s="39" t="n">
        <f aca="false">IF(F242="BUY",S242-J242,J242-S242)</f>
        <v>15.6099999999999</v>
      </c>
      <c r="W242" s="6" t="n">
        <v>93.66</v>
      </c>
      <c r="X242" s="26" t="n">
        <f aca="false">IFERROR(W242/N242,0)</f>
        <v>2.60166666666667</v>
      </c>
      <c r="Y242" s="22" t="str">
        <f aca="false">IF(W242&gt;0,"Win",IF(W242&lt;0,"Loss","Flat"))</f>
        <v>Win</v>
      </c>
      <c r="Z242" s="24" t="n">
        <f aca="false">Summary!$C$5+SUM(W$2:W242)</f>
        <v>4074.71</v>
      </c>
      <c r="AA242" s="24" t="n">
        <f aca="false">MAX(AA241,Z242)</f>
        <v>5000</v>
      </c>
      <c r="AB242" s="24" t="n">
        <f aca="false">AA242-Z242</f>
        <v>925.29</v>
      </c>
      <c r="AC242" s="23" t="n">
        <f aca="false">IFERROR(AB242/AA242,0)</f>
        <v>0.185058</v>
      </c>
      <c r="AD242" s="22" t="s">
        <v>479</v>
      </c>
    </row>
    <row r="243" customFormat="false" ht="15" hidden="false" customHeight="false" outlineLevel="0" collapsed="false">
      <c r="A243" s="22" t="n">
        <v>242</v>
      </c>
      <c r="B243" s="22" t="s">
        <v>126</v>
      </c>
      <c r="C243" s="37" t="n">
        <v>44865.3751851852</v>
      </c>
      <c r="D243" s="22" t="s">
        <v>202</v>
      </c>
      <c r="E243" s="22" t="n">
        <v>9</v>
      </c>
      <c r="F243" s="22" t="s">
        <v>182</v>
      </c>
      <c r="G243" s="22" t="s">
        <v>241</v>
      </c>
      <c r="H243" s="22" t="n">
        <v>0.06</v>
      </c>
      <c r="I243" s="38" t="n">
        <v>1641.2</v>
      </c>
      <c r="J243" s="38" t="n">
        <v>1641.18</v>
      </c>
      <c r="K243" s="39" t="n">
        <f aca="false">IF(F243="BUY",J243-I243,I243-J243)</f>
        <v>0.0199999999999818</v>
      </c>
      <c r="L243" s="38" t="n">
        <v>1647.2</v>
      </c>
      <c r="M243" s="39" t="n">
        <f aca="false">ABS(I243-L243)</f>
        <v>6</v>
      </c>
      <c r="N243" s="24" t="n">
        <f aca="false">M243*H243*Summary!$C$6</f>
        <v>36</v>
      </c>
      <c r="O243" s="37" t="n">
        <v>44865.5837847222</v>
      </c>
      <c r="P243" s="22" t="n">
        <f aca="false">ROUND((O243-C243)*86400,0)</f>
        <v>18023</v>
      </c>
      <c r="Q243" s="22" t="str">
        <f aca="false">IF(P243&lt;10,"a) &lt;10s",IF(P243&lt;60,"b) 10-60s",IF(P243&lt;600,"c) 1-10min","d) &gt;10min")))</f>
        <v>d) &gt;10min</v>
      </c>
      <c r="R243" s="38" t="n">
        <v>1640.68</v>
      </c>
      <c r="S243" s="38" t="n">
        <v>1640.73</v>
      </c>
      <c r="T243" s="22" t="s">
        <v>189</v>
      </c>
      <c r="U243" s="39" t="n">
        <f aca="false">IF(R243="","",IF(F243="BUY",R243-S243,S243-R243))</f>
        <v>0.0499999999999545</v>
      </c>
      <c r="V243" s="39" t="n">
        <f aca="false">IF(F243="BUY",S243-J243,J243-S243)</f>
        <v>0.450000000000046</v>
      </c>
      <c r="W243" s="6" t="n">
        <v>2.7</v>
      </c>
      <c r="X243" s="26" t="n">
        <f aca="false">IFERROR(W243/N243,0)</f>
        <v>0.075</v>
      </c>
      <c r="Y243" s="22" t="str">
        <f aca="false">IF(W243&gt;0,"Win",IF(W243&lt;0,"Loss","Flat"))</f>
        <v>Win</v>
      </c>
      <c r="Z243" s="24" t="n">
        <f aca="false">Summary!$C$5+SUM(W$2:W243)</f>
        <v>4077.41</v>
      </c>
      <c r="AA243" s="24" t="n">
        <f aca="false">MAX(AA242,Z243)</f>
        <v>5000</v>
      </c>
      <c r="AB243" s="24" t="n">
        <f aca="false">AA243-Z243</f>
        <v>922.59</v>
      </c>
      <c r="AC243" s="23" t="n">
        <f aca="false">IFERROR(AB243/AA243,0)</f>
        <v>0.184518</v>
      </c>
      <c r="AD243" s="22" t="s">
        <v>480</v>
      </c>
    </row>
    <row r="244" customFormat="false" ht="15" hidden="false" customHeight="false" outlineLevel="0" collapsed="false">
      <c r="A244" s="22" t="n">
        <v>243</v>
      </c>
      <c r="B244" s="22" t="s">
        <v>127</v>
      </c>
      <c r="C244" s="37" t="n">
        <v>44866.1250694445</v>
      </c>
      <c r="D244" s="22" t="s">
        <v>203</v>
      </c>
      <c r="E244" s="22" t="n">
        <v>3</v>
      </c>
      <c r="F244" s="22" t="s">
        <v>182</v>
      </c>
      <c r="G244" s="22" t="s">
        <v>237</v>
      </c>
      <c r="H244" s="22" t="n">
        <v>0.06</v>
      </c>
      <c r="I244" s="38" t="n">
        <v>1631.58</v>
      </c>
      <c r="J244" s="38" t="n">
        <v>1631.54</v>
      </c>
      <c r="K244" s="39" t="n">
        <f aca="false">IF(F244="BUY",J244-I244,I244-J244)</f>
        <v>0.0399999999999636</v>
      </c>
      <c r="L244" s="38" t="n">
        <v>1637.58</v>
      </c>
      <c r="M244" s="39" t="n">
        <f aca="false">ABS(I244-L244)</f>
        <v>6</v>
      </c>
      <c r="N244" s="24" t="n">
        <f aca="false">M244*H244*Summary!$C$6</f>
        <v>36</v>
      </c>
      <c r="O244" s="37" t="n">
        <v>44866.1916782407</v>
      </c>
      <c r="P244" s="22" t="n">
        <f aca="false">ROUND((O244-C244)*86400,0)</f>
        <v>5755</v>
      </c>
      <c r="Q244" s="22" t="str">
        <f aca="false">IF(P244&lt;10,"a) &lt;10s",IF(P244&lt;60,"b) 10-60s",IF(P244&lt;600,"c) 1-10min","d) &gt;10min")))</f>
        <v>d) &gt;10min</v>
      </c>
      <c r="R244" s="38" t="n">
        <v>1637.58</v>
      </c>
      <c r="S244" s="38" t="n">
        <v>1637.58</v>
      </c>
      <c r="T244" s="22" t="s">
        <v>188</v>
      </c>
      <c r="U244" s="39" t="n">
        <f aca="false">IF(R244="","",IF(F244="BUY",R244-S244,S244-R244))</f>
        <v>0</v>
      </c>
      <c r="V244" s="39" t="n">
        <f aca="false">IF(F244="BUY",S244-J244,J244-S244)</f>
        <v>-6.03999999999996</v>
      </c>
      <c r="W244" s="6" t="n">
        <v>-36.24</v>
      </c>
      <c r="X244" s="26" t="n">
        <f aca="false">IFERROR(W244/N244,0)</f>
        <v>-1.00666666666667</v>
      </c>
      <c r="Y244" s="22" t="str">
        <f aca="false">IF(W244&gt;0,"Win",IF(W244&lt;0,"Loss","Flat"))</f>
        <v>Loss</v>
      </c>
      <c r="Z244" s="24" t="n">
        <f aca="false">Summary!$C$5+SUM(W$2:W244)</f>
        <v>4041.17</v>
      </c>
      <c r="AA244" s="24" t="n">
        <f aca="false">MAX(AA243,Z244)</f>
        <v>5000</v>
      </c>
      <c r="AB244" s="24" t="n">
        <f aca="false">AA244-Z244</f>
        <v>958.83</v>
      </c>
      <c r="AC244" s="23" t="n">
        <f aca="false">IFERROR(AB244/AA244,0)</f>
        <v>0.191766</v>
      </c>
      <c r="AD244" s="22" t="s">
        <v>481</v>
      </c>
    </row>
    <row r="245" customFormat="false" ht="15" hidden="false" customHeight="false" outlineLevel="0" collapsed="false">
      <c r="A245" s="22" t="n">
        <v>244</v>
      </c>
      <c r="B245" s="22" t="s">
        <v>127</v>
      </c>
      <c r="C245" s="37" t="n">
        <v>44867.4144212963</v>
      </c>
      <c r="D245" s="22" t="s">
        <v>204</v>
      </c>
      <c r="E245" s="22" t="n">
        <v>9</v>
      </c>
      <c r="F245" s="22" t="s">
        <v>181</v>
      </c>
      <c r="G245" s="22" t="s">
        <v>235</v>
      </c>
      <c r="H245" s="22" t="n">
        <v>0.06</v>
      </c>
      <c r="I245" s="38" t="n">
        <v>1652.62</v>
      </c>
      <c r="J245" s="38" t="n">
        <v>1652.65</v>
      </c>
      <c r="K245" s="39" t="n">
        <f aca="false">IF(F245="BUY",J245-I245,I245-J245)</f>
        <v>0.0300000000002001</v>
      </c>
      <c r="L245" s="38" t="n">
        <v>1646.62</v>
      </c>
      <c r="M245" s="39" t="n">
        <f aca="false">ABS(I245-L245)</f>
        <v>6</v>
      </c>
      <c r="N245" s="24" t="n">
        <f aca="false">M245*H245*Summary!$C$6</f>
        <v>36</v>
      </c>
      <c r="O245" s="37" t="n">
        <v>44867.4892592593</v>
      </c>
      <c r="P245" s="22" t="n">
        <f aca="false">ROUND((O245-C245)*86400,0)</f>
        <v>6466</v>
      </c>
      <c r="Q245" s="22" t="str">
        <f aca="false">IF(P245&lt;10,"a) &lt;10s",IF(P245&lt;60,"b) 10-60s",IF(P245&lt;600,"c) 1-10min","d) &gt;10min")))</f>
        <v>d) &gt;10min</v>
      </c>
      <c r="R245" s="38" t="n">
        <v>1653.15</v>
      </c>
      <c r="S245" s="38" t="n">
        <v>1653.15</v>
      </c>
      <c r="T245" s="22" t="s">
        <v>189</v>
      </c>
      <c r="U245" s="39" t="n">
        <f aca="false">IF(R245="","",IF(F245="BUY",R245-S245,S245-R245))</f>
        <v>0</v>
      </c>
      <c r="V245" s="39" t="n">
        <f aca="false">IF(F245="BUY",S245-J245,J245-S245)</f>
        <v>0.5</v>
      </c>
      <c r="W245" s="6" t="n">
        <v>3</v>
      </c>
      <c r="X245" s="26" t="n">
        <f aca="false">IFERROR(W245/N245,0)</f>
        <v>0.0833333333333333</v>
      </c>
      <c r="Y245" s="22" t="str">
        <f aca="false">IF(W245&gt;0,"Win",IF(W245&lt;0,"Loss","Flat"))</f>
        <v>Win</v>
      </c>
      <c r="Z245" s="24" t="n">
        <f aca="false">Summary!$C$5+SUM(W$2:W245)</f>
        <v>4044.17</v>
      </c>
      <c r="AA245" s="24" t="n">
        <f aca="false">MAX(AA244,Z245)</f>
        <v>5000</v>
      </c>
      <c r="AB245" s="24" t="n">
        <f aca="false">AA245-Z245</f>
        <v>955.83</v>
      </c>
      <c r="AC245" s="23" t="n">
        <f aca="false">IFERROR(AB245/AA245,0)</f>
        <v>0.191166</v>
      </c>
      <c r="AD245" s="22" t="s">
        <v>482</v>
      </c>
    </row>
    <row r="246" customFormat="false" ht="15" hidden="false" customHeight="false" outlineLevel="0" collapsed="false">
      <c r="A246" s="22" t="n">
        <v>245</v>
      </c>
      <c r="B246" s="22" t="s">
        <v>127</v>
      </c>
      <c r="C246" s="37" t="n">
        <v>44867.5640740741</v>
      </c>
      <c r="D246" s="22" t="s">
        <v>204</v>
      </c>
      <c r="E246" s="22" t="n">
        <v>13</v>
      </c>
      <c r="F246" s="22" t="s">
        <v>181</v>
      </c>
      <c r="G246" s="22" t="s">
        <v>243</v>
      </c>
      <c r="H246" s="22" t="n">
        <v>0.06</v>
      </c>
      <c r="I246" s="38" t="n">
        <v>1656.88</v>
      </c>
      <c r="J246" s="38" t="n">
        <v>1656.88</v>
      </c>
      <c r="K246" s="39" t="n">
        <f aca="false">IF(F246="BUY",J246-I246,I246-J246)</f>
        <v>0</v>
      </c>
      <c r="L246" s="38" t="n">
        <v>1650.88</v>
      </c>
      <c r="M246" s="39" t="n">
        <f aca="false">ABS(I246-L246)</f>
        <v>6</v>
      </c>
      <c r="N246" s="24" t="n">
        <f aca="false">M246*H246*Summary!$C$6</f>
        <v>36</v>
      </c>
      <c r="O246" s="37" t="n">
        <v>44867.7149421296</v>
      </c>
      <c r="P246" s="22" t="n">
        <f aca="false">ROUND((O246-C246)*86400,0)</f>
        <v>13035</v>
      </c>
      <c r="Q246" s="22" t="str">
        <f aca="false">IF(P246&lt;10,"a) &lt;10s",IF(P246&lt;60,"b) 10-60s",IF(P246&lt;600,"c) 1-10min","d) &gt;10min")))</f>
        <v>d) &gt;10min</v>
      </c>
      <c r="R246" s="38" t="n">
        <v>1650.88</v>
      </c>
      <c r="S246" s="38" t="n">
        <v>1650.8</v>
      </c>
      <c r="T246" s="22" t="s">
        <v>188</v>
      </c>
      <c r="U246" s="39" t="n">
        <f aca="false">IF(R246="","",IF(F246="BUY",R246-S246,S246-R246))</f>
        <v>0.0800000000001546</v>
      </c>
      <c r="V246" s="39" t="n">
        <f aca="false">IF(F246="BUY",S246-J246,J246-S246)</f>
        <v>-6.08000000000016</v>
      </c>
      <c r="W246" s="6" t="n">
        <v>-36.48</v>
      </c>
      <c r="X246" s="26" t="n">
        <f aca="false">IFERROR(W246/N246,0)</f>
        <v>-1.01333333333333</v>
      </c>
      <c r="Y246" s="22" t="str">
        <f aca="false">IF(W246&gt;0,"Win",IF(W246&lt;0,"Loss","Flat"))</f>
        <v>Loss</v>
      </c>
      <c r="Z246" s="24" t="n">
        <f aca="false">Summary!$C$5+SUM(W$2:W246)</f>
        <v>4007.69</v>
      </c>
      <c r="AA246" s="24" t="n">
        <f aca="false">MAX(AA245,Z246)</f>
        <v>5000</v>
      </c>
      <c r="AB246" s="24" t="n">
        <f aca="false">AA246-Z246</f>
        <v>992.31</v>
      </c>
      <c r="AC246" s="23" t="n">
        <f aca="false">IFERROR(AB246/AA246,0)</f>
        <v>0.198462</v>
      </c>
      <c r="AD246" s="22" t="s">
        <v>483</v>
      </c>
    </row>
    <row r="247" customFormat="false" ht="15" hidden="false" customHeight="false" outlineLevel="0" collapsed="false">
      <c r="A247" s="22" t="n">
        <v>246</v>
      </c>
      <c r="B247" s="22" t="s">
        <v>127</v>
      </c>
      <c r="C247" s="37" t="n">
        <v>44868.3751388889</v>
      </c>
      <c r="D247" s="22" t="s">
        <v>205</v>
      </c>
      <c r="E247" s="22" t="n">
        <v>9</v>
      </c>
      <c r="F247" s="22" t="s">
        <v>182</v>
      </c>
      <c r="G247" s="22" t="s">
        <v>241</v>
      </c>
      <c r="H247" s="22" t="n">
        <v>0.06</v>
      </c>
      <c r="I247" s="38" t="n">
        <v>1636.17</v>
      </c>
      <c r="J247" s="38" t="n">
        <v>1636.14</v>
      </c>
      <c r="K247" s="39" t="n">
        <f aca="false">IF(F247="BUY",J247-I247,I247-J247)</f>
        <v>0.0299999999999727</v>
      </c>
      <c r="L247" s="38" t="n">
        <v>1642.17</v>
      </c>
      <c r="M247" s="39" t="n">
        <f aca="false">ABS(I247-L247)</f>
        <v>6</v>
      </c>
      <c r="N247" s="24" t="n">
        <f aca="false">M247*H247*Summary!$C$6</f>
        <v>36</v>
      </c>
      <c r="O247" s="37" t="n">
        <v>44868.9270833333</v>
      </c>
      <c r="P247" s="22" t="n">
        <f aca="false">ROUND((O247-C247)*86400,0)</f>
        <v>47688</v>
      </c>
      <c r="Q247" s="22" t="str">
        <f aca="false">IF(P247&lt;10,"a) &lt;10s",IF(P247&lt;60,"b) 10-60s",IF(P247&lt;600,"c) 1-10min","d) &gt;10min")))</f>
        <v>d) &gt;10min</v>
      </c>
      <c r="R247" s="38"/>
      <c r="S247" s="38" t="n">
        <v>1631.77</v>
      </c>
      <c r="T247" s="22" t="s">
        <v>191</v>
      </c>
      <c r="U247" s="39" t="str">
        <f aca="false">IF(R247="","",IF(F247="BUY",R247-S247,S247-R247))</f>
        <v/>
      </c>
      <c r="V247" s="39" t="n">
        <f aca="false">IF(F247="BUY",S247-J247,J247-S247)</f>
        <v>4.37000000000012</v>
      </c>
      <c r="W247" s="6" t="n">
        <v>26.22</v>
      </c>
      <c r="X247" s="26" t="n">
        <f aca="false">IFERROR(W247/N247,0)</f>
        <v>0.728333333333333</v>
      </c>
      <c r="Y247" s="22" t="str">
        <f aca="false">IF(W247&gt;0,"Win",IF(W247&lt;0,"Loss","Flat"))</f>
        <v>Win</v>
      </c>
      <c r="Z247" s="24" t="n">
        <f aca="false">Summary!$C$5+SUM(W$2:W247)</f>
        <v>4033.91</v>
      </c>
      <c r="AA247" s="24" t="n">
        <f aca="false">MAX(AA246,Z247)</f>
        <v>5000</v>
      </c>
      <c r="AB247" s="24" t="n">
        <f aca="false">AA247-Z247</f>
        <v>966.09</v>
      </c>
      <c r="AC247" s="23" t="n">
        <f aca="false">IFERROR(AB247/AA247,0)</f>
        <v>0.193218</v>
      </c>
      <c r="AD247" s="22" t="s">
        <v>484</v>
      </c>
    </row>
    <row r="248" customFormat="false" ht="15" hidden="false" customHeight="false" outlineLevel="0" collapsed="false">
      <c r="A248" s="22" t="n">
        <v>247</v>
      </c>
      <c r="B248" s="22" t="s">
        <v>127</v>
      </c>
      <c r="C248" s="37" t="n">
        <v>44869.3010763889</v>
      </c>
      <c r="D248" s="22" t="s">
        <v>206</v>
      </c>
      <c r="E248" s="22" t="n">
        <v>7</v>
      </c>
      <c r="F248" s="22" t="s">
        <v>181</v>
      </c>
      <c r="G248" s="22" t="s">
        <v>243</v>
      </c>
      <c r="H248" s="22" t="n">
        <v>0.06</v>
      </c>
      <c r="I248" s="38" t="n">
        <v>1640.86</v>
      </c>
      <c r="J248" s="38" t="n">
        <v>1640.97</v>
      </c>
      <c r="K248" s="39" t="n">
        <f aca="false">IF(F248="BUY",J248-I248,I248-J248)</f>
        <v>0.110000000000127</v>
      </c>
      <c r="L248" s="38" t="n">
        <v>1634.86</v>
      </c>
      <c r="M248" s="39" t="n">
        <f aca="false">ABS(I248-L248)</f>
        <v>6</v>
      </c>
      <c r="N248" s="24" t="n">
        <f aca="false">M248*H248*Summary!$C$6</f>
        <v>36</v>
      </c>
      <c r="O248" s="37" t="n">
        <v>44869.7188310185</v>
      </c>
      <c r="P248" s="22" t="n">
        <f aca="false">ROUND((O248-C248)*86400,0)</f>
        <v>36094</v>
      </c>
      <c r="Q248" s="22" t="str">
        <f aca="false">IF(P248&lt;10,"a) &lt;10s",IF(P248&lt;60,"b) 10-60s",IF(P248&lt;600,"c) 1-10min","d) &gt;10min")))</f>
        <v>d) &gt;10min</v>
      </c>
      <c r="R248" s="38"/>
      <c r="S248" s="38" t="n">
        <v>1670.9</v>
      </c>
      <c r="T248" s="22" t="s">
        <v>187</v>
      </c>
      <c r="U248" s="39" t="str">
        <f aca="false">IF(R248="","",IF(F248="BUY",R248-S248,S248-R248))</f>
        <v/>
      </c>
      <c r="V248" s="39" t="n">
        <f aca="false">IF(F248="BUY",S248-J248,J248-S248)</f>
        <v>29.9300000000001</v>
      </c>
      <c r="W248" s="6" t="n">
        <v>179.58</v>
      </c>
      <c r="X248" s="26" t="n">
        <f aca="false">IFERROR(W248/N248,0)</f>
        <v>4.98833333333333</v>
      </c>
      <c r="Y248" s="22" t="str">
        <f aca="false">IF(W248&gt;0,"Win",IF(W248&lt;0,"Loss","Flat"))</f>
        <v>Win</v>
      </c>
      <c r="Z248" s="24" t="n">
        <f aca="false">Summary!$C$5+SUM(W$2:W248)</f>
        <v>4213.49</v>
      </c>
      <c r="AA248" s="24" t="n">
        <f aca="false">MAX(AA247,Z248)</f>
        <v>5000</v>
      </c>
      <c r="AB248" s="24" t="n">
        <f aca="false">AA248-Z248</f>
        <v>786.51</v>
      </c>
      <c r="AC248" s="23" t="n">
        <f aca="false">IFERROR(AB248/AA248,0)</f>
        <v>0.157302</v>
      </c>
      <c r="AD248" s="22" t="s">
        <v>485</v>
      </c>
    </row>
    <row r="249" customFormat="false" ht="15" hidden="false" customHeight="false" outlineLevel="0" collapsed="false">
      <c r="A249" s="22" t="n">
        <v>248</v>
      </c>
      <c r="B249" s="22" t="s">
        <v>127</v>
      </c>
      <c r="C249" s="37" t="n">
        <v>44872.3758449074</v>
      </c>
      <c r="D249" s="22" t="s">
        <v>202</v>
      </c>
      <c r="E249" s="22" t="n">
        <v>9</v>
      </c>
      <c r="F249" s="22" t="s">
        <v>182</v>
      </c>
      <c r="G249" s="22" t="s">
        <v>241</v>
      </c>
      <c r="H249" s="22" t="n">
        <v>0.07</v>
      </c>
      <c r="I249" s="38" t="n">
        <v>1670.22</v>
      </c>
      <c r="J249" s="38" t="n">
        <v>1670.2</v>
      </c>
      <c r="K249" s="39" t="n">
        <f aca="false">IF(F249="BUY",J249-I249,I249-J249)</f>
        <v>0.0199999999999818</v>
      </c>
      <c r="L249" s="38" t="n">
        <v>1676.22</v>
      </c>
      <c r="M249" s="39" t="n">
        <f aca="false">ABS(I249-L249)</f>
        <v>6</v>
      </c>
      <c r="N249" s="24" t="n">
        <f aca="false">M249*H249*Summary!$C$6</f>
        <v>42</v>
      </c>
      <c r="O249" s="37" t="n">
        <v>44872.4221527778</v>
      </c>
      <c r="P249" s="22" t="n">
        <f aca="false">ROUND((O249-C249)*86400,0)</f>
        <v>4001</v>
      </c>
      <c r="Q249" s="22" t="str">
        <f aca="false">IF(P249&lt;10,"a) &lt;10s",IF(P249&lt;60,"b) 10-60s",IF(P249&lt;600,"c) 1-10min","d) &gt;10min")))</f>
        <v>d) &gt;10min</v>
      </c>
      <c r="R249" s="38" t="n">
        <v>1669.7</v>
      </c>
      <c r="S249" s="38" t="n">
        <v>1669.72</v>
      </c>
      <c r="T249" s="22" t="s">
        <v>189</v>
      </c>
      <c r="U249" s="39" t="n">
        <f aca="false">IF(R249="","",IF(F249="BUY",R249-S249,S249-R249))</f>
        <v>0.0199999999999818</v>
      </c>
      <c r="V249" s="39" t="n">
        <f aca="false">IF(F249="BUY",S249-J249,J249-S249)</f>
        <v>0.480000000000018</v>
      </c>
      <c r="W249" s="6" t="n">
        <v>3.36</v>
      </c>
      <c r="X249" s="26" t="n">
        <f aca="false">IFERROR(W249/N249,0)</f>
        <v>0.08</v>
      </c>
      <c r="Y249" s="22" t="str">
        <f aca="false">IF(W249&gt;0,"Win",IF(W249&lt;0,"Loss","Flat"))</f>
        <v>Win</v>
      </c>
      <c r="Z249" s="24" t="n">
        <f aca="false">Summary!$C$5+SUM(W$2:W249)</f>
        <v>4216.85</v>
      </c>
      <c r="AA249" s="24" t="n">
        <f aca="false">MAX(AA248,Z249)</f>
        <v>5000</v>
      </c>
      <c r="AB249" s="24" t="n">
        <f aca="false">AA249-Z249</f>
        <v>783.15</v>
      </c>
      <c r="AC249" s="23" t="n">
        <f aca="false">IFERROR(AB249/AA249,0)</f>
        <v>0.15663</v>
      </c>
      <c r="AD249" s="22" t="s">
        <v>486</v>
      </c>
    </row>
    <row r="250" customFormat="false" ht="15" hidden="false" customHeight="false" outlineLevel="0" collapsed="false">
      <c r="A250" s="22" t="n">
        <v>249</v>
      </c>
      <c r="B250" s="22" t="s">
        <v>127</v>
      </c>
      <c r="C250" s="37" t="n">
        <v>44872.6990972222</v>
      </c>
      <c r="D250" s="22" t="s">
        <v>202</v>
      </c>
      <c r="E250" s="22" t="n">
        <v>16</v>
      </c>
      <c r="F250" s="22" t="s">
        <v>181</v>
      </c>
      <c r="G250" s="22" t="s">
        <v>243</v>
      </c>
      <c r="H250" s="22" t="n">
        <v>0.07</v>
      </c>
      <c r="I250" s="38" t="n">
        <v>1681.72</v>
      </c>
      <c r="J250" s="38" t="n">
        <v>1681.77</v>
      </c>
      <c r="K250" s="39" t="n">
        <f aca="false">IF(F250="BUY",J250-I250,I250-J250)</f>
        <v>0.0499999999999545</v>
      </c>
      <c r="L250" s="38" t="n">
        <v>1675.72</v>
      </c>
      <c r="M250" s="39" t="n">
        <f aca="false">ABS(I250-L250)</f>
        <v>6</v>
      </c>
      <c r="N250" s="24" t="n">
        <f aca="false">M250*H250*Summary!$C$6</f>
        <v>42</v>
      </c>
      <c r="O250" s="37" t="n">
        <v>44872.7243981482</v>
      </c>
      <c r="P250" s="22" t="n">
        <f aca="false">ROUND((O250-C250)*86400,0)</f>
        <v>2186</v>
      </c>
      <c r="Q250" s="22" t="str">
        <f aca="false">IF(P250&lt;10,"a) &lt;10s",IF(P250&lt;60,"b) 10-60s",IF(P250&lt;600,"c) 1-10min","d) &gt;10min")))</f>
        <v>d) &gt;10min</v>
      </c>
      <c r="R250" s="38" t="n">
        <v>1675.72</v>
      </c>
      <c r="S250" s="38" t="n">
        <v>1675.69</v>
      </c>
      <c r="T250" s="22" t="s">
        <v>188</v>
      </c>
      <c r="U250" s="39" t="n">
        <f aca="false">IF(R250="","",IF(F250="BUY",R250-S250,S250-R250))</f>
        <v>0.0299999999999727</v>
      </c>
      <c r="V250" s="39" t="n">
        <f aca="false">IF(F250="BUY",S250-J250,J250-S250)</f>
        <v>-6.07999999999993</v>
      </c>
      <c r="W250" s="6" t="n">
        <v>-42.56</v>
      </c>
      <c r="X250" s="26" t="n">
        <f aca="false">IFERROR(W250/N250,0)</f>
        <v>-1.01333333333333</v>
      </c>
      <c r="Y250" s="22" t="str">
        <f aca="false">IF(W250&gt;0,"Win",IF(W250&lt;0,"Loss","Flat"))</f>
        <v>Loss</v>
      </c>
      <c r="Z250" s="24" t="n">
        <f aca="false">Summary!$C$5+SUM(W$2:W250)</f>
        <v>4174.29</v>
      </c>
      <c r="AA250" s="24" t="n">
        <f aca="false">MAX(AA249,Z250)</f>
        <v>5000</v>
      </c>
      <c r="AB250" s="24" t="n">
        <f aca="false">AA250-Z250</f>
        <v>825.71</v>
      </c>
      <c r="AC250" s="23" t="n">
        <f aca="false">IFERROR(AB250/AA250,0)</f>
        <v>0.165142</v>
      </c>
      <c r="AD250" s="22" t="s">
        <v>487</v>
      </c>
    </row>
    <row r="251" customFormat="false" ht="15" hidden="false" customHeight="false" outlineLevel="0" collapsed="false">
      <c r="A251" s="22" t="n">
        <v>250</v>
      </c>
      <c r="B251" s="22" t="s">
        <v>127</v>
      </c>
      <c r="C251" s="37" t="n">
        <v>44873.3763078704</v>
      </c>
      <c r="D251" s="22" t="s">
        <v>203</v>
      </c>
      <c r="E251" s="22" t="n">
        <v>9</v>
      </c>
      <c r="F251" s="22" t="s">
        <v>181</v>
      </c>
      <c r="G251" s="22" t="s">
        <v>235</v>
      </c>
      <c r="H251" s="22" t="n">
        <v>0.06</v>
      </c>
      <c r="I251" s="38" t="n">
        <v>1671.44</v>
      </c>
      <c r="J251" s="38" t="n">
        <v>1671.46</v>
      </c>
      <c r="K251" s="39" t="n">
        <f aca="false">IF(F251="BUY",J251-I251,I251-J251)</f>
        <v>0.0199999999999818</v>
      </c>
      <c r="L251" s="38" t="n">
        <v>1665.44</v>
      </c>
      <c r="M251" s="39" t="n">
        <f aca="false">ABS(I251-L251)</f>
        <v>6</v>
      </c>
      <c r="N251" s="24" t="n">
        <f aca="false">M251*H251*Summary!$C$6</f>
        <v>36</v>
      </c>
      <c r="O251" s="37" t="n">
        <v>44873.4597916667</v>
      </c>
      <c r="P251" s="22" t="n">
        <f aca="false">ROUND((O251-C251)*86400,0)</f>
        <v>7213</v>
      </c>
      <c r="Q251" s="22" t="str">
        <f aca="false">IF(P251&lt;10,"a) &lt;10s",IF(P251&lt;60,"b) 10-60s",IF(P251&lt;600,"c) 1-10min","d) &gt;10min")))</f>
        <v>d) &gt;10min</v>
      </c>
      <c r="R251" s="38" t="n">
        <v>1665.44</v>
      </c>
      <c r="S251" s="38" t="n">
        <v>1665.44</v>
      </c>
      <c r="T251" s="22" t="s">
        <v>188</v>
      </c>
      <c r="U251" s="39" t="n">
        <f aca="false">IF(R251="","",IF(F251="BUY",R251-S251,S251-R251))</f>
        <v>0</v>
      </c>
      <c r="V251" s="39" t="n">
        <f aca="false">IF(F251="BUY",S251-J251,J251-S251)</f>
        <v>-6.01999999999998</v>
      </c>
      <c r="W251" s="6" t="n">
        <v>-36.12</v>
      </c>
      <c r="X251" s="26" t="n">
        <f aca="false">IFERROR(W251/N251,0)</f>
        <v>-1.00333333333333</v>
      </c>
      <c r="Y251" s="22" t="str">
        <f aca="false">IF(W251&gt;0,"Win",IF(W251&lt;0,"Loss","Flat"))</f>
        <v>Loss</v>
      </c>
      <c r="Z251" s="24" t="n">
        <f aca="false">Summary!$C$5+SUM(W$2:W251)</f>
        <v>4138.17</v>
      </c>
      <c r="AA251" s="24" t="n">
        <f aca="false">MAX(AA250,Z251)</f>
        <v>5000</v>
      </c>
      <c r="AB251" s="24" t="n">
        <f aca="false">AA251-Z251</f>
        <v>861.83</v>
      </c>
      <c r="AC251" s="23" t="n">
        <f aca="false">IFERROR(AB251/AA251,0)</f>
        <v>0.172366</v>
      </c>
      <c r="AD251" s="22" t="s">
        <v>488</v>
      </c>
    </row>
    <row r="252" customFormat="false" ht="15" hidden="false" customHeight="false" outlineLevel="0" collapsed="false">
      <c r="A252" s="22" t="n">
        <v>251</v>
      </c>
      <c r="B252" s="22" t="s">
        <v>127</v>
      </c>
      <c r="C252" s="37" t="n">
        <v>44873.7143402778</v>
      </c>
      <c r="D252" s="22" t="s">
        <v>203</v>
      </c>
      <c r="E252" s="22" t="n">
        <v>17</v>
      </c>
      <c r="F252" s="22" t="s">
        <v>181</v>
      </c>
      <c r="G252" s="22" t="s">
        <v>243</v>
      </c>
      <c r="H252" s="22" t="n">
        <v>0.06</v>
      </c>
      <c r="I252" s="38" t="n">
        <v>1681.76</v>
      </c>
      <c r="J252" s="38" t="n">
        <v>1681.79</v>
      </c>
      <c r="K252" s="39" t="n">
        <f aca="false">IF(F252="BUY",J252-I252,I252-J252)</f>
        <v>0.0299999999999727</v>
      </c>
      <c r="L252" s="38" t="n">
        <v>1675.76</v>
      </c>
      <c r="M252" s="39" t="n">
        <f aca="false">ABS(I252-L252)</f>
        <v>6</v>
      </c>
      <c r="N252" s="24" t="n">
        <f aca="false">M252*H252*Summary!$C$6</f>
        <v>36</v>
      </c>
      <c r="O252" s="37" t="n">
        <v>44873.7412962963</v>
      </c>
      <c r="P252" s="22" t="n">
        <f aca="false">ROUND((O252-C252)*86400,0)</f>
        <v>2329</v>
      </c>
      <c r="Q252" s="22" t="str">
        <f aca="false">IF(P252&lt;10,"a) &lt;10s",IF(P252&lt;60,"b) 10-60s",IF(P252&lt;600,"c) 1-10min","d) &gt;10min")))</f>
        <v>d) &gt;10min</v>
      </c>
      <c r="R252" s="38"/>
      <c r="S252" s="38" t="n">
        <v>1711.92</v>
      </c>
      <c r="T252" s="22" t="s">
        <v>187</v>
      </c>
      <c r="U252" s="39" t="str">
        <f aca="false">IF(R252="","",IF(F252="BUY",R252-S252,S252-R252))</f>
        <v/>
      </c>
      <c r="V252" s="39" t="n">
        <f aca="false">IF(F252="BUY",S252-J252,J252-S252)</f>
        <v>30.1300000000001</v>
      </c>
      <c r="W252" s="6" t="n">
        <v>180.78</v>
      </c>
      <c r="X252" s="26" t="n">
        <f aca="false">IFERROR(W252/N252,0)</f>
        <v>5.02166666666667</v>
      </c>
      <c r="Y252" s="22" t="str">
        <f aca="false">IF(W252&gt;0,"Win",IF(W252&lt;0,"Loss","Flat"))</f>
        <v>Win</v>
      </c>
      <c r="Z252" s="24" t="n">
        <f aca="false">Summary!$C$5+SUM(W$2:W252)</f>
        <v>4318.95</v>
      </c>
      <c r="AA252" s="24" t="n">
        <f aca="false">MAX(AA251,Z252)</f>
        <v>5000</v>
      </c>
      <c r="AB252" s="24" t="n">
        <f aca="false">AA252-Z252</f>
        <v>681.05</v>
      </c>
      <c r="AC252" s="23" t="n">
        <f aca="false">IFERROR(AB252/AA252,0)</f>
        <v>0.13621</v>
      </c>
      <c r="AD252" s="22" t="s">
        <v>489</v>
      </c>
    </row>
    <row r="253" customFormat="false" ht="15" hidden="false" customHeight="false" outlineLevel="0" collapsed="false">
      <c r="A253" s="22" t="n">
        <v>252</v>
      </c>
      <c r="B253" s="22" t="s">
        <v>127</v>
      </c>
      <c r="C253" s="37" t="n">
        <v>44874.4989583333</v>
      </c>
      <c r="D253" s="22" t="s">
        <v>204</v>
      </c>
      <c r="E253" s="22" t="n">
        <v>11</v>
      </c>
      <c r="F253" s="22" t="s">
        <v>182</v>
      </c>
      <c r="G253" s="22" t="s">
        <v>241</v>
      </c>
      <c r="H253" s="22" t="n">
        <v>0.07</v>
      </c>
      <c r="I253" s="38" t="n">
        <v>1707.33</v>
      </c>
      <c r="J253" s="38" t="n">
        <v>1707.29</v>
      </c>
      <c r="K253" s="39" t="n">
        <f aca="false">IF(F253="BUY",J253-I253,I253-J253)</f>
        <v>0.0399999999999636</v>
      </c>
      <c r="L253" s="38" t="n">
        <v>1713.33</v>
      </c>
      <c r="M253" s="39" t="n">
        <f aca="false">ABS(I253-L253)</f>
        <v>6</v>
      </c>
      <c r="N253" s="24" t="n">
        <f aca="false">M253*H253*Summary!$C$6</f>
        <v>42</v>
      </c>
      <c r="O253" s="37" t="n">
        <v>44874.5244560185</v>
      </c>
      <c r="P253" s="22" t="n">
        <f aca="false">ROUND((O253-C253)*86400,0)</f>
        <v>2203</v>
      </c>
      <c r="Q253" s="22" t="str">
        <f aca="false">IF(P253&lt;10,"a) &lt;10s",IF(P253&lt;60,"b) 10-60s",IF(P253&lt;600,"c) 1-10min","d) &gt;10min")))</f>
        <v>d) &gt;10min</v>
      </c>
      <c r="R253" s="38" t="n">
        <v>1706.79</v>
      </c>
      <c r="S253" s="38" t="n">
        <v>1706.8</v>
      </c>
      <c r="T253" s="22" t="s">
        <v>189</v>
      </c>
      <c r="U253" s="39" t="n">
        <f aca="false">IF(R253="","",IF(F253="BUY",R253-S253,S253-R253))</f>
        <v>0.00999999999999091</v>
      </c>
      <c r="V253" s="39" t="n">
        <f aca="false">IF(F253="BUY",S253-J253,J253-S253)</f>
        <v>0.490000000000009</v>
      </c>
      <c r="W253" s="6" t="n">
        <v>3.43</v>
      </c>
      <c r="X253" s="26" t="n">
        <f aca="false">IFERROR(W253/N253,0)</f>
        <v>0.0816666666666667</v>
      </c>
      <c r="Y253" s="22" t="str">
        <f aca="false">IF(W253&gt;0,"Win",IF(W253&lt;0,"Loss","Flat"))</f>
        <v>Win</v>
      </c>
      <c r="Z253" s="24" t="n">
        <f aca="false">Summary!$C$5+SUM(W$2:W253)</f>
        <v>4322.38</v>
      </c>
      <c r="AA253" s="24" t="n">
        <f aca="false">MAX(AA252,Z253)</f>
        <v>5000</v>
      </c>
      <c r="AB253" s="24" t="n">
        <f aca="false">AA253-Z253</f>
        <v>677.62</v>
      </c>
      <c r="AC253" s="23" t="n">
        <f aca="false">IFERROR(AB253/AA253,0)</f>
        <v>0.135524</v>
      </c>
      <c r="AD253" s="22" t="s">
        <v>490</v>
      </c>
    </row>
    <row r="254" customFormat="false" ht="15" hidden="false" customHeight="false" outlineLevel="0" collapsed="false">
      <c r="A254" s="22" t="n">
        <v>253</v>
      </c>
      <c r="B254" s="22" t="s">
        <v>127</v>
      </c>
      <c r="C254" s="37" t="n">
        <v>44874.7151041667</v>
      </c>
      <c r="D254" s="22" t="s">
        <v>204</v>
      </c>
      <c r="E254" s="22" t="n">
        <v>17</v>
      </c>
      <c r="F254" s="22" t="s">
        <v>181</v>
      </c>
      <c r="G254" s="22" t="s">
        <v>243</v>
      </c>
      <c r="H254" s="22" t="n">
        <v>0.07</v>
      </c>
      <c r="I254" s="38" t="n">
        <v>1716.74</v>
      </c>
      <c r="J254" s="38" t="n">
        <v>1716.74</v>
      </c>
      <c r="K254" s="39" t="n">
        <f aca="false">IF(F254="BUY",J254-I254,I254-J254)</f>
        <v>0</v>
      </c>
      <c r="L254" s="38" t="n">
        <v>1710.74</v>
      </c>
      <c r="M254" s="39" t="n">
        <f aca="false">ABS(I254-L254)</f>
        <v>6</v>
      </c>
      <c r="N254" s="24" t="n">
        <f aca="false">M254*H254*Summary!$C$6</f>
        <v>42</v>
      </c>
      <c r="O254" s="37" t="n">
        <v>44874.7170023148</v>
      </c>
      <c r="P254" s="22" t="n">
        <f aca="false">ROUND((O254-C254)*86400,0)</f>
        <v>164</v>
      </c>
      <c r="Q254" s="22" t="str">
        <f aca="false">IF(P254&lt;10,"a) &lt;10s",IF(P254&lt;60,"b) 10-60s",IF(P254&lt;600,"c) 1-10min","d) &gt;10min")))</f>
        <v>c) 1-10min</v>
      </c>
      <c r="R254" s="38" t="n">
        <v>1717.24</v>
      </c>
      <c r="S254" s="38" t="n">
        <v>1717.24</v>
      </c>
      <c r="T254" s="22" t="s">
        <v>189</v>
      </c>
      <c r="U254" s="39" t="n">
        <f aca="false">IF(R254="","",IF(F254="BUY",R254-S254,S254-R254))</f>
        <v>0</v>
      </c>
      <c r="V254" s="39" t="n">
        <f aca="false">IF(F254="BUY",S254-J254,J254-S254)</f>
        <v>0.5</v>
      </c>
      <c r="W254" s="6" t="n">
        <v>3.5</v>
      </c>
      <c r="X254" s="26" t="n">
        <f aca="false">IFERROR(W254/N254,0)</f>
        <v>0.0833333333333333</v>
      </c>
      <c r="Y254" s="22" t="str">
        <f aca="false">IF(W254&gt;0,"Win",IF(W254&lt;0,"Loss","Flat"))</f>
        <v>Win</v>
      </c>
      <c r="Z254" s="24" t="n">
        <f aca="false">Summary!$C$5+SUM(W$2:W254)</f>
        <v>4325.88</v>
      </c>
      <c r="AA254" s="24" t="n">
        <f aca="false">MAX(AA253,Z254)</f>
        <v>5000</v>
      </c>
      <c r="AB254" s="24" t="n">
        <f aca="false">AA254-Z254</f>
        <v>674.12</v>
      </c>
      <c r="AC254" s="23" t="n">
        <f aca="false">IFERROR(AB254/AA254,0)</f>
        <v>0.134824</v>
      </c>
      <c r="AD254" s="22" t="s">
        <v>491</v>
      </c>
    </row>
    <row r="255" customFormat="false" ht="15" hidden="false" customHeight="false" outlineLevel="0" collapsed="false">
      <c r="A255" s="22" t="n">
        <v>254</v>
      </c>
      <c r="B255" s="22" t="s">
        <v>127</v>
      </c>
      <c r="C255" s="37" t="n">
        <v>44875.3756365741</v>
      </c>
      <c r="D255" s="22" t="s">
        <v>205</v>
      </c>
      <c r="E255" s="22" t="n">
        <v>9</v>
      </c>
      <c r="F255" s="22" t="s">
        <v>182</v>
      </c>
      <c r="G255" s="22" t="s">
        <v>241</v>
      </c>
      <c r="H255" s="22" t="n">
        <v>0.07</v>
      </c>
      <c r="I255" s="38" t="n">
        <v>1708.63</v>
      </c>
      <c r="J255" s="38" t="n">
        <v>1708.55</v>
      </c>
      <c r="K255" s="39" t="n">
        <f aca="false">IF(F255="BUY",J255-I255,I255-J255)</f>
        <v>0.0800000000001546</v>
      </c>
      <c r="L255" s="38" t="n">
        <v>1714.63</v>
      </c>
      <c r="M255" s="39" t="n">
        <f aca="false">ABS(I255-L255)</f>
        <v>6</v>
      </c>
      <c r="N255" s="24" t="n">
        <f aca="false">M255*H255*Summary!$C$6</f>
        <v>42</v>
      </c>
      <c r="O255" s="37" t="n">
        <v>44875.4189930556</v>
      </c>
      <c r="P255" s="22" t="n">
        <f aca="false">ROUND((O255-C255)*86400,0)</f>
        <v>3746</v>
      </c>
      <c r="Q255" s="22" t="str">
        <f aca="false">IF(P255&lt;10,"a) &lt;10s",IF(P255&lt;60,"b) 10-60s",IF(P255&lt;600,"c) 1-10min","d) &gt;10min")))</f>
        <v>d) &gt;10min</v>
      </c>
      <c r="R255" s="38" t="n">
        <v>1708.05</v>
      </c>
      <c r="S255" s="38" t="n">
        <v>1708.06</v>
      </c>
      <c r="T255" s="22" t="s">
        <v>189</v>
      </c>
      <c r="U255" s="39" t="n">
        <f aca="false">IF(R255="","",IF(F255="BUY",R255-S255,S255-R255))</f>
        <v>0.00999999999999091</v>
      </c>
      <c r="V255" s="39" t="n">
        <f aca="false">IF(F255="BUY",S255-J255,J255-S255)</f>
        <v>0.490000000000009</v>
      </c>
      <c r="W255" s="6" t="n">
        <v>3.43</v>
      </c>
      <c r="X255" s="26" t="n">
        <f aca="false">IFERROR(W255/N255,0)</f>
        <v>0.0816666666666667</v>
      </c>
      <c r="Y255" s="22" t="str">
        <f aca="false">IF(W255&gt;0,"Win",IF(W255&lt;0,"Loss","Flat"))</f>
        <v>Win</v>
      </c>
      <c r="Z255" s="24" t="n">
        <f aca="false">Summary!$C$5+SUM(W$2:W255)</f>
        <v>4329.31</v>
      </c>
      <c r="AA255" s="24" t="n">
        <f aca="false">MAX(AA254,Z255)</f>
        <v>5000</v>
      </c>
      <c r="AB255" s="24" t="n">
        <f aca="false">AA255-Z255</f>
        <v>670.69</v>
      </c>
      <c r="AC255" s="23" t="n">
        <f aca="false">IFERROR(AB255/AA255,0)</f>
        <v>0.134138</v>
      </c>
      <c r="AD255" s="22" t="s">
        <v>492</v>
      </c>
    </row>
    <row r="256" customFormat="false" ht="15" hidden="false" customHeight="false" outlineLevel="0" collapsed="false">
      <c r="A256" s="22" t="n">
        <v>255</v>
      </c>
      <c r="B256" s="22" t="s">
        <v>127</v>
      </c>
      <c r="C256" s="37" t="n">
        <v>44875.6458449074</v>
      </c>
      <c r="D256" s="22" t="s">
        <v>205</v>
      </c>
      <c r="E256" s="22" t="n">
        <v>15</v>
      </c>
      <c r="F256" s="22" t="s">
        <v>181</v>
      </c>
      <c r="G256" s="22" t="s">
        <v>243</v>
      </c>
      <c r="H256" s="22" t="n">
        <v>0.07</v>
      </c>
      <c r="I256" s="38" t="n">
        <v>1722.17</v>
      </c>
      <c r="J256" s="38" t="n">
        <v>1722.42</v>
      </c>
      <c r="K256" s="39" t="n">
        <f aca="false">IF(F256="BUY",J256-I256,I256-J256)</f>
        <v>0.25</v>
      </c>
      <c r="L256" s="38" t="n">
        <v>1716.17</v>
      </c>
      <c r="M256" s="39" t="n">
        <f aca="false">ABS(I256-L256)</f>
        <v>6</v>
      </c>
      <c r="N256" s="24" t="n">
        <f aca="false">M256*H256*Summary!$C$6</f>
        <v>42</v>
      </c>
      <c r="O256" s="37" t="n">
        <v>44875.7253935185</v>
      </c>
      <c r="P256" s="22" t="n">
        <f aca="false">ROUND((O256-C256)*86400,0)</f>
        <v>6873</v>
      </c>
      <c r="Q256" s="22" t="str">
        <f aca="false">IF(P256&lt;10,"a) &lt;10s",IF(P256&lt;60,"b) 10-60s",IF(P256&lt;600,"c) 1-10min","d) &gt;10min")))</f>
        <v>d) &gt;10min</v>
      </c>
      <c r="R256" s="38"/>
      <c r="S256" s="38" t="n">
        <v>1752.26</v>
      </c>
      <c r="T256" s="22" t="s">
        <v>187</v>
      </c>
      <c r="U256" s="39" t="str">
        <f aca="false">IF(R256="","",IF(F256="BUY",R256-S256,S256-R256))</f>
        <v/>
      </c>
      <c r="V256" s="39" t="n">
        <f aca="false">IF(F256="BUY",S256-J256,J256-S256)</f>
        <v>29.8399999999999</v>
      </c>
      <c r="W256" s="6" t="n">
        <v>208.88</v>
      </c>
      <c r="X256" s="26" t="n">
        <f aca="false">IFERROR(W256/N256,0)</f>
        <v>4.97333333333333</v>
      </c>
      <c r="Y256" s="22" t="str">
        <f aca="false">IF(W256&gt;0,"Win",IF(W256&lt;0,"Loss","Flat"))</f>
        <v>Win</v>
      </c>
      <c r="Z256" s="24" t="n">
        <f aca="false">Summary!$C$5+SUM(W$2:W256)</f>
        <v>4538.19</v>
      </c>
      <c r="AA256" s="24" t="n">
        <f aca="false">MAX(AA255,Z256)</f>
        <v>5000</v>
      </c>
      <c r="AB256" s="24" t="n">
        <f aca="false">AA256-Z256</f>
        <v>461.81</v>
      </c>
      <c r="AC256" s="23" t="n">
        <f aca="false">IFERROR(AB256/AA256,0)</f>
        <v>0.0923620000000001</v>
      </c>
      <c r="AD256" s="22" t="s">
        <v>493</v>
      </c>
    </row>
    <row r="257" customFormat="false" ht="15" hidden="false" customHeight="false" outlineLevel="0" collapsed="false">
      <c r="A257" s="22" t="n">
        <v>256</v>
      </c>
      <c r="B257" s="22" t="s">
        <v>127</v>
      </c>
      <c r="C257" s="37" t="n">
        <v>44876.3123263889</v>
      </c>
      <c r="D257" s="22" t="s">
        <v>206</v>
      </c>
      <c r="E257" s="22" t="n">
        <v>7</v>
      </c>
      <c r="F257" s="22" t="s">
        <v>181</v>
      </c>
      <c r="G257" s="22" t="s">
        <v>243</v>
      </c>
      <c r="H257" s="22" t="n">
        <v>0.07</v>
      </c>
      <c r="I257" s="38" t="n">
        <v>1757</v>
      </c>
      <c r="J257" s="38" t="n">
        <v>1757.06</v>
      </c>
      <c r="K257" s="39" t="n">
        <f aca="false">IF(F257="BUY",J257-I257,I257-J257)</f>
        <v>0.0599999999999454</v>
      </c>
      <c r="L257" s="38" t="n">
        <v>1751</v>
      </c>
      <c r="M257" s="39" t="n">
        <f aca="false">ABS(I257-L257)</f>
        <v>6</v>
      </c>
      <c r="N257" s="24" t="n">
        <f aca="false">M257*H257*Summary!$C$6</f>
        <v>42</v>
      </c>
      <c r="O257" s="37" t="n">
        <v>44876.3553009259</v>
      </c>
      <c r="P257" s="22" t="n">
        <f aca="false">ROUND((O257-C257)*86400,0)</f>
        <v>3713</v>
      </c>
      <c r="Q257" s="22" t="str">
        <f aca="false">IF(P257&lt;10,"a) &lt;10s",IF(P257&lt;60,"b) 10-60s",IF(P257&lt;600,"c) 1-10min","d) &gt;10min")))</f>
        <v>d) &gt;10min</v>
      </c>
      <c r="R257" s="38" t="n">
        <v>1757.56</v>
      </c>
      <c r="S257" s="38" t="n">
        <v>1757.51</v>
      </c>
      <c r="T257" s="22" t="s">
        <v>189</v>
      </c>
      <c r="U257" s="39" t="n">
        <f aca="false">IF(R257="","",IF(F257="BUY",R257-S257,S257-R257))</f>
        <v>0.0499999999999545</v>
      </c>
      <c r="V257" s="39" t="n">
        <f aca="false">IF(F257="BUY",S257-J257,J257-S257)</f>
        <v>0.450000000000046</v>
      </c>
      <c r="W257" s="6" t="n">
        <v>3.15</v>
      </c>
      <c r="X257" s="26" t="n">
        <f aca="false">IFERROR(W257/N257,0)</f>
        <v>0.075</v>
      </c>
      <c r="Y257" s="22" t="str">
        <f aca="false">IF(W257&gt;0,"Win",IF(W257&lt;0,"Loss","Flat"))</f>
        <v>Win</v>
      </c>
      <c r="Z257" s="24" t="n">
        <f aca="false">Summary!$C$5+SUM(W$2:W257)</f>
        <v>4541.34</v>
      </c>
      <c r="AA257" s="24" t="n">
        <f aca="false">MAX(AA256,Z257)</f>
        <v>5000</v>
      </c>
      <c r="AB257" s="24" t="n">
        <f aca="false">AA257-Z257</f>
        <v>458.66</v>
      </c>
      <c r="AC257" s="23" t="n">
        <f aca="false">IFERROR(AB257/AA257,0)</f>
        <v>0.091732</v>
      </c>
      <c r="AD257" s="22" t="s">
        <v>494</v>
      </c>
    </row>
    <row r="258" customFormat="false" ht="15" hidden="false" customHeight="false" outlineLevel="0" collapsed="false">
      <c r="A258" s="22" t="n">
        <v>257</v>
      </c>
      <c r="B258" s="22" t="s">
        <v>127</v>
      </c>
      <c r="C258" s="37" t="n">
        <v>44876.4531712963</v>
      </c>
      <c r="D258" s="22" t="s">
        <v>206</v>
      </c>
      <c r="E258" s="22" t="n">
        <v>10</v>
      </c>
      <c r="F258" s="22" t="s">
        <v>181</v>
      </c>
      <c r="G258" s="22" t="s">
        <v>235</v>
      </c>
      <c r="H258" s="22" t="n">
        <v>0.07</v>
      </c>
      <c r="I258" s="38" t="n">
        <v>1764.23</v>
      </c>
      <c r="J258" s="38" t="n">
        <v>1764.24</v>
      </c>
      <c r="K258" s="39" t="n">
        <f aca="false">IF(F258="BUY",J258-I258,I258-J258)</f>
        <v>0.00999999999999091</v>
      </c>
      <c r="L258" s="38" t="n">
        <v>1758.23</v>
      </c>
      <c r="M258" s="39" t="n">
        <f aca="false">ABS(I258-L258)</f>
        <v>6</v>
      </c>
      <c r="N258" s="24" t="n">
        <f aca="false">M258*H258*Summary!$C$6</f>
        <v>42</v>
      </c>
      <c r="O258" s="37" t="n">
        <v>44876.5023958333</v>
      </c>
      <c r="P258" s="22" t="n">
        <f aca="false">ROUND((O258-C258)*86400,0)</f>
        <v>4253</v>
      </c>
      <c r="Q258" s="22" t="str">
        <f aca="false">IF(P258&lt;10,"a) &lt;10s",IF(P258&lt;60,"b) 10-60s",IF(P258&lt;600,"c) 1-10min","d) &gt;10min")))</f>
        <v>d) &gt;10min</v>
      </c>
      <c r="R258" s="38" t="n">
        <v>1764.74</v>
      </c>
      <c r="S258" s="38" t="n">
        <v>1764.74</v>
      </c>
      <c r="T258" s="22" t="s">
        <v>189</v>
      </c>
      <c r="U258" s="39" t="n">
        <f aca="false">IF(R258="","",IF(F258="BUY",R258-S258,S258-R258))</f>
        <v>0</v>
      </c>
      <c r="V258" s="39" t="n">
        <f aca="false">IF(F258="BUY",S258-J258,J258-S258)</f>
        <v>0.5</v>
      </c>
      <c r="W258" s="6" t="n">
        <v>3.5</v>
      </c>
      <c r="X258" s="26" t="n">
        <f aca="false">IFERROR(W258/N258,0)</f>
        <v>0.0833333333333333</v>
      </c>
      <c r="Y258" s="22" t="str">
        <f aca="false">IF(W258&gt;0,"Win",IF(W258&lt;0,"Loss","Flat"))</f>
        <v>Win</v>
      </c>
      <c r="Z258" s="24" t="n">
        <f aca="false">Summary!$C$5+SUM(W$2:W258)</f>
        <v>4544.84</v>
      </c>
      <c r="AA258" s="24" t="n">
        <f aca="false">MAX(AA257,Z258)</f>
        <v>5000</v>
      </c>
      <c r="AB258" s="24" t="n">
        <f aca="false">AA258-Z258</f>
        <v>455.16</v>
      </c>
      <c r="AC258" s="23" t="n">
        <f aca="false">IFERROR(AB258/AA258,0)</f>
        <v>0.091032</v>
      </c>
      <c r="AD258" s="22" t="s">
        <v>495</v>
      </c>
    </row>
    <row r="259" customFormat="false" ht="15" hidden="false" customHeight="false" outlineLevel="0" collapsed="false">
      <c r="A259" s="22" t="n">
        <v>258</v>
      </c>
      <c r="B259" s="22" t="s">
        <v>127</v>
      </c>
      <c r="C259" s="37" t="n">
        <v>44879.3989351852</v>
      </c>
      <c r="D259" s="22" t="s">
        <v>202</v>
      </c>
      <c r="E259" s="22" t="n">
        <v>9</v>
      </c>
      <c r="F259" s="22" t="s">
        <v>181</v>
      </c>
      <c r="G259" s="22" t="s">
        <v>235</v>
      </c>
      <c r="H259" s="22" t="n">
        <v>0.07</v>
      </c>
      <c r="I259" s="38" t="n">
        <v>1763.46</v>
      </c>
      <c r="J259" s="38" t="n">
        <v>1763.5</v>
      </c>
      <c r="K259" s="39" t="n">
        <f aca="false">IF(F259="BUY",J259-I259,I259-J259)</f>
        <v>0.0399999999999636</v>
      </c>
      <c r="L259" s="38" t="n">
        <v>1757.46</v>
      </c>
      <c r="M259" s="39" t="n">
        <f aca="false">ABS(I259-L259)</f>
        <v>6</v>
      </c>
      <c r="N259" s="24" t="n">
        <f aca="false">M259*H259*Summary!$C$6</f>
        <v>42</v>
      </c>
      <c r="O259" s="37" t="n">
        <v>44879.4320138889</v>
      </c>
      <c r="P259" s="22" t="n">
        <f aca="false">ROUND((O259-C259)*86400,0)</f>
        <v>2858</v>
      </c>
      <c r="Q259" s="22" t="str">
        <f aca="false">IF(P259&lt;10,"a) &lt;10s",IF(P259&lt;60,"b) 10-60s",IF(P259&lt;600,"c) 1-10min","d) &gt;10min")))</f>
        <v>d) &gt;10min</v>
      </c>
      <c r="R259" s="38" t="n">
        <v>1764</v>
      </c>
      <c r="S259" s="38" t="n">
        <v>1763.97</v>
      </c>
      <c r="T259" s="22" t="s">
        <v>189</v>
      </c>
      <c r="U259" s="39" t="n">
        <f aca="false">IF(R259="","",IF(F259="BUY",R259-S259,S259-R259))</f>
        <v>0.0299999999999727</v>
      </c>
      <c r="V259" s="39" t="n">
        <f aca="false">IF(F259="BUY",S259-J259,J259-S259)</f>
        <v>0.470000000000027</v>
      </c>
      <c r="W259" s="6" t="n">
        <v>3.29</v>
      </c>
      <c r="X259" s="26" t="n">
        <f aca="false">IFERROR(W259/N259,0)</f>
        <v>0.0783333333333333</v>
      </c>
      <c r="Y259" s="22" t="str">
        <f aca="false">IF(W259&gt;0,"Win",IF(W259&lt;0,"Loss","Flat"))</f>
        <v>Win</v>
      </c>
      <c r="Z259" s="24" t="n">
        <f aca="false">Summary!$C$5+SUM(W$2:W259)</f>
        <v>4548.13</v>
      </c>
      <c r="AA259" s="24" t="n">
        <f aca="false">MAX(AA258,Z259)</f>
        <v>5000</v>
      </c>
      <c r="AB259" s="24" t="n">
        <f aca="false">AA259-Z259</f>
        <v>451.87</v>
      </c>
      <c r="AC259" s="23" t="n">
        <f aca="false">IFERROR(AB259/AA259,0)</f>
        <v>0.090374</v>
      </c>
      <c r="AD259" s="22" t="s">
        <v>496</v>
      </c>
    </row>
    <row r="260" customFormat="false" ht="15" hidden="false" customHeight="false" outlineLevel="0" collapsed="false">
      <c r="A260" s="22" t="n">
        <v>259</v>
      </c>
      <c r="B260" s="22" t="s">
        <v>127</v>
      </c>
      <c r="C260" s="37" t="n">
        <v>44879.7157175926</v>
      </c>
      <c r="D260" s="22" t="s">
        <v>202</v>
      </c>
      <c r="E260" s="22" t="n">
        <v>17</v>
      </c>
      <c r="F260" s="22" t="s">
        <v>181</v>
      </c>
      <c r="G260" s="22" t="s">
        <v>243</v>
      </c>
      <c r="H260" s="22" t="n">
        <v>0.07</v>
      </c>
      <c r="I260" s="38" t="n">
        <v>1772.45</v>
      </c>
      <c r="J260" s="38" t="n">
        <v>1772.52</v>
      </c>
      <c r="K260" s="39" t="n">
        <f aca="false">IF(F260="BUY",J260-I260,I260-J260)</f>
        <v>0.0699999999999363</v>
      </c>
      <c r="L260" s="38" t="n">
        <v>1766.45</v>
      </c>
      <c r="M260" s="39" t="n">
        <f aca="false">ABS(I260-L260)</f>
        <v>6</v>
      </c>
      <c r="N260" s="24" t="n">
        <f aca="false">M260*H260*Summary!$C$6</f>
        <v>42</v>
      </c>
      <c r="O260" s="37" t="n">
        <v>44879.7211342593</v>
      </c>
      <c r="P260" s="22" t="n">
        <f aca="false">ROUND((O260-C260)*86400,0)</f>
        <v>468</v>
      </c>
      <c r="Q260" s="22" t="str">
        <f aca="false">IF(P260&lt;10,"a) &lt;10s",IF(P260&lt;60,"b) 10-60s",IF(P260&lt;600,"c) 1-10min","d) &gt;10min")))</f>
        <v>c) 1-10min</v>
      </c>
      <c r="R260" s="38" t="n">
        <v>1773.02</v>
      </c>
      <c r="S260" s="38" t="n">
        <v>1772.98</v>
      </c>
      <c r="T260" s="22" t="s">
        <v>189</v>
      </c>
      <c r="U260" s="39" t="n">
        <f aca="false">IF(R260="","",IF(F260="BUY",R260-S260,S260-R260))</f>
        <v>0.0399999999999636</v>
      </c>
      <c r="V260" s="39" t="n">
        <f aca="false">IF(F260="BUY",S260-J260,J260-S260)</f>
        <v>0.460000000000036</v>
      </c>
      <c r="W260" s="6" t="n">
        <v>3.22</v>
      </c>
      <c r="X260" s="26" t="n">
        <f aca="false">IFERROR(W260/N260,0)</f>
        <v>0.0766666666666667</v>
      </c>
      <c r="Y260" s="22" t="str">
        <f aca="false">IF(W260&gt;0,"Win",IF(W260&lt;0,"Loss","Flat"))</f>
        <v>Win</v>
      </c>
      <c r="Z260" s="24" t="n">
        <f aca="false">Summary!$C$5+SUM(W$2:W260)</f>
        <v>4551.35</v>
      </c>
      <c r="AA260" s="24" t="n">
        <f aca="false">MAX(AA259,Z260)</f>
        <v>5000</v>
      </c>
      <c r="AB260" s="24" t="n">
        <f aca="false">AA260-Z260</f>
        <v>448.65</v>
      </c>
      <c r="AC260" s="23" t="n">
        <f aca="false">IFERROR(AB260/AA260,0)</f>
        <v>0.0897299999999999</v>
      </c>
      <c r="AD260" s="22" t="s">
        <v>497</v>
      </c>
    </row>
    <row r="261" customFormat="false" ht="15" hidden="false" customHeight="false" outlineLevel="0" collapsed="false">
      <c r="A261" s="22" t="n">
        <v>260</v>
      </c>
      <c r="B261" s="22" t="s">
        <v>127</v>
      </c>
      <c r="C261" s="37" t="n">
        <v>44880.3896180556</v>
      </c>
      <c r="D261" s="22" t="s">
        <v>203</v>
      </c>
      <c r="E261" s="22" t="n">
        <v>9</v>
      </c>
      <c r="F261" s="22" t="s">
        <v>181</v>
      </c>
      <c r="G261" s="22" t="s">
        <v>235</v>
      </c>
      <c r="H261" s="22" t="n">
        <v>0.07</v>
      </c>
      <c r="I261" s="38" t="n">
        <v>1773.6</v>
      </c>
      <c r="J261" s="38" t="n">
        <v>1773.61</v>
      </c>
      <c r="K261" s="39" t="n">
        <f aca="false">IF(F261="BUY",J261-I261,I261-J261)</f>
        <v>0.00999999999999091</v>
      </c>
      <c r="L261" s="38" t="n">
        <v>1767.6</v>
      </c>
      <c r="M261" s="39" t="n">
        <f aca="false">ABS(I261-L261)</f>
        <v>6</v>
      </c>
      <c r="N261" s="24" t="n">
        <f aca="false">M261*H261*Summary!$C$6</f>
        <v>42</v>
      </c>
      <c r="O261" s="37" t="n">
        <v>44880.4424652778</v>
      </c>
      <c r="P261" s="22" t="n">
        <f aca="false">ROUND((O261-C261)*86400,0)</f>
        <v>4566</v>
      </c>
      <c r="Q261" s="22" t="str">
        <f aca="false">IF(P261&lt;10,"a) &lt;10s",IF(P261&lt;60,"b) 10-60s",IF(P261&lt;600,"c) 1-10min","d) &gt;10min")))</f>
        <v>d) &gt;10min</v>
      </c>
      <c r="R261" s="38" t="n">
        <v>1774.11</v>
      </c>
      <c r="S261" s="38" t="n">
        <v>1774.06</v>
      </c>
      <c r="T261" s="22" t="s">
        <v>189</v>
      </c>
      <c r="U261" s="39" t="n">
        <f aca="false">IF(R261="","",IF(F261="BUY",R261-S261,S261-R261))</f>
        <v>0.0499999999999545</v>
      </c>
      <c r="V261" s="39" t="n">
        <f aca="false">IF(F261="BUY",S261-J261,J261-S261)</f>
        <v>0.450000000000046</v>
      </c>
      <c r="W261" s="6" t="n">
        <v>3.15</v>
      </c>
      <c r="X261" s="26" t="n">
        <f aca="false">IFERROR(W261/N261,0)</f>
        <v>0.075</v>
      </c>
      <c r="Y261" s="22" t="str">
        <f aca="false">IF(W261&gt;0,"Win",IF(W261&lt;0,"Loss","Flat"))</f>
        <v>Win</v>
      </c>
      <c r="Z261" s="24" t="n">
        <f aca="false">Summary!$C$5+SUM(W$2:W261)</f>
        <v>4554.5</v>
      </c>
      <c r="AA261" s="24" t="n">
        <f aca="false">MAX(AA260,Z261)</f>
        <v>5000</v>
      </c>
      <c r="AB261" s="24" t="n">
        <f aca="false">AA261-Z261</f>
        <v>445.5</v>
      </c>
      <c r="AC261" s="23" t="n">
        <f aca="false">IFERROR(AB261/AA261,0)</f>
        <v>0.0891</v>
      </c>
      <c r="AD261" s="22" t="s">
        <v>498</v>
      </c>
    </row>
    <row r="262" customFormat="false" ht="15" hidden="false" customHeight="false" outlineLevel="0" collapsed="false">
      <c r="A262" s="22" t="n">
        <v>261</v>
      </c>
      <c r="B262" s="22" t="s">
        <v>127</v>
      </c>
      <c r="C262" s="37" t="n">
        <v>44881.4011689815</v>
      </c>
      <c r="D262" s="22" t="s">
        <v>204</v>
      </c>
      <c r="E262" s="22" t="n">
        <v>9</v>
      </c>
      <c r="F262" s="22" t="s">
        <v>181</v>
      </c>
      <c r="G262" s="22" t="s">
        <v>235</v>
      </c>
      <c r="H262" s="22" t="n">
        <v>0.07</v>
      </c>
      <c r="I262" s="38" t="n">
        <v>1775.72</v>
      </c>
      <c r="J262" s="38" t="n">
        <v>1775.76</v>
      </c>
      <c r="K262" s="39" t="n">
        <f aca="false">IF(F262="BUY",J262-I262,I262-J262)</f>
        <v>0.0399999999999636</v>
      </c>
      <c r="L262" s="38" t="n">
        <v>1769.72</v>
      </c>
      <c r="M262" s="39" t="n">
        <f aca="false">ABS(I262-L262)</f>
        <v>6</v>
      </c>
      <c r="N262" s="24" t="n">
        <f aca="false">M262*H262*Summary!$C$6</f>
        <v>42</v>
      </c>
      <c r="O262" s="37" t="n">
        <v>44881.4296064815</v>
      </c>
      <c r="P262" s="22" t="n">
        <f aca="false">ROUND((O262-C262)*86400,0)</f>
        <v>2457</v>
      </c>
      <c r="Q262" s="22" t="str">
        <f aca="false">IF(P262&lt;10,"a) &lt;10s",IF(P262&lt;60,"b) 10-60s",IF(P262&lt;600,"c) 1-10min","d) &gt;10min")))</f>
        <v>d) &gt;10min</v>
      </c>
      <c r="R262" s="38" t="n">
        <v>1776.26</v>
      </c>
      <c r="S262" s="38" t="n">
        <v>1776.25</v>
      </c>
      <c r="T262" s="22" t="s">
        <v>189</v>
      </c>
      <c r="U262" s="39" t="n">
        <f aca="false">IF(R262="","",IF(F262="BUY",R262-S262,S262-R262))</f>
        <v>0.00999999999999091</v>
      </c>
      <c r="V262" s="39" t="n">
        <f aca="false">IF(F262="BUY",S262-J262,J262-S262)</f>
        <v>0.490000000000009</v>
      </c>
      <c r="W262" s="6" t="n">
        <v>3.43</v>
      </c>
      <c r="X262" s="26" t="n">
        <f aca="false">IFERROR(W262/N262,0)</f>
        <v>0.0816666666666667</v>
      </c>
      <c r="Y262" s="22" t="str">
        <f aca="false">IF(W262&gt;0,"Win",IF(W262&lt;0,"Loss","Flat"))</f>
        <v>Win</v>
      </c>
      <c r="Z262" s="24" t="n">
        <f aca="false">Summary!$C$5+SUM(W$2:W262)</f>
        <v>4557.93</v>
      </c>
      <c r="AA262" s="24" t="n">
        <f aca="false">MAX(AA261,Z262)</f>
        <v>5000</v>
      </c>
      <c r="AB262" s="24" t="n">
        <f aca="false">AA262-Z262</f>
        <v>442.07</v>
      </c>
      <c r="AC262" s="23" t="n">
        <f aca="false">IFERROR(AB262/AA262,0)</f>
        <v>0.0884139999999999</v>
      </c>
      <c r="AD262" s="22" t="s">
        <v>499</v>
      </c>
    </row>
    <row r="263" customFormat="false" ht="15" hidden="false" customHeight="false" outlineLevel="0" collapsed="false">
      <c r="A263" s="22" t="n">
        <v>262</v>
      </c>
      <c r="B263" s="22" t="s">
        <v>127</v>
      </c>
      <c r="C263" s="37" t="n">
        <v>44882.1590046296</v>
      </c>
      <c r="D263" s="22" t="s">
        <v>205</v>
      </c>
      <c r="E263" s="22" t="n">
        <v>3</v>
      </c>
      <c r="F263" s="22" t="s">
        <v>182</v>
      </c>
      <c r="G263" s="22" t="s">
        <v>237</v>
      </c>
      <c r="H263" s="22" t="n">
        <v>0.07</v>
      </c>
      <c r="I263" s="38" t="n">
        <v>1770.17</v>
      </c>
      <c r="J263" s="38" t="n">
        <v>1770.13</v>
      </c>
      <c r="K263" s="39" t="n">
        <f aca="false">IF(F263="BUY",J263-I263,I263-J263)</f>
        <v>0.0399999999999636</v>
      </c>
      <c r="L263" s="38" t="n">
        <v>1776.17</v>
      </c>
      <c r="M263" s="39" t="n">
        <f aca="false">ABS(I263-L263)</f>
        <v>6</v>
      </c>
      <c r="N263" s="24" t="n">
        <f aca="false">M263*H263*Summary!$C$6</f>
        <v>42</v>
      </c>
      <c r="O263" s="37" t="n">
        <v>44882.4287152778</v>
      </c>
      <c r="P263" s="22" t="n">
        <f aca="false">ROUND((O263-C263)*86400,0)</f>
        <v>23303</v>
      </c>
      <c r="Q263" s="22" t="str">
        <f aca="false">IF(P263&lt;10,"a) &lt;10s",IF(P263&lt;60,"b) 10-60s",IF(P263&lt;600,"c) 1-10min","d) &gt;10min")))</f>
        <v>d) &gt;10min</v>
      </c>
      <c r="R263" s="38" t="n">
        <v>1769.63</v>
      </c>
      <c r="S263" s="38" t="n">
        <v>1769.65</v>
      </c>
      <c r="T263" s="22" t="s">
        <v>189</v>
      </c>
      <c r="U263" s="39" t="n">
        <f aca="false">IF(R263="","",IF(F263="BUY",R263-S263,S263-R263))</f>
        <v>0.0199999999999818</v>
      </c>
      <c r="V263" s="39" t="n">
        <f aca="false">IF(F263="BUY",S263-J263,J263-S263)</f>
        <v>0.480000000000018</v>
      </c>
      <c r="W263" s="6" t="n">
        <v>3.36</v>
      </c>
      <c r="X263" s="26" t="n">
        <f aca="false">IFERROR(W263/N263,0)</f>
        <v>0.08</v>
      </c>
      <c r="Y263" s="22" t="str">
        <f aca="false">IF(W263&gt;0,"Win",IF(W263&lt;0,"Loss","Flat"))</f>
        <v>Win</v>
      </c>
      <c r="Z263" s="24" t="n">
        <f aca="false">Summary!$C$5+SUM(W$2:W263)</f>
        <v>4561.29</v>
      </c>
      <c r="AA263" s="24" t="n">
        <f aca="false">MAX(AA262,Z263)</f>
        <v>5000</v>
      </c>
      <c r="AB263" s="24" t="n">
        <f aca="false">AA263-Z263</f>
        <v>438.71</v>
      </c>
      <c r="AC263" s="23" t="n">
        <f aca="false">IFERROR(AB263/AA263,0)</f>
        <v>0.087742</v>
      </c>
      <c r="AD263" s="22" t="s">
        <v>500</v>
      </c>
    </row>
    <row r="264" customFormat="false" ht="15" hidden="false" customHeight="false" outlineLevel="0" collapsed="false">
      <c r="A264" s="22" t="n">
        <v>263</v>
      </c>
      <c r="B264" s="22" t="s">
        <v>127</v>
      </c>
      <c r="C264" s="37" t="n">
        <v>44882.617349537</v>
      </c>
      <c r="D264" s="22" t="s">
        <v>205</v>
      </c>
      <c r="E264" s="22" t="n">
        <v>14</v>
      </c>
      <c r="F264" s="22" t="s">
        <v>182</v>
      </c>
      <c r="G264" s="22" t="s">
        <v>241</v>
      </c>
      <c r="H264" s="22" t="n">
        <v>0.07</v>
      </c>
      <c r="I264" s="38" t="n">
        <v>1761.23</v>
      </c>
      <c r="J264" s="38" t="n">
        <v>1761.03</v>
      </c>
      <c r="K264" s="39" t="n">
        <f aca="false">IF(F264="BUY",J264-I264,I264-J264)</f>
        <v>0.200000000000045</v>
      </c>
      <c r="L264" s="38" t="n">
        <v>1767.23</v>
      </c>
      <c r="M264" s="39" t="n">
        <f aca="false">ABS(I264-L264)</f>
        <v>6</v>
      </c>
      <c r="N264" s="24" t="n">
        <f aca="false">M264*H264*Summary!$C$6</f>
        <v>42</v>
      </c>
      <c r="O264" s="37" t="n">
        <v>44882.6395138889</v>
      </c>
      <c r="P264" s="22" t="n">
        <f aca="false">ROUND((O264-C264)*86400,0)</f>
        <v>1915</v>
      </c>
      <c r="Q264" s="22" t="str">
        <f aca="false">IF(P264&lt;10,"a) &lt;10s",IF(P264&lt;60,"b) 10-60s",IF(P264&lt;600,"c) 1-10min","d) &gt;10min")))</f>
        <v>d) &gt;10min</v>
      </c>
      <c r="R264" s="38" t="n">
        <v>1760.53</v>
      </c>
      <c r="S264" s="38" t="n">
        <v>1760.56</v>
      </c>
      <c r="T264" s="22" t="s">
        <v>189</v>
      </c>
      <c r="U264" s="39" t="n">
        <f aca="false">IF(R264="","",IF(F264="BUY",R264-S264,S264-R264))</f>
        <v>0.0299999999999727</v>
      </c>
      <c r="V264" s="39" t="n">
        <f aca="false">IF(F264="BUY",S264-J264,J264-S264)</f>
        <v>0.470000000000027</v>
      </c>
      <c r="W264" s="6" t="n">
        <v>3.29</v>
      </c>
      <c r="X264" s="26" t="n">
        <f aca="false">IFERROR(W264/N264,0)</f>
        <v>0.0783333333333333</v>
      </c>
      <c r="Y264" s="22" t="str">
        <f aca="false">IF(W264&gt;0,"Win",IF(W264&lt;0,"Loss","Flat"))</f>
        <v>Win</v>
      </c>
      <c r="Z264" s="24" t="n">
        <f aca="false">Summary!$C$5+SUM(W$2:W264)</f>
        <v>4564.58</v>
      </c>
      <c r="AA264" s="24" t="n">
        <f aca="false">MAX(AA263,Z264)</f>
        <v>5000</v>
      </c>
      <c r="AB264" s="24" t="n">
        <f aca="false">AA264-Z264</f>
        <v>435.42</v>
      </c>
      <c r="AC264" s="23" t="n">
        <f aca="false">IFERROR(AB264/AA264,0)</f>
        <v>0.087084</v>
      </c>
      <c r="AD264" s="22" t="s">
        <v>501</v>
      </c>
    </row>
    <row r="265" customFormat="false" ht="15" hidden="false" customHeight="false" outlineLevel="0" collapsed="false">
      <c r="A265" s="22" t="n">
        <v>264</v>
      </c>
      <c r="B265" s="22" t="s">
        <v>127</v>
      </c>
      <c r="C265" s="37" t="n">
        <v>44883.3754513889</v>
      </c>
      <c r="D265" s="22" t="s">
        <v>206</v>
      </c>
      <c r="E265" s="22" t="n">
        <v>9</v>
      </c>
      <c r="F265" s="22" t="s">
        <v>181</v>
      </c>
      <c r="G265" s="22" t="s">
        <v>235</v>
      </c>
      <c r="H265" s="22" t="n">
        <v>0.07</v>
      </c>
      <c r="I265" s="38" t="n">
        <v>1764.46</v>
      </c>
      <c r="J265" s="38" t="n">
        <v>1764.55</v>
      </c>
      <c r="K265" s="39" t="n">
        <f aca="false">IF(F265="BUY",J265-I265,I265-J265)</f>
        <v>0.0899999999999182</v>
      </c>
      <c r="L265" s="38" t="n">
        <v>1758.46</v>
      </c>
      <c r="M265" s="39" t="n">
        <f aca="false">ABS(I265-L265)</f>
        <v>6</v>
      </c>
      <c r="N265" s="24" t="n">
        <f aca="false">M265*H265*Summary!$C$6</f>
        <v>42</v>
      </c>
      <c r="O265" s="37" t="n">
        <v>44883.416712963</v>
      </c>
      <c r="P265" s="22" t="n">
        <f aca="false">ROUND((O265-C265)*86400,0)</f>
        <v>3565</v>
      </c>
      <c r="Q265" s="22" t="str">
        <f aca="false">IF(P265&lt;10,"a) &lt;10s",IF(P265&lt;60,"b) 10-60s",IF(P265&lt;600,"c) 1-10min","d) &gt;10min")))</f>
        <v>d) &gt;10min</v>
      </c>
      <c r="R265" s="38" t="n">
        <v>1765.05</v>
      </c>
      <c r="S265" s="38" t="n">
        <v>1764.98</v>
      </c>
      <c r="T265" s="22" t="s">
        <v>189</v>
      </c>
      <c r="U265" s="39" t="n">
        <f aca="false">IF(R265="","",IF(F265="BUY",R265-S265,S265-R265))</f>
        <v>0.0699999999999363</v>
      </c>
      <c r="V265" s="39" t="n">
        <f aca="false">IF(F265="BUY",S265-J265,J265-S265)</f>
        <v>0.430000000000064</v>
      </c>
      <c r="W265" s="6" t="n">
        <v>3.01</v>
      </c>
      <c r="X265" s="26" t="n">
        <f aca="false">IFERROR(W265/N265,0)</f>
        <v>0.0716666666666667</v>
      </c>
      <c r="Y265" s="22" t="str">
        <f aca="false">IF(W265&gt;0,"Win",IF(W265&lt;0,"Loss","Flat"))</f>
        <v>Win</v>
      </c>
      <c r="Z265" s="24" t="n">
        <f aca="false">Summary!$C$5+SUM(W$2:W265)</f>
        <v>4567.59</v>
      </c>
      <c r="AA265" s="24" t="n">
        <f aca="false">MAX(AA264,Z265)</f>
        <v>5000</v>
      </c>
      <c r="AB265" s="24" t="n">
        <f aca="false">AA265-Z265</f>
        <v>432.41</v>
      </c>
      <c r="AC265" s="23" t="n">
        <f aca="false">IFERROR(AB265/AA265,0)</f>
        <v>0.086482</v>
      </c>
      <c r="AD265" s="22" t="s">
        <v>502</v>
      </c>
    </row>
    <row r="266" customFormat="false" ht="15" hidden="false" customHeight="false" outlineLevel="0" collapsed="false">
      <c r="A266" s="22" t="n">
        <v>265</v>
      </c>
      <c r="B266" s="22" t="s">
        <v>127</v>
      </c>
      <c r="C266" s="37" t="n">
        <v>44883.68875</v>
      </c>
      <c r="D266" s="22" t="s">
        <v>206</v>
      </c>
      <c r="E266" s="22" t="n">
        <v>16</v>
      </c>
      <c r="F266" s="22" t="s">
        <v>182</v>
      </c>
      <c r="G266" s="22" t="s">
        <v>237</v>
      </c>
      <c r="H266" s="22" t="n">
        <v>0.07</v>
      </c>
      <c r="I266" s="38" t="n">
        <v>1754.27</v>
      </c>
      <c r="J266" s="38" t="n">
        <v>1754.08</v>
      </c>
      <c r="K266" s="39" t="n">
        <f aca="false">IF(F266="BUY",J266-I266,I266-J266)</f>
        <v>0.190000000000055</v>
      </c>
      <c r="L266" s="38" t="n">
        <v>1760.27</v>
      </c>
      <c r="M266" s="39" t="n">
        <f aca="false">ABS(I266-L266)</f>
        <v>6</v>
      </c>
      <c r="N266" s="24" t="n">
        <f aca="false">M266*H266*Summary!$C$6</f>
        <v>42</v>
      </c>
      <c r="O266" s="37" t="n">
        <v>44883.7061111111</v>
      </c>
      <c r="P266" s="22" t="n">
        <f aca="false">ROUND((O266-C266)*86400,0)</f>
        <v>1500</v>
      </c>
      <c r="Q266" s="22" t="str">
        <f aca="false">IF(P266&lt;10,"a) &lt;10s",IF(P266&lt;60,"b) 10-60s",IF(P266&lt;600,"c) 1-10min","d) &gt;10min")))</f>
        <v>d) &gt;10min</v>
      </c>
      <c r="R266" s="38" t="n">
        <v>1753.58</v>
      </c>
      <c r="S266" s="38" t="n">
        <v>1753.7</v>
      </c>
      <c r="T266" s="22" t="s">
        <v>189</v>
      </c>
      <c r="U266" s="39" t="n">
        <f aca="false">IF(R266="","",IF(F266="BUY",R266-S266,S266-R266))</f>
        <v>0.120000000000118</v>
      </c>
      <c r="V266" s="39" t="n">
        <f aca="false">IF(F266="BUY",S266-J266,J266-S266)</f>
        <v>0.379999999999882</v>
      </c>
      <c r="W266" s="6" t="n">
        <v>2.66</v>
      </c>
      <c r="X266" s="26" t="n">
        <f aca="false">IFERROR(W266/N266,0)</f>
        <v>0.0633333333333333</v>
      </c>
      <c r="Y266" s="22" t="str">
        <f aca="false">IF(W266&gt;0,"Win",IF(W266&lt;0,"Loss","Flat"))</f>
        <v>Win</v>
      </c>
      <c r="Z266" s="24" t="n">
        <f aca="false">Summary!$C$5+SUM(W$2:W266)</f>
        <v>4570.25</v>
      </c>
      <c r="AA266" s="24" t="n">
        <f aca="false">MAX(AA265,Z266)</f>
        <v>5000</v>
      </c>
      <c r="AB266" s="24" t="n">
        <f aca="false">AA266-Z266</f>
        <v>429.75</v>
      </c>
      <c r="AC266" s="23" t="n">
        <f aca="false">IFERROR(AB266/AA266,0)</f>
        <v>0.08595</v>
      </c>
      <c r="AD266" s="22" t="s">
        <v>503</v>
      </c>
    </row>
    <row r="267" customFormat="false" ht="15" hidden="false" customHeight="false" outlineLevel="0" collapsed="false">
      <c r="A267" s="22" t="n">
        <v>266</v>
      </c>
      <c r="B267" s="22" t="s">
        <v>127</v>
      </c>
      <c r="C267" s="37" t="n">
        <v>44886.136724537</v>
      </c>
      <c r="D267" s="22" t="s">
        <v>202</v>
      </c>
      <c r="E267" s="22" t="n">
        <v>3</v>
      </c>
      <c r="F267" s="22" t="s">
        <v>182</v>
      </c>
      <c r="G267" s="22" t="s">
        <v>237</v>
      </c>
      <c r="H267" s="22" t="n">
        <v>0.07</v>
      </c>
      <c r="I267" s="38" t="n">
        <v>1747.32</v>
      </c>
      <c r="J267" s="38" t="n">
        <v>1747.03</v>
      </c>
      <c r="K267" s="39" t="n">
        <f aca="false">IF(F267="BUY",J267-I267,I267-J267)</f>
        <v>0.289999999999964</v>
      </c>
      <c r="L267" s="38" t="n">
        <v>1753.32</v>
      </c>
      <c r="M267" s="39" t="n">
        <f aca="false">ABS(I267-L267)</f>
        <v>6</v>
      </c>
      <c r="N267" s="24" t="n">
        <f aca="false">M267*H267*Summary!$C$6</f>
        <v>42</v>
      </c>
      <c r="O267" s="37" t="n">
        <v>44886.1512152778</v>
      </c>
      <c r="P267" s="22" t="n">
        <f aca="false">ROUND((O267-C267)*86400,0)</f>
        <v>1252</v>
      </c>
      <c r="Q267" s="22" t="str">
        <f aca="false">IF(P267&lt;10,"a) &lt;10s",IF(P267&lt;60,"b) 10-60s",IF(P267&lt;600,"c) 1-10min","d) &gt;10min")))</f>
        <v>d) &gt;10min</v>
      </c>
      <c r="R267" s="38" t="n">
        <v>1746.53</v>
      </c>
      <c r="S267" s="38" t="n">
        <v>1746.53</v>
      </c>
      <c r="T267" s="22" t="s">
        <v>189</v>
      </c>
      <c r="U267" s="39" t="n">
        <f aca="false">IF(R267="","",IF(F267="BUY",R267-S267,S267-R267))</f>
        <v>0</v>
      </c>
      <c r="V267" s="39" t="n">
        <f aca="false">IF(F267="BUY",S267-J267,J267-S267)</f>
        <v>0.5</v>
      </c>
      <c r="W267" s="6" t="n">
        <v>3.5</v>
      </c>
      <c r="X267" s="26" t="n">
        <f aca="false">IFERROR(W267/N267,0)</f>
        <v>0.0833333333333333</v>
      </c>
      <c r="Y267" s="22" t="str">
        <f aca="false">IF(W267&gt;0,"Win",IF(W267&lt;0,"Loss","Flat"))</f>
        <v>Win</v>
      </c>
      <c r="Z267" s="24" t="n">
        <f aca="false">Summary!$C$5+SUM(W$2:W267)</f>
        <v>4573.75</v>
      </c>
      <c r="AA267" s="24" t="n">
        <f aca="false">MAX(AA266,Z267)</f>
        <v>5000</v>
      </c>
      <c r="AB267" s="24" t="n">
        <f aca="false">AA267-Z267</f>
        <v>426.25</v>
      </c>
      <c r="AC267" s="23" t="n">
        <f aca="false">IFERROR(AB267/AA267,0)</f>
        <v>0.08525</v>
      </c>
      <c r="AD267" s="22" t="s">
        <v>504</v>
      </c>
    </row>
    <row r="268" customFormat="false" ht="15" hidden="false" customHeight="false" outlineLevel="0" collapsed="false">
      <c r="A268" s="22" t="n">
        <v>267</v>
      </c>
      <c r="B268" s="22" t="s">
        <v>127</v>
      </c>
      <c r="C268" s="37" t="n">
        <v>44886.3814930556</v>
      </c>
      <c r="D268" s="22" t="s">
        <v>202</v>
      </c>
      <c r="E268" s="22" t="n">
        <v>9</v>
      </c>
      <c r="F268" s="22" t="s">
        <v>181</v>
      </c>
      <c r="G268" s="22" t="s">
        <v>235</v>
      </c>
      <c r="H268" s="22" t="n">
        <v>0.07</v>
      </c>
      <c r="I268" s="38" t="n">
        <v>1746.96</v>
      </c>
      <c r="J268" s="38" t="n">
        <v>1746.97</v>
      </c>
      <c r="K268" s="39" t="n">
        <f aca="false">IF(F268="BUY",J268-I268,I268-J268)</f>
        <v>0.00999999999999091</v>
      </c>
      <c r="L268" s="38" t="n">
        <v>1740.96</v>
      </c>
      <c r="M268" s="39" t="n">
        <f aca="false">ABS(I268-L268)</f>
        <v>6</v>
      </c>
      <c r="N268" s="24" t="n">
        <f aca="false">M268*H268*Summary!$C$6</f>
        <v>42</v>
      </c>
      <c r="O268" s="37" t="n">
        <v>44886.428275463</v>
      </c>
      <c r="P268" s="22" t="n">
        <f aca="false">ROUND((O268-C268)*86400,0)</f>
        <v>4042</v>
      </c>
      <c r="Q268" s="22" t="str">
        <f aca="false">IF(P268&lt;10,"a) &lt;10s",IF(P268&lt;60,"b) 10-60s",IF(P268&lt;600,"c) 1-10min","d) &gt;10min")))</f>
        <v>d) &gt;10min</v>
      </c>
      <c r="R268" s="38" t="n">
        <v>1740.96</v>
      </c>
      <c r="S268" s="38" t="n">
        <v>1740.95</v>
      </c>
      <c r="T268" s="22" t="s">
        <v>188</v>
      </c>
      <c r="U268" s="39" t="n">
        <f aca="false">IF(R268="","",IF(F268="BUY",R268-S268,S268-R268))</f>
        <v>0.00999999999999091</v>
      </c>
      <c r="V268" s="39" t="n">
        <f aca="false">IF(F268="BUY",S268-J268,J268-S268)</f>
        <v>-6.01999999999998</v>
      </c>
      <c r="W268" s="6" t="n">
        <v>-42.14</v>
      </c>
      <c r="X268" s="26" t="n">
        <f aca="false">IFERROR(W268/N268,0)</f>
        <v>-1.00333333333333</v>
      </c>
      <c r="Y268" s="22" t="str">
        <f aca="false">IF(W268&gt;0,"Win",IF(W268&lt;0,"Loss","Flat"))</f>
        <v>Loss</v>
      </c>
      <c r="Z268" s="24" t="n">
        <f aca="false">Summary!$C$5+SUM(W$2:W268)</f>
        <v>4531.61</v>
      </c>
      <c r="AA268" s="24" t="n">
        <f aca="false">MAX(AA267,Z268)</f>
        <v>5000</v>
      </c>
      <c r="AB268" s="24" t="n">
        <f aca="false">AA268-Z268</f>
        <v>468.39</v>
      </c>
      <c r="AC268" s="23" t="n">
        <f aca="false">IFERROR(AB268/AA268,0)</f>
        <v>0.0936780000000001</v>
      </c>
      <c r="AD268" s="22" t="s">
        <v>505</v>
      </c>
    </row>
    <row r="269" customFormat="false" ht="15" hidden="false" customHeight="false" outlineLevel="0" collapsed="false">
      <c r="A269" s="22" t="n">
        <v>268</v>
      </c>
      <c r="B269" s="22" t="s">
        <v>127</v>
      </c>
      <c r="C269" s="37" t="n">
        <v>44887.375</v>
      </c>
      <c r="D269" s="22" t="s">
        <v>203</v>
      </c>
      <c r="E269" s="22" t="n">
        <v>9</v>
      </c>
      <c r="F269" s="22" t="s">
        <v>182</v>
      </c>
      <c r="G269" s="22" t="s">
        <v>241</v>
      </c>
      <c r="H269" s="22" t="n">
        <v>0.07</v>
      </c>
      <c r="I269" s="38" t="n">
        <v>1740.42</v>
      </c>
      <c r="J269" s="38" t="n">
        <v>1740.39</v>
      </c>
      <c r="K269" s="39" t="n">
        <f aca="false">IF(F269="BUY",J269-I269,I269-J269)</f>
        <v>0.0299999999999727</v>
      </c>
      <c r="L269" s="38" t="n">
        <v>1746.42</v>
      </c>
      <c r="M269" s="39" t="n">
        <f aca="false">ABS(I269-L269)</f>
        <v>6</v>
      </c>
      <c r="N269" s="24" t="n">
        <f aca="false">M269*H269*Summary!$C$6</f>
        <v>42</v>
      </c>
      <c r="O269" s="37" t="n">
        <v>44887.4351736111</v>
      </c>
      <c r="P269" s="22" t="n">
        <f aca="false">ROUND((O269-C269)*86400,0)</f>
        <v>5199</v>
      </c>
      <c r="Q269" s="22" t="str">
        <f aca="false">IF(P269&lt;10,"a) &lt;10s",IF(P269&lt;60,"b) 10-60s",IF(P269&lt;600,"c) 1-10min","d) &gt;10min")))</f>
        <v>d) &gt;10min</v>
      </c>
      <c r="R269" s="38" t="n">
        <v>1746.42</v>
      </c>
      <c r="S269" s="38" t="n">
        <v>1746.49</v>
      </c>
      <c r="T269" s="22" t="s">
        <v>188</v>
      </c>
      <c r="U269" s="39" t="n">
        <f aca="false">IF(R269="","",IF(F269="BUY",R269-S269,S269-R269))</f>
        <v>0.0699999999999363</v>
      </c>
      <c r="V269" s="39" t="n">
        <f aca="false">IF(F269="BUY",S269-J269,J269-S269)</f>
        <v>-6.09999999999991</v>
      </c>
      <c r="W269" s="6" t="n">
        <v>-42.7</v>
      </c>
      <c r="X269" s="26" t="n">
        <f aca="false">IFERROR(W269/N269,0)</f>
        <v>-1.01666666666667</v>
      </c>
      <c r="Y269" s="22" t="str">
        <f aca="false">IF(W269&gt;0,"Win",IF(W269&lt;0,"Loss","Flat"))</f>
        <v>Loss</v>
      </c>
      <c r="Z269" s="24" t="n">
        <f aca="false">Summary!$C$5+SUM(W$2:W269)</f>
        <v>4488.91</v>
      </c>
      <c r="AA269" s="24" t="n">
        <f aca="false">MAX(AA268,Z269)</f>
        <v>5000</v>
      </c>
      <c r="AB269" s="24" t="n">
        <f aca="false">AA269-Z269</f>
        <v>511.09</v>
      </c>
      <c r="AC269" s="23" t="n">
        <f aca="false">IFERROR(AB269/AA269,0)</f>
        <v>0.102218</v>
      </c>
      <c r="AD269" s="22" t="s">
        <v>506</v>
      </c>
    </row>
    <row r="270" customFormat="false" ht="15" hidden="false" customHeight="false" outlineLevel="0" collapsed="false">
      <c r="A270" s="22" t="n">
        <v>269</v>
      </c>
      <c r="B270" s="22" t="s">
        <v>127</v>
      </c>
      <c r="C270" s="37" t="n">
        <v>44888.2481712963</v>
      </c>
      <c r="D270" s="22" t="s">
        <v>204</v>
      </c>
      <c r="E270" s="22" t="n">
        <v>5</v>
      </c>
      <c r="F270" s="22" t="s">
        <v>182</v>
      </c>
      <c r="G270" s="22" t="s">
        <v>237</v>
      </c>
      <c r="H270" s="22" t="n">
        <v>0.07</v>
      </c>
      <c r="I270" s="38" t="n">
        <v>1736.87</v>
      </c>
      <c r="J270" s="38" t="n">
        <v>1736.79</v>
      </c>
      <c r="K270" s="39" t="n">
        <f aca="false">IF(F270="BUY",J270-I270,I270-J270)</f>
        <v>0.0799999999999272</v>
      </c>
      <c r="L270" s="38" t="n">
        <v>1742.87</v>
      </c>
      <c r="M270" s="39" t="n">
        <f aca="false">ABS(I270-L270)</f>
        <v>6</v>
      </c>
      <c r="N270" s="24" t="n">
        <f aca="false">M270*H270*Summary!$C$6</f>
        <v>42</v>
      </c>
      <c r="O270" s="37" t="n">
        <v>44888.3124884259</v>
      </c>
      <c r="P270" s="22" t="n">
        <f aca="false">ROUND((O270-C270)*86400,0)</f>
        <v>5557</v>
      </c>
      <c r="Q270" s="22" t="str">
        <f aca="false">IF(P270&lt;10,"a) &lt;10s",IF(P270&lt;60,"b) 10-60s",IF(P270&lt;600,"c) 1-10min","d) &gt;10min")))</f>
        <v>d) &gt;10min</v>
      </c>
      <c r="R270" s="38" t="n">
        <v>1736.29</v>
      </c>
      <c r="S270" s="38" t="n">
        <v>1736.34</v>
      </c>
      <c r="T270" s="22" t="s">
        <v>189</v>
      </c>
      <c r="U270" s="39" t="n">
        <f aca="false">IF(R270="","",IF(F270="BUY",R270-S270,S270-R270))</f>
        <v>0.0499999999999545</v>
      </c>
      <c r="V270" s="39" t="n">
        <f aca="false">IF(F270="BUY",S270-J270,J270-S270)</f>
        <v>0.450000000000046</v>
      </c>
      <c r="W270" s="6" t="n">
        <v>3.15</v>
      </c>
      <c r="X270" s="26" t="n">
        <f aca="false">IFERROR(W270/N270,0)</f>
        <v>0.075</v>
      </c>
      <c r="Y270" s="22" t="str">
        <f aca="false">IF(W270&gt;0,"Win",IF(W270&lt;0,"Loss","Flat"))</f>
        <v>Win</v>
      </c>
      <c r="Z270" s="24" t="n">
        <f aca="false">Summary!$C$5+SUM(W$2:W270)</f>
        <v>4492.06</v>
      </c>
      <c r="AA270" s="24" t="n">
        <f aca="false">MAX(AA269,Z270)</f>
        <v>5000</v>
      </c>
      <c r="AB270" s="24" t="n">
        <f aca="false">AA270-Z270</f>
        <v>507.94</v>
      </c>
      <c r="AC270" s="23" t="n">
        <f aca="false">IFERROR(AB270/AA270,0)</f>
        <v>0.101588</v>
      </c>
      <c r="AD270" s="22" t="s">
        <v>507</v>
      </c>
    </row>
    <row r="271" customFormat="false" ht="15" hidden="false" customHeight="false" outlineLevel="0" collapsed="false">
      <c r="A271" s="22" t="n">
        <v>270</v>
      </c>
      <c r="B271" s="22" t="s">
        <v>127</v>
      </c>
      <c r="C271" s="37" t="n">
        <v>44888.3847685185</v>
      </c>
      <c r="D271" s="22" t="s">
        <v>204</v>
      </c>
      <c r="E271" s="22" t="n">
        <v>9</v>
      </c>
      <c r="F271" s="22" t="s">
        <v>181</v>
      </c>
      <c r="G271" s="22" t="s">
        <v>235</v>
      </c>
      <c r="H271" s="22" t="n">
        <v>0.07</v>
      </c>
      <c r="I271" s="38" t="n">
        <v>1740</v>
      </c>
      <c r="J271" s="38" t="n">
        <v>1740.07</v>
      </c>
      <c r="K271" s="39" t="n">
        <f aca="false">IF(F271="BUY",J271-I271,I271-J271)</f>
        <v>0.0699999999999363</v>
      </c>
      <c r="L271" s="38" t="n">
        <v>1734</v>
      </c>
      <c r="M271" s="39" t="n">
        <f aca="false">ABS(I271-L271)</f>
        <v>6</v>
      </c>
      <c r="N271" s="24" t="n">
        <f aca="false">M271*H271*Summary!$C$6</f>
        <v>42</v>
      </c>
      <c r="O271" s="37" t="n">
        <v>44888.4470717593</v>
      </c>
      <c r="P271" s="22" t="n">
        <f aca="false">ROUND((O271-C271)*86400,0)</f>
        <v>5383</v>
      </c>
      <c r="Q271" s="22" t="str">
        <f aca="false">IF(P271&lt;10,"a) &lt;10s",IF(P271&lt;60,"b) 10-60s",IF(P271&lt;600,"c) 1-10min","d) &gt;10min")))</f>
        <v>d) &gt;10min</v>
      </c>
      <c r="R271" s="38" t="n">
        <v>1740.57</v>
      </c>
      <c r="S271" s="38" t="n">
        <v>1740.5</v>
      </c>
      <c r="T271" s="22" t="s">
        <v>189</v>
      </c>
      <c r="U271" s="39" t="n">
        <f aca="false">IF(R271="","",IF(F271="BUY",R271-S271,S271-R271))</f>
        <v>0.0699999999999363</v>
      </c>
      <c r="V271" s="39" t="n">
        <f aca="false">IF(F271="BUY",S271-J271,J271-S271)</f>
        <v>0.430000000000064</v>
      </c>
      <c r="W271" s="6" t="n">
        <v>3.01</v>
      </c>
      <c r="X271" s="26" t="n">
        <f aca="false">IFERROR(W271/N271,0)</f>
        <v>0.0716666666666667</v>
      </c>
      <c r="Y271" s="22" t="str">
        <f aca="false">IF(W271&gt;0,"Win",IF(W271&lt;0,"Loss","Flat"))</f>
        <v>Win</v>
      </c>
      <c r="Z271" s="24" t="n">
        <f aca="false">Summary!$C$5+SUM(W$2:W271)</f>
        <v>4495.07</v>
      </c>
      <c r="AA271" s="24" t="n">
        <f aca="false">MAX(AA270,Z271)</f>
        <v>5000</v>
      </c>
      <c r="AB271" s="24" t="n">
        <f aca="false">AA271-Z271</f>
        <v>504.93</v>
      </c>
      <c r="AC271" s="23" t="n">
        <f aca="false">IFERROR(AB271/AA271,0)</f>
        <v>0.100986</v>
      </c>
      <c r="AD271" s="22" t="s">
        <v>508</v>
      </c>
    </row>
    <row r="272" customFormat="false" ht="15" hidden="false" customHeight="false" outlineLevel="0" collapsed="false">
      <c r="A272" s="22" t="n">
        <v>271</v>
      </c>
      <c r="B272" s="22" t="s">
        <v>127</v>
      </c>
      <c r="C272" s="37" t="n">
        <v>44889.0834375</v>
      </c>
      <c r="D272" s="22" t="s">
        <v>205</v>
      </c>
      <c r="E272" s="22" t="n">
        <v>2</v>
      </c>
      <c r="F272" s="22" t="s">
        <v>181</v>
      </c>
      <c r="G272" s="22" t="s">
        <v>243</v>
      </c>
      <c r="H272" s="22" t="n">
        <v>0.07</v>
      </c>
      <c r="I272" s="38" t="n">
        <v>1753.18</v>
      </c>
      <c r="J272" s="38" t="n">
        <v>1753.18</v>
      </c>
      <c r="K272" s="39" t="n">
        <f aca="false">IF(F272="BUY",J272-I272,I272-J272)</f>
        <v>0</v>
      </c>
      <c r="L272" s="38" t="n">
        <v>1747.18</v>
      </c>
      <c r="M272" s="39" t="n">
        <f aca="false">ABS(I272-L272)</f>
        <v>6</v>
      </c>
      <c r="N272" s="24" t="n">
        <f aca="false">M272*H272*Summary!$C$6</f>
        <v>42</v>
      </c>
      <c r="O272" s="37" t="n">
        <v>44889.3215625</v>
      </c>
      <c r="P272" s="22" t="n">
        <f aca="false">ROUND((O272-C272)*86400,0)</f>
        <v>20574</v>
      </c>
      <c r="Q272" s="22" t="str">
        <f aca="false">IF(P272&lt;10,"a) &lt;10s",IF(P272&lt;60,"b) 10-60s",IF(P272&lt;600,"c) 1-10min","d) &gt;10min")))</f>
        <v>d) &gt;10min</v>
      </c>
      <c r="R272" s="38" t="n">
        <v>1753.68</v>
      </c>
      <c r="S272" s="38" t="n">
        <v>1753.68</v>
      </c>
      <c r="T272" s="22" t="s">
        <v>189</v>
      </c>
      <c r="U272" s="39" t="n">
        <f aca="false">IF(R272="","",IF(F272="BUY",R272-S272,S272-R272))</f>
        <v>0</v>
      </c>
      <c r="V272" s="39" t="n">
        <f aca="false">IF(F272="BUY",S272-J272,J272-S272)</f>
        <v>0.5</v>
      </c>
      <c r="W272" s="6" t="n">
        <v>3.5</v>
      </c>
      <c r="X272" s="26" t="n">
        <f aca="false">IFERROR(W272/N272,0)</f>
        <v>0.0833333333333333</v>
      </c>
      <c r="Y272" s="22" t="str">
        <f aca="false">IF(W272&gt;0,"Win",IF(W272&lt;0,"Loss","Flat"))</f>
        <v>Win</v>
      </c>
      <c r="Z272" s="24" t="n">
        <f aca="false">Summary!$C$5+SUM(W$2:W272)</f>
        <v>4498.57</v>
      </c>
      <c r="AA272" s="24" t="n">
        <f aca="false">MAX(AA271,Z272)</f>
        <v>5000</v>
      </c>
      <c r="AB272" s="24" t="n">
        <f aca="false">AA272-Z272</f>
        <v>501.43</v>
      </c>
      <c r="AC272" s="23" t="n">
        <f aca="false">IFERROR(AB272/AA272,0)</f>
        <v>0.100286</v>
      </c>
      <c r="AD272" s="22" t="s">
        <v>509</v>
      </c>
    </row>
    <row r="273" customFormat="false" ht="15" hidden="false" customHeight="false" outlineLevel="0" collapsed="false">
      <c r="A273" s="22" t="n">
        <v>272</v>
      </c>
      <c r="B273" s="22" t="s">
        <v>127</v>
      </c>
      <c r="C273" s="37" t="n">
        <v>44889.375</v>
      </c>
      <c r="D273" s="22" t="s">
        <v>205</v>
      </c>
      <c r="E273" s="22" t="n">
        <v>9</v>
      </c>
      <c r="F273" s="22" t="s">
        <v>181</v>
      </c>
      <c r="G273" s="22" t="s">
        <v>235</v>
      </c>
      <c r="H273" s="22" t="n">
        <v>0.07</v>
      </c>
      <c r="I273" s="38" t="n">
        <v>1755.66</v>
      </c>
      <c r="J273" s="38" t="n">
        <v>1755.69</v>
      </c>
      <c r="K273" s="39" t="n">
        <f aca="false">IF(F273="BUY",J273-I273,I273-J273)</f>
        <v>0.0299999999999727</v>
      </c>
      <c r="L273" s="38" t="n">
        <v>1749.66</v>
      </c>
      <c r="M273" s="39" t="n">
        <f aca="false">ABS(I273-L273)</f>
        <v>6</v>
      </c>
      <c r="N273" s="24" t="n">
        <f aca="false">M273*H273*Summary!$C$6</f>
        <v>42</v>
      </c>
      <c r="O273" s="37" t="n">
        <v>44889.4810648148</v>
      </c>
      <c r="P273" s="22" t="n">
        <f aca="false">ROUND((O273-C273)*86400,0)</f>
        <v>9164</v>
      </c>
      <c r="Q273" s="22" t="str">
        <f aca="false">IF(P273&lt;10,"a) &lt;10s",IF(P273&lt;60,"b) 10-60s",IF(P273&lt;600,"c) 1-10min","d) &gt;10min")))</f>
        <v>d) &gt;10min</v>
      </c>
      <c r="R273" s="38" t="n">
        <v>1756.19</v>
      </c>
      <c r="S273" s="38" t="n">
        <v>1756.18</v>
      </c>
      <c r="T273" s="22" t="s">
        <v>189</v>
      </c>
      <c r="U273" s="39" t="n">
        <f aca="false">IF(R273="","",IF(F273="BUY",R273-S273,S273-R273))</f>
        <v>0.00999999999999091</v>
      </c>
      <c r="V273" s="39" t="n">
        <f aca="false">IF(F273="BUY",S273-J273,J273-S273)</f>
        <v>0.490000000000009</v>
      </c>
      <c r="W273" s="6" t="n">
        <v>3.43</v>
      </c>
      <c r="X273" s="26" t="n">
        <f aca="false">IFERROR(W273/N273,0)</f>
        <v>0.0816666666666667</v>
      </c>
      <c r="Y273" s="22" t="str">
        <f aca="false">IF(W273&gt;0,"Win",IF(W273&lt;0,"Loss","Flat"))</f>
        <v>Win</v>
      </c>
      <c r="Z273" s="24" t="n">
        <f aca="false">Summary!$C$5+SUM(W$2:W273)</f>
        <v>4502</v>
      </c>
      <c r="AA273" s="24" t="n">
        <f aca="false">MAX(AA272,Z273)</f>
        <v>5000</v>
      </c>
      <c r="AB273" s="24" t="n">
        <f aca="false">AA273-Z273</f>
        <v>498</v>
      </c>
      <c r="AC273" s="23" t="n">
        <f aca="false">IFERROR(AB273/AA273,0)</f>
        <v>0.0996</v>
      </c>
      <c r="AD273" s="22" t="s">
        <v>510</v>
      </c>
    </row>
    <row r="274" customFormat="false" ht="15" hidden="false" customHeight="false" outlineLevel="0" collapsed="false">
      <c r="A274" s="22" t="n">
        <v>273</v>
      </c>
      <c r="B274" s="22" t="s">
        <v>127</v>
      </c>
      <c r="C274" s="37" t="n">
        <v>44890.1779976852</v>
      </c>
      <c r="D274" s="22" t="s">
        <v>206</v>
      </c>
      <c r="E274" s="22" t="n">
        <v>4</v>
      </c>
      <c r="F274" s="22" t="s">
        <v>181</v>
      </c>
      <c r="G274" s="22" t="s">
        <v>243</v>
      </c>
      <c r="H274" s="22" t="n">
        <v>0.07</v>
      </c>
      <c r="I274" s="38" t="n">
        <v>1758.47</v>
      </c>
      <c r="J274" s="38" t="n">
        <v>1758.49</v>
      </c>
      <c r="K274" s="39" t="n">
        <f aca="false">IF(F274="BUY",J274-I274,I274-J274)</f>
        <v>0.0199999999999818</v>
      </c>
      <c r="L274" s="38" t="n">
        <v>1752.47</v>
      </c>
      <c r="M274" s="39" t="n">
        <f aca="false">ABS(I274-L274)</f>
        <v>6</v>
      </c>
      <c r="N274" s="24" t="n">
        <f aca="false">M274*H274*Summary!$C$6</f>
        <v>42</v>
      </c>
      <c r="O274" s="37" t="n">
        <v>44890.2731944445</v>
      </c>
      <c r="P274" s="22" t="n">
        <f aca="false">ROUND((O274-C274)*86400,0)</f>
        <v>8225</v>
      </c>
      <c r="Q274" s="22" t="str">
        <f aca="false">IF(P274&lt;10,"a) &lt;10s",IF(P274&lt;60,"b) 10-60s",IF(P274&lt;600,"c) 1-10min","d) &gt;10min")))</f>
        <v>d) &gt;10min</v>
      </c>
      <c r="R274" s="38" t="n">
        <v>1758.99</v>
      </c>
      <c r="S274" s="38" t="n">
        <v>1758.95</v>
      </c>
      <c r="T274" s="22" t="s">
        <v>189</v>
      </c>
      <c r="U274" s="39" t="n">
        <f aca="false">IF(R274="","",IF(F274="BUY",R274-S274,S274-R274))</f>
        <v>0.0399999999999636</v>
      </c>
      <c r="V274" s="39" t="n">
        <f aca="false">IF(F274="BUY",S274-J274,J274-S274)</f>
        <v>0.460000000000036</v>
      </c>
      <c r="W274" s="6" t="n">
        <v>3.22</v>
      </c>
      <c r="X274" s="26" t="n">
        <f aca="false">IFERROR(W274/N274,0)</f>
        <v>0.0766666666666667</v>
      </c>
      <c r="Y274" s="22" t="str">
        <f aca="false">IF(W274&gt;0,"Win",IF(W274&lt;0,"Loss","Flat"))</f>
        <v>Win</v>
      </c>
      <c r="Z274" s="24" t="n">
        <f aca="false">Summary!$C$5+SUM(W$2:W274)</f>
        <v>4505.22</v>
      </c>
      <c r="AA274" s="24" t="n">
        <f aca="false">MAX(AA273,Z274)</f>
        <v>5000</v>
      </c>
      <c r="AB274" s="24" t="n">
        <f aca="false">AA274-Z274</f>
        <v>494.78</v>
      </c>
      <c r="AC274" s="23" t="n">
        <f aca="false">IFERROR(AB274/AA274,0)</f>
        <v>0.098956</v>
      </c>
      <c r="AD274" s="22" t="s">
        <v>511</v>
      </c>
    </row>
    <row r="275" customFormat="false" ht="15" hidden="false" customHeight="false" outlineLevel="0" collapsed="false">
      <c r="A275" s="22" t="n">
        <v>274</v>
      </c>
      <c r="B275" s="22" t="s">
        <v>127</v>
      </c>
      <c r="C275" s="37" t="n">
        <v>44890.3876157407</v>
      </c>
      <c r="D275" s="22" t="s">
        <v>206</v>
      </c>
      <c r="E275" s="22" t="n">
        <v>9</v>
      </c>
      <c r="F275" s="22" t="s">
        <v>182</v>
      </c>
      <c r="G275" s="22" t="s">
        <v>241</v>
      </c>
      <c r="H275" s="22" t="n">
        <v>0.07</v>
      </c>
      <c r="I275" s="38" t="n">
        <v>1754.33</v>
      </c>
      <c r="J275" s="38" t="n">
        <v>1754.23</v>
      </c>
      <c r="K275" s="39" t="n">
        <f aca="false">IF(F275="BUY",J275-I275,I275-J275)</f>
        <v>0.0999999999999091</v>
      </c>
      <c r="L275" s="38" t="n">
        <v>1760.33</v>
      </c>
      <c r="M275" s="39" t="n">
        <f aca="false">ABS(I275-L275)</f>
        <v>6</v>
      </c>
      <c r="N275" s="24" t="n">
        <f aca="false">M275*H275*Summary!$C$6</f>
        <v>42</v>
      </c>
      <c r="O275" s="37" t="n">
        <v>44890.4332986111</v>
      </c>
      <c r="P275" s="22" t="n">
        <f aca="false">ROUND((O275-C275)*86400,0)</f>
        <v>3947</v>
      </c>
      <c r="Q275" s="22" t="str">
        <f aca="false">IF(P275&lt;10,"a) &lt;10s",IF(P275&lt;60,"b) 10-60s",IF(P275&lt;600,"c) 1-10min","d) &gt;10min")))</f>
        <v>d) &gt;10min</v>
      </c>
      <c r="R275" s="38" t="n">
        <v>1753.73</v>
      </c>
      <c r="S275" s="38" t="n">
        <v>1753.75</v>
      </c>
      <c r="T275" s="22" t="s">
        <v>189</v>
      </c>
      <c r="U275" s="39" t="n">
        <f aca="false">IF(R275="","",IF(F275="BUY",R275-S275,S275-R275))</f>
        <v>0.0199999999999818</v>
      </c>
      <c r="V275" s="39" t="n">
        <f aca="false">IF(F275="BUY",S275-J275,J275-S275)</f>
        <v>0.480000000000018</v>
      </c>
      <c r="W275" s="6" t="n">
        <v>3.36</v>
      </c>
      <c r="X275" s="26" t="n">
        <f aca="false">IFERROR(W275/N275,0)</f>
        <v>0.08</v>
      </c>
      <c r="Y275" s="22" t="str">
        <f aca="false">IF(W275&gt;0,"Win",IF(W275&lt;0,"Loss","Flat"))</f>
        <v>Win</v>
      </c>
      <c r="Z275" s="24" t="n">
        <f aca="false">Summary!$C$5+SUM(W$2:W275)</f>
        <v>4508.58</v>
      </c>
      <c r="AA275" s="24" t="n">
        <f aca="false">MAX(AA274,Z275)</f>
        <v>5000</v>
      </c>
      <c r="AB275" s="24" t="n">
        <f aca="false">AA275-Z275</f>
        <v>491.42</v>
      </c>
      <c r="AC275" s="23" t="n">
        <f aca="false">IFERROR(AB275/AA275,0)</f>
        <v>0.098284</v>
      </c>
      <c r="AD275" s="22" t="s">
        <v>512</v>
      </c>
    </row>
    <row r="276" customFormat="false" ht="15" hidden="false" customHeight="false" outlineLevel="0" collapsed="false">
      <c r="A276" s="22" t="n">
        <v>275</v>
      </c>
      <c r="B276" s="22" t="s">
        <v>127</v>
      </c>
      <c r="C276" s="37" t="n">
        <v>44893.3759953704</v>
      </c>
      <c r="D276" s="22" t="s">
        <v>202</v>
      </c>
      <c r="E276" s="22" t="n">
        <v>9</v>
      </c>
      <c r="F276" s="22" t="s">
        <v>181</v>
      </c>
      <c r="G276" s="22" t="s">
        <v>235</v>
      </c>
      <c r="H276" s="22" t="n">
        <v>0.07</v>
      </c>
      <c r="I276" s="38" t="n">
        <v>1752.96</v>
      </c>
      <c r="J276" s="38" t="n">
        <v>1752.97</v>
      </c>
      <c r="K276" s="39" t="n">
        <f aca="false">IF(F276="BUY",J276-I276,I276-J276)</f>
        <v>0.00999999999999091</v>
      </c>
      <c r="L276" s="38" t="n">
        <v>1746.96</v>
      </c>
      <c r="M276" s="39" t="n">
        <f aca="false">ABS(I276-L276)</f>
        <v>6</v>
      </c>
      <c r="N276" s="24" t="n">
        <f aca="false">M276*H276*Summary!$C$6</f>
        <v>42</v>
      </c>
      <c r="O276" s="37" t="n">
        <v>44893.6300694444</v>
      </c>
      <c r="P276" s="22" t="n">
        <f aca="false">ROUND((O276-C276)*86400,0)</f>
        <v>21952</v>
      </c>
      <c r="Q276" s="22" t="str">
        <f aca="false">IF(P276&lt;10,"a) &lt;10s",IF(P276&lt;60,"b) 10-60s",IF(P276&lt;600,"c) 1-10min","d) &gt;10min")))</f>
        <v>d) &gt;10min</v>
      </c>
      <c r="R276" s="38" t="n">
        <v>1753.47</v>
      </c>
      <c r="S276" s="38" t="n">
        <v>1753.44</v>
      </c>
      <c r="T276" s="22" t="s">
        <v>189</v>
      </c>
      <c r="U276" s="39" t="n">
        <f aca="false">IF(R276="","",IF(F276="BUY",R276-S276,S276-R276))</f>
        <v>0.0299999999999727</v>
      </c>
      <c r="V276" s="39" t="n">
        <f aca="false">IF(F276="BUY",S276-J276,J276-S276)</f>
        <v>0.470000000000027</v>
      </c>
      <c r="W276" s="6" t="n">
        <v>3.29</v>
      </c>
      <c r="X276" s="26" t="n">
        <f aca="false">IFERROR(W276/N276,0)</f>
        <v>0.0783333333333333</v>
      </c>
      <c r="Y276" s="22" t="str">
        <f aca="false">IF(W276&gt;0,"Win",IF(W276&lt;0,"Loss","Flat"))</f>
        <v>Win</v>
      </c>
      <c r="Z276" s="24" t="n">
        <f aca="false">Summary!$C$5+SUM(W$2:W276)</f>
        <v>4511.87</v>
      </c>
      <c r="AA276" s="24" t="n">
        <f aca="false">MAX(AA275,Z276)</f>
        <v>5000</v>
      </c>
      <c r="AB276" s="24" t="n">
        <f aca="false">AA276-Z276</f>
        <v>488.13</v>
      </c>
      <c r="AC276" s="23" t="n">
        <f aca="false">IFERROR(AB276/AA276,0)</f>
        <v>0.097626</v>
      </c>
      <c r="AD276" s="22" t="s">
        <v>513</v>
      </c>
    </row>
    <row r="277" customFormat="false" ht="15" hidden="false" customHeight="false" outlineLevel="0" collapsed="false">
      <c r="A277" s="22" t="n">
        <v>276</v>
      </c>
      <c r="B277" s="22" t="s">
        <v>127</v>
      </c>
      <c r="C277" s="37" t="n">
        <v>44893.6947569445</v>
      </c>
      <c r="D277" s="22" t="s">
        <v>202</v>
      </c>
      <c r="E277" s="22" t="n">
        <v>16</v>
      </c>
      <c r="F277" s="22" t="s">
        <v>182</v>
      </c>
      <c r="G277" s="22" t="s">
        <v>237</v>
      </c>
      <c r="H277" s="22" t="n">
        <v>0.07</v>
      </c>
      <c r="I277" s="38" t="n">
        <v>1745.85</v>
      </c>
      <c r="J277" s="38" t="n">
        <v>1745.69</v>
      </c>
      <c r="K277" s="39" t="n">
        <f aca="false">IF(F277="BUY",J277-I277,I277-J277)</f>
        <v>0.159999999999854</v>
      </c>
      <c r="L277" s="38" t="n">
        <v>1751.85</v>
      </c>
      <c r="M277" s="39" t="n">
        <f aca="false">ABS(I277-L277)</f>
        <v>6</v>
      </c>
      <c r="N277" s="24" t="n">
        <f aca="false">M277*H277*Summary!$C$6</f>
        <v>42</v>
      </c>
      <c r="O277" s="37" t="n">
        <v>44893.7485648148</v>
      </c>
      <c r="P277" s="22" t="n">
        <f aca="false">ROUND((O277-C277)*86400,0)</f>
        <v>4649</v>
      </c>
      <c r="Q277" s="22" t="str">
        <f aca="false">IF(P277&lt;10,"a) &lt;10s",IF(P277&lt;60,"b) 10-60s",IF(P277&lt;600,"c) 1-10min","d) &gt;10min")))</f>
        <v>d) &gt;10min</v>
      </c>
      <c r="R277" s="38" t="n">
        <v>1745.19</v>
      </c>
      <c r="S277" s="38" t="n">
        <v>1745.19</v>
      </c>
      <c r="T277" s="22" t="s">
        <v>189</v>
      </c>
      <c r="U277" s="39" t="n">
        <f aca="false">IF(R277="","",IF(F277="BUY",R277-S277,S277-R277))</f>
        <v>0</v>
      </c>
      <c r="V277" s="39" t="n">
        <f aca="false">IF(F277="BUY",S277-J277,J277-S277)</f>
        <v>0.5</v>
      </c>
      <c r="W277" s="6" t="n">
        <v>3.5</v>
      </c>
      <c r="X277" s="26" t="n">
        <f aca="false">IFERROR(W277/N277,0)</f>
        <v>0.0833333333333333</v>
      </c>
      <c r="Y277" s="22" t="str">
        <f aca="false">IF(W277&gt;0,"Win",IF(W277&lt;0,"Loss","Flat"))</f>
        <v>Win</v>
      </c>
      <c r="Z277" s="24" t="n">
        <f aca="false">Summary!$C$5+SUM(W$2:W277)</f>
        <v>4515.37</v>
      </c>
      <c r="AA277" s="24" t="n">
        <f aca="false">MAX(AA276,Z277)</f>
        <v>5000</v>
      </c>
      <c r="AB277" s="24" t="n">
        <f aca="false">AA277-Z277</f>
        <v>484.63</v>
      </c>
      <c r="AC277" s="23" t="n">
        <f aca="false">IFERROR(AB277/AA277,0)</f>
        <v>0.096926</v>
      </c>
      <c r="AD277" s="22" t="s">
        <v>514</v>
      </c>
    </row>
    <row r="278" customFormat="false" ht="15" hidden="false" customHeight="false" outlineLevel="0" collapsed="false">
      <c r="A278" s="22" t="n">
        <v>277</v>
      </c>
      <c r="B278" s="22" t="s">
        <v>127</v>
      </c>
      <c r="C278" s="37" t="n">
        <v>44894.4087847222</v>
      </c>
      <c r="D278" s="22" t="s">
        <v>203</v>
      </c>
      <c r="E278" s="22" t="n">
        <v>9</v>
      </c>
      <c r="F278" s="22" t="s">
        <v>181</v>
      </c>
      <c r="G278" s="22" t="s">
        <v>235</v>
      </c>
      <c r="H278" s="22" t="n">
        <v>0.07</v>
      </c>
      <c r="I278" s="38" t="n">
        <v>1754.91</v>
      </c>
      <c r="J278" s="38" t="n">
        <v>1754.93</v>
      </c>
      <c r="K278" s="39" t="n">
        <f aca="false">IF(F278="BUY",J278-I278,I278-J278)</f>
        <v>0.0199999999999818</v>
      </c>
      <c r="L278" s="38" t="n">
        <v>1748.91</v>
      </c>
      <c r="M278" s="39" t="n">
        <f aca="false">ABS(I278-L278)</f>
        <v>6</v>
      </c>
      <c r="N278" s="24" t="n">
        <f aca="false">M278*H278*Summary!$C$6</f>
        <v>42</v>
      </c>
      <c r="O278" s="37" t="n">
        <v>44894.4653935185</v>
      </c>
      <c r="P278" s="22" t="n">
        <f aca="false">ROUND((O278-C278)*86400,0)</f>
        <v>4891</v>
      </c>
      <c r="Q278" s="22" t="str">
        <f aca="false">IF(P278&lt;10,"a) &lt;10s",IF(P278&lt;60,"b) 10-60s",IF(P278&lt;600,"c) 1-10min","d) &gt;10min")))</f>
        <v>d) &gt;10min</v>
      </c>
      <c r="R278" s="38" t="n">
        <v>1755.43</v>
      </c>
      <c r="S278" s="38" t="n">
        <v>1755.41</v>
      </c>
      <c r="T278" s="22" t="s">
        <v>189</v>
      </c>
      <c r="U278" s="39" t="n">
        <f aca="false">IF(R278="","",IF(F278="BUY",R278-S278,S278-R278))</f>
        <v>0.0199999999999818</v>
      </c>
      <c r="V278" s="39" t="n">
        <f aca="false">IF(F278="BUY",S278-J278,J278-S278)</f>
        <v>0.480000000000018</v>
      </c>
      <c r="W278" s="6" t="n">
        <v>3.36</v>
      </c>
      <c r="X278" s="26" t="n">
        <f aca="false">IFERROR(W278/N278,0)</f>
        <v>0.08</v>
      </c>
      <c r="Y278" s="22" t="str">
        <f aca="false">IF(W278&gt;0,"Win",IF(W278&lt;0,"Loss","Flat"))</f>
        <v>Win</v>
      </c>
      <c r="Z278" s="24" t="n">
        <f aca="false">Summary!$C$5+SUM(W$2:W278)</f>
        <v>4518.73</v>
      </c>
      <c r="AA278" s="24" t="n">
        <f aca="false">MAX(AA277,Z278)</f>
        <v>5000</v>
      </c>
      <c r="AB278" s="24" t="n">
        <f aca="false">AA278-Z278</f>
        <v>481.27</v>
      </c>
      <c r="AC278" s="23" t="n">
        <f aca="false">IFERROR(AB278/AA278,0)</f>
        <v>0.0962540000000001</v>
      </c>
      <c r="AD278" s="22" t="s">
        <v>515</v>
      </c>
    </row>
    <row r="279" customFormat="false" ht="15" hidden="false" customHeight="false" outlineLevel="0" collapsed="false">
      <c r="A279" s="22" t="n">
        <v>278</v>
      </c>
      <c r="B279" s="22" t="s">
        <v>127</v>
      </c>
      <c r="C279" s="37" t="n">
        <v>44895.3750347222</v>
      </c>
      <c r="D279" s="22" t="s">
        <v>204</v>
      </c>
      <c r="E279" s="22" t="n">
        <v>9</v>
      </c>
      <c r="F279" s="22" t="s">
        <v>182</v>
      </c>
      <c r="G279" s="22" t="s">
        <v>241</v>
      </c>
      <c r="H279" s="22" t="n">
        <v>0.07</v>
      </c>
      <c r="I279" s="38" t="n">
        <v>1752.79</v>
      </c>
      <c r="J279" s="38" t="n">
        <v>1752.77</v>
      </c>
      <c r="K279" s="39" t="n">
        <f aca="false">IF(F279="BUY",J279-I279,I279-J279)</f>
        <v>0.0199999999999818</v>
      </c>
      <c r="L279" s="38" t="n">
        <v>1758.79</v>
      </c>
      <c r="M279" s="39" t="n">
        <f aca="false">ABS(I279-L279)</f>
        <v>6</v>
      </c>
      <c r="N279" s="24" t="n">
        <f aca="false">M279*H279*Summary!$C$6</f>
        <v>42</v>
      </c>
      <c r="O279" s="37" t="n">
        <v>44895.4493634259</v>
      </c>
      <c r="P279" s="22" t="n">
        <f aca="false">ROUND((O279-C279)*86400,0)</f>
        <v>6422</v>
      </c>
      <c r="Q279" s="22" t="str">
        <f aca="false">IF(P279&lt;10,"a) &lt;10s",IF(P279&lt;60,"b) 10-60s",IF(P279&lt;600,"c) 1-10min","d) &gt;10min")))</f>
        <v>d) &gt;10min</v>
      </c>
      <c r="R279" s="38" t="n">
        <v>1758.79</v>
      </c>
      <c r="S279" s="38" t="n">
        <v>1758.87</v>
      </c>
      <c r="T279" s="22" t="s">
        <v>188</v>
      </c>
      <c r="U279" s="39" t="n">
        <f aca="false">IF(R279="","",IF(F279="BUY",R279-S279,S279-R279))</f>
        <v>0.0799999999999272</v>
      </c>
      <c r="V279" s="39" t="n">
        <f aca="false">IF(F279="BUY",S279-J279,J279-S279)</f>
        <v>-6.09999999999991</v>
      </c>
      <c r="W279" s="6" t="n">
        <v>-42.7</v>
      </c>
      <c r="X279" s="26" t="n">
        <f aca="false">IFERROR(W279/N279,0)</f>
        <v>-1.01666666666667</v>
      </c>
      <c r="Y279" s="22" t="str">
        <f aca="false">IF(W279&gt;0,"Win",IF(W279&lt;0,"Loss","Flat"))</f>
        <v>Loss</v>
      </c>
      <c r="Z279" s="24" t="n">
        <f aca="false">Summary!$C$5+SUM(W$2:W279)</f>
        <v>4476.03</v>
      </c>
      <c r="AA279" s="24" t="n">
        <f aca="false">MAX(AA278,Z279)</f>
        <v>5000</v>
      </c>
      <c r="AB279" s="24" t="n">
        <f aca="false">AA279-Z279</f>
        <v>523.97</v>
      </c>
      <c r="AC279" s="23" t="n">
        <f aca="false">IFERROR(AB279/AA279,0)</f>
        <v>0.104794</v>
      </c>
      <c r="AD279" s="22" t="s">
        <v>516</v>
      </c>
    </row>
    <row r="280" customFormat="false" ht="15" hidden="false" customHeight="false" outlineLevel="0" collapsed="false">
      <c r="A280" s="22" t="n">
        <v>279</v>
      </c>
      <c r="B280" s="22" t="s">
        <v>127</v>
      </c>
      <c r="C280" s="37" t="n">
        <v>44895.449375</v>
      </c>
      <c r="D280" s="22" t="s">
        <v>204</v>
      </c>
      <c r="E280" s="22" t="n">
        <v>10</v>
      </c>
      <c r="F280" s="22" t="s">
        <v>181</v>
      </c>
      <c r="G280" s="22" t="s">
        <v>243</v>
      </c>
      <c r="H280" s="22" t="n">
        <v>0.07</v>
      </c>
      <c r="I280" s="38" t="n">
        <v>1758.9</v>
      </c>
      <c r="J280" s="38" t="n">
        <v>1758.95</v>
      </c>
      <c r="K280" s="39" t="n">
        <f aca="false">IF(F280="BUY",J280-I280,I280-J280)</f>
        <v>0.0499999999999545</v>
      </c>
      <c r="L280" s="38" t="n">
        <v>1752.9</v>
      </c>
      <c r="M280" s="39" t="n">
        <f aca="false">ABS(I280-L280)</f>
        <v>6</v>
      </c>
      <c r="N280" s="24" t="n">
        <f aca="false">M280*H280*Summary!$C$6</f>
        <v>42</v>
      </c>
      <c r="O280" s="37" t="n">
        <v>44895.5211921296</v>
      </c>
      <c r="P280" s="22" t="n">
        <f aca="false">ROUND((O280-C280)*86400,0)</f>
        <v>6205</v>
      </c>
      <c r="Q280" s="22" t="str">
        <f aca="false">IF(P280&lt;10,"a) &lt;10s",IF(P280&lt;60,"b) 10-60s",IF(P280&lt;600,"c) 1-10min","d) &gt;10min")))</f>
        <v>d) &gt;10min</v>
      </c>
      <c r="R280" s="38" t="n">
        <v>1759.45</v>
      </c>
      <c r="S280" s="38" t="n">
        <v>1759.37</v>
      </c>
      <c r="T280" s="22" t="s">
        <v>189</v>
      </c>
      <c r="U280" s="39" t="n">
        <f aca="false">IF(R280="","",IF(F280="BUY",R280-S280,S280-R280))</f>
        <v>0.0800000000001546</v>
      </c>
      <c r="V280" s="39" t="n">
        <f aca="false">IF(F280="BUY",S280-J280,J280-S280)</f>
        <v>0.419999999999845</v>
      </c>
      <c r="W280" s="6" t="n">
        <v>2.94</v>
      </c>
      <c r="X280" s="26" t="n">
        <f aca="false">IFERROR(W280/N280,0)</f>
        <v>0.07</v>
      </c>
      <c r="Y280" s="22" t="str">
        <f aca="false">IF(W280&gt;0,"Win",IF(W280&lt;0,"Loss","Flat"))</f>
        <v>Win</v>
      </c>
      <c r="Z280" s="24" t="n">
        <f aca="false">Summary!$C$5+SUM(W$2:W280)</f>
        <v>4478.97</v>
      </c>
      <c r="AA280" s="24" t="n">
        <f aca="false">MAX(AA279,Z280)</f>
        <v>5000</v>
      </c>
      <c r="AB280" s="24" t="n">
        <f aca="false">AA280-Z280</f>
        <v>521.03</v>
      </c>
      <c r="AC280" s="23" t="n">
        <f aca="false">IFERROR(AB280/AA280,0)</f>
        <v>0.104206</v>
      </c>
      <c r="AD280" s="22" t="s">
        <v>517</v>
      </c>
    </row>
    <row r="281" customFormat="false" ht="15" hidden="false" customHeight="false" outlineLevel="0" collapsed="false">
      <c r="A281" s="22" t="n">
        <v>280</v>
      </c>
      <c r="B281" s="22" t="s">
        <v>128</v>
      </c>
      <c r="C281" s="37" t="n">
        <v>44896.3750925926</v>
      </c>
      <c r="D281" s="22" t="s">
        <v>205</v>
      </c>
      <c r="E281" s="22" t="n">
        <v>9</v>
      </c>
      <c r="F281" s="22" t="s">
        <v>181</v>
      </c>
      <c r="G281" s="22" t="s">
        <v>235</v>
      </c>
      <c r="H281" s="22" t="n">
        <v>0.07</v>
      </c>
      <c r="I281" s="38" t="n">
        <v>1783.58</v>
      </c>
      <c r="J281" s="38" t="n">
        <v>1783.59</v>
      </c>
      <c r="K281" s="39" t="n">
        <f aca="false">IF(F281="BUY",J281-I281,I281-J281)</f>
        <v>0.00999999999999091</v>
      </c>
      <c r="L281" s="38" t="n">
        <v>1777.58</v>
      </c>
      <c r="M281" s="39" t="n">
        <f aca="false">ABS(I281-L281)</f>
        <v>6</v>
      </c>
      <c r="N281" s="24" t="n">
        <f aca="false">M281*H281*Summary!$C$6</f>
        <v>42</v>
      </c>
      <c r="O281" s="37" t="n">
        <v>44896.4111689815</v>
      </c>
      <c r="P281" s="22" t="n">
        <f aca="false">ROUND((O281-C281)*86400,0)</f>
        <v>3117</v>
      </c>
      <c r="Q281" s="22" t="str">
        <f aca="false">IF(P281&lt;10,"a) &lt;10s",IF(P281&lt;60,"b) 10-60s",IF(P281&lt;600,"c) 1-10min","d) &gt;10min")))</f>
        <v>d) &gt;10min</v>
      </c>
      <c r="R281" s="38" t="n">
        <v>1777.58</v>
      </c>
      <c r="S281" s="38" t="n">
        <v>1777.54</v>
      </c>
      <c r="T281" s="22" t="s">
        <v>188</v>
      </c>
      <c r="U281" s="39" t="n">
        <f aca="false">IF(R281="","",IF(F281="BUY",R281-S281,S281-R281))</f>
        <v>0.0399999999999636</v>
      </c>
      <c r="V281" s="39" t="n">
        <f aca="false">IF(F281="BUY",S281-J281,J281-S281)</f>
        <v>-6.04999999999995</v>
      </c>
      <c r="W281" s="6" t="n">
        <v>-42.35</v>
      </c>
      <c r="X281" s="26" t="n">
        <f aca="false">IFERROR(W281/N281,0)</f>
        <v>-1.00833333333333</v>
      </c>
      <c r="Y281" s="22" t="str">
        <f aca="false">IF(W281&gt;0,"Win",IF(W281&lt;0,"Loss","Flat"))</f>
        <v>Loss</v>
      </c>
      <c r="Z281" s="24" t="n">
        <f aca="false">Summary!$C$5+SUM(W$2:W281)</f>
        <v>4436.62</v>
      </c>
      <c r="AA281" s="24" t="n">
        <f aca="false">MAX(AA280,Z281)</f>
        <v>5000</v>
      </c>
      <c r="AB281" s="24" t="n">
        <f aca="false">AA281-Z281</f>
        <v>563.38</v>
      </c>
      <c r="AC281" s="23" t="n">
        <f aca="false">IFERROR(AB281/AA281,0)</f>
        <v>0.112676</v>
      </c>
      <c r="AD281" s="22" t="s">
        <v>518</v>
      </c>
    </row>
    <row r="282" customFormat="false" ht="15" hidden="false" customHeight="false" outlineLevel="0" collapsed="false">
      <c r="A282" s="22" t="n">
        <v>281</v>
      </c>
      <c r="B282" s="22" t="s">
        <v>128</v>
      </c>
      <c r="C282" s="37" t="n">
        <v>44897.3753472222</v>
      </c>
      <c r="D282" s="22" t="s">
        <v>206</v>
      </c>
      <c r="E282" s="22" t="n">
        <v>9</v>
      </c>
      <c r="F282" s="22" t="s">
        <v>181</v>
      </c>
      <c r="G282" s="22" t="s">
        <v>235</v>
      </c>
      <c r="H282" s="22" t="n">
        <v>0.07</v>
      </c>
      <c r="I282" s="38" t="n">
        <v>1800.37</v>
      </c>
      <c r="J282" s="38" t="n">
        <v>1800.38</v>
      </c>
      <c r="K282" s="39" t="n">
        <f aca="false">IF(F282="BUY",J282-I282,I282-J282)</f>
        <v>0.0100000000002183</v>
      </c>
      <c r="L282" s="38" t="n">
        <v>1794.37</v>
      </c>
      <c r="M282" s="39" t="n">
        <f aca="false">ABS(I282-L282)</f>
        <v>6</v>
      </c>
      <c r="N282" s="24" t="n">
        <f aca="false">M282*H282*Summary!$C$6</f>
        <v>42</v>
      </c>
      <c r="O282" s="37" t="n">
        <v>44897.4171064815</v>
      </c>
      <c r="P282" s="22" t="n">
        <f aca="false">ROUND((O282-C282)*86400,0)</f>
        <v>3608</v>
      </c>
      <c r="Q282" s="22" t="str">
        <f aca="false">IF(P282&lt;10,"a) &lt;10s",IF(P282&lt;60,"b) 10-60s",IF(P282&lt;600,"c) 1-10min","d) &gt;10min")))</f>
        <v>d) &gt;10min</v>
      </c>
      <c r="R282" s="38" t="n">
        <v>1800.88</v>
      </c>
      <c r="S282" s="38" t="n">
        <v>1800.85</v>
      </c>
      <c r="T282" s="22" t="s">
        <v>189</v>
      </c>
      <c r="U282" s="39" t="n">
        <f aca="false">IF(R282="","",IF(F282="BUY",R282-S282,S282-R282))</f>
        <v>0.0300000000002001</v>
      </c>
      <c r="V282" s="39" t="n">
        <f aca="false">IF(F282="BUY",S282-J282,J282-S282)</f>
        <v>0.4699999999998</v>
      </c>
      <c r="W282" s="6" t="n">
        <v>3.29</v>
      </c>
      <c r="X282" s="26" t="n">
        <f aca="false">IFERROR(W282/N282,0)</f>
        <v>0.0783333333333333</v>
      </c>
      <c r="Y282" s="22" t="str">
        <f aca="false">IF(W282&gt;0,"Win",IF(W282&lt;0,"Loss","Flat"))</f>
        <v>Win</v>
      </c>
      <c r="Z282" s="24" t="n">
        <f aca="false">Summary!$C$5+SUM(W$2:W282)</f>
        <v>4439.91</v>
      </c>
      <c r="AA282" s="24" t="n">
        <f aca="false">MAX(AA281,Z282)</f>
        <v>5000</v>
      </c>
      <c r="AB282" s="24" t="n">
        <f aca="false">AA282-Z282</f>
        <v>560.09</v>
      </c>
      <c r="AC282" s="23" t="n">
        <f aca="false">IFERROR(AB282/AA282,0)</f>
        <v>0.112018</v>
      </c>
      <c r="AD282" s="22" t="s">
        <v>519</v>
      </c>
    </row>
    <row r="283" customFormat="false" ht="15" hidden="false" customHeight="false" outlineLevel="0" collapsed="false">
      <c r="A283" s="22" t="n">
        <v>282</v>
      </c>
      <c r="B283" s="22" t="s">
        <v>128</v>
      </c>
      <c r="C283" s="37" t="n">
        <v>44900.1427083333</v>
      </c>
      <c r="D283" s="22" t="s">
        <v>202</v>
      </c>
      <c r="E283" s="22" t="n">
        <v>3</v>
      </c>
      <c r="F283" s="22" t="s">
        <v>181</v>
      </c>
      <c r="G283" s="22" t="s">
        <v>243</v>
      </c>
      <c r="H283" s="22" t="n">
        <v>0.07</v>
      </c>
      <c r="I283" s="38" t="n">
        <v>1804.3</v>
      </c>
      <c r="J283" s="38" t="n">
        <v>1804.35</v>
      </c>
      <c r="K283" s="39" t="n">
        <f aca="false">IF(F283="BUY",J283-I283,I283-J283)</f>
        <v>0.0499999999999545</v>
      </c>
      <c r="L283" s="38" t="n">
        <v>1798.3</v>
      </c>
      <c r="M283" s="39" t="n">
        <f aca="false">ABS(I283-L283)</f>
        <v>6</v>
      </c>
      <c r="N283" s="24" t="n">
        <f aca="false">M283*H283*Summary!$C$6</f>
        <v>42</v>
      </c>
      <c r="O283" s="37" t="n">
        <v>44900.3611805556</v>
      </c>
      <c r="P283" s="22" t="n">
        <f aca="false">ROUND((O283-C283)*86400,0)</f>
        <v>18876</v>
      </c>
      <c r="Q283" s="22" t="str">
        <f aca="false">IF(P283&lt;10,"a) &lt;10s",IF(P283&lt;60,"b) 10-60s",IF(P283&lt;600,"c) 1-10min","d) &gt;10min")))</f>
        <v>d) &gt;10min</v>
      </c>
      <c r="R283" s="38" t="n">
        <v>1804.85</v>
      </c>
      <c r="S283" s="38" t="n">
        <v>1804.82</v>
      </c>
      <c r="T283" s="22" t="s">
        <v>189</v>
      </c>
      <c r="U283" s="39" t="n">
        <f aca="false">IF(R283="","",IF(F283="BUY",R283-S283,S283-R283))</f>
        <v>0.0299999999999727</v>
      </c>
      <c r="V283" s="39" t="n">
        <f aca="false">IF(F283="BUY",S283-J283,J283-S283)</f>
        <v>0.470000000000027</v>
      </c>
      <c r="W283" s="6" t="n">
        <v>3.29</v>
      </c>
      <c r="X283" s="26" t="n">
        <f aca="false">IFERROR(W283/N283,0)</f>
        <v>0.0783333333333333</v>
      </c>
      <c r="Y283" s="22" t="str">
        <f aca="false">IF(W283&gt;0,"Win",IF(W283&lt;0,"Loss","Flat"))</f>
        <v>Win</v>
      </c>
      <c r="Z283" s="24" t="n">
        <f aca="false">Summary!$C$5+SUM(W$2:W283)</f>
        <v>4443.2</v>
      </c>
      <c r="AA283" s="24" t="n">
        <f aca="false">MAX(AA282,Z283)</f>
        <v>5000</v>
      </c>
      <c r="AB283" s="24" t="n">
        <f aca="false">AA283-Z283</f>
        <v>556.8</v>
      </c>
      <c r="AC283" s="23" t="n">
        <f aca="false">IFERROR(AB283/AA283,0)</f>
        <v>0.11136</v>
      </c>
      <c r="AD283" s="22" t="s">
        <v>520</v>
      </c>
    </row>
    <row r="284" customFormat="false" ht="15" hidden="false" customHeight="false" outlineLevel="0" collapsed="false">
      <c r="A284" s="22" t="n">
        <v>283</v>
      </c>
      <c r="B284" s="22" t="s">
        <v>128</v>
      </c>
      <c r="C284" s="37" t="n">
        <v>44900.3758564815</v>
      </c>
      <c r="D284" s="22" t="s">
        <v>202</v>
      </c>
      <c r="E284" s="22" t="n">
        <v>9</v>
      </c>
      <c r="F284" s="22" t="s">
        <v>182</v>
      </c>
      <c r="G284" s="22" t="s">
        <v>241</v>
      </c>
      <c r="H284" s="22" t="n">
        <v>0.07</v>
      </c>
      <c r="I284" s="38" t="n">
        <v>1802.43</v>
      </c>
      <c r="J284" s="38" t="n">
        <v>1802.42</v>
      </c>
      <c r="K284" s="39" t="n">
        <f aca="false">IF(F284="BUY",J284-I284,I284-J284)</f>
        <v>0.00999999999999091</v>
      </c>
      <c r="L284" s="38" t="n">
        <v>1808.43</v>
      </c>
      <c r="M284" s="39" t="n">
        <f aca="false">ABS(I284-L284)</f>
        <v>6</v>
      </c>
      <c r="N284" s="24" t="n">
        <f aca="false">M284*H284*Summary!$C$6</f>
        <v>42</v>
      </c>
      <c r="O284" s="37" t="n">
        <v>44900.3989467593</v>
      </c>
      <c r="P284" s="22" t="n">
        <f aca="false">ROUND((O284-C284)*86400,0)</f>
        <v>1995</v>
      </c>
      <c r="Q284" s="22" t="str">
        <f aca="false">IF(P284&lt;10,"a) &lt;10s",IF(P284&lt;60,"b) 10-60s",IF(P284&lt;600,"c) 1-10min","d) &gt;10min")))</f>
        <v>d) &gt;10min</v>
      </c>
      <c r="R284" s="38" t="n">
        <v>1801.92</v>
      </c>
      <c r="S284" s="38" t="n">
        <v>1801.98</v>
      </c>
      <c r="T284" s="22" t="s">
        <v>189</v>
      </c>
      <c r="U284" s="39" t="n">
        <f aca="false">IF(R284="","",IF(F284="BUY",R284-S284,S284-R284))</f>
        <v>0.0599999999999454</v>
      </c>
      <c r="V284" s="39" t="n">
        <f aca="false">IF(F284="BUY",S284-J284,J284-S284)</f>
        <v>0.440000000000055</v>
      </c>
      <c r="W284" s="6" t="n">
        <v>3.08</v>
      </c>
      <c r="X284" s="26" t="n">
        <f aca="false">IFERROR(W284/N284,0)</f>
        <v>0.0733333333333333</v>
      </c>
      <c r="Y284" s="22" t="str">
        <f aca="false">IF(W284&gt;0,"Win",IF(W284&lt;0,"Loss","Flat"))</f>
        <v>Win</v>
      </c>
      <c r="Z284" s="24" t="n">
        <f aca="false">Summary!$C$5+SUM(W$2:W284)</f>
        <v>4446.28</v>
      </c>
      <c r="AA284" s="24" t="n">
        <f aca="false">MAX(AA283,Z284)</f>
        <v>5000</v>
      </c>
      <c r="AB284" s="24" t="n">
        <f aca="false">AA284-Z284</f>
        <v>553.72</v>
      </c>
      <c r="AC284" s="23" t="n">
        <f aca="false">IFERROR(AB284/AA284,0)</f>
        <v>0.110744</v>
      </c>
      <c r="AD284" s="22" t="s">
        <v>521</v>
      </c>
    </row>
    <row r="285" customFormat="false" ht="15" hidden="false" customHeight="false" outlineLevel="0" collapsed="false">
      <c r="A285" s="22" t="n">
        <v>284</v>
      </c>
      <c r="B285" s="22" t="s">
        <v>128</v>
      </c>
      <c r="C285" s="37" t="n">
        <v>44901.4194791667</v>
      </c>
      <c r="D285" s="22" t="s">
        <v>203</v>
      </c>
      <c r="E285" s="22" t="n">
        <v>10</v>
      </c>
      <c r="F285" s="22" t="s">
        <v>181</v>
      </c>
      <c r="G285" s="22" t="s">
        <v>235</v>
      </c>
      <c r="H285" s="22" t="n">
        <v>0.07</v>
      </c>
      <c r="I285" s="38" t="n">
        <v>1773.05</v>
      </c>
      <c r="J285" s="38" t="n">
        <v>1773.05</v>
      </c>
      <c r="K285" s="39" t="n">
        <f aca="false">IF(F285="BUY",J285-I285,I285-J285)</f>
        <v>0</v>
      </c>
      <c r="L285" s="38" t="n">
        <v>1767.05</v>
      </c>
      <c r="M285" s="39" t="n">
        <f aca="false">ABS(I285-L285)</f>
        <v>6</v>
      </c>
      <c r="N285" s="24" t="n">
        <f aca="false">M285*H285*Summary!$C$6</f>
        <v>42</v>
      </c>
      <c r="O285" s="37" t="n">
        <v>44901.7087037037</v>
      </c>
      <c r="P285" s="22" t="n">
        <f aca="false">ROUND((O285-C285)*86400,0)</f>
        <v>24989</v>
      </c>
      <c r="Q285" s="22" t="str">
        <f aca="false">IF(P285&lt;10,"a) &lt;10s",IF(P285&lt;60,"b) 10-60s",IF(P285&lt;600,"c) 1-10min","d) &gt;10min")))</f>
        <v>d) &gt;10min</v>
      </c>
      <c r="R285" s="38" t="n">
        <v>1773.55</v>
      </c>
      <c r="S285" s="38" t="n">
        <v>1773.53</v>
      </c>
      <c r="T285" s="22" t="s">
        <v>189</v>
      </c>
      <c r="U285" s="39" t="n">
        <f aca="false">IF(R285="","",IF(F285="BUY",R285-S285,S285-R285))</f>
        <v>0.0199999999999818</v>
      </c>
      <c r="V285" s="39" t="n">
        <f aca="false">IF(F285="BUY",S285-J285,J285-S285)</f>
        <v>0.480000000000018</v>
      </c>
      <c r="W285" s="6" t="n">
        <v>3.36</v>
      </c>
      <c r="X285" s="26" t="n">
        <f aca="false">IFERROR(W285/N285,0)</f>
        <v>0.08</v>
      </c>
      <c r="Y285" s="22" t="str">
        <f aca="false">IF(W285&gt;0,"Win",IF(W285&lt;0,"Loss","Flat"))</f>
        <v>Win</v>
      </c>
      <c r="Z285" s="24" t="n">
        <f aca="false">Summary!$C$5+SUM(W$2:W285)</f>
        <v>4449.64</v>
      </c>
      <c r="AA285" s="24" t="n">
        <f aca="false">MAX(AA284,Z285)</f>
        <v>5000</v>
      </c>
      <c r="AB285" s="24" t="n">
        <f aca="false">AA285-Z285</f>
        <v>550.36</v>
      </c>
      <c r="AC285" s="23" t="n">
        <f aca="false">IFERROR(AB285/AA285,0)</f>
        <v>0.110072</v>
      </c>
      <c r="AD285" s="22" t="s">
        <v>522</v>
      </c>
    </row>
    <row r="286" customFormat="false" ht="15" hidden="false" customHeight="false" outlineLevel="0" collapsed="false">
      <c r="A286" s="22" t="n">
        <v>285</v>
      </c>
      <c r="B286" s="22" t="s">
        <v>128</v>
      </c>
      <c r="C286" s="37" t="n">
        <v>44902.3802430556</v>
      </c>
      <c r="D286" s="22" t="s">
        <v>204</v>
      </c>
      <c r="E286" s="22" t="n">
        <v>9</v>
      </c>
      <c r="F286" s="22" t="s">
        <v>181</v>
      </c>
      <c r="G286" s="22" t="s">
        <v>235</v>
      </c>
      <c r="H286" s="22" t="n">
        <v>0.07</v>
      </c>
      <c r="I286" s="38" t="n">
        <v>1774.41</v>
      </c>
      <c r="J286" s="38" t="n">
        <v>1774.41</v>
      </c>
      <c r="K286" s="39" t="n">
        <f aca="false">IF(F286="BUY",J286-I286,I286-J286)</f>
        <v>0</v>
      </c>
      <c r="L286" s="38" t="n">
        <v>1768.41</v>
      </c>
      <c r="M286" s="39" t="n">
        <f aca="false">ABS(I286-L286)</f>
        <v>6</v>
      </c>
      <c r="N286" s="24" t="n">
        <f aca="false">M286*H286*Summary!$C$6</f>
        <v>42</v>
      </c>
      <c r="O286" s="37" t="n">
        <v>44902.9270833333</v>
      </c>
      <c r="P286" s="22" t="n">
        <f aca="false">ROUND((O286-C286)*86400,0)</f>
        <v>47247</v>
      </c>
      <c r="Q286" s="22" t="str">
        <f aca="false">IF(P286&lt;10,"a) &lt;10s",IF(P286&lt;60,"b) 10-60s",IF(P286&lt;600,"c) 1-10min","d) &gt;10min")))</f>
        <v>d) &gt;10min</v>
      </c>
      <c r="R286" s="38"/>
      <c r="S286" s="38" t="n">
        <v>1789.25</v>
      </c>
      <c r="T286" s="22" t="s">
        <v>191</v>
      </c>
      <c r="U286" s="39" t="str">
        <f aca="false">IF(R286="","",IF(F286="BUY",R286-S286,S286-R286))</f>
        <v/>
      </c>
      <c r="V286" s="39" t="n">
        <f aca="false">IF(F286="BUY",S286-J286,J286-S286)</f>
        <v>14.8399999999999</v>
      </c>
      <c r="W286" s="6" t="n">
        <v>103.88</v>
      </c>
      <c r="X286" s="26" t="n">
        <f aca="false">IFERROR(W286/N286,0)</f>
        <v>2.47333333333333</v>
      </c>
      <c r="Y286" s="22" t="str">
        <f aca="false">IF(W286&gt;0,"Win",IF(W286&lt;0,"Loss","Flat"))</f>
        <v>Win</v>
      </c>
      <c r="Z286" s="24" t="n">
        <f aca="false">Summary!$C$5+SUM(W$2:W286)</f>
        <v>4553.52</v>
      </c>
      <c r="AA286" s="24" t="n">
        <f aca="false">MAX(AA285,Z286)</f>
        <v>5000</v>
      </c>
      <c r="AB286" s="24" t="n">
        <f aca="false">AA286-Z286</f>
        <v>446.48</v>
      </c>
      <c r="AC286" s="23" t="n">
        <f aca="false">IFERROR(AB286/AA286,0)</f>
        <v>0.0892959999999999</v>
      </c>
      <c r="AD286" s="22" t="s">
        <v>523</v>
      </c>
    </row>
    <row r="287" customFormat="false" ht="15" hidden="false" customHeight="false" outlineLevel="0" collapsed="false">
      <c r="A287" s="22" t="n">
        <v>286</v>
      </c>
      <c r="B287" s="22" t="s">
        <v>128</v>
      </c>
      <c r="C287" s="37" t="n">
        <v>44903.3753472222</v>
      </c>
      <c r="D287" s="22" t="s">
        <v>205</v>
      </c>
      <c r="E287" s="22" t="n">
        <v>9</v>
      </c>
      <c r="F287" s="22" t="s">
        <v>181</v>
      </c>
      <c r="G287" s="22" t="s">
        <v>235</v>
      </c>
      <c r="H287" s="22" t="n">
        <v>0.07</v>
      </c>
      <c r="I287" s="38" t="n">
        <v>1786.81</v>
      </c>
      <c r="J287" s="38" t="n">
        <v>1786.88</v>
      </c>
      <c r="K287" s="39" t="n">
        <f aca="false">IF(F287="BUY",J287-I287,I287-J287)</f>
        <v>0.0700000000001637</v>
      </c>
      <c r="L287" s="38" t="n">
        <v>1780.81</v>
      </c>
      <c r="M287" s="39" t="n">
        <f aca="false">ABS(I287-L287)</f>
        <v>6</v>
      </c>
      <c r="N287" s="24" t="n">
        <f aca="false">M287*H287*Summary!$C$6</f>
        <v>42</v>
      </c>
      <c r="O287" s="37" t="n">
        <v>44903.6458564815</v>
      </c>
      <c r="P287" s="22" t="n">
        <f aca="false">ROUND((O287-C287)*86400,0)</f>
        <v>23372</v>
      </c>
      <c r="Q287" s="22" t="str">
        <f aca="false">IF(P287&lt;10,"a) &lt;10s",IF(P287&lt;60,"b) 10-60s",IF(P287&lt;600,"c) 1-10min","d) &gt;10min")))</f>
        <v>d) &gt;10min</v>
      </c>
      <c r="R287" s="38" t="n">
        <v>1787.38</v>
      </c>
      <c r="S287" s="38" t="n">
        <v>1787.02</v>
      </c>
      <c r="T287" s="22" t="s">
        <v>189</v>
      </c>
      <c r="U287" s="39" t="n">
        <f aca="false">IF(R287="","",IF(F287="BUY",R287-S287,S287-R287))</f>
        <v>0.360000000000127</v>
      </c>
      <c r="V287" s="39" t="n">
        <f aca="false">IF(F287="BUY",S287-J287,J287-S287)</f>
        <v>0.139999999999873</v>
      </c>
      <c r="W287" s="6" t="n">
        <v>0.98</v>
      </c>
      <c r="X287" s="26" t="n">
        <f aca="false">IFERROR(W287/N287,0)</f>
        <v>0.0233333333333333</v>
      </c>
      <c r="Y287" s="22" t="str">
        <f aca="false">IF(W287&gt;0,"Win",IF(W287&lt;0,"Loss","Flat"))</f>
        <v>Win</v>
      </c>
      <c r="Z287" s="24" t="n">
        <f aca="false">Summary!$C$5+SUM(W$2:W287)</f>
        <v>4554.5</v>
      </c>
      <c r="AA287" s="24" t="n">
        <f aca="false">MAX(AA286,Z287)</f>
        <v>5000</v>
      </c>
      <c r="AB287" s="24" t="n">
        <f aca="false">AA287-Z287</f>
        <v>445.5</v>
      </c>
      <c r="AC287" s="23" t="n">
        <f aca="false">IFERROR(AB287/AA287,0)</f>
        <v>0.0891</v>
      </c>
      <c r="AD287" s="22" t="s">
        <v>524</v>
      </c>
    </row>
    <row r="288" customFormat="false" ht="15" hidden="false" customHeight="false" outlineLevel="0" collapsed="false">
      <c r="A288" s="22" t="n">
        <v>287</v>
      </c>
      <c r="B288" s="22" t="s">
        <v>128</v>
      </c>
      <c r="C288" s="37" t="n">
        <v>44903.6460416667</v>
      </c>
      <c r="D288" s="22" t="s">
        <v>205</v>
      </c>
      <c r="E288" s="22" t="n">
        <v>15</v>
      </c>
      <c r="F288" s="22" t="s">
        <v>181</v>
      </c>
      <c r="G288" s="22" t="s">
        <v>243</v>
      </c>
      <c r="H288" s="22" t="n">
        <v>0.07</v>
      </c>
      <c r="I288" s="38" t="n">
        <v>1790.36</v>
      </c>
      <c r="J288" s="38" t="n">
        <v>1790.38</v>
      </c>
      <c r="K288" s="39" t="n">
        <f aca="false">IF(F288="BUY",J288-I288,I288-J288)</f>
        <v>0.0200000000002092</v>
      </c>
      <c r="L288" s="38" t="n">
        <v>1784.36</v>
      </c>
      <c r="M288" s="39" t="n">
        <f aca="false">ABS(I288-L288)</f>
        <v>6</v>
      </c>
      <c r="N288" s="24" t="n">
        <f aca="false">M288*H288*Summary!$C$6</f>
        <v>42</v>
      </c>
      <c r="O288" s="37" t="n">
        <v>44903.6966666667</v>
      </c>
      <c r="P288" s="22" t="n">
        <f aca="false">ROUND((O288-C288)*86400,0)</f>
        <v>4374</v>
      </c>
      <c r="Q288" s="22" t="str">
        <f aca="false">IF(P288&lt;10,"a) &lt;10s",IF(P288&lt;60,"b) 10-60s",IF(P288&lt;600,"c) 1-10min","d) &gt;10min")))</f>
        <v>d) &gt;10min</v>
      </c>
      <c r="R288" s="38" t="n">
        <v>1784.36</v>
      </c>
      <c r="S288" s="38" t="n">
        <v>1784.33</v>
      </c>
      <c r="T288" s="22" t="s">
        <v>188</v>
      </c>
      <c r="U288" s="39" t="n">
        <f aca="false">IF(R288="","",IF(F288="BUY",R288-S288,S288-R288))</f>
        <v>0.0299999999999727</v>
      </c>
      <c r="V288" s="39" t="n">
        <f aca="false">IF(F288="BUY",S288-J288,J288-S288)</f>
        <v>-6.05000000000018</v>
      </c>
      <c r="W288" s="6" t="n">
        <v>-42.35</v>
      </c>
      <c r="X288" s="26" t="n">
        <f aca="false">IFERROR(W288/N288,0)</f>
        <v>-1.00833333333333</v>
      </c>
      <c r="Y288" s="22" t="str">
        <f aca="false">IF(W288&gt;0,"Win",IF(W288&lt;0,"Loss","Flat"))</f>
        <v>Loss</v>
      </c>
      <c r="Z288" s="24" t="n">
        <f aca="false">Summary!$C$5+SUM(W$2:W288)</f>
        <v>4512.15</v>
      </c>
      <c r="AA288" s="24" t="n">
        <f aca="false">MAX(AA287,Z288)</f>
        <v>5000</v>
      </c>
      <c r="AB288" s="24" t="n">
        <f aca="false">AA288-Z288</f>
        <v>487.85</v>
      </c>
      <c r="AC288" s="23" t="n">
        <f aca="false">IFERROR(AB288/AA288,0)</f>
        <v>0.0975700000000001</v>
      </c>
      <c r="AD288" s="22" t="s">
        <v>525</v>
      </c>
    </row>
    <row r="289" customFormat="false" ht="15" hidden="false" customHeight="false" outlineLevel="0" collapsed="false">
      <c r="A289" s="22" t="n">
        <v>288</v>
      </c>
      <c r="B289" s="22" t="s">
        <v>128</v>
      </c>
      <c r="C289" s="37" t="n">
        <v>44904.1353819444</v>
      </c>
      <c r="D289" s="22" t="s">
        <v>206</v>
      </c>
      <c r="E289" s="22" t="n">
        <v>3</v>
      </c>
      <c r="F289" s="22" t="s">
        <v>181</v>
      </c>
      <c r="G289" s="22" t="s">
        <v>243</v>
      </c>
      <c r="H289" s="22" t="n">
        <v>0.07</v>
      </c>
      <c r="I289" s="38" t="n">
        <v>1794.73</v>
      </c>
      <c r="J289" s="38" t="n">
        <v>1795.1</v>
      </c>
      <c r="K289" s="39" t="n">
        <f aca="false">IF(F289="BUY",J289-I289,I289-J289)</f>
        <v>0.369999999999891</v>
      </c>
      <c r="L289" s="38" t="n">
        <v>1788.73</v>
      </c>
      <c r="M289" s="39" t="n">
        <f aca="false">ABS(I289-L289)</f>
        <v>6</v>
      </c>
      <c r="N289" s="24" t="n">
        <f aca="false">M289*H289*Summary!$C$6</f>
        <v>42</v>
      </c>
      <c r="O289" s="37" t="n">
        <v>44904.3321875</v>
      </c>
      <c r="P289" s="22" t="n">
        <f aca="false">ROUND((O289-C289)*86400,0)</f>
        <v>17004</v>
      </c>
      <c r="Q289" s="22" t="str">
        <f aca="false">IF(P289&lt;10,"a) &lt;10s",IF(P289&lt;60,"b) 10-60s",IF(P289&lt;600,"c) 1-10min","d) &gt;10min")))</f>
        <v>d) &gt;10min</v>
      </c>
      <c r="R289" s="38" t="n">
        <v>1795.6</v>
      </c>
      <c r="S289" s="38" t="n">
        <v>1795.55</v>
      </c>
      <c r="T289" s="22" t="s">
        <v>189</v>
      </c>
      <c r="U289" s="39" t="n">
        <f aca="false">IF(R289="","",IF(F289="BUY",R289-S289,S289-R289))</f>
        <v>0.0499999999999545</v>
      </c>
      <c r="V289" s="39" t="n">
        <f aca="false">IF(F289="BUY",S289-J289,J289-S289)</f>
        <v>0.450000000000046</v>
      </c>
      <c r="W289" s="6" t="n">
        <v>3.15</v>
      </c>
      <c r="X289" s="26" t="n">
        <f aca="false">IFERROR(W289/N289,0)</f>
        <v>0.075</v>
      </c>
      <c r="Y289" s="22" t="str">
        <f aca="false">IF(W289&gt;0,"Win",IF(W289&lt;0,"Loss","Flat"))</f>
        <v>Win</v>
      </c>
      <c r="Z289" s="24" t="n">
        <f aca="false">Summary!$C$5+SUM(W$2:W289)</f>
        <v>4515.3</v>
      </c>
      <c r="AA289" s="24" t="n">
        <f aca="false">MAX(AA288,Z289)</f>
        <v>5000</v>
      </c>
      <c r="AB289" s="24" t="n">
        <f aca="false">AA289-Z289</f>
        <v>484.7</v>
      </c>
      <c r="AC289" s="23" t="n">
        <f aca="false">IFERROR(AB289/AA289,0)</f>
        <v>0.09694</v>
      </c>
      <c r="AD289" s="22" t="s">
        <v>526</v>
      </c>
    </row>
    <row r="290" customFormat="false" ht="15" hidden="false" customHeight="false" outlineLevel="0" collapsed="false">
      <c r="A290" s="22" t="n">
        <v>289</v>
      </c>
      <c r="B290" s="22" t="s">
        <v>128</v>
      </c>
      <c r="C290" s="37" t="n">
        <v>44904.4011574074</v>
      </c>
      <c r="D290" s="22" t="s">
        <v>206</v>
      </c>
      <c r="E290" s="22" t="n">
        <v>9</v>
      </c>
      <c r="F290" s="22" t="s">
        <v>182</v>
      </c>
      <c r="G290" s="22" t="s">
        <v>241</v>
      </c>
      <c r="H290" s="22" t="n">
        <v>0.07</v>
      </c>
      <c r="I290" s="38" t="n">
        <v>1793.64</v>
      </c>
      <c r="J290" s="38" t="n">
        <v>1793.33</v>
      </c>
      <c r="K290" s="39" t="n">
        <f aca="false">IF(F290="BUY",J290-I290,I290-J290)</f>
        <v>0.310000000000173</v>
      </c>
      <c r="L290" s="38" t="n">
        <v>1799.64</v>
      </c>
      <c r="M290" s="39" t="n">
        <f aca="false">ABS(I290-L290)</f>
        <v>6</v>
      </c>
      <c r="N290" s="24" t="n">
        <f aca="false">M290*H290*Summary!$C$6</f>
        <v>42</v>
      </c>
      <c r="O290" s="37" t="n">
        <v>44904.4139814815</v>
      </c>
      <c r="P290" s="22" t="n">
        <f aca="false">ROUND((O290-C290)*86400,0)</f>
        <v>1108</v>
      </c>
      <c r="Q290" s="22" t="str">
        <f aca="false">IF(P290&lt;10,"a) &lt;10s",IF(P290&lt;60,"b) 10-60s",IF(P290&lt;600,"c) 1-10min","d) &gt;10min")))</f>
        <v>d) &gt;10min</v>
      </c>
      <c r="R290" s="38" t="n">
        <v>1792.83</v>
      </c>
      <c r="S290" s="38" t="n">
        <v>1792.83</v>
      </c>
      <c r="T290" s="22" t="s">
        <v>189</v>
      </c>
      <c r="U290" s="39" t="n">
        <f aca="false">IF(R290="","",IF(F290="BUY",R290-S290,S290-R290))</f>
        <v>0</v>
      </c>
      <c r="V290" s="39" t="n">
        <f aca="false">IF(F290="BUY",S290-J290,J290-S290)</f>
        <v>0.5</v>
      </c>
      <c r="W290" s="6" t="n">
        <v>3.5</v>
      </c>
      <c r="X290" s="26" t="n">
        <f aca="false">IFERROR(W290/N290,0)</f>
        <v>0.0833333333333333</v>
      </c>
      <c r="Y290" s="22" t="str">
        <f aca="false">IF(W290&gt;0,"Win",IF(W290&lt;0,"Loss","Flat"))</f>
        <v>Win</v>
      </c>
      <c r="Z290" s="24" t="n">
        <f aca="false">Summary!$C$5+SUM(W$2:W290)</f>
        <v>4518.8</v>
      </c>
      <c r="AA290" s="24" t="n">
        <f aca="false">MAX(AA289,Z290)</f>
        <v>5000</v>
      </c>
      <c r="AB290" s="24" t="n">
        <f aca="false">AA290-Z290</f>
        <v>481.2</v>
      </c>
      <c r="AC290" s="23" t="n">
        <f aca="false">IFERROR(AB290/AA290,0)</f>
        <v>0.09624</v>
      </c>
      <c r="AD290" s="22" t="s">
        <v>527</v>
      </c>
    </row>
    <row r="291" customFormat="false" ht="15" hidden="false" customHeight="false" outlineLevel="0" collapsed="false">
      <c r="A291" s="22" t="n">
        <v>290</v>
      </c>
      <c r="B291" s="22" t="s">
        <v>128</v>
      </c>
      <c r="C291" s="37" t="n">
        <v>44907.178587963</v>
      </c>
      <c r="D291" s="22" t="s">
        <v>202</v>
      </c>
      <c r="E291" s="22" t="n">
        <v>4</v>
      </c>
      <c r="F291" s="22" t="s">
        <v>182</v>
      </c>
      <c r="G291" s="22" t="s">
        <v>237</v>
      </c>
      <c r="H291" s="22" t="n">
        <v>0.07</v>
      </c>
      <c r="I291" s="38" t="n">
        <v>1788.3</v>
      </c>
      <c r="J291" s="38" t="n">
        <v>1788.04</v>
      </c>
      <c r="K291" s="39" t="n">
        <f aca="false">IF(F291="BUY",J291-I291,I291-J291)</f>
        <v>0.259999999999991</v>
      </c>
      <c r="L291" s="38" t="n">
        <v>1794.3</v>
      </c>
      <c r="M291" s="39" t="n">
        <f aca="false">ABS(I291-L291)</f>
        <v>6</v>
      </c>
      <c r="N291" s="24" t="n">
        <f aca="false">M291*H291*Summary!$C$6</f>
        <v>42</v>
      </c>
      <c r="O291" s="37" t="n">
        <v>44907.3136689815</v>
      </c>
      <c r="P291" s="22" t="n">
        <f aca="false">ROUND((O291-C291)*86400,0)</f>
        <v>11671</v>
      </c>
      <c r="Q291" s="22" t="str">
        <f aca="false">IF(P291&lt;10,"a) &lt;10s",IF(P291&lt;60,"b) 10-60s",IF(P291&lt;600,"c) 1-10min","d) &gt;10min")))</f>
        <v>d) &gt;10min</v>
      </c>
      <c r="R291" s="38" t="n">
        <v>1787.54</v>
      </c>
      <c r="S291" s="38" t="n">
        <v>1787.62</v>
      </c>
      <c r="T291" s="22" t="s">
        <v>189</v>
      </c>
      <c r="U291" s="39" t="n">
        <f aca="false">IF(R291="","",IF(F291="BUY",R291-S291,S291-R291))</f>
        <v>0.0799999999999272</v>
      </c>
      <c r="V291" s="39" t="n">
        <f aca="false">IF(F291="BUY",S291-J291,J291-S291)</f>
        <v>0.420000000000073</v>
      </c>
      <c r="W291" s="6" t="n">
        <v>2.94</v>
      </c>
      <c r="X291" s="26" t="n">
        <f aca="false">IFERROR(W291/N291,0)</f>
        <v>0.07</v>
      </c>
      <c r="Y291" s="22" t="str">
        <f aca="false">IF(W291&gt;0,"Win",IF(W291&lt;0,"Loss","Flat"))</f>
        <v>Win</v>
      </c>
      <c r="Z291" s="24" t="n">
        <f aca="false">Summary!$C$5+SUM(W$2:W291)</f>
        <v>4521.74</v>
      </c>
      <c r="AA291" s="24" t="n">
        <f aca="false">MAX(AA290,Z291)</f>
        <v>5000</v>
      </c>
      <c r="AB291" s="24" t="n">
        <f aca="false">AA291-Z291</f>
        <v>478.26</v>
      </c>
      <c r="AC291" s="23" t="n">
        <f aca="false">IFERROR(AB291/AA291,0)</f>
        <v>0.095652</v>
      </c>
      <c r="AD291" s="22" t="s">
        <v>528</v>
      </c>
    </row>
    <row r="292" customFormat="false" ht="15" hidden="false" customHeight="false" outlineLevel="0" collapsed="false">
      <c r="A292" s="22" t="n">
        <v>291</v>
      </c>
      <c r="B292" s="22" t="s">
        <v>128</v>
      </c>
      <c r="C292" s="37" t="n">
        <v>44907.375162037</v>
      </c>
      <c r="D292" s="22" t="s">
        <v>202</v>
      </c>
      <c r="E292" s="22" t="n">
        <v>9</v>
      </c>
      <c r="F292" s="22" t="s">
        <v>181</v>
      </c>
      <c r="G292" s="22" t="s">
        <v>235</v>
      </c>
      <c r="H292" s="22" t="n">
        <v>0.07</v>
      </c>
      <c r="I292" s="38" t="n">
        <v>1789.27</v>
      </c>
      <c r="J292" s="38" t="n">
        <v>1789.3</v>
      </c>
      <c r="K292" s="39" t="n">
        <f aca="false">IF(F292="BUY",J292-I292,I292-J292)</f>
        <v>0.0299999999999727</v>
      </c>
      <c r="L292" s="38" t="n">
        <v>1783.27</v>
      </c>
      <c r="M292" s="39" t="n">
        <f aca="false">ABS(I292-L292)</f>
        <v>6</v>
      </c>
      <c r="N292" s="24" t="n">
        <f aca="false">M292*H292*Summary!$C$6</f>
        <v>42</v>
      </c>
      <c r="O292" s="37" t="n">
        <v>44907.4209606482</v>
      </c>
      <c r="P292" s="22" t="n">
        <f aca="false">ROUND((O292-C292)*86400,0)</f>
        <v>3957</v>
      </c>
      <c r="Q292" s="22" t="str">
        <f aca="false">IF(P292&lt;10,"a) &lt;10s",IF(P292&lt;60,"b) 10-60s",IF(P292&lt;600,"c) 1-10min","d) &gt;10min")))</f>
        <v>d) &gt;10min</v>
      </c>
      <c r="R292" s="38" t="n">
        <v>1789.8</v>
      </c>
      <c r="S292" s="38" t="n">
        <v>1789.79</v>
      </c>
      <c r="T292" s="22" t="s">
        <v>189</v>
      </c>
      <c r="U292" s="39" t="n">
        <f aca="false">IF(R292="","",IF(F292="BUY",R292-S292,S292-R292))</f>
        <v>0.00999999999999091</v>
      </c>
      <c r="V292" s="39" t="n">
        <f aca="false">IF(F292="BUY",S292-J292,J292-S292)</f>
        <v>0.490000000000009</v>
      </c>
      <c r="W292" s="6" t="n">
        <v>3.43</v>
      </c>
      <c r="X292" s="26" t="n">
        <f aca="false">IFERROR(W292/N292,0)</f>
        <v>0.0816666666666667</v>
      </c>
      <c r="Y292" s="22" t="str">
        <f aca="false">IF(W292&gt;0,"Win",IF(W292&lt;0,"Loss","Flat"))</f>
        <v>Win</v>
      </c>
      <c r="Z292" s="24" t="n">
        <f aca="false">Summary!$C$5+SUM(W$2:W292)</f>
        <v>4525.17</v>
      </c>
      <c r="AA292" s="24" t="n">
        <f aca="false">MAX(AA291,Z292)</f>
        <v>5000</v>
      </c>
      <c r="AB292" s="24" t="n">
        <f aca="false">AA292-Z292</f>
        <v>474.83</v>
      </c>
      <c r="AC292" s="23" t="n">
        <f aca="false">IFERROR(AB292/AA292,0)</f>
        <v>0.094966</v>
      </c>
      <c r="AD292" s="22" t="s">
        <v>529</v>
      </c>
    </row>
    <row r="293" customFormat="false" ht="15" hidden="false" customHeight="false" outlineLevel="0" collapsed="false">
      <c r="A293" s="22" t="n">
        <v>292</v>
      </c>
      <c r="B293" s="22" t="s">
        <v>128</v>
      </c>
      <c r="C293" s="37" t="n">
        <v>44908.3760763889</v>
      </c>
      <c r="D293" s="22" t="s">
        <v>203</v>
      </c>
      <c r="E293" s="22" t="n">
        <v>9</v>
      </c>
      <c r="F293" s="22" t="s">
        <v>181</v>
      </c>
      <c r="G293" s="22" t="s">
        <v>235</v>
      </c>
      <c r="H293" s="22" t="n">
        <v>0.07</v>
      </c>
      <c r="I293" s="38" t="n">
        <v>1786.6</v>
      </c>
      <c r="J293" s="38" t="n">
        <v>1786.63</v>
      </c>
      <c r="K293" s="39" t="n">
        <f aca="false">IF(F293="BUY",J293-I293,I293-J293)</f>
        <v>0.0300000000002001</v>
      </c>
      <c r="L293" s="38" t="n">
        <v>1780.6</v>
      </c>
      <c r="M293" s="39" t="n">
        <f aca="false">ABS(I293-L293)</f>
        <v>6</v>
      </c>
      <c r="N293" s="24" t="n">
        <f aca="false">M293*H293*Summary!$C$6</f>
        <v>42</v>
      </c>
      <c r="O293" s="37" t="n">
        <v>44908.6302430556</v>
      </c>
      <c r="P293" s="22" t="n">
        <f aca="false">ROUND((O293-C293)*86400,0)</f>
        <v>21960</v>
      </c>
      <c r="Q293" s="22" t="str">
        <f aca="false">IF(P293&lt;10,"a) &lt;10s",IF(P293&lt;60,"b) 10-60s",IF(P293&lt;600,"c) 1-10min","d) &gt;10min")))</f>
        <v>d) &gt;10min</v>
      </c>
      <c r="R293" s="38" t="n">
        <v>1787.13</v>
      </c>
      <c r="S293" s="38" t="n">
        <v>1787.11</v>
      </c>
      <c r="T293" s="22" t="s">
        <v>189</v>
      </c>
      <c r="U293" s="39" t="n">
        <f aca="false">IF(R293="","",IF(F293="BUY",R293-S293,S293-R293))</f>
        <v>0.0200000000002092</v>
      </c>
      <c r="V293" s="39" t="n">
        <f aca="false">IF(F293="BUY",S293-J293,J293-S293)</f>
        <v>0.479999999999791</v>
      </c>
      <c r="W293" s="6" t="n">
        <v>3.36</v>
      </c>
      <c r="X293" s="26" t="n">
        <f aca="false">IFERROR(W293/N293,0)</f>
        <v>0.08</v>
      </c>
      <c r="Y293" s="22" t="str">
        <f aca="false">IF(W293&gt;0,"Win",IF(W293&lt;0,"Loss","Flat"))</f>
        <v>Win</v>
      </c>
      <c r="Z293" s="24" t="n">
        <f aca="false">Summary!$C$5+SUM(W$2:W293)</f>
        <v>4528.53</v>
      </c>
      <c r="AA293" s="24" t="n">
        <f aca="false">MAX(AA292,Z293)</f>
        <v>5000</v>
      </c>
      <c r="AB293" s="24" t="n">
        <f aca="false">AA293-Z293</f>
        <v>471.47</v>
      </c>
      <c r="AC293" s="23" t="n">
        <f aca="false">IFERROR(AB293/AA293,0)</f>
        <v>0.094294</v>
      </c>
      <c r="AD293" s="22" t="s">
        <v>530</v>
      </c>
    </row>
    <row r="294" customFormat="false" ht="15" hidden="false" customHeight="false" outlineLevel="0" collapsed="false">
      <c r="A294" s="22" t="n">
        <v>293</v>
      </c>
      <c r="B294" s="22" t="s">
        <v>128</v>
      </c>
      <c r="C294" s="37" t="n">
        <v>44908.6458449074</v>
      </c>
      <c r="D294" s="22" t="s">
        <v>203</v>
      </c>
      <c r="E294" s="22" t="n">
        <v>15</v>
      </c>
      <c r="F294" s="22" t="s">
        <v>181</v>
      </c>
      <c r="G294" s="22" t="s">
        <v>243</v>
      </c>
      <c r="H294" s="22" t="n">
        <v>0.07</v>
      </c>
      <c r="I294" s="38" t="n">
        <v>1797.07</v>
      </c>
      <c r="J294" s="38" t="n">
        <v>1800.34</v>
      </c>
      <c r="K294" s="39" t="n">
        <f aca="false">IF(F294="BUY",J294-I294,I294-J294)</f>
        <v>3.26999999999998</v>
      </c>
      <c r="L294" s="38" t="n">
        <v>1791.07</v>
      </c>
      <c r="M294" s="39" t="n">
        <f aca="false">ABS(I294-L294)</f>
        <v>6</v>
      </c>
      <c r="N294" s="24" t="n">
        <f aca="false">M294*H294*Summary!$C$6</f>
        <v>42</v>
      </c>
      <c r="O294" s="37" t="n">
        <v>44908.6459143519</v>
      </c>
      <c r="P294" s="22" t="n">
        <f aca="false">ROUND((O294-C294)*86400,0)</f>
        <v>6</v>
      </c>
      <c r="Q294" s="22" t="str">
        <f aca="false">IF(P294&lt;10,"a) &lt;10s",IF(P294&lt;60,"b) 10-60s",IF(P294&lt;600,"c) 1-10min","d) &gt;10min")))</f>
        <v>a) &lt;10s</v>
      </c>
      <c r="R294" s="38" t="n">
        <v>1800.84</v>
      </c>
      <c r="S294" s="38" t="n">
        <v>1800.59</v>
      </c>
      <c r="T294" s="22" t="s">
        <v>189</v>
      </c>
      <c r="U294" s="39" t="n">
        <f aca="false">IF(R294="","",IF(F294="BUY",R294-S294,S294-R294))</f>
        <v>0.25</v>
      </c>
      <c r="V294" s="39" t="n">
        <f aca="false">IF(F294="BUY",S294-J294,J294-S294)</f>
        <v>0.25</v>
      </c>
      <c r="W294" s="6" t="n">
        <v>1.75</v>
      </c>
      <c r="X294" s="26" t="n">
        <f aca="false">IFERROR(W294/N294,0)</f>
        <v>0.0416666666666667</v>
      </c>
      <c r="Y294" s="22" t="str">
        <f aca="false">IF(W294&gt;0,"Win",IF(W294&lt;0,"Loss","Flat"))</f>
        <v>Win</v>
      </c>
      <c r="Z294" s="24" t="n">
        <f aca="false">Summary!$C$5+SUM(W$2:W294)</f>
        <v>4530.28</v>
      </c>
      <c r="AA294" s="24" t="n">
        <f aca="false">MAX(AA293,Z294)</f>
        <v>5000</v>
      </c>
      <c r="AB294" s="24" t="n">
        <f aca="false">AA294-Z294</f>
        <v>469.72</v>
      </c>
      <c r="AC294" s="23" t="n">
        <f aca="false">IFERROR(AB294/AA294,0)</f>
        <v>0.0939440000000001</v>
      </c>
      <c r="AD294" s="22" t="s">
        <v>531</v>
      </c>
    </row>
    <row r="295" customFormat="false" ht="15" hidden="false" customHeight="false" outlineLevel="0" collapsed="false">
      <c r="A295" s="22" t="n">
        <v>294</v>
      </c>
      <c r="B295" s="22" t="s">
        <v>128</v>
      </c>
      <c r="C295" s="37" t="n">
        <v>44909.3951157407</v>
      </c>
      <c r="D295" s="22" t="s">
        <v>204</v>
      </c>
      <c r="E295" s="22" t="n">
        <v>9</v>
      </c>
      <c r="F295" s="22" t="s">
        <v>182</v>
      </c>
      <c r="G295" s="22" t="s">
        <v>241</v>
      </c>
      <c r="H295" s="22" t="n">
        <v>0.07</v>
      </c>
      <c r="I295" s="38" t="n">
        <v>1808.64</v>
      </c>
      <c r="J295" s="38" t="n">
        <v>1808.62</v>
      </c>
      <c r="K295" s="39" t="n">
        <f aca="false">IF(F295="BUY",J295-I295,I295-J295)</f>
        <v>0.0200000000002092</v>
      </c>
      <c r="L295" s="38" t="n">
        <v>1814.64</v>
      </c>
      <c r="M295" s="39" t="n">
        <f aca="false">ABS(I295-L295)</f>
        <v>6</v>
      </c>
      <c r="N295" s="24" t="n">
        <f aca="false">M295*H295*Summary!$C$6</f>
        <v>42</v>
      </c>
      <c r="O295" s="37" t="n">
        <v>44909.6296527778</v>
      </c>
      <c r="P295" s="22" t="n">
        <f aca="false">ROUND((O295-C295)*86400,0)</f>
        <v>20264</v>
      </c>
      <c r="Q295" s="22" t="str">
        <f aca="false">IF(P295&lt;10,"a) &lt;10s",IF(P295&lt;60,"b) 10-60s",IF(P295&lt;600,"c) 1-10min","d) &gt;10min")))</f>
        <v>d) &gt;10min</v>
      </c>
      <c r="R295" s="38" t="n">
        <v>1808.12</v>
      </c>
      <c r="S295" s="38" t="n">
        <v>1808.16</v>
      </c>
      <c r="T295" s="22" t="s">
        <v>189</v>
      </c>
      <c r="U295" s="39" t="n">
        <f aca="false">IF(R295="","",IF(F295="BUY",R295-S295,S295-R295))</f>
        <v>0.040000000000191</v>
      </c>
      <c r="V295" s="39" t="n">
        <f aca="false">IF(F295="BUY",S295-J295,J295-S295)</f>
        <v>0.459999999999809</v>
      </c>
      <c r="W295" s="6" t="n">
        <v>3.22</v>
      </c>
      <c r="X295" s="26" t="n">
        <f aca="false">IFERROR(W295/N295,0)</f>
        <v>0.0766666666666667</v>
      </c>
      <c r="Y295" s="22" t="str">
        <f aca="false">IF(W295&gt;0,"Win",IF(W295&lt;0,"Loss","Flat"))</f>
        <v>Win</v>
      </c>
      <c r="Z295" s="24" t="n">
        <f aca="false">Summary!$C$5+SUM(W$2:W295)</f>
        <v>4533.5</v>
      </c>
      <c r="AA295" s="24" t="n">
        <f aca="false">MAX(AA294,Z295)</f>
        <v>5000</v>
      </c>
      <c r="AB295" s="24" t="n">
        <f aca="false">AA295-Z295</f>
        <v>466.5</v>
      </c>
      <c r="AC295" s="23" t="n">
        <f aca="false">IFERROR(AB295/AA295,0)</f>
        <v>0.0933</v>
      </c>
      <c r="AD295" s="22" t="s">
        <v>532</v>
      </c>
    </row>
    <row r="296" customFormat="false" ht="15" hidden="false" customHeight="false" outlineLevel="0" collapsed="false">
      <c r="A296" s="22" t="n">
        <v>295</v>
      </c>
      <c r="B296" s="22" t="s">
        <v>128</v>
      </c>
      <c r="C296" s="37" t="n">
        <v>44910.2052430556</v>
      </c>
      <c r="D296" s="22" t="s">
        <v>205</v>
      </c>
      <c r="E296" s="22" t="n">
        <v>4</v>
      </c>
      <c r="F296" s="22" t="s">
        <v>182</v>
      </c>
      <c r="G296" s="22" t="s">
        <v>237</v>
      </c>
      <c r="H296" s="22" t="n">
        <v>0.07</v>
      </c>
      <c r="I296" s="38" t="n">
        <v>1795.01</v>
      </c>
      <c r="J296" s="38" t="n">
        <v>1794.84</v>
      </c>
      <c r="K296" s="39" t="n">
        <f aca="false">IF(F296="BUY",J296-I296,I296-J296)</f>
        <v>0.170000000000073</v>
      </c>
      <c r="L296" s="38" t="n">
        <v>1801.01</v>
      </c>
      <c r="M296" s="39" t="n">
        <f aca="false">ABS(I296-L296)</f>
        <v>6</v>
      </c>
      <c r="N296" s="24" t="n">
        <f aca="false">M296*H296*Summary!$C$6</f>
        <v>42</v>
      </c>
      <c r="O296" s="37" t="n">
        <v>44910.2171296296</v>
      </c>
      <c r="P296" s="22" t="n">
        <f aca="false">ROUND((O296-C296)*86400,0)</f>
        <v>1027</v>
      </c>
      <c r="Q296" s="22" t="str">
        <f aca="false">IF(P296&lt;10,"a) &lt;10s",IF(P296&lt;60,"b) 10-60s",IF(P296&lt;600,"c) 1-10min","d) &gt;10min")))</f>
        <v>d) &gt;10min</v>
      </c>
      <c r="R296" s="38" t="n">
        <v>1794.34</v>
      </c>
      <c r="S296" s="38" t="n">
        <v>1794.35</v>
      </c>
      <c r="T296" s="22" t="s">
        <v>189</v>
      </c>
      <c r="U296" s="39" t="n">
        <f aca="false">IF(R296="","",IF(F296="BUY",R296-S296,S296-R296))</f>
        <v>0.00999999999999091</v>
      </c>
      <c r="V296" s="39" t="n">
        <f aca="false">IF(F296="BUY",S296-J296,J296-S296)</f>
        <v>0.490000000000009</v>
      </c>
      <c r="W296" s="6" t="n">
        <v>3.43</v>
      </c>
      <c r="X296" s="26" t="n">
        <f aca="false">IFERROR(W296/N296,0)</f>
        <v>0.0816666666666667</v>
      </c>
      <c r="Y296" s="22" t="str">
        <f aca="false">IF(W296&gt;0,"Win",IF(W296&lt;0,"Loss","Flat"))</f>
        <v>Win</v>
      </c>
      <c r="Z296" s="24" t="n">
        <f aca="false">Summary!$C$5+SUM(W$2:W296)</f>
        <v>4536.93</v>
      </c>
      <c r="AA296" s="24" t="n">
        <f aca="false">MAX(AA295,Z296)</f>
        <v>5000</v>
      </c>
      <c r="AB296" s="24" t="n">
        <f aca="false">AA296-Z296</f>
        <v>463.07</v>
      </c>
      <c r="AC296" s="23" t="n">
        <f aca="false">IFERROR(AB296/AA296,0)</f>
        <v>0.092614</v>
      </c>
      <c r="AD296" s="22" t="s">
        <v>533</v>
      </c>
    </row>
    <row r="297" customFormat="false" ht="15" hidden="false" customHeight="false" outlineLevel="0" collapsed="false">
      <c r="A297" s="22" t="n">
        <v>296</v>
      </c>
      <c r="B297" s="22" t="s">
        <v>128</v>
      </c>
      <c r="C297" s="37" t="n">
        <v>44910.4057175926</v>
      </c>
      <c r="D297" s="22" t="s">
        <v>205</v>
      </c>
      <c r="E297" s="22" t="n">
        <v>9</v>
      </c>
      <c r="F297" s="22" t="s">
        <v>182</v>
      </c>
      <c r="G297" s="22" t="s">
        <v>241</v>
      </c>
      <c r="H297" s="22" t="n">
        <v>0.07</v>
      </c>
      <c r="I297" s="38" t="n">
        <v>1790.57</v>
      </c>
      <c r="J297" s="38" t="n">
        <v>1790.5</v>
      </c>
      <c r="K297" s="39" t="n">
        <f aca="false">IF(F297="BUY",J297-I297,I297-J297)</f>
        <v>0.0699999999999363</v>
      </c>
      <c r="L297" s="38" t="n">
        <v>1796.57</v>
      </c>
      <c r="M297" s="39" t="n">
        <f aca="false">ABS(I297-L297)</f>
        <v>6</v>
      </c>
      <c r="N297" s="24" t="n">
        <f aca="false">M297*H297*Summary!$C$6</f>
        <v>42</v>
      </c>
      <c r="O297" s="37" t="n">
        <v>44910.416875</v>
      </c>
      <c r="P297" s="22" t="n">
        <f aca="false">ROUND((O297-C297)*86400,0)</f>
        <v>964</v>
      </c>
      <c r="Q297" s="22" t="str">
        <f aca="false">IF(P297&lt;10,"a) &lt;10s",IF(P297&lt;60,"b) 10-60s",IF(P297&lt;600,"c) 1-10min","d) &gt;10min")))</f>
        <v>d) &gt;10min</v>
      </c>
      <c r="R297" s="38" t="n">
        <v>1790</v>
      </c>
      <c r="S297" s="38" t="n">
        <v>1790.07</v>
      </c>
      <c r="T297" s="22" t="s">
        <v>189</v>
      </c>
      <c r="U297" s="39" t="n">
        <f aca="false">IF(R297="","",IF(F297="BUY",R297-S297,S297-R297))</f>
        <v>0.0699999999999363</v>
      </c>
      <c r="V297" s="39" t="n">
        <f aca="false">IF(F297="BUY",S297-J297,J297-S297)</f>
        <v>0.430000000000064</v>
      </c>
      <c r="W297" s="6" t="n">
        <v>3.01</v>
      </c>
      <c r="X297" s="26" t="n">
        <f aca="false">IFERROR(W297/N297,0)</f>
        <v>0.0716666666666667</v>
      </c>
      <c r="Y297" s="22" t="str">
        <f aca="false">IF(W297&gt;0,"Win",IF(W297&lt;0,"Loss","Flat"))</f>
        <v>Win</v>
      </c>
      <c r="Z297" s="24" t="n">
        <f aca="false">Summary!$C$5+SUM(W$2:W297)</f>
        <v>4539.94</v>
      </c>
      <c r="AA297" s="24" t="n">
        <f aca="false">MAX(AA296,Z297)</f>
        <v>5000</v>
      </c>
      <c r="AB297" s="24" t="n">
        <f aca="false">AA297-Z297</f>
        <v>460.06</v>
      </c>
      <c r="AC297" s="23" t="n">
        <f aca="false">IFERROR(AB297/AA297,0)</f>
        <v>0.0920120000000001</v>
      </c>
      <c r="AD297" s="22" t="s">
        <v>534</v>
      </c>
    </row>
    <row r="298" customFormat="false" ht="15" hidden="false" customHeight="false" outlineLevel="0" collapsed="false">
      <c r="A298" s="22" t="n">
        <v>297</v>
      </c>
      <c r="B298" s="22" t="s">
        <v>128</v>
      </c>
      <c r="C298" s="37" t="n">
        <v>44911.3761458333</v>
      </c>
      <c r="D298" s="22" t="s">
        <v>206</v>
      </c>
      <c r="E298" s="22" t="n">
        <v>9</v>
      </c>
      <c r="F298" s="22" t="s">
        <v>181</v>
      </c>
      <c r="G298" s="22" t="s">
        <v>235</v>
      </c>
      <c r="H298" s="22" t="n">
        <v>0.07</v>
      </c>
      <c r="I298" s="38" t="n">
        <v>1784.05</v>
      </c>
      <c r="J298" s="38" t="n">
        <v>1784.07</v>
      </c>
      <c r="K298" s="39" t="n">
        <f aca="false">IF(F298="BUY",J298-I298,I298-J298)</f>
        <v>0.0199999999999818</v>
      </c>
      <c r="L298" s="38" t="n">
        <v>1778.05</v>
      </c>
      <c r="M298" s="39" t="n">
        <f aca="false">ABS(I298-L298)</f>
        <v>6</v>
      </c>
      <c r="N298" s="24" t="n">
        <f aca="false">M298*H298*Summary!$C$6</f>
        <v>42</v>
      </c>
      <c r="O298" s="37" t="n">
        <v>44911.4076967593</v>
      </c>
      <c r="P298" s="22" t="n">
        <f aca="false">ROUND((O298-C298)*86400,0)</f>
        <v>2726</v>
      </c>
      <c r="Q298" s="22" t="str">
        <f aca="false">IF(P298&lt;10,"a) &lt;10s",IF(P298&lt;60,"b) 10-60s",IF(P298&lt;600,"c) 1-10min","d) &gt;10min")))</f>
        <v>d) &gt;10min</v>
      </c>
      <c r="R298" s="38" t="n">
        <v>1778.05</v>
      </c>
      <c r="S298" s="38" t="n">
        <v>1778.01</v>
      </c>
      <c r="T298" s="22" t="s">
        <v>188</v>
      </c>
      <c r="U298" s="39" t="n">
        <f aca="false">IF(R298="","",IF(F298="BUY",R298-S298,S298-R298))</f>
        <v>0.0399999999999636</v>
      </c>
      <c r="V298" s="39" t="n">
        <f aca="false">IF(F298="BUY",S298-J298,J298-S298)</f>
        <v>-6.05999999999995</v>
      </c>
      <c r="W298" s="6" t="n">
        <v>-42.42</v>
      </c>
      <c r="X298" s="26" t="n">
        <f aca="false">IFERROR(W298/N298,0)</f>
        <v>-1.01</v>
      </c>
      <c r="Y298" s="22" t="str">
        <f aca="false">IF(W298&gt;0,"Win",IF(W298&lt;0,"Loss","Flat"))</f>
        <v>Loss</v>
      </c>
      <c r="Z298" s="24" t="n">
        <f aca="false">Summary!$C$5+SUM(W$2:W298)</f>
        <v>4497.52</v>
      </c>
      <c r="AA298" s="24" t="n">
        <f aca="false">MAX(AA297,Z298)</f>
        <v>5000</v>
      </c>
      <c r="AB298" s="24" t="n">
        <f aca="false">AA298-Z298</f>
        <v>502.48</v>
      </c>
      <c r="AC298" s="23" t="n">
        <f aca="false">IFERROR(AB298/AA298,0)</f>
        <v>0.100496</v>
      </c>
      <c r="AD298" s="22" t="s">
        <v>535</v>
      </c>
    </row>
    <row r="299" customFormat="false" ht="15" hidden="false" customHeight="false" outlineLevel="0" collapsed="false">
      <c r="A299" s="22" t="n">
        <v>298</v>
      </c>
      <c r="B299" s="22" t="s">
        <v>128</v>
      </c>
      <c r="C299" s="37" t="n">
        <v>44914.112662037</v>
      </c>
      <c r="D299" s="22" t="s">
        <v>202</v>
      </c>
      <c r="E299" s="22" t="n">
        <v>2</v>
      </c>
      <c r="F299" s="22" t="s">
        <v>181</v>
      </c>
      <c r="G299" s="22" t="s">
        <v>243</v>
      </c>
      <c r="H299" s="22" t="n">
        <v>0.07</v>
      </c>
      <c r="I299" s="38" t="n">
        <v>1794.2</v>
      </c>
      <c r="J299" s="38" t="n">
        <v>1794.23</v>
      </c>
      <c r="K299" s="39" t="n">
        <f aca="false">IF(F299="BUY",J299-I299,I299-J299)</f>
        <v>0.0299999999999727</v>
      </c>
      <c r="L299" s="38" t="n">
        <v>1788.2</v>
      </c>
      <c r="M299" s="39" t="n">
        <f aca="false">ABS(I299-L299)</f>
        <v>6</v>
      </c>
      <c r="N299" s="24" t="n">
        <f aca="false">M299*H299*Summary!$C$6</f>
        <v>42</v>
      </c>
      <c r="O299" s="37" t="n">
        <v>44914.2206365741</v>
      </c>
      <c r="P299" s="22" t="n">
        <f aca="false">ROUND((O299-C299)*86400,0)</f>
        <v>9329</v>
      </c>
      <c r="Q299" s="22" t="str">
        <f aca="false">IF(P299&lt;10,"a) &lt;10s",IF(P299&lt;60,"b) 10-60s",IF(P299&lt;600,"c) 1-10min","d) &gt;10min")))</f>
        <v>d) &gt;10min</v>
      </c>
      <c r="R299" s="38" t="n">
        <v>1794.73</v>
      </c>
      <c r="S299" s="38" t="n">
        <v>1794.71</v>
      </c>
      <c r="T299" s="22" t="s">
        <v>189</v>
      </c>
      <c r="U299" s="39" t="n">
        <f aca="false">IF(R299="","",IF(F299="BUY",R299-S299,S299-R299))</f>
        <v>0.0199999999999818</v>
      </c>
      <c r="V299" s="39" t="n">
        <f aca="false">IF(F299="BUY",S299-J299,J299-S299)</f>
        <v>0.480000000000018</v>
      </c>
      <c r="W299" s="6" t="n">
        <v>3.36</v>
      </c>
      <c r="X299" s="26" t="n">
        <f aca="false">IFERROR(W299/N299,0)</f>
        <v>0.08</v>
      </c>
      <c r="Y299" s="22" t="str">
        <f aca="false">IF(W299&gt;0,"Win",IF(W299&lt;0,"Loss","Flat"))</f>
        <v>Win</v>
      </c>
      <c r="Z299" s="24" t="n">
        <f aca="false">Summary!$C$5+SUM(W$2:W299)</f>
        <v>4500.88</v>
      </c>
      <c r="AA299" s="24" t="n">
        <f aca="false">MAX(AA298,Z299)</f>
        <v>5000</v>
      </c>
      <c r="AB299" s="24" t="n">
        <f aca="false">AA299-Z299</f>
        <v>499.12</v>
      </c>
      <c r="AC299" s="23" t="n">
        <f aca="false">IFERROR(AB299/AA299,0)</f>
        <v>0.099824</v>
      </c>
      <c r="AD299" s="22" t="s">
        <v>536</v>
      </c>
    </row>
    <row r="300" customFormat="false" ht="15" hidden="false" customHeight="false" outlineLevel="0" collapsed="false">
      <c r="A300" s="22" t="n">
        <v>299</v>
      </c>
      <c r="B300" s="22" t="s">
        <v>128</v>
      </c>
      <c r="C300" s="37" t="n">
        <v>44914.3945833333</v>
      </c>
      <c r="D300" s="22" t="s">
        <v>202</v>
      </c>
      <c r="E300" s="22" t="n">
        <v>9</v>
      </c>
      <c r="F300" s="22" t="s">
        <v>181</v>
      </c>
      <c r="G300" s="22" t="s">
        <v>235</v>
      </c>
      <c r="H300" s="22" t="n">
        <v>0.07</v>
      </c>
      <c r="I300" s="38" t="n">
        <v>1793.56</v>
      </c>
      <c r="J300" s="38" t="n">
        <v>1793.6</v>
      </c>
      <c r="K300" s="39" t="n">
        <f aca="false">IF(F300="BUY",J300-I300,I300-J300)</f>
        <v>0.0399999999999636</v>
      </c>
      <c r="L300" s="38" t="n">
        <v>1787.56</v>
      </c>
      <c r="M300" s="39" t="n">
        <f aca="false">ABS(I300-L300)</f>
        <v>6</v>
      </c>
      <c r="N300" s="24" t="n">
        <f aca="false">M300*H300*Summary!$C$6</f>
        <v>42</v>
      </c>
      <c r="O300" s="37" t="n">
        <v>44914.5732638889</v>
      </c>
      <c r="P300" s="22" t="n">
        <f aca="false">ROUND((O300-C300)*86400,0)</f>
        <v>15438</v>
      </c>
      <c r="Q300" s="22" t="str">
        <f aca="false">IF(P300&lt;10,"a) &lt;10s",IF(P300&lt;60,"b) 10-60s",IF(P300&lt;600,"c) 1-10min","d) &gt;10min")))</f>
        <v>d) &gt;10min</v>
      </c>
      <c r="R300" s="38" t="n">
        <v>1794.1</v>
      </c>
      <c r="S300" s="38" t="n">
        <v>1794.1</v>
      </c>
      <c r="T300" s="22" t="s">
        <v>189</v>
      </c>
      <c r="U300" s="39" t="n">
        <f aca="false">IF(R300="","",IF(F300="BUY",R300-S300,S300-R300))</f>
        <v>0</v>
      </c>
      <c r="V300" s="39" t="n">
        <f aca="false">IF(F300="BUY",S300-J300,J300-S300)</f>
        <v>0.5</v>
      </c>
      <c r="W300" s="6" t="n">
        <v>3.5</v>
      </c>
      <c r="X300" s="26" t="n">
        <f aca="false">IFERROR(W300/N300,0)</f>
        <v>0.0833333333333333</v>
      </c>
      <c r="Y300" s="22" t="str">
        <f aca="false">IF(W300&gt;0,"Win",IF(W300&lt;0,"Loss","Flat"))</f>
        <v>Win</v>
      </c>
      <c r="Z300" s="24" t="n">
        <f aca="false">Summary!$C$5+SUM(W$2:W300)</f>
        <v>4504.38</v>
      </c>
      <c r="AA300" s="24" t="n">
        <f aca="false">MAX(AA299,Z300)</f>
        <v>5000</v>
      </c>
      <c r="AB300" s="24" t="n">
        <f aca="false">AA300-Z300</f>
        <v>495.62</v>
      </c>
      <c r="AC300" s="23" t="n">
        <f aca="false">IFERROR(AB300/AA300,0)</f>
        <v>0.099124</v>
      </c>
      <c r="AD300" s="22" t="s">
        <v>537</v>
      </c>
    </row>
    <row r="301" customFormat="false" ht="15" hidden="false" customHeight="false" outlineLevel="0" collapsed="false">
      <c r="A301" s="22" t="n">
        <v>300</v>
      </c>
      <c r="B301" s="22" t="s">
        <v>128</v>
      </c>
      <c r="C301" s="37" t="n">
        <v>44915.3750115741</v>
      </c>
      <c r="D301" s="22" t="s">
        <v>203</v>
      </c>
      <c r="E301" s="22" t="n">
        <v>9</v>
      </c>
      <c r="F301" s="22" t="s">
        <v>181</v>
      </c>
      <c r="G301" s="22" t="s">
        <v>235</v>
      </c>
      <c r="H301" s="22" t="n">
        <v>0.07</v>
      </c>
      <c r="I301" s="38" t="n">
        <v>1793.92</v>
      </c>
      <c r="J301" s="38" t="n">
        <v>1794.03</v>
      </c>
      <c r="K301" s="39" t="n">
        <f aca="false">IF(F301="BUY",J301-I301,I301-J301)</f>
        <v>0.1099999999999</v>
      </c>
      <c r="L301" s="38" t="n">
        <v>1787.92</v>
      </c>
      <c r="M301" s="39" t="n">
        <f aca="false">ABS(I301-L301)</f>
        <v>6</v>
      </c>
      <c r="N301" s="24" t="n">
        <f aca="false">M301*H301*Summary!$C$6</f>
        <v>42</v>
      </c>
      <c r="O301" s="37" t="n">
        <v>44915.9270833333</v>
      </c>
      <c r="P301" s="22" t="n">
        <f aca="false">ROUND((O301-C301)*86400,0)</f>
        <v>47699</v>
      </c>
      <c r="Q301" s="22" t="str">
        <f aca="false">IF(P301&lt;10,"a) &lt;10s",IF(P301&lt;60,"b) 10-60s",IF(P301&lt;600,"c) 1-10min","d) &gt;10min")))</f>
        <v>d) &gt;10min</v>
      </c>
      <c r="R301" s="38"/>
      <c r="S301" s="38" t="n">
        <v>1817.3</v>
      </c>
      <c r="T301" s="22" t="s">
        <v>191</v>
      </c>
      <c r="U301" s="39" t="str">
        <f aca="false">IF(R301="","",IF(F301="BUY",R301-S301,S301-R301))</f>
        <v/>
      </c>
      <c r="V301" s="39" t="n">
        <f aca="false">IF(F301="BUY",S301-J301,J301-S301)</f>
        <v>23.27</v>
      </c>
      <c r="W301" s="6" t="n">
        <v>162.89</v>
      </c>
      <c r="X301" s="26" t="n">
        <f aca="false">IFERROR(W301/N301,0)</f>
        <v>3.87833333333333</v>
      </c>
      <c r="Y301" s="22" t="str">
        <f aca="false">IF(W301&gt;0,"Win",IF(W301&lt;0,"Loss","Flat"))</f>
        <v>Win</v>
      </c>
      <c r="Z301" s="24" t="n">
        <f aca="false">Summary!$C$5+SUM(W$2:W301)</f>
        <v>4667.27</v>
      </c>
      <c r="AA301" s="24" t="n">
        <f aca="false">MAX(AA300,Z301)</f>
        <v>5000</v>
      </c>
      <c r="AB301" s="24" t="n">
        <f aca="false">AA301-Z301</f>
        <v>332.73</v>
      </c>
      <c r="AC301" s="23" t="n">
        <f aca="false">IFERROR(AB301/AA301,0)</f>
        <v>0.0665459999999999</v>
      </c>
      <c r="AD301" s="22" t="s">
        <v>538</v>
      </c>
    </row>
    <row r="302" customFormat="false" ht="15" hidden="false" customHeight="false" outlineLevel="0" collapsed="false">
      <c r="A302" s="22" t="n">
        <v>301</v>
      </c>
      <c r="B302" s="22" t="s">
        <v>128</v>
      </c>
      <c r="C302" s="37" t="n">
        <v>44916.3779398148</v>
      </c>
      <c r="D302" s="22" t="s">
        <v>204</v>
      </c>
      <c r="E302" s="22" t="n">
        <v>9</v>
      </c>
      <c r="F302" s="22" t="s">
        <v>182</v>
      </c>
      <c r="G302" s="22" t="s">
        <v>241</v>
      </c>
      <c r="H302" s="22" t="n">
        <v>0.07</v>
      </c>
      <c r="I302" s="38" t="n">
        <v>1812.4</v>
      </c>
      <c r="J302" s="38" t="n">
        <v>1812.4</v>
      </c>
      <c r="K302" s="39" t="n">
        <f aca="false">IF(F302="BUY",J302-I302,I302-J302)</f>
        <v>0</v>
      </c>
      <c r="L302" s="38" t="n">
        <v>1818.4</v>
      </c>
      <c r="M302" s="39" t="n">
        <f aca="false">ABS(I302-L302)</f>
        <v>6</v>
      </c>
      <c r="N302" s="24" t="n">
        <f aca="false">M302*H302*Summary!$C$6</f>
        <v>42</v>
      </c>
      <c r="O302" s="37" t="n">
        <v>44916.638912037</v>
      </c>
      <c r="P302" s="22" t="n">
        <f aca="false">ROUND((O302-C302)*86400,0)</f>
        <v>22548</v>
      </c>
      <c r="Q302" s="22" t="str">
        <f aca="false">IF(P302&lt;10,"a) &lt;10s",IF(P302&lt;60,"b) 10-60s",IF(P302&lt;600,"c) 1-10min","d) &gt;10min")))</f>
        <v>d) &gt;10min</v>
      </c>
      <c r="R302" s="38" t="n">
        <v>1818.4</v>
      </c>
      <c r="S302" s="38" t="n">
        <v>1818.4</v>
      </c>
      <c r="T302" s="22" t="s">
        <v>188</v>
      </c>
      <c r="U302" s="39" t="n">
        <f aca="false">IF(R302="","",IF(F302="BUY",R302-S302,S302-R302))</f>
        <v>0</v>
      </c>
      <c r="V302" s="39" t="n">
        <f aca="false">IF(F302="BUY",S302-J302,J302-S302)</f>
        <v>-6</v>
      </c>
      <c r="W302" s="6" t="n">
        <v>-42</v>
      </c>
      <c r="X302" s="26" t="n">
        <f aca="false">IFERROR(W302/N302,0)</f>
        <v>-1</v>
      </c>
      <c r="Y302" s="22" t="str">
        <f aca="false">IF(W302&gt;0,"Win",IF(W302&lt;0,"Loss","Flat"))</f>
        <v>Loss</v>
      </c>
      <c r="Z302" s="24" t="n">
        <f aca="false">Summary!$C$5+SUM(W$2:W302)</f>
        <v>4625.27</v>
      </c>
      <c r="AA302" s="24" t="n">
        <f aca="false">MAX(AA301,Z302)</f>
        <v>5000</v>
      </c>
      <c r="AB302" s="24" t="n">
        <f aca="false">AA302-Z302</f>
        <v>374.73</v>
      </c>
      <c r="AC302" s="23" t="n">
        <f aca="false">IFERROR(AB302/AA302,0)</f>
        <v>0.0749459999999999</v>
      </c>
      <c r="AD302" s="22" t="s">
        <v>539</v>
      </c>
    </row>
    <row r="303" customFormat="false" ht="15" hidden="false" customHeight="false" outlineLevel="0" collapsed="false">
      <c r="A303" s="22" t="n">
        <v>302</v>
      </c>
      <c r="B303" s="22" t="s">
        <v>128</v>
      </c>
      <c r="C303" s="37" t="n">
        <v>44916.7311574074</v>
      </c>
      <c r="D303" s="22" t="s">
        <v>204</v>
      </c>
      <c r="E303" s="22" t="n">
        <v>17</v>
      </c>
      <c r="F303" s="22" t="s">
        <v>181</v>
      </c>
      <c r="G303" s="22" t="s">
        <v>243</v>
      </c>
      <c r="H303" s="22" t="n">
        <v>0.07</v>
      </c>
      <c r="I303" s="38" t="n">
        <v>1821.04</v>
      </c>
      <c r="J303" s="38" t="n">
        <v>1821.06</v>
      </c>
      <c r="K303" s="39" t="n">
        <f aca="false">IF(F303="BUY",J303-I303,I303-J303)</f>
        <v>0.0199999999999818</v>
      </c>
      <c r="L303" s="38" t="n">
        <v>1815.04</v>
      </c>
      <c r="M303" s="39" t="n">
        <f aca="false">ABS(I303-L303)</f>
        <v>6</v>
      </c>
      <c r="N303" s="24" t="n">
        <f aca="false">M303*H303*Summary!$C$6</f>
        <v>42</v>
      </c>
      <c r="O303" s="37" t="n">
        <v>44916.7374884259</v>
      </c>
      <c r="P303" s="22" t="n">
        <f aca="false">ROUND((O303-C303)*86400,0)</f>
        <v>547</v>
      </c>
      <c r="Q303" s="22" t="str">
        <f aca="false">IF(P303&lt;10,"a) &lt;10s",IF(P303&lt;60,"b) 10-60s",IF(P303&lt;600,"c) 1-10min","d) &gt;10min")))</f>
        <v>c) 1-10min</v>
      </c>
      <c r="R303" s="38" t="n">
        <v>1821.56</v>
      </c>
      <c r="S303" s="38" t="n">
        <v>1821.53</v>
      </c>
      <c r="T303" s="22" t="s">
        <v>189</v>
      </c>
      <c r="U303" s="39" t="n">
        <f aca="false">IF(R303="","",IF(F303="BUY",R303-S303,S303-R303))</f>
        <v>0.0299999999999727</v>
      </c>
      <c r="V303" s="39" t="n">
        <f aca="false">IF(F303="BUY",S303-J303,J303-S303)</f>
        <v>0.470000000000027</v>
      </c>
      <c r="W303" s="6" t="n">
        <v>3.29</v>
      </c>
      <c r="X303" s="26" t="n">
        <f aca="false">IFERROR(W303/N303,0)</f>
        <v>0.0783333333333333</v>
      </c>
      <c r="Y303" s="22" t="str">
        <f aca="false">IF(W303&gt;0,"Win",IF(W303&lt;0,"Loss","Flat"))</f>
        <v>Win</v>
      </c>
      <c r="Z303" s="24" t="n">
        <f aca="false">Summary!$C$5+SUM(W$2:W303)</f>
        <v>4628.56</v>
      </c>
      <c r="AA303" s="24" t="n">
        <f aca="false">MAX(AA302,Z303)</f>
        <v>5000</v>
      </c>
      <c r="AB303" s="24" t="n">
        <f aca="false">AA303-Z303</f>
        <v>371.44</v>
      </c>
      <c r="AC303" s="23" t="n">
        <f aca="false">IFERROR(AB303/AA303,0)</f>
        <v>0.0742879999999999</v>
      </c>
      <c r="AD303" s="22" t="s">
        <v>540</v>
      </c>
    </row>
    <row r="304" customFormat="false" ht="15" hidden="false" customHeight="false" outlineLevel="0" collapsed="false">
      <c r="A304" s="22" t="n">
        <v>303</v>
      </c>
      <c r="B304" s="22" t="s">
        <v>128</v>
      </c>
      <c r="C304" s="37" t="n">
        <v>44917.384525463</v>
      </c>
      <c r="D304" s="22" t="s">
        <v>205</v>
      </c>
      <c r="E304" s="22" t="n">
        <v>9</v>
      </c>
      <c r="F304" s="22" t="s">
        <v>182</v>
      </c>
      <c r="G304" s="22" t="s">
        <v>241</v>
      </c>
      <c r="H304" s="22" t="n">
        <v>0.07</v>
      </c>
      <c r="I304" s="38" t="n">
        <v>1814.05</v>
      </c>
      <c r="J304" s="38" t="n">
        <v>1814.03</v>
      </c>
      <c r="K304" s="39" t="n">
        <f aca="false">IF(F304="BUY",J304-I304,I304-J304)</f>
        <v>0.0199999999999818</v>
      </c>
      <c r="L304" s="38" t="n">
        <v>1820.05</v>
      </c>
      <c r="M304" s="39" t="n">
        <f aca="false">ABS(I304-L304)</f>
        <v>6</v>
      </c>
      <c r="N304" s="24" t="n">
        <f aca="false">M304*H304*Summary!$C$6</f>
        <v>42</v>
      </c>
      <c r="O304" s="37" t="n">
        <v>44917.6391782407</v>
      </c>
      <c r="P304" s="22" t="n">
        <f aca="false">ROUND((O304-C304)*86400,0)</f>
        <v>22002</v>
      </c>
      <c r="Q304" s="22" t="str">
        <f aca="false">IF(P304&lt;10,"a) &lt;10s",IF(P304&lt;60,"b) 10-60s",IF(P304&lt;600,"c) 1-10min","d) &gt;10min")))</f>
        <v>d) &gt;10min</v>
      </c>
      <c r="R304" s="38" t="n">
        <v>1820.05</v>
      </c>
      <c r="S304" s="38" t="n">
        <v>1820.15</v>
      </c>
      <c r="T304" s="22" t="s">
        <v>188</v>
      </c>
      <c r="U304" s="39" t="n">
        <f aca="false">IF(R304="","",IF(F304="BUY",R304-S304,S304-R304))</f>
        <v>0.100000000000136</v>
      </c>
      <c r="V304" s="39" t="n">
        <f aca="false">IF(F304="BUY",S304-J304,J304-S304)</f>
        <v>-6.12000000000012</v>
      </c>
      <c r="W304" s="6" t="n">
        <v>-42.84</v>
      </c>
      <c r="X304" s="26" t="n">
        <f aca="false">IFERROR(W304/N304,0)</f>
        <v>-1.02</v>
      </c>
      <c r="Y304" s="22" t="str">
        <f aca="false">IF(W304&gt;0,"Win",IF(W304&lt;0,"Loss","Flat"))</f>
        <v>Loss</v>
      </c>
      <c r="Z304" s="24" t="n">
        <f aca="false">Summary!$C$5+SUM(W$2:W304)</f>
        <v>4585.72</v>
      </c>
      <c r="AA304" s="24" t="n">
        <f aca="false">MAX(AA303,Z304)</f>
        <v>5000</v>
      </c>
      <c r="AB304" s="24" t="n">
        <f aca="false">AA304-Z304</f>
        <v>414.28</v>
      </c>
      <c r="AC304" s="23" t="n">
        <f aca="false">IFERROR(AB304/AA304,0)</f>
        <v>0.0828559999999999</v>
      </c>
      <c r="AD304" s="22" t="s">
        <v>541</v>
      </c>
    </row>
    <row r="305" customFormat="false" ht="15" hidden="false" customHeight="false" outlineLevel="0" collapsed="false">
      <c r="A305" s="22" t="n">
        <v>304</v>
      </c>
      <c r="B305" s="22" t="s">
        <v>128</v>
      </c>
      <c r="C305" s="37" t="n">
        <v>44917.6500810185</v>
      </c>
      <c r="D305" s="22" t="s">
        <v>205</v>
      </c>
      <c r="E305" s="22" t="n">
        <v>15</v>
      </c>
      <c r="F305" s="22" t="s">
        <v>182</v>
      </c>
      <c r="G305" s="22" t="s">
        <v>237</v>
      </c>
      <c r="H305" s="22" t="n">
        <v>0.07</v>
      </c>
      <c r="I305" s="38" t="n">
        <v>1811.71</v>
      </c>
      <c r="J305" s="38" t="n">
        <v>1811.6</v>
      </c>
      <c r="K305" s="39" t="n">
        <f aca="false">IF(F305="BUY",J305-I305,I305-J305)</f>
        <v>0.110000000000127</v>
      </c>
      <c r="L305" s="38" t="n">
        <v>1817.71</v>
      </c>
      <c r="M305" s="39" t="n">
        <f aca="false">ABS(I305-L305)</f>
        <v>6</v>
      </c>
      <c r="N305" s="24" t="n">
        <f aca="false">M305*H305*Summary!$C$6</f>
        <v>42</v>
      </c>
      <c r="O305" s="37" t="n">
        <v>44917.9270949074</v>
      </c>
      <c r="P305" s="22" t="n">
        <f aca="false">ROUND((O305-C305)*86400,0)</f>
        <v>23934</v>
      </c>
      <c r="Q305" s="22" t="str">
        <f aca="false">IF(P305&lt;10,"a) &lt;10s",IF(P305&lt;60,"b) 10-60s",IF(P305&lt;600,"c) 1-10min","d) &gt;10min")))</f>
        <v>d) &gt;10min</v>
      </c>
      <c r="R305" s="38"/>
      <c r="S305" s="38" t="n">
        <v>1789.17</v>
      </c>
      <c r="T305" s="22" t="s">
        <v>191</v>
      </c>
      <c r="U305" s="39" t="str">
        <f aca="false">IF(R305="","",IF(F305="BUY",R305-S305,S305-R305))</f>
        <v/>
      </c>
      <c r="V305" s="39" t="n">
        <f aca="false">IF(F305="BUY",S305-J305,J305-S305)</f>
        <v>22.4299999999998</v>
      </c>
      <c r="W305" s="6" t="n">
        <v>157.01</v>
      </c>
      <c r="X305" s="26" t="n">
        <f aca="false">IFERROR(W305/N305,0)</f>
        <v>3.73833333333333</v>
      </c>
      <c r="Y305" s="22" t="str">
        <f aca="false">IF(W305&gt;0,"Win",IF(W305&lt;0,"Loss","Flat"))</f>
        <v>Win</v>
      </c>
      <c r="Z305" s="24" t="n">
        <f aca="false">Summary!$C$5+SUM(W$2:W305)</f>
        <v>4742.73</v>
      </c>
      <c r="AA305" s="24" t="n">
        <f aca="false">MAX(AA304,Z305)</f>
        <v>5000</v>
      </c>
      <c r="AB305" s="24" t="n">
        <f aca="false">AA305-Z305</f>
        <v>257.27</v>
      </c>
      <c r="AC305" s="23" t="n">
        <f aca="false">IFERROR(AB305/AA305,0)</f>
        <v>0.0514540000000001</v>
      </c>
      <c r="AD305" s="22" t="s">
        <v>542</v>
      </c>
    </row>
    <row r="306" customFormat="false" ht="15" hidden="false" customHeight="false" outlineLevel="0" collapsed="false">
      <c r="A306" s="22" t="n">
        <v>305</v>
      </c>
      <c r="B306" s="22" t="s">
        <v>128</v>
      </c>
      <c r="C306" s="37" t="n">
        <v>44918.3755092593</v>
      </c>
      <c r="D306" s="22" t="s">
        <v>206</v>
      </c>
      <c r="E306" s="22" t="n">
        <v>9</v>
      </c>
      <c r="F306" s="22" t="s">
        <v>181</v>
      </c>
      <c r="G306" s="22" t="s">
        <v>235</v>
      </c>
      <c r="H306" s="22" t="n">
        <v>0.07</v>
      </c>
      <c r="I306" s="38" t="n">
        <v>1796.17</v>
      </c>
      <c r="J306" s="38" t="n">
        <v>1796.25</v>
      </c>
      <c r="K306" s="39" t="n">
        <f aca="false">IF(F306="BUY",J306-I306,I306-J306)</f>
        <v>0.0799999999999272</v>
      </c>
      <c r="L306" s="38" t="n">
        <v>1790.17</v>
      </c>
      <c r="M306" s="39" t="n">
        <f aca="false">ABS(I306-L306)</f>
        <v>6</v>
      </c>
      <c r="N306" s="24" t="n">
        <f aca="false">M306*H306*Summary!$C$6</f>
        <v>42</v>
      </c>
      <c r="O306" s="37" t="n">
        <v>44918.5033101852</v>
      </c>
      <c r="P306" s="22" t="n">
        <f aca="false">ROUND((O306-C306)*86400,0)</f>
        <v>11042</v>
      </c>
      <c r="Q306" s="22" t="str">
        <f aca="false">IF(P306&lt;10,"a) &lt;10s",IF(P306&lt;60,"b) 10-60s",IF(P306&lt;600,"c) 1-10min","d) &gt;10min")))</f>
        <v>d) &gt;10min</v>
      </c>
      <c r="R306" s="38" t="n">
        <v>1796.75</v>
      </c>
      <c r="S306" s="38" t="n">
        <v>1796.75</v>
      </c>
      <c r="T306" s="22" t="s">
        <v>189</v>
      </c>
      <c r="U306" s="39" t="n">
        <f aca="false">IF(R306="","",IF(F306="BUY",R306-S306,S306-R306))</f>
        <v>0</v>
      </c>
      <c r="V306" s="39" t="n">
        <f aca="false">IF(F306="BUY",S306-J306,J306-S306)</f>
        <v>0.5</v>
      </c>
      <c r="W306" s="6" t="n">
        <v>3.5</v>
      </c>
      <c r="X306" s="26" t="n">
        <f aca="false">IFERROR(W306/N306,0)</f>
        <v>0.0833333333333333</v>
      </c>
      <c r="Y306" s="22" t="str">
        <f aca="false">IF(W306&gt;0,"Win",IF(W306&lt;0,"Loss","Flat"))</f>
        <v>Win</v>
      </c>
      <c r="Z306" s="24" t="n">
        <f aca="false">Summary!$C$5+SUM(W$2:W306)</f>
        <v>4746.23</v>
      </c>
      <c r="AA306" s="24" t="n">
        <f aca="false">MAX(AA305,Z306)</f>
        <v>5000</v>
      </c>
      <c r="AB306" s="24" t="n">
        <f aca="false">AA306-Z306</f>
        <v>253.77</v>
      </c>
      <c r="AC306" s="23" t="n">
        <f aca="false">IFERROR(AB306/AA306,0)</f>
        <v>0.0507540000000001</v>
      </c>
      <c r="AD306" s="22" t="s">
        <v>543</v>
      </c>
    </row>
    <row r="307" customFormat="false" ht="15" hidden="false" customHeight="false" outlineLevel="0" collapsed="false">
      <c r="A307" s="22" t="n">
        <v>306</v>
      </c>
      <c r="B307" s="22" t="s">
        <v>128</v>
      </c>
      <c r="C307" s="37" t="n">
        <v>44922.0642592593</v>
      </c>
      <c r="D307" s="22" t="s">
        <v>203</v>
      </c>
      <c r="E307" s="22" t="n">
        <v>1</v>
      </c>
      <c r="F307" s="22" t="s">
        <v>181</v>
      </c>
      <c r="G307" s="22" t="s">
        <v>243</v>
      </c>
      <c r="H307" s="22" t="n">
        <v>0.07</v>
      </c>
      <c r="I307" s="38" t="n">
        <v>1803.1</v>
      </c>
      <c r="J307" s="38" t="n">
        <v>1803.1</v>
      </c>
      <c r="K307" s="39" t="n">
        <f aca="false">IF(F307="BUY",J307-I307,I307-J307)</f>
        <v>0</v>
      </c>
      <c r="L307" s="38" t="n">
        <v>1797.1</v>
      </c>
      <c r="M307" s="39" t="n">
        <f aca="false">ABS(I307-L307)</f>
        <v>6</v>
      </c>
      <c r="N307" s="24" t="n">
        <f aca="false">M307*H307*Summary!$C$6</f>
        <v>42</v>
      </c>
      <c r="O307" s="37" t="n">
        <v>44922.67375</v>
      </c>
      <c r="P307" s="22" t="n">
        <f aca="false">ROUND((O307-C307)*86400,0)</f>
        <v>52660</v>
      </c>
      <c r="Q307" s="22" t="str">
        <f aca="false">IF(P307&lt;10,"a) &lt;10s",IF(P307&lt;60,"b) 10-60s",IF(P307&lt;600,"c) 1-10min","d) &gt;10min")))</f>
        <v>d) &gt;10min</v>
      </c>
      <c r="R307" s="38" t="n">
        <v>1803.6</v>
      </c>
      <c r="S307" s="38" t="n">
        <v>1803.6</v>
      </c>
      <c r="T307" s="22" t="s">
        <v>189</v>
      </c>
      <c r="U307" s="39" t="n">
        <f aca="false">IF(R307="","",IF(F307="BUY",R307-S307,S307-R307))</f>
        <v>0</v>
      </c>
      <c r="V307" s="39" t="n">
        <f aca="false">IF(F307="BUY",S307-J307,J307-S307)</f>
        <v>0.5</v>
      </c>
      <c r="W307" s="6" t="n">
        <v>3.5</v>
      </c>
      <c r="X307" s="26" t="n">
        <f aca="false">IFERROR(W307/N307,0)</f>
        <v>0.0833333333333333</v>
      </c>
      <c r="Y307" s="22" t="str">
        <f aca="false">IF(W307&gt;0,"Win",IF(W307&lt;0,"Loss","Flat"))</f>
        <v>Win</v>
      </c>
      <c r="Z307" s="24" t="n">
        <f aca="false">Summary!$C$5+SUM(W$2:W307)</f>
        <v>4749.73</v>
      </c>
      <c r="AA307" s="24" t="n">
        <f aca="false">MAX(AA306,Z307)</f>
        <v>5000</v>
      </c>
      <c r="AB307" s="24" t="n">
        <f aca="false">AA307-Z307</f>
        <v>250.27</v>
      </c>
      <c r="AC307" s="23" t="n">
        <f aca="false">IFERROR(AB307/AA307,0)</f>
        <v>0.0500540000000001</v>
      </c>
      <c r="AD307" s="22" t="s">
        <v>544</v>
      </c>
    </row>
    <row r="308" customFormat="false" ht="15" hidden="false" customHeight="false" outlineLevel="0" collapsed="false">
      <c r="A308" s="22" t="n">
        <v>307</v>
      </c>
      <c r="B308" s="22" t="s">
        <v>128</v>
      </c>
      <c r="C308" s="37" t="n">
        <v>44923.3755902778</v>
      </c>
      <c r="D308" s="22" t="s">
        <v>204</v>
      </c>
      <c r="E308" s="22" t="n">
        <v>9</v>
      </c>
      <c r="F308" s="22" t="s">
        <v>182</v>
      </c>
      <c r="G308" s="22" t="s">
        <v>241</v>
      </c>
      <c r="H308" s="22" t="n">
        <v>0.07</v>
      </c>
      <c r="I308" s="38" t="n">
        <v>1809.39</v>
      </c>
      <c r="J308" s="38" t="n">
        <v>1809.36</v>
      </c>
      <c r="K308" s="39" t="n">
        <f aca="false">IF(F308="BUY",J308-I308,I308-J308)</f>
        <v>0.0300000000002001</v>
      </c>
      <c r="L308" s="38" t="n">
        <v>1815.39</v>
      </c>
      <c r="M308" s="39" t="n">
        <f aca="false">ABS(I308-L308)</f>
        <v>6</v>
      </c>
      <c r="N308" s="24" t="n">
        <f aca="false">M308*H308*Summary!$C$6</f>
        <v>42</v>
      </c>
      <c r="O308" s="37" t="n">
        <v>44923.7004398148</v>
      </c>
      <c r="P308" s="22" t="n">
        <f aca="false">ROUND((O308-C308)*86400,0)</f>
        <v>28067</v>
      </c>
      <c r="Q308" s="22" t="str">
        <f aca="false">IF(P308&lt;10,"a) &lt;10s",IF(P308&lt;60,"b) 10-60s",IF(P308&lt;600,"c) 1-10min","d) &gt;10min")))</f>
        <v>d) &gt;10min</v>
      </c>
      <c r="R308" s="38" t="n">
        <v>1808.86</v>
      </c>
      <c r="S308" s="38" t="n">
        <v>1808.88</v>
      </c>
      <c r="T308" s="22" t="s">
        <v>189</v>
      </c>
      <c r="U308" s="39" t="n">
        <f aca="false">IF(R308="","",IF(F308="BUY",R308-S308,S308-R308))</f>
        <v>0.0200000000002092</v>
      </c>
      <c r="V308" s="39" t="n">
        <f aca="false">IF(F308="BUY",S308-J308,J308-S308)</f>
        <v>0.479999999999791</v>
      </c>
      <c r="W308" s="6" t="n">
        <v>3.36</v>
      </c>
      <c r="X308" s="26" t="n">
        <f aca="false">IFERROR(W308/N308,0)</f>
        <v>0.08</v>
      </c>
      <c r="Y308" s="22" t="str">
        <f aca="false">IF(W308&gt;0,"Win",IF(W308&lt;0,"Loss","Flat"))</f>
        <v>Win</v>
      </c>
      <c r="Z308" s="24" t="n">
        <f aca="false">Summary!$C$5+SUM(W$2:W308)</f>
        <v>4753.09</v>
      </c>
      <c r="AA308" s="24" t="n">
        <f aca="false">MAX(AA307,Z308)</f>
        <v>5000</v>
      </c>
      <c r="AB308" s="24" t="n">
        <f aca="false">AA308-Z308</f>
        <v>246.91</v>
      </c>
      <c r="AC308" s="23" t="n">
        <f aca="false">IFERROR(AB308/AA308,0)</f>
        <v>0.049382</v>
      </c>
      <c r="AD308" s="22" t="s">
        <v>545</v>
      </c>
    </row>
    <row r="309" customFormat="false" ht="15" hidden="false" customHeight="false" outlineLevel="0" collapsed="false">
      <c r="A309" s="22" t="n">
        <v>308</v>
      </c>
      <c r="B309" s="22" t="s">
        <v>128</v>
      </c>
      <c r="C309" s="37" t="n">
        <v>44924.3819675926</v>
      </c>
      <c r="D309" s="22" t="s">
        <v>205</v>
      </c>
      <c r="E309" s="22" t="n">
        <v>9</v>
      </c>
      <c r="F309" s="22" t="s">
        <v>182</v>
      </c>
      <c r="G309" s="22" t="s">
        <v>241</v>
      </c>
      <c r="H309" s="22" t="n">
        <v>0.07</v>
      </c>
      <c r="I309" s="38" t="n">
        <v>1807.33</v>
      </c>
      <c r="J309" s="38" t="n">
        <v>1807.33</v>
      </c>
      <c r="K309" s="39" t="n">
        <f aca="false">IF(F309="BUY",J309-I309,I309-J309)</f>
        <v>0</v>
      </c>
      <c r="L309" s="38" t="n">
        <v>1813.33</v>
      </c>
      <c r="M309" s="39" t="n">
        <f aca="false">ABS(I309-L309)</f>
        <v>6</v>
      </c>
      <c r="N309" s="24" t="n">
        <f aca="false">M309*H309*Summary!$C$6</f>
        <v>42</v>
      </c>
      <c r="O309" s="37" t="n">
        <v>44924.4158796296</v>
      </c>
      <c r="P309" s="22" t="n">
        <f aca="false">ROUND((O309-C309)*86400,0)</f>
        <v>2930</v>
      </c>
      <c r="Q309" s="22" t="str">
        <f aca="false">IF(P309&lt;10,"a) &lt;10s",IF(P309&lt;60,"b) 10-60s",IF(P309&lt;600,"c) 1-10min","d) &gt;10min")))</f>
        <v>d) &gt;10min</v>
      </c>
      <c r="R309" s="38" t="n">
        <v>1806.83</v>
      </c>
      <c r="S309" s="38" t="n">
        <v>1806.85</v>
      </c>
      <c r="T309" s="22" t="s">
        <v>189</v>
      </c>
      <c r="U309" s="39" t="n">
        <f aca="false">IF(R309="","",IF(F309="BUY",R309-S309,S309-R309))</f>
        <v>0.0199999999999818</v>
      </c>
      <c r="V309" s="39" t="n">
        <f aca="false">IF(F309="BUY",S309-J309,J309-S309)</f>
        <v>0.480000000000018</v>
      </c>
      <c r="W309" s="6" t="n">
        <v>3.36</v>
      </c>
      <c r="X309" s="26" t="n">
        <f aca="false">IFERROR(W309/N309,0)</f>
        <v>0.08</v>
      </c>
      <c r="Y309" s="22" t="str">
        <f aca="false">IF(W309&gt;0,"Win",IF(W309&lt;0,"Loss","Flat"))</f>
        <v>Win</v>
      </c>
      <c r="Z309" s="24" t="n">
        <f aca="false">Summary!$C$5+SUM(W$2:W309)</f>
        <v>4756.45</v>
      </c>
      <c r="AA309" s="24" t="n">
        <f aca="false">MAX(AA308,Z309)</f>
        <v>5000</v>
      </c>
      <c r="AB309" s="24" t="n">
        <f aca="false">AA309-Z309</f>
        <v>243.55</v>
      </c>
      <c r="AC309" s="23" t="n">
        <f aca="false">IFERROR(AB309/AA309,0)</f>
        <v>0.04871</v>
      </c>
      <c r="AD309" s="22" t="s">
        <v>546</v>
      </c>
    </row>
    <row r="310" customFormat="false" ht="15" hidden="false" customHeight="false" outlineLevel="0" collapsed="false">
      <c r="A310" s="22" t="n">
        <v>309</v>
      </c>
      <c r="B310" s="22" t="s">
        <v>128</v>
      </c>
      <c r="C310" s="37" t="n">
        <v>44924.6927777778</v>
      </c>
      <c r="D310" s="22" t="s">
        <v>205</v>
      </c>
      <c r="E310" s="22" t="n">
        <v>16</v>
      </c>
      <c r="F310" s="22" t="s">
        <v>181</v>
      </c>
      <c r="G310" s="22" t="s">
        <v>243</v>
      </c>
      <c r="H310" s="22" t="n">
        <v>0.07</v>
      </c>
      <c r="I310" s="38" t="n">
        <v>1814.42</v>
      </c>
      <c r="J310" s="38" t="n">
        <v>1814.57</v>
      </c>
      <c r="K310" s="39" t="n">
        <f aca="false">IF(F310="BUY",J310-I310,I310-J310)</f>
        <v>0.149999999999864</v>
      </c>
      <c r="L310" s="38" t="n">
        <v>1808.42</v>
      </c>
      <c r="M310" s="39" t="n">
        <f aca="false">ABS(I310-L310)</f>
        <v>6</v>
      </c>
      <c r="N310" s="24" t="n">
        <f aca="false">M310*H310*Summary!$C$6</f>
        <v>42</v>
      </c>
      <c r="O310" s="37" t="n">
        <v>44924.7004861111</v>
      </c>
      <c r="P310" s="22" t="n">
        <f aca="false">ROUND((O310-C310)*86400,0)</f>
        <v>666</v>
      </c>
      <c r="Q310" s="22" t="str">
        <f aca="false">IF(P310&lt;10,"a) &lt;10s",IF(P310&lt;60,"b) 10-60s",IF(P310&lt;600,"c) 1-10min","d) &gt;10min")))</f>
        <v>d) &gt;10min</v>
      </c>
      <c r="R310" s="38" t="n">
        <v>1815.07</v>
      </c>
      <c r="S310" s="38" t="n">
        <v>1815.03</v>
      </c>
      <c r="T310" s="22" t="s">
        <v>189</v>
      </c>
      <c r="U310" s="39" t="n">
        <f aca="false">IF(R310="","",IF(F310="BUY",R310-S310,S310-R310))</f>
        <v>0.0399999999999636</v>
      </c>
      <c r="V310" s="39" t="n">
        <f aca="false">IF(F310="BUY",S310-J310,J310-S310)</f>
        <v>0.460000000000036</v>
      </c>
      <c r="W310" s="6" t="n">
        <v>3.22</v>
      </c>
      <c r="X310" s="26" t="n">
        <f aca="false">IFERROR(W310/N310,0)</f>
        <v>0.0766666666666667</v>
      </c>
      <c r="Y310" s="22" t="str">
        <f aca="false">IF(W310&gt;0,"Win",IF(W310&lt;0,"Loss","Flat"))</f>
        <v>Win</v>
      </c>
      <c r="Z310" s="24" t="n">
        <f aca="false">Summary!$C$5+SUM(W$2:W310)</f>
        <v>4759.67</v>
      </c>
      <c r="AA310" s="24" t="n">
        <f aca="false">MAX(AA309,Z310)</f>
        <v>5000</v>
      </c>
      <c r="AB310" s="24" t="n">
        <f aca="false">AA310-Z310</f>
        <v>240.33</v>
      </c>
      <c r="AC310" s="23" t="n">
        <f aca="false">IFERROR(AB310/AA310,0)</f>
        <v>0.048066</v>
      </c>
      <c r="AD310" s="22" t="s">
        <v>547</v>
      </c>
    </row>
    <row r="311" customFormat="false" ht="15" hidden="false" customHeight="false" outlineLevel="0" collapsed="false">
      <c r="A311" s="22" t="n">
        <v>310</v>
      </c>
      <c r="B311" s="22" t="s">
        <v>128</v>
      </c>
      <c r="C311" s="37" t="n">
        <v>44925.3477893519</v>
      </c>
      <c r="D311" s="22" t="s">
        <v>206</v>
      </c>
      <c r="E311" s="22" t="n">
        <v>8</v>
      </c>
      <c r="F311" s="22" t="s">
        <v>181</v>
      </c>
      <c r="G311" s="22" t="s">
        <v>243</v>
      </c>
      <c r="H311" s="22" t="n">
        <v>0.07</v>
      </c>
      <c r="I311" s="38" t="n">
        <v>1820.02</v>
      </c>
      <c r="J311" s="38" t="n">
        <v>1820.02</v>
      </c>
      <c r="K311" s="39" t="n">
        <f aca="false">IF(F311="BUY",J311-I311,I311-J311)</f>
        <v>0</v>
      </c>
      <c r="L311" s="38" t="n">
        <v>1814.02</v>
      </c>
      <c r="M311" s="39" t="n">
        <f aca="false">ABS(I311-L311)</f>
        <v>6</v>
      </c>
      <c r="N311" s="24" t="n">
        <f aca="false">M311*H311*Summary!$C$6</f>
        <v>42</v>
      </c>
      <c r="O311" s="37" t="n">
        <v>44925.387650463</v>
      </c>
      <c r="P311" s="22" t="n">
        <f aca="false">ROUND((O311-C311)*86400,0)</f>
        <v>3444</v>
      </c>
      <c r="Q311" s="22" t="str">
        <f aca="false">IF(P311&lt;10,"a) &lt;10s",IF(P311&lt;60,"b) 10-60s",IF(P311&lt;600,"c) 1-10min","d) &gt;10min")))</f>
        <v>d) &gt;10min</v>
      </c>
      <c r="R311" s="38" t="n">
        <v>1820.52</v>
      </c>
      <c r="S311" s="38" t="n">
        <v>1820.52</v>
      </c>
      <c r="T311" s="22" t="s">
        <v>189</v>
      </c>
      <c r="U311" s="39" t="n">
        <f aca="false">IF(R311="","",IF(F311="BUY",R311-S311,S311-R311))</f>
        <v>0</v>
      </c>
      <c r="V311" s="39" t="n">
        <f aca="false">IF(F311="BUY",S311-J311,J311-S311)</f>
        <v>0.5</v>
      </c>
      <c r="W311" s="6" t="n">
        <v>3.5</v>
      </c>
      <c r="X311" s="26" t="n">
        <f aca="false">IFERROR(W311/N311,0)</f>
        <v>0.0833333333333333</v>
      </c>
      <c r="Y311" s="22" t="str">
        <f aca="false">IF(W311&gt;0,"Win",IF(W311&lt;0,"Loss","Flat"))</f>
        <v>Win</v>
      </c>
      <c r="Z311" s="24" t="n">
        <f aca="false">Summary!$C$5+SUM(W$2:W311)</f>
        <v>4763.17</v>
      </c>
      <c r="AA311" s="24" t="n">
        <f aca="false">MAX(AA310,Z311)</f>
        <v>5000</v>
      </c>
      <c r="AB311" s="24" t="n">
        <f aca="false">AA311-Z311</f>
        <v>236.83</v>
      </c>
      <c r="AC311" s="23" t="n">
        <f aca="false">IFERROR(AB311/AA311,0)</f>
        <v>0.047366</v>
      </c>
      <c r="AD311" s="22" t="s">
        <v>548</v>
      </c>
    </row>
    <row r="312" customFormat="false" ht="15" hidden="false" customHeight="false" outlineLevel="0" collapsed="false">
      <c r="A312" s="22" t="n">
        <v>311</v>
      </c>
      <c r="B312" s="22" t="s">
        <v>128</v>
      </c>
      <c r="C312" s="37" t="n">
        <v>44925.4108564815</v>
      </c>
      <c r="D312" s="22" t="s">
        <v>206</v>
      </c>
      <c r="E312" s="22" t="n">
        <v>9</v>
      </c>
      <c r="F312" s="22" t="s">
        <v>182</v>
      </c>
      <c r="G312" s="22" t="s">
        <v>241</v>
      </c>
      <c r="H312" s="22" t="n">
        <v>0.07</v>
      </c>
      <c r="I312" s="38" t="n">
        <v>1815.73</v>
      </c>
      <c r="J312" s="38" t="n">
        <v>1815.61</v>
      </c>
      <c r="K312" s="39" t="n">
        <f aca="false">IF(F312="BUY",J312-I312,I312-J312)</f>
        <v>0.120000000000118</v>
      </c>
      <c r="L312" s="38" t="n">
        <v>1821.73</v>
      </c>
      <c r="M312" s="39" t="n">
        <f aca="false">ABS(I312-L312)</f>
        <v>6</v>
      </c>
      <c r="N312" s="24" t="n">
        <f aca="false">M312*H312*Summary!$C$6</f>
        <v>42</v>
      </c>
      <c r="O312" s="37" t="n">
        <v>44925.525474537</v>
      </c>
      <c r="P312" s="22" t="n">
        <f aca="false">ROUND((O312-C312)*86400,0)</f>
        <v>9903</v>
      </c>
      <c r="Q312" s="22" t="str">
        <f aca="false">IF(P312&lt;10,"a) &lt;10s",IF(P312&lt;60,"b) 10-60s",IF(P312&lt;600,"c) 1-10min","d) &gt;10min")))</f>
        <v>d) &gt;10min</v>
      </c>
      <c r="R312" s="38" t="n">
        <v>1815.11</v>
      </c>
      <c r="S312" s="38" t="n">
        <v>1815.12</v>
      </c>
      <c r="T312" s="22" t="s">
        <v>189</v>
      </c>
      <c r="U312" s="39" t="n">
        <f aca="false">IF(R312="","",IF(F312="BUY",R312-S312,S312-R312))</f>
        <v>0.00999999999999091</v>
      </c>
      <c r="V312" s="39" t="n">
        <f aca="false">IF(F312="BUY",S312-J312,J312-S312)</f>
        <v>0.490000000000009</v>
      </c>
      <c r="W312" s="6" t="n">
        <v>3.43</v>
      </c>
      <c r="X312" s="26" t="n">
        <f aca="false">IFERROR(W312/N312,0)</f>
        <v>0.0816666666666667</v>
      </c>
      <c r="Y312" s="22" t="str">
        <f aca="false">IF(W312&gt;0,"Win",IF(W312&lt;0,"Loss","Flat"))</f>
        <v>Win</v>
      </c>
      <c r="Z312" s="24" t="n">
        <f aca="false">Summary!$C$5+SUM(W$2:W312)</f>
        <v>4766.6</v>
      </c>
      <c r="AA312" s="24" t="n">
        <f aca="false">MAX(AA311,Z312)</f>
        <v>5000</v>
      </c>
      <c r="AB312" s="24" t="n">
        <f aca="false">AA312-Z312</f>
        <v>233.4</v>
      </c>
      <c r="AC312" s="23" t="n">
        <f aca="false">IFERROR(AB312/AA312,0)</f>
        <v>0.0466799999999999</v>
      </c>
      <c r="AD312" s="22" t="s">
        <v>549</v>
      </c>
    </row>
    <row r="313" customFormat="false" ht="15" hidden="false" customHeight="false" outlineLevel="0" collapsed="false">
      <c r="A313" s="22" t="n">
        <v>312</v>
      </c>
      <c r="B313" s="22" t="s">
        <v>129</v>
      </c>
      <c r="C313" s="37" t="n">
        <v>44929.3877893519</v>
      </c>
      <c r="D313" s="22" t="s">
        <v>203</v>
      </c>
      <c r="E313" s="22" t="n">
        <v>9</v>
      </c>
      <c r="F313" s="22" t="s">
        <v>181</v>
      </c>
      <c r="G313" s="22" t="s">
        <v>235</v>
      </c>
      <c r="H313" s="22" t="n">
        <v>0.07</v>
      </c>
      <c r="I313" s="38" t="n">
        <v>1844.07</v>
      </c>
      <c r="J313" s="38" t="n">
        <v>1844.11</v>
      </c>
      <c r="K313" s="39" t="n">
        <f aca="false">IF(F313="BUY",J313-I313,I313-J313)</f>
        <v>0.0399999999999636</v>
      </c>
      <c r="L313" s="38" t="n">
        <v>1838.07</v>
      </c>
      <c r="M313" s="39" t="n">
        <f aca="false">ABS(I313-L313)</f>
        <v>6</v>
      </c>
      <c r="N313" s="24" t="n">
        <f aca="false">M313*H313*Summary!$C$6</f>
        <v>42</v>
      </c>
      <c r="O313" s="37" t="n">
        <v>44929.4103472222</v>
      </c>
      <c r="P313" s="22" t="n">
        <f aca="false">ROUND((O313-C313)*86400,0)</f>
        <v>1949</v>
      </c>
      <c r="Q313" s="22" t="str">
        <f aca="false">IF(P313&lt;10,"a) &lt;10s",IF(P313&lt;60,"b) 10-60s",IF(P313&lt;600,"c) 1-10min","d) &gt;10min")))</f>
        <v>d) &gt;10min</v>
      </c>
      <c r="R313" s="38" t="n">
        <v>1844.61</v>
      </c>
      <c r="S313" s="38" t="n">
        <v>1844.61</v>
      </c>
      <c r="T313" s="22" t="s">
        <v>189</v>
      </c>
      <c r="U313" s="39" t="n">
        <f aca="false">IF(R313="","",IF(F313="BUY",R313-S313,S313-R313))</f>
        <v>0</v>
      </c>
      <c r="V313" s="39" t="n">
        <f aca="false">IF(F313="BUY",S313-J313,J313-S313)</f>
        <v>0.5</v>
      </c>
      <c r="W313" s="6" t="n">
        <v>3.5</v>
      </c>
      <c r="X313" s="26" t="n">
        <f aca="false">IFERROR(W313/N313,0)</f>
        <v>0.0833333333333333</v>
      </c>
      <c r="Y313" s="22" t="str">
        <f aca="false">IF(W313&gt;0,"Win",IF(W313&lt;0,"Loss","Flat"))</f>
        <v>Win</v>
      </c>
      <c r="Z313" s="24" t="n">
        <f aca="false">Summary!$C$5+SUM(W$2:W313)</f>
        <v>4770.1</v>
      </c>
      <c r="AA313" s="24" t="n">
        <f aca="false">MAX(AA312,Z313)</f>
        <v>5000</v>
      </c>
      <c r="AB313" s="24" t="n">
        <f aca="false">AA313-Z313</f>
        <v>229.9</v>
      </c>
      <c r="AC313" s="23" t="n">
        <f aca="false">IFERROR(AB313/AA313,0)</f>
        <v>0.0459799999999999</v>
      </c>
      <c r="AD313" s="22" t="s">
        <v>550</v>
      </c>
    </row>
    <row r="314" customFormat="false" ht="15" hidden="false" customHeight="false" outlineLevel="0" collapsed="false">
      <c r="A314" s="22" t="n">
        <v>313</v>
      </c>
      <c r="B314" s="22" t="s">
        <v>129</v>
      </c>
      <c r="C314" s="37" t="n">
        <v>44930.3757175926</v>
      </c>
      <c r="D314" s="22" t="s">
        <v>204</v>
      </c>
      <c r="E314" s="22" t="n">
        <v>9</v>
      </c>
      <c r="F314" s="22" t="s">
        <v>181</v>
      </c>
      <c r="G314" s="22" t="s">
        <v>235</v>
      </c>
      <c r="H314" s="22" t="n">
        <v>0.07</v>
      </c>
      <c r="I314" s="38" t="n">
        <v>1848.89</v>
      </c>
      <c r="J314" s="38" t="n">
        <v>1848.9</v>
      </c>
      <c r="K314" s="39" t="n">
        <f aca="false">IF(F314="BUY",J314-I314,I314-J314)</f>
        <v>0.00999999999999091</v>
      </c>
      <c r="L314" s="38" t="n">
        <v>1842.89</v>
      </c>
      <c r="M314" s="39" t="n">
        <f aca="false">ABS(I314-L314)</f>
        <v>6</v>
      </c>
      <c r="N314" s="24" t="n">
        <f aca="false">M314*H314*Summary!$C$6</f>
        <v>42</v>
      </c>
      <c r="O314" s="37" t="n">
        <v>44930.7180555556</v>
      </c>
      <c r="P314" s="22" t="n">
        <f aca="false">ROUND((O314-C314)*86400,0)</f>
        <v>29578</v>
      </c>
      <c r="Q314" s="22" t="str">
        <f aca="false">IF(P314&lt;10,"a) &lt;10s",IF(P314&lt;60,"b) 10-60s",IF(P314&lt;600,"c) 1-10min","d) &gt;10min")))</f>
        <v>d) &gt;10min</v>
      </c>
      <c r="R314" s="38" t="n">
        <v>1849.4</v>
      </c>
      <c r="S314" s="38" t="n">
        <v>1849.39</v>
      </c>
      <c r="T314" s="22" t="s">
        <v>189</v>
      </c>
      <c r="U314" s="39" t="n">
        <f aca="false">IF(R314="","",IF(F314="BUY",R314-S314,S314-R314))</f>
        <v>0.00999999999999091</v>
      </c>
      <c r="V314" s="39" t="n">
        <f aca="false">IF(F314="BUY",S314-J314,J314-S314)</f>
        <v>0.490000000000009</v>
      </c>
      <c r="W314" s="6" t="n">
        <v>3.43</v>
      </c>
      <c r="X314" s="26" t="n">
        <f aca="false">IFERROR(W314/N314,0)</f>
        <v>0.0816666666666667</v>
      </c>
      <c r="Y314" s="22" t="str">
        <f aca="false">IF(W314&gt;0,"Win",IF(W314&lt;0,"Loss","Flat"))</f>
        <v>Win</v>
      </c>
      <c r="Z314" s="24" t="n">
        <f aca="false">Summary!$C$5+SUM(W$2:W314)</f>
        <v>4773.53</v>
      </c>
      <c r="AA314" s="24" t="n">
        <f aca="false">MAX(AA313,Z314)</f>
        <v>5000</v>
      </c>
      <c r="AB314" s="24" t="n">
        <f aca="false">AA314-Z314</f>
        <v>226.47</v>
      </c>
      <c r="AC314" s="23" t="n">
        <f aca="false">IFERROR(AB314/AA314,0)</f>
        <v>0.0452940000000001</v>
      </c>
      <c r="AD314" s="22" t="s">
        <v>551</v>
      </c>
    </row>
    <row r="315" customFormat="false" ht="15" hidden="false" customHeight="false" outlineLevel="0" collapsed="false">
      <c r="A315" s="22" t="n">
        <v>314</v>
      </c>
      <c r="B315" s="22" t="s">
        <v>129</v>
      </c>
      <c r="C315" s="37" t="n">
        <v>44931.3752546296</v>
      </c>
      <c r="D315" s="22" t="s">
        <v>205</v>
      </c>
      <c r="E315" s="22" t="n">
        <v>9</v>
      </c>
      <c r="F315" s="22" t="s">
        <v>182</v>
      </c>
      <c r="G315" s="22" t="s">
        <v>241</v>
      </c>
      <c r="H315" s="22" t="n">
        <v>0.07</v>
      </c>
      <c r="I315" s="38" t="n">
        <v>1850.5</v>
      </c>
      <c r="J315" s="38" t="n">
        <v>1850.37</v>
      </c>
      <c r="K315" s="39" t="n">
        <f aca="false">IF(F315="BUY",J315-I315,I315-J315)</f>
        <v>0.130000000000109</v>
      </c>
      <c r="L315" s="38" t="n">
        <v>1856.5</v>
      </c>
      <c r="M315" s="39" t="n">
        <f aca="false">ABS(I315-L315)</f>
        <v>6</v>
      </c>
      <c r="N315" s="24" t="n">
        <f aca="false">M315*H315*Summary!$C$6</f>
        <v>42</v>
      </c>
      <c r="O315" s="37" t="n">
        <v>44931.4166203704</v>
      </c>
      <c r="P315" s="22" t="n">
        <f aca="false">ROUND((O315-C315)*86400,0)</f>
        <v>3574</v>
      </c>
      <c r="Q315" s="22" t="str">
        <f aca="false">IF(P315&lt;10,"a) &lt;10s",IF(P315&lt;60,"b) 10-60s",IF(P315&lt;600,"c) 1-10min","d) &gt;10min")))</f>
        <v>d) &gt;10min</v>
      </c>
      <c r="R315" s="38" t="n">
        <v>1849.87</v>
      </c>
      <c r="S315" s="38" t="n">
        <v>1849.92</v>
      </c>
      <c r="T315" s="22" t="s">
        <v>189</v>
      </c>
      <c r="U315" s="39" t="n">
        <f aca="false">IF(R315="","",IF(F315="BUY",R315-S315,S315-R315))</f>
        <v>0.0500000000001819</v>
      </c>
      <c r="V315" s="39" t="n">
        <f aca="false">IF(F315="BUY",S315-J315,J315-S315)</f>
        <v>0.449999999999818</v>
      </c>
      <c r="W315" s="6" t="n">
        <v>3.15</v>
      </c>
      <c r="X315" s="26" t="n">
        <f aca="false">IFERROR(W315/N315,0)</f>
        <v>0.075</v>
      </c>
      <c r="Y315" s="22" t="str">
        <f aca="false">IF(W315&gt;0,"Win",IF(W315&lt;0,"Loss","Flat"))</f>
        <v>Win</v>
      </c>
      <c r="Z315" s="24" t="n">
        <f aca="false">Summary!$C$5+SUM(W$2:W315)</f>
        <v>4776.68</v>
      </c>
      <c r="AA315" s="24" t="n">
        <f aca="false">MAX(AA314,Z315)</f>
        <v>5000</v>
      </c>
      <c r="AB315" s="24" t="n">
        <f aca="false">AA315-Z315</f>
        <v>223.32</v>
      </c>
      <c r="AC315" s="23" t="n">
        <f aca="false">IFERROR(AB315/AA315,0)</f>
        <v>0.0446639999999999</v>
      </c>
      <c r="AD315" s="22" t="s">
        <v>552</v>
      </c>
    </row>
    <row r="316" customFormat="false" ht="15" hidden="false" customHeight="false" outlineLevel="0" collapsed="false">
      <c r="A316" s="22" t="n">
        <v>315</v>
      </c>
      <c r="B316" s="22" t="s">
        <v>129</v>
      </c>
      <c r="C316" s="37" t="n">
        <v>44931.6619560185</v>
      </c>
      <c r="D316" s="22" t="s">
        <v>205</v>
      </c>
      <c r="E316" s="22" t="n">
        <v>15</v>
      </c>
      <c r="F316" s="22" t="s">
        <v>182</v>
      </c>
      <c r="G316" s="22" t="s">
        <v>237</v>
      </c>
      <c r="H316" s="22" t="n">
        <v>0.07</v>
      </c>
      <c r="I316" s="38" t="n">
        <v>1836.05</v>
      </c>
      <c r="J316" s="38" t="n">
        <v>1835.89</v>
      </c>
      <c r="K316" s="39" t="n">
        <f aca="false">IF(F316="BUY",J316-I316,I316-J316)</f>
        <v>0.159999999999854</v>
      </c>
      <c r="L316" s="38" t="n">
        <v>1842.05</v>
      </c>
      <c r="M316" s="39" t="n">
        <f aca="false">ABS(I316-L316)</f>
        <v>6</v>
      </c>
      <c r="N316" s="24" t="n">
        <f aca="false">M316*H316*Summary!$C$6</f>
        <v>42</v>
      </c>
      <c r="O316" s="37" t="n">
        <v>44931.6718171296</v>
      </c>
      <c r="P316" s="22" t="n">
        <f aca="false">ROUND((O316-C316)*86400,0)</f>
        <v>852</v>
      </c>
      <c r="Q316" s="22" t="str">
        <f aca="false">IF(P316&lt;10,"a) &lt;10s",IF(P316&lt;60,"b) 10-60s",IF(P316&lt;600,"c) 1-10min","d) &gt;10min")))</f>
        <v>d) &gt;10min</v>
      </c>
      <c r="R316" s="38" t="n">
        <v>1835.39</v>
      </c>
      <c r="S316" s="38" t="n">
        <v>1835.39</v>
      </c>
      <c r="T316" s="22" t="s">
        <v>189</v>
      </c>
      <c r="U316" s="39" t="n">
        <f aca="false">IF(R316="","",IF(F316="BUY",R316-S316,S316-R316))</f>
        <v>0</v>
      </c>
      <c r="V316" s="39" t="n">
        <f aca="false">IF(F316="BUY",S316-J316,J316-S316)</f>
        <v>0.5</v>
      </c>
      <c r="W316" s="6" t="n">
        <v>3.5</v>
      </c>
      <c r="X316" s="26" t="n">
        <f aca="false">IFERROR(W316/N316,0)</f>
        <v>0.0833333333333333</v>
      </c>
      <c r="Y316" s="22" t="str">
        <f aca="false">IF(W316&gt;0,"Win",IF(W316&lt;0,"Loss","Flat"))</f>
        <v>Win</v>
      </c>
      <c r="Z316" s="24" t="n">
        <f aca="false">Summary!$C$5+SUM(W$2:W316)</f>
        <v>4780.18</v>
      </c>
      <c r="AA316" s="24" t="n">
        <f aca="false">MAX(AA315,Z316)</f>
        <v>5000</v>
      </c>
      <c r="AB316" s="24" t="n">
        <f aca="false">AA316-Z316</f>
        <v>219.82</v>
      </c>
      <c r="AC316" s="23" t="n">
        <f aca="false">IFERROR(AB316/AA316,0)</f>
        <v>0.0439639999999999</v>
      </c>
      <c r="AD316" s="22" t="s">
        <v>553</v>
      </c>
    </row>
    <row r="317" customFormat="false" ht="15" hidden="false" customHeight="false" outlineLevel="0" collapsed="false">
      <c r="A317" s="22" t="n">
        <v>316</v>
      </c>
      <c r="B317" s="22" t="s">
        <v>129</v>
      </c>
      <c r="C317" s="37" t="n">
        <v>44932.3753356482</v>
      </c>
      <c r="D317" s="22" t="s">
        <v>206</v>
      </c>
      <c r="E317" s="22" t="n">
        <v>9</v>
      </c>
      <c r="F317" s="22" t="s">
        <v>181</v>
      </c>
      <c r="G317" s="22" t="s">
        <v>235</v>
      </c>
      <c r="H317" s="22" t="n">
        <v>0.07</v>
      </c>
      <c r="I317" s="38" t="n">
        <v>1839.71</v>
      </c>
      <c r="J317" s="38" t="n">
        <v>1839.73</v>
      </c>
      <c r="K317" s="39" t="n">
        <f aca="false">IF(F317="BUY",J317-I317,I317-J317)</f>
        <v>0.0199999999999818</v>
      </c>
      <c r="L317" s="38" t="n">
        <v>1833.71</v>
      </c>
      <c r="M317" s="39" t="n">
        <f aca="false">ABS(I317-L317)</f>
        <v>6</v>
      </c>
      <c r="N317" s="24" t="n">
        <f aca="false">M317*H317*Summary!$C$6</f>
        <v>42</v>
      </c>
      <c r="O317" s="37" t="n">
        <v>44932.4733564815</v>
      </c>
      <c r="P317" s="22" t="n">
        <f aca="false">ROUND((O317-C317)*86400,0)</f>
        <v>8469</v>
      </c>
      <c r="Q317" s="22" t="str">
        <f aca="false">IF(P317&lt;10,"a) &lt;10s",IF(P317&lt;60,"b) 10-60s",IF(P317&lt;600,"c) 1-10min","d) &gt;10min")))</f>
        <v>d) &gt;10min</v>
      </c>
      <c r="R317" s="38" t="n">
        <v>1833.71</v>
      </c>
      <c r="S317" s="38" t="n">
        <v>1833.67</v>
      </c>
      <c r="T317" s="22" t="s">
        <v>188</v>
      </c>
      <c r="U317" s="39" t="n">
        <f aca="false">IF(R317="","",IF(F317="BUY",R317-S317,S317-R317))</f>
        <v>0.0399999999999636</v>
      </c>
      <c r="V317" s="39" t="n">
        <f aca="false">IF(F317="BUY",S317-J317,J317-S317)</f>
        <v>-6.05999999999995</v>
      </c>
      <c r="W317" s="6" t="n">
        <v>-42.42</v>
      </c>
      <c r="X317" s="26" t="n">
        <f aca="false">IFERROR(W317/N317,0)</f>
        <v>-1.01</v>
      </c>
      <c r="Y317" s="22" t="str">
        <f aca="false">IF(W317&gt;0,"Win",IF(W317&lt;0,"Loss","Flat"))</f>
        <v>Loss</v>
      </c>
      <c r="Z317" s="24" t="n">
        <f aca="false">Summary!$C$5+SUM(W$2:W317)</f>
        <v>4737.76</v>
      </c>
      <c r="AA317" s="24" t="n">
        <f aca="false">MAX(AA316,Z317)</f>
        <v>5000</v>
      </c>
      <c r="AB317" s="24" t="n">
        <f aca="false">AA317-Z317</f>
        <v>262.24</v>
      </c>
      <c r="AC317" s="23" t="n">
        <f aca="false">IFERROR(AB317/AA317,0)</f>
        <v>0.052448</v>
      </c>
      <c r="AD317" s="22" t="s">
        <v>554</v>
      </c>
    </row>
    <row r="318" customFormat="false" ht="15" hidden="false" customHeight="false" outlineLevel="0" collapsed="false">
      <c r="A318" s="22" t="n">
        <v>317</v>
      </c>
      <c r="B318" s="22" t="s">
        <v>129</v>
      </c>
      <c r="C318" s="37" t="n">
        <v>44932.7141435185</v>
      </c>
      <c r="D318" s="22" t="s">
        <v>206</v>
      </c>
      <c r="E318" s="22" t="n">
        <v>17</v>
      </c>
      <c r="F318" s="22" t="s">
        <v>181</v>
      </c>
      <c r="G318" s="22" t="s">
        <v>243</v>
      </c>
      <c r="H318" s="22" t="n">
        <v>0.07</v>
      </c>
      <c r="I318" s="38" t="n">
        <v>1858.88</v>
      </c>
      <c r="J318" s="38" t="n">
        <v>1858.94</v>
      </c>
      <c r="K318" s="39" t="n">
        <f aca="false">IF(F318="BUY",J318-I318,I318-J318)</f>
        <v>0.0599999999999454</v>
      </c>
      <c r="L318" s="38" t="n">
        <v>1852.88</v>
      </c>
      <c r="M318" s="39" t="n">
        <f aca="false">ABS(I318-L318)</f>
        <v>6</v>
      </c>
      <c r="N318" s="24" t="n">
        <f aca="false">M318*H318*Summary!$C$6</f>
        <v>42</v>
      </c>
      <c r="O318" s="37" t="n">
        <v>44932.7161111111</v>
      </c>
      <c r="P318" s="22" t="n">
        <f aca="false">ROUND((O318-C318)*86400,0)</f>
        <v>170</v>
      </c>
      <c r="Q318" s="22" t="str">
        <f aca="false">IF(P318&lt;10,"a) &lt;10s",IF(P318&lt;60,"b) 10-60s",IF(P318&lt;600,"c) 1-10min","d) &gt;10min")))</f>
        <v>c) 1-10min</v>
      </c>
      <c r="R318" s="38" t="n">
        <v>1859.44</v>
      </c>
      <c r="S318" s="38" t="n">
        <v>1859.42</v>
      </c>
      <c r="T318" s="22" t="s">
        <v>189</v>
      </c>
      <c r="U318" s="39" t="n">
        <f aca="false">IF(R318="","",IF(F318="BUY",R318-S318,S318-R318))</f>
        <v>0.0199999999999818</v>
      </c>
      <c r="V318" s="39" t="n">
        <f aca="false">IF(F318="BUY",S318-J318,J318-S318)</f>
        <v>0.480000000000018</v>
      </c>
      <c r="W318" s="6" t="n">
        <v>3.36</v>
      </c>
      <c r="X318" s="26" t="n">
        <f aca="false">IFERROR(W318/N318,0)</f>
        <v>0.08</v>
      </c>
      <c r="Y318" s="22" t="str">
        <f aca="false">IF(W318&gt;0,"Win",IF(W318&lt;0,"Loss","Flat"))</f>
        <v>Win</v>
      </c>
      <c r="Z318" s="24" t="n">
        <f aca="false">Summary!$C$5+SUM(W$2:W318)</f>
        <v>4741.12</v>
      </c>
      <c r="AA318" s="24" t="n">
        <f aca="false">MAX(AA317,Z318)</f>
        <v>5000</v>
      </c>
      <c r="AB318" s="24" t="n">
        <f aca="false">AA318-Z318</f>
        <v>258.88</v>
      </c>
      <c r="AC318" s="23" t="n">
        <f aca="false">IFERROR(AB318/AA318,0)</f>
        <v>0.051776</v>
      </c>
      <c r="AD318" s="22" t="s">
        <v>555</v>
      </c>
    </row>
    <row r="319" customFormat="false" ht="15" hidden="false" customHeight="false" outlineLevel="0" collapsed="false">
      <c r="A319" s="22" t="n">
        <v>318</v>
      </c>
      <c r="B319" s="22" t="s">
        <v>129</v>
      </c>
      <c r="C319" s="37" t="n">
        <v>44935.0682523148</v>
      </c>
      <c r="D319" s="22" t="s">
        <v>202</v>
      </c>
      <c r="E319" s="22" t="n">
        <v>1</v>
      </c>
      <c r="F319" s="22" t="s">
        <v>181</v>
      </c>
      <c r="G319" s="22" t="s">
        <v>243</v>
      </c>
      <c r="H319" s="22" t="n">
        <v>0.07</v>
      </c>
      <c r="I319" s="38" t="n">
        <v>1869.77</v>
      </c>
      <c r="J319" s="38" t="n">
        <v>1869.78</v>
      </c>
      <c r="K319" s="39" t="n">
        <f aca="false">IF(F319="BUY",J319-I319,I319-J319)</f>
        <v>0.00999999999999091</v>
      </c>
      <c r="L319" s="38" t="n">
        <v>1863.77</v>
      </c>
      <c r="M319" s="39" t="n">
        <f aca="false">ABS(I319-L319)</f>
        <v>6</v>
      </c>
      <c r="N319" s="24" t="n">
        <f aca="false">M319*H319*Summary!$C$6</f>
        <v>42</v>
      </c>
      <c r="O319" s="37" t="n">
        <v>44935.8048842593</v>
      </c>
      <c r="P319" s="22" t="n">
        <f aca="false">ROUND((O319-C319)*86400,0)</f>
        <v>63645</v>
      </c>
      <c r="Q319" s="22" t="str">
        <f aca="false">IF(P319&lt;10,"a) &lt;10s",IF(P319&lt;60,"b) 10-60s",IF(P319&lt;600,"c) 1-10min","d) &gt;10min")))</f>
        <v>d) &gt;10min</v>
      </c>
      <c r="R319" s="38" t="n">
        <v>1870.28</v>
      </c>
      <c r="S319" s="38" t="n">
        <v>1870.27</v>
      </c>
      <c r="T319" s="22" t="s">
        <v>189</v>
      </c>
      <c r="U319" s="39" t="n">
        <f aca="false">IF(R319="","",IF(F319="BUY",R319-S319,S319-R319))</f>
        <v>0.00999999999999091</v>
      </c>
      <c r="V319" s="39" t="n">
        <f aca="false">IF(F319="BUY",S319-J319,J319-S319)</f>
        <v>0.490000000000009</v>
      </c>
      <c r="W319" s="6" t="n">
        <v>3.43</v>
      </c>
      <c r="X319" s="26" t="n">
        <f aca="false">IFERROR(W319/N319,0)</f>
        <v>0.0816666666666667</v>
      </c>
      <c r="Y319" s="22" t="str">
        <f aca="false">IF(W319&gt;0,"Win",IF(W319&lt;0,"Loss","Flat"))</f>
        <v>Win</v>
      </c>
      <c r="Z319" s="24" t="n">
        <f aca="false">Summary!$C$5+SUM(W$2:W319)</f>
        <v>4744.55</v>
      </c>
      <c r="AA319" s="24" t="n">
        <f aca="false">MAX(AA318,Z319)</f>
        <v>5000</v>
      </c>
      <c r="AB319" s="24" t="n">
        <f aca="false">AA319-Z319</f>
        <v>255.45</v>
      </c>
      <c r="AC319" s="23" t="n">
        <f aca="false">IFERROR(AB319/AA319,0)</f>
        <v>0.05109</v>
      </c>
      <c r="AD319" s="22" t="s">
        <v>556</v>
      </c>
    </row>
    <row r="320" customFormat="false" ht="15" hidden="false" customHeight="false" outlineLevel="0" collapsed="false">
      <c r="A320" s="22" t="n">
        <v>319</v>
      </c>
      <c r="B320" s="22" t="s">
        <v>129</v>
      </c>
      <c r="C320" s="37" t="n">
        <v>44936.3968171296</v>
      </c>
      <c r="D320" s="22" t="s">
        <v>203</v>
      </c>
      <c r="E320" s="22" t="n">
        <v>9</v>
      </c>
      <c r="F320" s="22" t="s">
        <v>182</v>
      </c>
      <c r="G320" s="22" t="s">
        <v>241</v>
      </c>
      <c r="H320" s="22" t="n">
        <v>0.07</v>
      </c>
      <c r="I320" s="38" t="n">
        <v>1870.68</v>
      </c>
      <c r="J320" s="38" t="n">
        <v>1870.68</v>
      </c>
      <c r="K320" s="39" t="n">
        <f aca="false">IF(F320="BUY",J320-I320,I320-J320)</f>
        <v>0</v>
      </c>
      <c r="L320" s="38" t="n">
        <v>1876.68</v>
      </c>
      <c r="M320" s="39" t="n">
        <f aca="false">ABS(I320-L320)</f>
        <v>6</v>
      </c>
      <c r="N320" s="24" t="n">
        <f aca="false">M320*H320*Summary!$C$6</f>
        <v>42</v>
      </c>
      <c r="O320" s="37" t="n">
        <v>44936.4631712963</v>
      </c>
      <c r="P320" s="22" t="n">
        <f aca="false">ROUND((O320-C320)*86400,0)</f>
        <v>5733</v>
      </c>
      <c r="Q320" s="22" t="str">
        <f aca="false">IF(P320&lt;10,"a) &lt;10s",IF(P320&lt;60,"b) 10-60s",IF(P320&lt;600,"c) 1-10min","d) &gt;10min")))</f>
        <v>d) &gt;10min</v>
      </c>
      <c r="R320" s="38" t="n">
        <v>1876.68</v>
      </c>
      <c r="S320" s="38" t="n">
        <v>1876.76</v>
      </c>
      <c r="T320" s="22" t="s">
        <v>188</v>
      </c>
      <c r="U320" s="39" t="n">
        <f aca="false">IF(R320="","",IF(F320="BUY",R320-S320,S320-R320))</f>
        <v>0.0799999999999272</v>
      </c>
      <c r="V320" s="39" t="n">
        <f aca="false">IF(F320="BUY",S320-J320,J320-S320)</f>
        <v>-6.07999999999993</v>
      </c>
      <c r="W320" s="6" t="n">
        <v>-42.56</v>
      </c>
      <c r="X320" s="26" t="n">
        <f aca="false">IFERROR(W320/N320,0)</f>
        <v>-1.01333333333333</v>
      </c>
      <c r="Y320" s="22" t="str">
        <f aca="false">IF(W320&gt;0,"Win",IF(W320&lt;0,"Loss","Flat"))</f>
        <v>Loss</v>
      </c>
      <c r="Z320" s="24" t="n">
        <f aca="false">Summary!$C$5+SUM(W$2:W320)</f>
        <v>4701.99</v>
      </c>
      <c r="AA320" s="24" t="n">
        <f aca="false">MAX(AA319,Z320)</f>
        <v>5000</v>
      </c>
      <c r="AB320" s="24" t="n">
        <f aca="false">AA320-Z320</f>
        <v>298.01</v>
      </c>
      <c r="AC320" s="23" t="n">
        <f aca="false">IFERROR(AB320/AA320,0)</f>
        <v>0.059602</v>
      </c>
      <c r="AD320" s="22" t="s">
        <v>557</v>
      </c>
    </row>
    <row r="321" customFormat="false" ht="15" hidden="false" customHeight="false" outlineLevel="0" collapsed="false">
      <c r="A321" s="22" t="n">
        <v>320</v>
      </c>
      <c r="B321" s="22" t="s">
        <v>129</v>
      </c>
      <c r="C321" s="37" t="n">
        <v>44937.3030671296</v>
      </c>
      <c r="D321" s="22" t="s">
        <v>204</v>
      </c>
      <c r="E321" s="22" t="n">
        <v>7</v>
      </c>
      <c r="F321" s="22" t="s">
        <v>181</v>
      </c>
      <c r="G321" s="22" t="s">
        <v>243</v>
      </c>
      <c r="H321" s="22" t="n">
        <v>0.07</v>
      </c>
      <c r="I321" s="38" t="n">
        <v>1880.64</v>
      </c>
      <c r="J321" s="38" t="n">
        <v>1880.69</v>
      </c>
      <c r="K321" s="39" t="n">
        <f aca="false">IF(F321="BUY",J321-I321,I321-J321)</f>
        <v>0.0499999999999545</v>
      </c>
      <c r="L321" s="38" t="n">
        <v>1874.64</v>
      </c>
      <c r="M321" s="39" t="n">
        <f aca="false">ABS(I321-L321)</f>
        <v>6</v>
      </c>
      <c r="N321" s="24" t="n">
        <f aca="false">M321*H321*Summary!$C$6</f>
        <v>42</v>
      </c>
      <c r="O321" s="37" t="n">
        <v>44937.3742361111</v>
      </c>
      <c r="P321" s="22" t="n">
        <f aca="false">ROUND((O321-C321)*86400,0)</f>
        <v>6149</v>
      </c>
      <c r="Q321" s="22" t="str">
        <f aca="false">IF(P321&lt;10,"a) &lt;10s",IF(P321&lt;60,"b) 10-60s",IF(P321&lt;600,"c) 1-10min","d) &gt;10min")))</f>
        <v>d) &gt;10min</v>
      </c>
      <c r="R321" s="38" t="n">
        <v>1881.19</v>
      </c>
      <c r="S321" s="38" t="n">
        <v>1880.86</v>
      </c>
      <c r="T321" s="22" t="s">
        <v>189</v>
      </c>
      <c r="U321" s="39" t="n">
        <f aca="false">IF(R321="","",IF(F321="BUY",R321-S321,S321-R321))</f>
        <v>0.330000000000155</v>
      </c>
      <c r="V321" s="39" t="n">
        <f aca="false">IF(F321="BUY",S321-J321,J321-S321)</f>
        <v>0.169999999999845</v>
      </c>
      <c r="W321" s="6" t="n">
        <v>1.19</v>
      </c>
      <c r="X321" s="26" t="n">
        <f aca="false">IFERROR(W321/N321,0)</f>
        <v>0.0283333333333333</v>
      </c>
      <c r="Y321" s="22" t="str">
        <f aca="false">IF(W321&gt;0,"Win",IF(W321&lt;0,"Loss","Flat"))</f>
        <v>Win</v>
      </c>
      <c r="Z321" s="24" t="n">
        <f aca="false">Summary!$C$5+SUM(W$2:W321)</f>
        <v>4703.18</v>
      </c>
      <c r="AA321" s="24" t="n">
        <f aca="false">MAX(AA320,Z321)</f>
        <v>5000</v>
      </c>
      <c r="AB321" s="24" t="n">
        <f aca="false">AA321-Z321</f>
        <v>296.82</v>
      </c>
      <c r="AC321" s="23" t="n">
        <f aca="false">IFERROR(AB321/AA321,0)</f>
        <v>0.0593639999999999</v>
      </c>
      <c r="AD321" s="22" t="s">
        <v>558</v>
      </c>
    </row>
    <row r="322" customFormat="false" ht="15" hidden="false" customHeight="false" outlineLevel="0" collapsed="false">
      <c r="A322" s="22" t="n">
        <v>321</v>
      </c>
      <c r="B322" s="22" t="s">
        <v>129</v>
      </c>
      <c r="C322" s="37" t="n">
        <v>44937.4498726852</v>
      </c>
      <c r="D322" s="22" t="s">
        <v>204</v>
      </c>
      <c r="E322" s="22" t="n">
        <v>10</v>
      </c>
      <c r="F322" s="22" t="s">
        <v>181</v>
      </c>
      <c r="G322" s="22" t="s">
        <v>235</v>
      </c>
      <c r="H322" s="22" t="n">
        <v>0.07</v>
      </c>
      <c r="I322" s="38" t="n">
        <v>1884.51</v>
      </c>
      <c r="J322" s="38" t="n">
        <v>1884.52</v>
      </c>
      <c r="K322" s="39" t="n">
        <f aca="false">IF(F322="BUY",J322-I322,I322-J322)</f>
        <v>0.00999999999999091</v>
      </c>
      <c r="L322" s="38" t="n">
        <v>1878.51</v>
      </c>
      <c r="M322" s="39" t="n">
        <f aca="false">ABS(I322-L322)</f>
        <v>6</v>
      </c>
      <c r="N322" s="24" t="n">
        <f aca="false">M322*H322*Summary!$C$6</f>
        <v>42</v>
      </c>
      <c r="O322" s="37" t="n">
        <v>44937.4832291667</v>
      </c>
      <c r="P322" s="22" t="n">
        <f aca="false">ROUND((O322-C322)*86400,0)</f>
        <v>2882</v>
      </c>
      <c r="Q322" s="22" t="str">
        <f aca="false">IF(P322&lt;10,"a) &lt;10s",IF(P322&lt;60,"b) 10-60s",IF(P322&lt;600,"c) 1-10min","d) &gt;10min")))</f>
        <v>d) &gt;10min</v>
      </c>
      <c r="R322" s="38" t="n">
        <v>1885.02</v>
      </c>
      <c r="S322" s="38" t="n">
        <v>1885.01</v>
      </c>
      <c r="T322" s="22" t="s">
        <v>189</v>
      </c>
      <c r="U322" s="39" t="n">
        <f aca="false">IF(R322="","",IF(F322="BUY",R322-S322,S322-R322))</f>
        <v>0.00999999999999091</v>
      </c>
      <c r="V322" s="39" t="n">
        <f aca="false">IF(F322="BUY",S322-J322,J322-S322)</f>
        <v>0.490000000000009</v>
      </c>
      <c r="W322" s="6" t="n">
        <v>3.43</v>
      </c>
      <c r="X322" s="26" t="n">
        <f aca="false">IFERROR(W322/N322,0)</f>
        <v>0.0816666666666667</v>
      </c>
      <c r="Y322" s="22" t="str">
        <f aca="false">IF(W322&gt;0,"Win",IF(W322&lt;0,"Loss","Flat"))</f>
        <v>Win</v>
      </c>
      <c r="Z322" s="24" t="n">
        <f aca="false">Summary!$C$5+SUM(W$2:W322)</f>
        <v>4706.61</v>
      </c>
      <c r="AA322" s="24" t="n">
        <f aca="false">MAX(AA321,Z322)</f>
        <v>5000</v>
      </c>
      <c r="AB322" s="24" t="n">
        <f aca="false">AA322-Z322</f>
        <v>293.39</v>
      </c>
      <c r="AC322" s="23" t="n">
        <f aca="false">IFERROR(AB322/AA322,0)</f>
        <v>0.0586780000000001</v>
      </c>
      <c r="AD322" s="22" t="s">
        <v>559</v>
      </c>
    </row>
    <row r="323" customFormat="false" ht="15" hidden="false" customHeight="false" outlineLevel="0" collapsed="false">
      <c r="A323" s="22" t="n">
        <v>322</v>
      </c>
      <c r="B323" s="22" t="s">
        <v>129</v>
      </c>
      <c r="C323" s="37" t="n">
        <v>44938.3858449074</v>
      </c>
      <c r="D323" s="22" t="s">
        <v>205</v>
      </c>
      <c r="E323" s="22" t="n">
        <v>9</v>
      </c>
      <c r="F323" s="22" t="s">
        <v>182</v>
      </c>
      <c r="G323" s="22" t="s">
        <v>241</v>
      </c>
      <c r="H323" s="22" t="n">
        <v>0.07</v>
      </c>
      <c r="I323" s="38" t="n">
        <v>1882</v>
      </c>
      <c r="J323" s="38" t="n">
        <v>1881.97</v>
      </c>
      <c r="K323" s="39" t="n">
        <f aca="false">IF(F323="BUY",J323-I323,I323-J323)</f>
        <v>0.0299999999999727</v>
      </c>
      <c r="L323" s="38" t="n">
        <v>1888</v>
      </c>
      <c r="M323" s="39" t="n">
        <f aca="false">ABS(I323-L323)</f>
        <v>6</v>
      </c>
      <c r="N323" s="24" t="n">
        <f aca="false">M323*H323*Summary!$C$6</f>
        <v>42</v>
      </c>
      <c r="O323" s="37" t="n">
        <v>44938.5982407407</v>
      </c>
      <c r="P323" s="22" t="n">
        <f aca="false">ROUND((O323-C323)*86400,0)</f>
        <v>18351</v>
      </c>
      <c r="Q323" s="22" t="str">
        <f aca="false">IF(P323&lt;10,"a) &lt;10s",IF(P323&lt;60,"b) 10-60s",IF(P323&lt;600,"c) 1-10min","d) &gt;10min")))</f>
        <v>d) &gt;10min</v>
      </c>
      <c r="R323" s="38" t="n">
        <v>1888</v>
      </c>
      <c r="S323" s="38" t="n">
        <v>1888.23</v>
      </c>
      <c r="T323" s="22" t="s">
        <v>188</v>
      </c>
      <c r="U323" s="39" t="n">
        <f aca="false">IF(R323="","",IF(F323="BUY",R323-S323,S323-R323))</f>
        <v>0.230000000000018</v>
      </c>
      <c r="V323" s="39" t="n">
        <f aca="false">IF(F323="BUY",S323-J323,J323-S323)</f>
        <v>-6.25999999999999</v>
      </c>
      <c r="W323" s="6" t="n">
        <v>-43.82</v>
      </c>
      <c r="X323" s="26" t="n">
        <f aca="false">IFERROR(W323/N323,0)</f>
        <v>-1.04333333333333</v>
      </c>
      <c r="Y323" s="22" t="str">
        <f aca="false">IF(W323&gt;0,"Win",IF(W323&lt;0,"Loss","Flat"))</f>
        <v>Loss</v>
      </c>
      <c r="Z323" s="24" t="n">
        <f aca="false">Summary!$C$5+SUM(W$2:W323)</f>
        <v>4662.79</v>
      </c>
      <c r="AA323" s="24" t="n">
        <f aca="false">MAX(AA322,Z323)</f>
        <v>5000</v>
      </c>
      <c r="AB323" s="24" t="n">
        <f aca="false">AA323-Z323</f>
        <v>337.21</v>
      </c>
      <c r="AC323" s="23" t="n">
        <f aca="false">IFERROR(AB323/AA323,0)</f>
        <v>0.067442</v>
      </c>
      <c r="AD323" s="22" t="s">
        <v>560</v>
      </c>
    </row>
    <row r="324" customFormat="false" ht="15" hidden="false" customHeight="false" outlineLevel="0" collapsed="false">
      <c r="A324" s="22" t="n">
        <v>323</v>
      </c>
      <c r="B324" s="22" t="s">
        <v>129</v>
      </c>
      <c r="C324" s="37" t="n">
        <v>44939.3805902778</v>
      </c>
      <c r="D324" s="22" t="s">
        <v>206</v>
      </c>
      <c r="E324" s="22" t="n">
        <v>9</v>
      </c>
      <c r="F324" s="22" t="s">
        <v>181</v>
      </c>
      <c r="G324" s="22" t="s">
        <v>235</v>
      </c>
      <c r="H324" s="22" t="n">
        <v>0.07</v>
      </c>
      <c r="I324" s="38" t="n">
        <v>1897.13</v>
      </c>
      <c r="J324" s="38" t="n">
        <v>1897.13</v>
      </c>
      <c r="K324" s="39" t="n">
        <f aca="false">IF(F324="BUY",J324-I324,I324-J324)</f>
        <v>0</v>
      </c>
      <c r="L324" s="38" t="n">
        <v>1891.13</v>
      </c>
      <c r="M324" s="39" t="n">
        <f aca="false">ABS(I324-L324)</f>
        <v>6</v>
      </c>
      <c r="N324" s="24" t="n">
        <f aca="false">M324*H324*Summary!$C$6</f>
        <v>42</v>
      </c>
      <c r="O324" s="37" t="n">
        <v>44939.6013078704</v>
      </c>
      <c r="P324" s="22" t="n">
        <f aca="false">ROUND((O324-C324)*86400,0)</f>
        <v>19070</v>
      </c>
      <c r="Q324" s="22" t="str">
        <f aca="false">IF(P324&lt;10,"a) &lt;10s",IF(P324&lt;60,"b) 10-60s",IF(P324&lt;600,"c) 1-10min","d) &gt;10min")))</f>
        <v>d) &gt;10min</v>
      </c>
      <c r="R324" s="38" t="n">
        <v>1897.63</v>
      </c>
      <c r="S324" s="38" t="n">
        <v>1897.5</v>
      </c>
      <c r="T324" s="22" t="s">
        <v>189</v>
      </c>
      <c r="U324" s="39" t="n">
        <f aca="false">IF(R324="","",IF(F324="BUY",R324-S324,S324-R324))</f>
        <v>0.130000000000109</v>
      </c>
      <c r="V324" s="39" t="n">
        <f aca="false">IF(F324="BUY",S324-J324,J324-S324)</f>
        <v>0.369999999999891</v>
      </c>
      <c r="W324" s="6" t="n">
        <v>2.59</v>
      </c>
      <c r="X324" s="26" t="n">
        <f aca="false">IFERROR(W324/N324,0)</f>
        <v>0.0616666666666667</v>
      </c>
      <c r="Y324" s="22" t="str">
        <f aca="false">IF(W324&gt;0,"Win",IF(W324&lt;0,"Loss","Flat"))</f>
        <v>Win</v>
      </c>
      <c r="Z324" s="24" t="n">
        <f aca="false">Summary!$C$5+SUM(W$2:W324)</f>
        <v>4665.38</v>
      </c>
      <c r="AA324" s="24" t="n">
        <f aca="false">MAX(AA323,Z324)</f>
        <v>5000</v>
      </c>
      <c r="AB324" s="24" t="n">
        <f aca="false">AA324-Z324</f>
        <v>334.62</v>
      </c>
      <c r="AC324" s="23" t="n">
        <f aca="false">IFERROR(AB324/AA324,0)</f>
        <v>0.066924</v>
      </c>
      <c r="AD324" s="22" t="s">
        <v>561</v>
      </c>
    </row>
    <row r="325" customFormat="false" ht="15" hidden="false" customHeight="false" outlineLevel="0" collapsed="false">
      <c r="A325" s="22" t="n">
        <v>324</v>
      </c>
      <c r="B325" s="22" t="s">
        <v>129</v>
      </c>
      <c r="C325" s="37" t="n">
        <v>44942.4267361111</v>
      </c>
      <c r="D325" s="22" t="s">
        <v>202</v>
      </c>
      <c r="E325" s="22" t="n">
        <v>10</v>
      </c>
      <c r="F325" s="22" t="s">
        <v>182</v>
      </c>
      <c r="G325" s="22" t="s">
        <v>241</v>
      </c>
      <c r="H325" s="22" t="n">
        <v>0.07</v>
      </c>
      <c r="I325" s="38" t="n">
        <v>1913.2</v>
      </c>
      <c r="J325" s="38" t="n">
        <v>1913.15</v>
      </c>
      <c r="K325" s="39" t="n">
        <f aca="false">IF(F325="BUY",J325-I325,I325-J325)</f>
        <v>0.0499999999999545</v>
      </c>
      <c r="L325" s="38" t="n">
        <v>1919.2</v>
      </c>
      <c r="M325" s="39" t="n">
        <f aca="false">ABS(I325-L325)</f>
        <v>6</v>
      </c>
      <c r="N325" s="24" t="n">
        <f aca="false">M325*H325*Summary!$C$6</f>
        <v>42</v>
      </c>
      <c r="O325" s="37" t="n">
        <v>44942.4606828704</v>
      </c>
      <c r="P325" s="22" t="n">
        <f aca="false">ROUND((O325-C325)*86400,0)</f>
        <v>2933</v>
      </c>
      <c r="Q325" s="22" t="str">
        <f aca="false">IF(P325&lt;10,"a) &lt;10s",IF(P325&lt;60,"b) 10-60s",IF(P325&lt;600,"c) 1-10min","d) &gt;10min")))</f>
        <v>d) &gt;10min</v>
      </c>
      <c r="R325" s="38" t="n">
        <v>1912.65</v>
      </c>
      <c r="S325" s="38" t="n">
        <v>1912.67</v>
      </c>
      <c r="T325" s="22" t="s">
        <v>189</v>
      </c>
      <c r="U325" s="39" t="n">
        <f aca="false">IF(R325="","",IF(F325="BUY",R325-S325,S325-R325))</f>
        <v>0.0199999999999818</v>
      </c>
      <c r="V325" s="39" t="n">
        <f aca="false">IF(F325="BUY",S325-J325,J325-S325)</f>
        <v>0.480000000000018</v>
      </c>
      <c r="W325" s="6" t="n">
        <v>3.36</v>
      </c>
      <c r="X325" s="26" t="n">
        <f aca="false">IFERROR(W325/N325,0)</f>
        <v>0.08</v>
      </c>
      <c r="Y325" s="22" t="str">
        <f aca="false">IF(W325&gt;0,"Win",IF(W325&lt;0,"Loss","Flat"))</f>
        <v>Win</v>
      </c>
      <c r="Z325" s="24" t="n">
        <f aca="false">Summary!$C$5+SUM(W$2:W325)</f>
        <v>4668.74</v>
      </c>
      <c r="AA325" s="24" t="n">
        <f aca="false">MAX(AA324,Z325)</f>
        <v>5000</v>
      </c>
      <c r="AB325" s="24" t="n">
        <f aca="false">AA325-Z325</f>
        <v>331.26</v>
      </c>
      <c r="AC325" s="23" t="n">
        <f aca="false">IFERROR(AB325/AA325,0)</f>
        <v>0.0662520000000001</v>
      </c>
      <c r="AD325" s="22" t="s">
        <v>562</v>
      </c>
    </row>
    <row r="326" customFormat="false" ht="15" hidden="false" customHeight="false" outlineLevel="0" collapsed="false">
      <c r="A326" s="22" t="n">
        <v>325</v>
      </c>
      <c r="B326" s="22" t="s">
        <v>129</v>
      </c>
      <c r="C326" s="37" t="n">
        <v>44943.1889351852</v>
      </c>
      <c r="D326" s="22" t="s">
        <v>203</v>
      </c>
      <c r="E326" s="22" t="n">
        <v>4</v>
      </c>
      <c r="F326" s="22" t="s">
        <v>182</v>
      </c>
      <c r="G326" s="22" t="s">
        <v>237</v>
      </c>
      <c r="H326" s="22" t="n">
        <v>0.07</v>
      </c>
      <c r="I326" s="38" t="n">
        <v>1910.67</v>
      </c>
      <c r="J326" s="38" t="n">
        <v>1910.67</v>
      </c>
      <c r="K326" s="39" t="n">
        <f aca="false">IF(F326="BUY",J326-I326,I326-J326)</f>
        <v>0</v>
      </c>
      <c r="L326" s="38" t="n">
        <v>1916.67</v>
      </c>
      <c r="M326" s="39" t="n">
        <f aca="false">ABS(I326-L326)</f>
        <v>6</v>
      </c>
      <c r="N326" s="24" t="n">
        <f aca="false">M326*H326*Summary!$C$6</f>
        <v>42</v>
      </c>
      <c r="O326" s="37" t="n">
        <v>44943.2638773148</v>
      </c>
      <c r="P326" s="22" t="n">
        <f aca="false">ROUND((O326-C326)*86400,0)</f>
        <v>6475</v>
      </c>
      <c r="Q326" s="22" t="str">
        <f aca="false">IF(P326&lt;10,"a) &lt;10s",IF(P326&lt;60,"b) 10-60s",IF(P326&lt;600,"c) 1-10min","d) &gt;10min")))</f>
        <v>d) &gt;10min</v>
      </c>
      <c r="R326" s="38" t="n">
        <v>1910.17</v>
      </c>
      <c r="S326" s="38" t="n">
        <v>1910.17</v>
      </c>
      <c r="T326" s="22" t="s">
        <v>189</v>
      </c>
      <c r="U326" s="39" t="n">
        <f aca="false">IF(R326="","",IF(F326="BUY",R326-S326,S326-R326))</f>
        <v>0</v>
      </c>
      <c r="V326" s="39" t="n">
        <f aca="false">IF(F326="BUY",S326-J326,J326-S326)</f>
        <v>0.5</v>
      </c>
      <c r="W326" s="6" t="n">
        <v>3.5</v>
      </c>
      <c r="X326" s="26" t="n">
        <f aca="false">IFERROR(W326/N326,0)</f>
        <v>0.0833333333333333</v>
      </c>
      <c r="Y326" s="22" t="str">
        <f aca="false">IF(W326&gt;0,"Win",IF(W326&lt;0,"Loss","Flat"))</f>
        <v>Win</v>
      </c>
      <c r="Z326" s="24" t="n">
        <f aca="false">Summary!$C$5+SUM(W$2:W326)</f>
        <v>4672.24</v>
      </c>
      <c r="AA326" s="24" t="n">
        <f aca="false">MAX(AA325,Z326)</f>
        <v>5000</v>
      </c>
      <c r="AB326" s="24" t="n">
        <f aca="false">AA326-Z326</f>
        <v>327.76</v>
      </c>
      <c r="AC326" s="23" t="n">
        <f aca="false">IFERROR(AB326/AA326,0)</f>
        <v>0.065552</v>
      </c>
      <c r="AD326" s="22" t="s">
        <v>563</v>
      </c>
    </row>
    <row r="327" customFormat="false" ht="15" hidden="false" customHeight="false" outlineLevel="0" collapsed="false">
      <c r="A327" s="22" t="n">
        <v>326</v>
      </c>
      <c r="B327" s="22" t="s">
        <v>129</v>
      </c>
      <c r="C327" s="37" t="n">
        <v>44943.4867939815</v>
      </c>
      <c r="D327" s="22" t="s">
        <v>203</v>
      </c>
      <c r="E327" s="22" t="n">
        <v>11</v>
      </c>
      <c r="F327" s="22" t="s">
        <v>182</v>
      </c>
      <c r="G327" s="22" t="s">
        <v>241</v>
      </c>
      <c r="H327" s="22" t="n">
        <v>0.07</v>
      </c>
      <c r="I327" s="38" t="n">
        <v>1906.81</v>
      </c>
      <c r="J327" s="38" t="n">
        <v>1906.81</v>
      </c>
      <c r="K327" s="39" t="n">
        <f aca="false">IF(F327="BUY",J327-I327,I327-J327)</f>
        <v>0</v>
      </c>
      <c r="L327" s="38" t="n">
        <v>1912.81</v>
      </c>
      <c r="M327" s="39" t="n">
        <f aca="false">ABS(I327-L327)</f>
        <v>6</v>
      </c>
      <c r="N327" s="24" t="n">
        <f aca="false">M327*H327*Summary!$C$6</f>
        <v>42</v>
      </c>
      <c r="O327" s="37" t="n">
        <v>44943.534224537</v>
      </c>
      <c r="P327" s="22" t="n">
        <f aca="false">ROUND((O327-C327)*86400,0)</f>
        <v>4098</v>
      </c>
      <c r="Q327" s="22" t="str">
        <f aca="false">IF(P327&lt;10,"a) &lt;10s",IF(P327&lt;60,"b) 10-60s",IF(P327&lt;600,"c) 1-10min","d) &gt;10min")))</f>
        <v>d) &gt;10min</v>
      </c>
      <c r="R327" s="38" t="n">
        <v>1906.31</v>
      </c>
      <c r="S327" s="38" t="n">
        <v>1906.39</v>
      </c>
      <c r="T327" s="22" t="s">
        <v>189</v>
      </c>
      <c r="U327" s="39" t="n">
        <f aca="false">IF(R327="","",IF(F327="BUY",R327-S327,S327-R327))</f>
        <v>0.0800000000001546</v>
      </c>
      <c r="V327" s="39" t="n">
        <f aca="false">IF(F327="BUY",S327-J327,J327-S327)</f>
        <v>0.419999999999845</v>
      </c>
      <c r="W327" s="6" t="n">
        <v>2.94</v>
      </c>
      <c r="X327" s="26" t="n">
        <f aca="false">IFERROR(W327/N327,0)</f>
        <v>0.07</v>
      </c>
      <c r="Y327" s="22" t="str">
        <f aca="false">IF(W327&gt;0,"Win",IF(W327&lt;0,"Loss","Flat"))</f>
        <v>Win</v>
      </c>
      <c r="Z327" s="24" t="n">
        <f aca="false">Summary!$C$5+SUM(W$2:W327)</f>
        <v>4675.18</v>
      </c>
      <c r="AA327" s="24" t="n">
        <f aca="false">MAX(AA326,Z327)</f>
        <v>5000</v>
      </c>
      <c r="AB327" s="24" t="n">
        <f aca="false">AA327-Z327</f>
        <v>324.82</v>
      </c>
      <c r="AC327" s="23" t="n">
        <f aca="false">IFERROR(AB327/AA327,0)</f>
        <v>0.0649639999999999</v>
      </c>
      <c r="AD327" s="22" t="s">
        <v>564</v>
      </c>
    </row>
    <row r="328" customFormat="false" ht="15" hidden="false" customHeight="false" outlineLevel="0" collapsed="false">
      <c r="A328" s="22" t="n">
        <v>327</v>
      </c>
      <c r="B328" s="22" t="s">
        <v>129</v>
      </c>
      <c r="C328" s="37" t="n">
        <v>44944.1947453704</v>
      </c>
      <c r="D328" s="22" t="s">
        <v>204</v>
      </c>
      <c r="E328" s="22" t="n">
        <v>4</v>
      </c>
      <c r="F328" s="22" t="s">
        <v>182</v>
      </c>
      <c r="G328" s="22" t="s">
        <v>237</v>
      </c>
      <c r="H328" s="22" t="n">
        <v>0.07</v>
      </c>
      <c r="I328" s="38" t="n">
        <v>1903.68</v>
      </c>
      <c r="J328" s="38" t="n">
        <v>1903.56</v>
      </c>
      <c r="K328" s="39" t="n">
        <f aca="false">IF(F328="BUY",J328-I328,I328-J328)</f>
        <v>0.120000000000118</v>
      </c>
      <c r="L328" s="38" t="n">
        <v>1909.68</v>
      </c>
      <c r="M328" s="39" t="n">
        <f aca="false">ABS(I328-L328)</f>
        <v>6</v>
      </c>
      <c r="N328" s="24" t="n">
        <f aca="false">M328*H328*Summary!$C$6</f>
        <v>42</v>
      </c>
      <c r="O328" s="37" t="n">
        <v>44944.1952199074</v>
      </c>
      <c r="P328" s="22" t="n">
        <f aca="false">ROUND((O328-C328)*86400,0)</f>
        <v>41</v>
      </c>
      <c r="Q328" s="22" t="str">
        <f aca="false">IF(P328&lt;10,"a) &lt;10s",IF(P328&lt;60,"b) 10-60s",IF(P328&lt;600,"c) 1-10min","d) &gt;10min")))</f>
        <v>b) 10-60s</v>
      </c>
      <c r="R328" s="38" t="n">
        <v>1903.06</v>
      </c>
      <c r="S328" s="38" t="n">
        <v>1903.19</v>
      </c>
      <c r="T328" s="22" t="s">
        <v>189</v>
      </c>
      <c r="U328" s="39" t="n">
        <f aca="false">IF(R328="","",IF(F328="BUY",R328-S328,S328-R328))</f>
        <v>0.130000000000109</v>
      </c>
      <c r="V328" s="39" t="n">
        <f aca="false">IF(F328="BUY",S328-J328,J328-S328)</f>
        <v>0.369999999999891</v>
      </c>
      <c r="W328" s="6" t="n">
        <v>2.59</v>
      </c>
      <c r="X328" s="26" t="n">
        <f aca="false">IFERROR(W328/N328,0)</f>
        <v>0.0616666666666667</v>
      </c>
      <c r="Y328" s="22" t="str">
        <f aca="false">IF(W328&gt;0,"Win",IF(W328&lt;0,"Loss","Flat"))</f>
        <v>Win</v>
      </c>
      <c r="Z328" s="24" t="n">
        <f aca="false">Summary!$C$5+SUM(W$2:W328)</f>
        <v>4677.77</v>
      </c>
      <c r="AA328" s="24" t="n">
        <f aca="false">MAX(AA327,Z328)</f>
        <v>5000</v>
      </c>
      <c r="AB328" s="24" t="n">
        <f aca="false">AA328-Z328</f>
        <v>322.23</v>
      </c>
      <c r="AC328" s="23" t="n">
        <f aca="false">IFERROR(AB328/AA328,0)</f>
        <v>0.0644459999999999</v>
      </c>
      <c r="AD328" s="22" t="s">
        <v>565</v>
      </c>
    </row>
    <row r="329" customFormat="false" ht="15" hidden="false" customHeight="false" outlineLevel="0" collapsed="false">
      <c r="A329" s="22" t="n">
        <v>328</v>
      </c>
      <c r="B329" s="22" t="s">
        <v>129</v>
      </c>
      <c r="C329" s="37" t="n">
        <v>44944.3754282407</v>
      </c>
      <c r="D329" s="22" t="s">
        <v>204</v>
      </c>
      <c r="E329" s="22" t="n">
        <v>9</v>
      </c>
      <c r="F329" s="22" t="s">
        <v>181</v>
      </c>
      <c r="G329" s="22" t="s">
        <v>235</v>
      </c>
      <c r="H329" s="22" t="n">
        <v>0.07</v>
      </c>
      <c r="I329" s="38" t="n">
        <v>1904.14</v>
      </c>
      <c r="J329" s="38" t="n">
        <v>1904.16</v>
      </c>
      <c r="K329" s="39" t="n">
        <f aca="false">IF(F329="BUY",J329-I329,I329-J329)</f>
        <v>0.0199999999999818</v>
      </c>
      <c r="L329" s="38" t="n">
        <v>1898.14</v>
      </c>
      <c r="M329" s="39" t="n">
        <f aca="false">ABS(I329-L329)</f>
        <v>6</v>
      </c>
      <c r="N329" s="24" t="n">
        <f aca="false">M329*H329*Summary!$C$6</f>
        <v>42</v>
      </c>
      <c r="O329" s="37" t="n">
        <v>44944.8059143519</v>
      </c>
      <c r="P329" s="22" t="n">
        <f aca="false">ROUND((O329-C329)*86400,0)</f>
        <v>37194</v>
      </c>
      <c r="Q329" s="22" t="str">
        <f aca="false">IF(P329&lt;10,"a) &lt;10s",IF(P329&lt;60,"b) 10-60s",IF(P329&lt;600,"c) 1-10min","d) &gt;10min")))</f>
        <v>d) &gt;10min</v>
      </c>
      <c r="R329" s="38" t="n">
        <v>1904.66</v>
      </c>
      <c r="S329" s="38" t="n">
        <v>1904.55</v>
      </c>
      <c r="T329" s="22" t="s">
        <v>189</v>
      </c>
      <c r="U329" s="39" t="n">
        <f aca="false">IF(R329="","",IF(F329="BUY",R329-S329,S329-R329))</f>
        <v>0.110000000000127</v>
      </c>
      <c r="V329" s="39" t="n">
        <f aca="false">IF(F329="BUY",S329-J329,J329-S329)</f>
        <v>0.389999999999873</v>
      </c>
      <c r="W329" s="6" t="n">
        <v>2.73</v>
      </c>
      <c r="X329" s="26" t="n">
        <f aca="false">IFERROR(W329/N329,0)</f>
        <v>0.065</v>
      </c>
      <c r="Y329" s="22" t="str">
        <f aca="false">IF(W329&gt;0,"Win",IF(W329&lt;0,"Loss","Flat"))</f>
        <v>Win</v>
      </c>
      <c r="Z329" s="24" t="n">
        <f aca="false">Summary!$C$5+SUM(W$2:W329)</f>
        <v>4680.5</v>
      </c>
      <c r="AA329" s="24" t="n">
        <f aca="false">MAX(AA328,Z329)</f>
        <v>5000</v>
      </c>
      <c r="AB329" s="24" t="n">
        <f aca="false">AA329-Z329</f>
        <v>319.5</v>
      </c>
      <c r="AC329" s="23" t="n">
        <f aca="false">IFERROR(AB329/AA329,0)</f>
        <v>0.0639</v>
      </c>
      <c r="AD329" s="22" t="s">
        <v>566</v>
      </c>
    </row>
    <row r="330" customFormat="false" ht="15" hidden="false" customHeight="false" outlineLevel="0" collapsed="false">
      <c r="A330" s="22" t="n">
        <v>329</v>
      </c>
      <c r="B330" s="22" t="s">
        <v>129</v>
      </c>
      <c r="C330" s="37" t="n">
        <v>44945.3875578704</v>
      </c>
      <c r="D330" s="22" t="s">
        <v>205</v>
      </c>
      <c r="E330" s="22" t="n">
        <v>9</v>
      </c>
      <c r="F330" s="22" t="s">
        <v>182</v>
      </c>
      <c r="G330" s="22" t="s">
        <v>241</v>
      </c>
      <c r="H330" s="22" t="n">
        <v>0.07</v>
      </c>
      <c r="I330" s="38" t="n">
        <v>1907.77</v>
      </c>
      <c r="J330" s="38" t="n">
        <v>1907.77</v>
      </c>
      <c r="K330" s="39" t="n">
        <f aca="false">IF(F330="BUY",J330-I330,I330-J330)</f>
        <v>0</v>
      </c>
      <c r="L330" s="38" t="n">
        <v>1913.77</v>
      </c>
      <c r="M330" s="39" t="n">
        <f aca="false">ABS(I330-L330)</f>
        <v>6</v>
      </c>
      <c r="N330" s="24" t="n">
        <f aca="false">M330*H330*Summary!$C$6</f>
        <v>42</v>
      </c>
      <c r="O330" s="37" t="n">
        <v>44945.4265393519</v>
      </c>
      <c r="P330" s="22" t="n">
        <f aca="false">ROUND((O330-C330)*86400,0)</f>
        <v>3368</v>
      </c>
      <c r="Q330" s="22" t="str">
        <f aca="false">IF(P330&lt;10,"a) &lt;10s",IF(P330&lt;60,"b) 10-60s",IF(P330&lt;600,"c) 1-10min","d) &gt;10min")))</f>
        <v>d) &gt;10min</v>
      </c>
      <c r="R330" s="38" t="n">
        <v>1913.77</v>
      </c>
      <c r="S330" s="38" t="n">
        <v>1913.78</v>
      </c>
      <c r="T330" s="22" t="s">
        <v>188</v>
      </c>
      <c r="U330" s="39" t="n">
        <f aca="false">IF(R330="","",IF(F330="BUY",R330-S330,S330-R330))</f>
        <v>0.00999999999999091</v>
      </c>
      <c r="V330" s="39" t="n">
        <f aca="false">IF(F330="BUY",S330-J330,J330-S330)</f>
        <v>-6.00999999999999</v>
      </c>
      <c r="W330" s="6" t="n">
        <v>-42.07</v>
      </c>
      <c r="X330" s="26" t="n">
        <f aca="false">IFERROR(W330/N330,0)</f>
        <v>-1.00166666666667</v>
      </c>
      <c r="Y330" s="22" t="str">
        <f aca="false">IF(W330&gt;0,"Win",IF(W330&lt;0,"Loss","Flat"))</f>
        <v>Loss</v>
      </c>
      <c r="Z330" s="24" t="n">
        <f aca="false">Summary!$C$5+SUM(W$2:W330)</f>
        <v>4638.43</v>
      </c>
      <c r="AA330" s="24" t="n">
        <f aca="false">MAX(AA329,Z330)</f>
        <v>5000</v>
      </c>
      <c r="AB330" s="24" t="n">
        <f aca="false">AA330-Z330</f>
        <v>361.57</v>
      </c>
      <c r="AC330" s="23" t="n">
        <f aca="false">IFERROR(AB330/AA330,0)</f>
        <v>0.072314</v>
      </c>
      <c r="AD330" s="22" t="s">
        <v>567</v>
      </c>
    </row>
    <row r="331" customFormat="false" ht="15" hidden="false" customHeight="false" outlineLevel="0" collapsed="false">
      <c r="A331" s="22" t="n">
        <v>330</v>
      </c>
      <c r="B331" s="22" t="s">
        <v>129</v>
      </c>
      <c r="C331" s="37" t="n">
        <v>44945.8615972222</v>
      </c>
      <c r="D331" s="22" t="s">
        <v>205</v>
      </c>
      <c r="E331" s="22" t="n">
        <v>20</v>
      </c>
      <c r="F331" s="22" t="s">
        <v>181</v>
      </c>
      <c r="G331" s="22" t="s">
        <v>243</v>
      </c>
      <c r="H331" s="22" t="n">
        <v>0.07</v>
      </c>
      <c r="I331" s="38" t="n">
        <v>1925.8</v>
      </c>
      <c r="J331" s="38" t="n">
        <v>1925.8</v>
      </c>
      <c r="K331" s="39" t="n">
        <f aca="false">IF(F331="BUY",J331-I331,I331-J331)</f>
        <v>0</v>
      </c>
      <c r="L331" s="38" t="n">
        <v>1919.8</v>
      </c>
      <c r="M331" s="39" t="n">
        <f aca="false">ABS(I331-L331)</f>
        <v>6</v>
      </c>
      <c r="N331" s="24" t="n">
        <f aca="false">M331*H331*Summary!$C$6</f>
        <v>42</v>
      </c>
      <c r="O331" s="37" t="n">
        <v>44945.9270833333</v>
      </c>
      <c r="P331" s="22" t="n">
        <f aca="false">ROUND((O331-C331)*86400,0)</f>
        <v>5658</v>
      </c>
      <c r="Q331" s="22" t="str">
        <f aca="false">IF(P331&lt;10,"a) &lt;10s",IF(P331&lt;60,"b) 10-60s",IF(P331&lt;600,"c) 1-10min","d) &gt;10min")))</f>
        <v>d) &gt;10min</v>
      </c>
      <c r="R331" s="38"/>
      <c r="S331" s="38" t="n">
        <v>1934.75</v>
      </c>
      <c r="T331" s="22" t="s">
        <v>191</v>
      </c>
      <c r="U331" s="39" t="str">
        <f aca="false">IF(R331="","",IF(F331="BUY",R331-S331,S331-R331))</f>
        <v/>
      </c>
      <c r="V331" s="39" t="n">
        <f aca="false">IF(F331="BUY",S331-J331,J331-S331)</f>
        <v>8.95000000000005</v>
      </c>
      <c r="W331" s="6" t="n">
        <v>62.65</v>
      </c>
      <c r="X331" s="26" t="n">
        <f aca="false">IFERROR(W331/N331,0)</f>
        <v>1.49166666666667</v>
      </c>
      <c r="Y331" s="22" t="str">
        <f aca="false">IF(W331&gt;0,"Win",IF(W331&lt;0,"Loss","Flat"))</f>
        <v>Win</v>
      </c>
      <c r="Z331" s="24" t="n">
        <f aca="false">Summary!$C$5+SUM(W$2:W331)</f>
        <v>4701.08</v>
      </c>
      <c r="AA331" s="24" t="n">
        <f aca="false">MAX(AA330,Z331)</f>
        <v>5000</v>
      </c>
      <c r="AB331" s="24" t="n">
        <f aca="false">AA331-Z331</f>
        <v>298.92</v>
      </c>
      <c r="AC331" s="23" t="n">
        <f aca="false">IFERROR(AB331/AA331,0)</f>
        <v>0.059784</v>
      </c>
      <c r="AD331" s="22" t="s">
        <v>568</v>
      </c>
    </row>
    <row r="332" customFormat="false" ht="15" hidden="false" customHeight="false" outlineLevel="0" collapsed="false">
      <c r="A332" s="22" t="n">
        <v>331</v>
      </c>
      <c r="B332" s="22" t="s">
        <v>129</v>
      </c>
      <c r="C332" s="37" t="n">
        <v>44946.1455671296</v>
      </c>
      <c r="D332" s="22" t="s">
        <v>206</v>
      </c>
      <c r="E332" s="22" t="n">
        <v>3</v>
      </c>
      <c r="F332" s="22" t="s">
        <v>181</v>
      </c>
      <c r="G332" s="22" t="s">
        <v>243</v>
      </c>
      <c r="H332" s="22" t="n">
        <v>0.07</v>
      </c>
      <c r="I332" s="38" t="n">
        <v>1935.05</v>
      </c>
      <c r="J332" s="38" t="n">
        <v>1935.06</v>
      </c>
      <c r="K332" s="39" t="n">
        <f aca="false">IF(F332="BUY",J332-I332,I332-J332)</f>
        <v>0.00999999999999091</v>
      </c>
      <c r="L332" s="38" t="n">
        <v>1929.05</v>
      </c>
      <c r="M332" s="39" t="n">
        <f aca="false">ABS(I332-L332)</f>
        <v>6</v>
      </c>
      <c r="N332" s="24" t="n">
        <f aca="false">M332*H332*Summary!$C$6</f>
        <v>42</v>
      </c>
      <c r="O332" s="37" t="n">
        <v>44946.2209259259</v>
      </c>
      <c r="P332" s="22" t="n">
        <f aca="false">ROUND((O332-C332)*86400,0)</f>
        <v>6511</v>
      </c>
      <c r="Q332" s="22" t="str">
        <f aca="false">IF(P332&lt;10,"a) &lt;10s",IF(P332&lt;60,"b) 10-60s",IF(P332&lt;600,"c) 1-10min","d) &gt;10min")))</f>
        <v>d) &gt;10min</v>
      </c>
      <c r="R332" s="38" t="n">
        <v>1929.05</v>
      </c>
      <c r="S332" s="38" t="n">
        <v>1928.97</v>
      </c>
      <c r="T332" s="22" t="s">
        <v>188</v>
      </c>
      <c r="U332" s="39" t="n">
        <f aca="false">IF(R332="","",IF(F332="BUY",R332-S332,S332-R332))</f>
        <v>0.0799999999999272</v>
      </c>
      <c r="V332" s="39" t="n">
        <f aca="false">IF(F332="BUY",S332-J332,J332-S332)</f>
        <v>-6.08999999999992</v>
      </c>
      <c r="W332" s="6" t="n">
        <v>-42.63</v>
      </c>
      <c r="X332" s="26" t="n">
        <f aca="false">IFERROR(W332/N332,0)</f>
        <v>-1.015</v>
      </c>
      <c r="Y332" s="22" t="str">
        <f aca="false">IF(W332&gt;0,"Win",IF(W332&lt;0,"Loss","Flat"))</f>
        <v>Loss</v>
      </c>
      <c r="Z332" s="24" t="n">
        <f aca="false">Summary!$C$5+SUM(W$2:W332)</f>
        <v>4658.45</v>
      </c>
      <c r="AA332" s="24" t="n">
        <f aca="false">MAX(AA331,Z332)</f>
        <v>5000</v>
      </c>
      <c r="AB332" s="24" t="n">
        <f aca="false">AA332-Z332</f>
        <v>341.55</v>
      </c>
      <c r="AC332" s="23" t="n">
        <f aca="false">IFERROR(AB332/AA332,0)</f>
        <v>0.06831</v>
      </c>
      <c r="AD332" s="22" t="s">
        <v>569</v>
      </c>
    </row>
    <row r="333" customFormat="false" ht="15" hidden="false" customHeight="false" outlineLevel="0" collapsed="false">
      <c r="A333" s="22" t="n">
        <v>332</v>
      </c>
      <c r="B333" s="22" t="s">
        <v>129</v>
      </c>
      <c r="C333" s="37" t="n">
        <v>44946.3902430556</v>
      </c>
      <c r="D333" s="22" t="s">
        <v>206</v>
      </c>
      <c r="E333" s="22" t="n">
        <v>9</v>
      </c>
      <c r="F333" s="22" t="s">
        <v>181</v>
      </c>
      <c r="G333" s="22" t="s">
        <v>235</v>
      </c>
      <c r="H333" s="22" t="n">
        <v>0.07</v>
      </c>
      <c r="I333" s="38" t="n">
        <v>1929.2</v>
      </c>
      <c r="J333" s="38" t="n">
        <v>1929.51</v>
      </c>
      <c r="K333" s="39" t="n">
        <f aca="false">IF(F333="BUY",J333-I333,I333-J333)</f>
        <v>0.309999999999945</v>
      </c>
      <c r="L333" s="38" t="n">
        <v>1923.2</v>
      </c>
      <c r="M333" s="39" t="n">
        <f aca="false">ABS(I333-L333)</f>
        <v>6</v>
      </c>
      <c r="N333" s="24" t="n">
        <f aca="false">M333*H333*Summary!$C$6</f>
        <v>42</v>
      </c>
      <c r="O333" s="37" t="n">
        <v>44946.4428009259</v>
      </c>
      <c r="P333" s="22" t="n">
        <f aca="false">ROUND((O333-C333)*86400,0)</f>
        <v>4541</v>
      </c>
      <c r="Q333" s="22" t="str">
        <f aca="false">IF(P333&lt;10,"a) &lt;10s",IF(P333&lt;60,"b) 10-60s",IF(P333&lt;600,"c) 1-10min","d) &gt;10min")))</f>
        <v>d) &gt;10min</v>
      </c>
      <c r="R333" s="38" t="n">
        <v>1930.01</v>
      </c>
      <c r="S333" s="38" t="n">
        <v>1929.95</v>
      </c>
      <c r="T333" s="22" t="s">
        <v>189</v>
      </c>
      <c r="U333" s="39" t="n">
        <f aca="false">IF(R333="","",IF(F333="BUY",R333-S333,S333-R333))</f>
        <v>0.0599999999999454</v>
      </c>
      <c r="V333" s="39" t="n">
        <f aca="false">IF(F333="BUY",S333-J333,J333-S333)</f>
        <v>0.440000000000055</v>
      </c>
      <c r="W333" s="6" t="n">
        <v>3.08</v>
      </c>
      <c r="X333" s="26" t="n">
        <f aca="false">IFERROR(W333/N333,0)</f>
        <v>0.0733333333333333</v>
      </c>
      <c r="Y333" s="22" t="str">
        <f aca="false">IF(W333&gt;0,"Win",IF(W333&lt;0,"Loss","Flat"))</f>
        <v>Win</v>
      </c>
      <c r="Z333" s="24" t="n">
        <f aca="false">Summary!$C$5+SUM(W$2:W333)</f>
        <v>4661.53</v>
      </c>
      <c r="AA333" s="24" t="n">
        <f aca="false">MAX(AA332,Z333)</f>
        <v>5000</v>
      </c>
      <c r="AB333" s="24" t="n">
        <f aca="false">AA333-Z333</f>
        <v>338.47</v>
      </c>
      <c r="AC333" s="23" t="n">
        <f aca="false">IFERROR(AB333/AA333,0)</f>
        <v>0.0676940000000001</v>
      </c>
      <c r="AD333" s="22" t="s">
        <v>570</v>
      </c>
    </row>
    <row r="334" customFormat="false" ht="15" hidden="false" customHeight="false" outlineLevel="0" collapsed="false">
      <c r="A334" s="22" t="n">
        <v>333</v>
      </c>
      <c r="B334" s="22" t="s">
        <v>129</v>
      </c>
      <c r="C334" s="37" t="n">
        <v>44949.3942361111</v>
      </c>
      <c r="D334" s="22" t="s">
        <v>202</v>
      </c>
      <c r="E334" s="22" t="n">
        <v>9</v>
      </c>
      <c r="F334" s="22" t="s">
        <v>182</v>
      </c>
      <c r="G334" s="22" t="s">
        <v>241</v>
      </c>
      <c r="H334" s="22" t="n">
        <v>0.07</v>
      </c>
      <c r="I334" s="38" t="n">
        <v>1921.01</v>
      </c>
      <c r="J334" s="38" t="n">
        <v>1921.01</v>
      </c>
      <c r="K334" s="39" t="n">
        <f aca="false">IF(F334="BUY",J334-I334,I334-J334)</f>
        <v>0</v>
      </c>
      <c r="L334" s="38" t="n">
        <v>1927.01</v>
      </c>
      <c r="M334" s="39" t="n">
        <f aca="false">ABS(I334-L334)</f>
        <v>6</v>
      </c>
      <c r="N334" s="24" t="n">
        <f aca="false">M334*H334*Summary!$C$6</f>
        <v>42</v>
      </c>
      <c r="O334" s="37" t="n">
        <v>44949.4448263889</v>
      </c>
      <c r="P334" s="22" t="n">
        <f aca="false">ROUND((O334-C334)*86400,0)</f>
        <v>4371</v>
      </c>
      <c r="Q334" s="22" t="str">
        <f aca="false">IF(P334&lt;10,"a) &lt;10s",IF(P334&lt;60,"b) 10-60s",IF(P334&lt;600,"c) 1-10min","d) &gt;10min")))</f>
        <v>d) &gt;10min</v>
      </c>
      <c r="R334" s="38" t="n">
        <v>1927.01</v>
      </c>
      <c r="S334" s="38" t="n">
        <v>1927.01</v>
      </c>
      <c r="T334" s="22" t="s">
        <v>188</v>
      </c>
      <c r="U334" s="39" t="n">
        <f aca="false">IF(R334="","",IF(F334="BUY",R334-S334,S334-R334))</f>
        <v>0</v>
      </c>
      <c r="V334" s="39" t="n">
        <f aca="false">IF(F334="BUY",S334-J334,J334-S334)</f>
        <v>-6</v>
      </c>
      <c r="W334" s="6" t="n">
        <v>-42</v>
      </c>
      <c r="X334" s="26" t="n">
        <f aca="false">IFERROR(W334/N334,0)</f>
        <v>-1</v>
      </c>
      <c r="Y334" s="22" t="str">
        <f aca="false">IF(W334&gt;0,"Win",IF(W334&lt;0,"Loss","Flat"))</f>
        <v>Loss</v>
      </c>
      <c r="Z334" s="24" t="n">
        <f aca="false">Summary!$C$5+SUM(W$2:W334)</f>
        <v>4619.53</v>
      </c>
      <c r="AA334" s="24" t="n">
        <f aca="false">MAX(AA333,Z334)</f>
        <v>5000</v>
      </c>
      <c r="AB334" s="24" t="n">
        <f aca="false">AA334-Z334</f>
        <v>380.47</v>
      </c>
      <c r="AC334" s="23" t="n">
        <f aca="false">IFERROR(AB334/AA334,0)</f>
        <v>0.0760940000000001</v>
      </c>
      <c r="AD334" s="22" t="s">
        <v>571</v>
      </c>
    </row>
    <row r="335" customFormat="false" ht="15" hidden="false" customHeight="false" outlineLevel="0" collapsed="false">
      <c r="A335" s="22" t="n">
        <v>334</v>
      </c>
      <c r="B335" s="22" t="s">
        <v>129</v>
      </c>
      <c r="C335" s="37" t="n">
        <v>44950.1648726852</v>
      </c>
      <c r="D335" s="22" t="s">
        <v>203</v>
      </c>
      <c r="E335" s="22" t="n">
        <v>3</v>
      </c>
      <c r="F335" s="22" t="s">
        <v>181</v>
      </c>
      <c r="G335" s="22" t="s">
        <v>243</v>
      </c>
      <c r="H335" s="22" t="n">
        <v>0.07</v>
      </c>
      <c r="I335" s="38" t="n">
        <v>1935.45</v>
      </c>
      <c r="J335" s="38" t="n">
        <v>1935.45</v>
      </c>
      <c r="K335" s="39" t="n">
        <f aca="false">IF(F335="BUY",J335-I335,I335-J335)</f>
        <v>0</v>
      </c>
      <c r="L335" s="38" t="n">
        <v>1929.45</v>
      </c>
      <c r="M335" s="39" t="n">
        <f aca="false">ABS(I335-L335)</f>
        <v>6</v>
      </c>
      <c r="N335" s="24" t="n">
        <f aca="false">M335*H335*Summary!$C$6</f>
        <v>42</v>
      </c>
      <c r="O335" s="37" t="n">
        <v>44950.4789236111</v>
      </c>
      <c r="P335" s="22" t="n">
        <f aca="false">ROUND((O335-C335)*86400,0)</f>
        <v>27134</v>
      </c>
      <c r="Q335" s="22" t="str">
        <f aca="false">IF(P335&lt;10,"a) &lt;10s",IF(P335&lt;60,"b) 10-60s",IF(P335&lt;600,"c) 1-10min","d) &gt;10min")))</f>
        <v>d) &gt;10min</v>
      </c>
      <c r="R335" s="38" t="n">
        <v>1935.95</v>
      </c>
      <c r="S335" s="38" t="n">
        <v>1935.92</v>
      </c>
      <c r="T335" s="22" t="s">
        <v>189</v>
      </c>
      <c r="U335" s="39" t="n">
        <f aca="false">IF(R335="","",IF(F335="BUY",R335-S335,S335-R335))</f>
        <v>0.0299999999999727</v>
      </c>
      <c r="V335" s="39" t="n">
        <f aca="false">IF(F335="BUY",S335-J335,J335-S335)</f>
        <v>0.470000000000027</v>
      </c>
      <c r="W335" s="6" t="n">
        <v>3.29</v>
      </c>
      <c r="X335" s="26" t="n">
        <f aca="false">IFERROR(W335/N335,0)</f>
        <v>0.0783333333333333</v>
      </c>
      <c r="Y335" s="22" t="str">
        <f aca="false">IF(W335&gt;0,"Win",IF(W335&lt;0,"Loss","Flat"))</f>
        <v>Win</v>
      </c>
      <c r="Z335" s="24" t="n">
        <f aca="false">Summary!$C$5+SUM(W$2:W335)</f>
        <v>4622.82</v>
      </c>
      <c r="AA335" s="24" t="n">
        <f aca="false">MAX(AA334,Z335)</f>
        <v>5000</v>
      </c>
      <c r="AB335" s="24" t="n">
        <f aca="false">AA335-Z335</f>
        <v>377.18</v>
      </c>
      <c r="AC335" s="23" t="n">
        <f aca="false">IFERROR(AB335/AA335,0)</f>
        <v>0.0754360000000001</v>
      </c>
      <c r="AD335" s="22" t="s">
        <v>572</v>
      </c>
    </row>
    <row r="336" customFormat="false" ht="15" hidden="false" customHeight="false" outlineLevel="0" collapsed="false">
      <c r="A336" s="22" t="n">
        <v>335</v>
      </c>
      <c r="B336" s="22" t="s">
        <v>129</v>
      </c>
      <c r="C336" s="37" t="n">
        <v>44950.6597106482</v>
      </c>
      <c r="D336" s="22" t="s">
        <v>203</v>
      </c>
      <c r="E336" s="22" t="n">
        <v>15</v>
      </c>
      <c r="F336" s="22" t="s">
        <v>182</v>
      </c>
      <c r="G336" s="22" t="s">
        <v>241</v>
      </c>
      <c r="H336" s="22" t="n">
        <v>0.07</v>
      </c>
      <c r="I336" s="38" t="n">
        <v>1932.41</v>
      </c>
      <c r="J336" s="38" t="n">
        <v>1932.4</v>
      </c>
      <c r="K336" s="39" t="n">
        <f aca="false">IF(F336="BUY",J336-I336,I336-J336)</f>
        <v>0.00999999999999091</v>
      </c>
      <c r="L336" s="38" t="n">
        <v>1938.41</v>
      </c>
      <c r="M336" s="39" t="n">
        <f aca="false">ABS(I336-L336)</f>
        <v>6</v>
      </c>
      <c r="N336" s="24" t="n">
        <f aca="false">M336*H336*Summary!$C$6</f>
        <v>42</v>
      </c>
      <c r="O336" s="37" t="n">
        <v>44950.7381365741</v>
      </c>
      <c r="P336" s="22" t="n">
        <f aca="false">ROUND((O336-C336)*86400,0)</f>
        <v>6776</v>
      </c>
      <c r="Q336" s="22" t="str">
        <f aca="false">IF(P336&lt;10,"a) &lt;10s",IF(P336&lt;60,"b) 10-60s",IF(P336&lt;600,"c) 1-10min","d) &gt;10min")))</f>
        <v>d) &gt;10min</v>
      </c>
      <c r="R336" s="38" t="n">
        <v>1931.9</v>
      </c>
      <c r="S336" s="38" t="n">
        <v>1931.93</v>
      </c>
      <c r="T336" s="22" t="s">
        <v>189</v>
      </c>
      <c r="U336" s="39" t="n">
        <f aca="false">IF(R336="","",IF(F336="BUY",R336-S336,S336-R336))</f>
        <v>0.0299999999999727</v>
      </c>
      <c r="V336" s="39" t="n">
        <f aca="false">IF(F336="BUY",S336-J336,J336-S336)</f>
        <v>0.470000000000027</v>
      </c>
      <c r="W336" s="6" t="n">
        <v>3.29</v>
      </c>
      <c r="X336" s="26" t="n">
        <f aca="false">IFERROR(W336/N336,0)</f>
        <v>0.0783333333333333</v>
      </c>
      <c r="Y336" s="22" t="str">
        <f aca="false">IF(W336&gt;0,"Win",IF(W336&lt;0,"Loss","Flat"))</f>
        <v>Win</v>
      </c>
      <c r="Z336" s="24" t="n">
        <f aca="false">Summary!$C$5+SUM(W$2:W336)</f>
        <v>4626.11</v>
      </c>
      <c r="AA336" s="24" t="n">
        <f aca="false">MAX(AA335,Z336)</f>
        <v>5000</v>
      </c>
      <c r="AB336" s="24" t="n">
        <f aca="false">AA336-Z336</f>
        <v>373.89</v>
      </c>
      <c r="AC336" s="23" t="n">
        <f aca="false">IFERROR(AB336/AA336,0)</f>
        <v>0.0747780000000001</v>
      </c>
      <c r="AD336" s="22" t="s">
        <v>573</v>
      </c>
    </row>
    <row r="337" customFormat="false" ht="15" hidden="false" customHeight="false" outlineLevel="0" collapsed="false">
      <c r="A337" s="22" t="n">
        <v>336</v>
      </c>
      <c r="B337" s="22" t="s">
        <v>129</v>
      </c>
      <c r="C337" s="37" t="n">
        <v>44951.5072916667</v>
      </c>
      <c r="D337" s="22" t="s">
        <v>204</v>
      </c>
      <c r="E337" s="22" t="n">
        <v>12</v>
      </c>
      <c r="F337" s="22" t="s">
        <v>182</v>
      </c>
      <c r="G337" s="22" t="s">
        <v>241</v>
      </c>
      <c r="H337" s="22" t="n">
        <v>0.07</v>
      </c>
      <c r="I337" s="38" t="n">
        <v>1925.71</v>
      </c>
      <c r="J337" s="38" t="n">
        <v>1925.71</v>
      </c>
      <c r="K337" s="39" t="n">
        <f aca="false">IF(F337="BUY",J337-I337,I337-J337)</f>
        <v>0</v>
      </c>
      <c r="L337" s="38" t="n">
        <v>1931.71</v>
      </c>
      <c r="M337" s="39" t="n">
        <f aca="false">ABS(I337-L337)</f>
        <v>6</v>
      </c>
      <c r="N337" s="24" t="n">
        <f aca="false">M337*H337*Summary!$C$6</f>
        <v>42</v>
      </c>
      <c r="O337" s="37" t="n">
        <v>44951.5161574074</v>
      </c>
      <c r="P337" s="22" t="n">
        <f aca="false">ROUND((O337-C337)*86400,0)</f>
        <v>766</v>
      </c>
      <c r="Q337" s="22" t="str">
        <f aca="false">IF(P337&lt;10,"a) &lt;10s",IF(P337&lt;60,"b) 10-60s",IF(P337&lt;600,"c) 1-10min","d) &gt;10min")))</f>
        <v>d) &gt;10min</v>
      </c>
      <c r="R337" s="38" t="n">
        <v>1925.21</v>
      </c>
      <c r="S337" s="38" t="n">
        <v>1925.22</v>
      </c>
      <c r="T337" s="22" t="s">
        <v>189</v>
      </c>
      <c r="U337" s="39" t="n">
        <f aca="false">IF(R337="","",IF(F337="BUY",R337-S337,S337-R337))</f>
        <v>0.00999999999999091</v>
      </c>
      <c r="V337" s="39" t="n">
        <f aca="false">IF(F337="BUY",S337-J337,J337-S337)</f>
        <v>0.490000000000009</v>
      </c>
      <c r="W337" s="6" t="n">
        <v>3.43</v>
      </c>
      <c r="X337" s="26" t="n">
        <f aca="false">IFERROR(W337/N337,0)</f>
        <v>0.0816666666666667</v>
      </c>
      <c r="Y337" s="22" t="str">
        <f aca="false">IF(W337&gt;0,"Win",IF(W337&lt;0,"Loss","Flat"))</f>
        <v>Win</v>
      </c>
      <c r="Z337" s="24" t="n">
        <f aca="false">Summary!$C$5+SUM(W$2:W337)</f>
        <v>4629.54</v>
      </c>
      <c r="AA337" s="24" t="n">
        <f aca="false">MAX(AA336,Z337)</f>
        <v>5000</v>
      </c>
      <c r="AB337" s="24" t="n">
        <f aca="false">AA337-Z337</f>
        <v>370.46</v>
      </c>
      <c r="AC337" s="23" t="n">
        <f aca="false">IFERROR(AB337/AA337,0)</f>
        <v>0.074092</v>
      </c>
      <c r="AD337" s="22" t="s">
        <v>574</v>
      </c>
    </row>
    <row r="338" customFormat="false" ht="15" hidden="false" customHeight="false" outlineLevel="0" collapsed="false">
      <c r="A338" s="22" t="n">
        <v>337</v>
      </c>
      <c r="B338" s="22" t="s">
        <v>129</v>
      </c>
      <c r="C338" s="37" t="n">
        <v>44951.8538078704</v>
      </c>
      <c r="D338" s="22" t="s">
        <v>204</v>
      </c>
      <c r="E338" s="22" t="n">
        <v>20</v>
      </c>
      <c r="F338" s="22" t="s">
        <v>181</v>
      </c>
      <c r="G338" s="22" t="s">
        <v>243</v>
      </c>
      <c r="H338" s="22" t="n">
        <v>0.07</v>
      </c>
      <c r="I338" s="38" t="n">
        <v>1942.35</v>
      </c>
      <c r="J338" s="38" t="n">
        <v>1942.35</v>
      </c>
      <c r="K338" s="39" t="n">
        <f aca="false">IF(F338="BUY",J338-I338,I338-J338)</f>
        <v>0</v>
      </c>
      <c r="L338" s="38" t="n">
        <v>1936.35</v>
      </c>
      <c r="M338" s="39" t="n">
        <f aca="false">ABS(I338-L338)</f>
        <v>6</v>
      </c>
      <c r="N338" s="24" t="n">
        <f aca="false">M338*H338*Summary!$C$6</f>
        <v>42</v>
      </c>
      <c r="O338" s="37" t="n">
        <v>44951.9270833333</v>
      </c>
      <c r="P338" s="22" t="n">
        <f aca="false">ROUND((O338-C338)*86400,0)</f>
        <v>6331</v>
      </c>
      <c r="Q338" s="22" t="str">
        <f aca="false">IF(P338&lt;10,"a) &lt;10s",IF(P338&lt;60,"b) 10-60s",IF(P338&lt;600,"c) 1-10min","d) &gt;10min")))</f>
        <v>d) &gt;10min</v>
      </c>
      <c r="R338" s="38"/>
      <c r="S338" s="38" t="n">
        <v>1944.55</v>
      </c>
      <c r="T338" s="22" t="s">
        <v>191</v>
      </c>
      <c r="U338" s="39" t="str">
        <f aca="false">IF(R338="","",IF(F338="BUY",R338-S338,S338-R338))</f>
        <v/>
      </c>
      <c r="V338" s="39" t="n">
        <f aca="false">IF(F338="BUY",S338-J338,J338-S338)</f>
        <v>2.20000000000005</v>
      </c>
      <c r="W338" s="6" t="n">
        <v>15.4</v>
      </c>
      <c r="X338" s="26" t="n">
        <f aca="false">IFERROR(W338/N338,0)</f>
        <v>0.366666666666667</v>
      </c>
      <c r="Y338" s="22" t="str">
        <f aca="false">IF(W338&gt;0,"Win",IF(W338&lt;0,"Loss","Flat"))</f>
        <v>Win</v>
      </c>
      <c r="Z338" s="24" t="n">
        <f aca="false">Summary!$C$5+SUM(W$2:W338)</f>
        <v>4644.94</v>
      </c>
      <c r="AA338" s="24" t="n">
        <f aca="false">MAX(AA337,Z338)</f>
        <v>5000</v>
      </c>
      <c r="AB338" s="24" t="n">
        <f aca="false">AA338-Z338</f>
        <v>355.06</v>
      </c>
      <c r="AC338" s="23" t="n">
        <f aca="false">IFERROR(AB338/AA338,0)</f>
        <v>0.0710120000000001</v>
      </c>
      <c r="AD338" s="22" t="s">
        <v>575</v>
      </c>
    </row>
    <row r="339" customFormat="false" ht="15" hidden="false" customHeight="false" outlineLevel="0" collapsed="false">
      <c r="A339" s="22" t="n">
        <v>338</v>
      </c>
      <c r="B339" s="22" t="s">
        <v>129</v>
      </c>
      <c r="C339" s="37" t="n">
        <v>44952.3759837963</v>
      </c>
      <c r="D339" s="22" t="s">
        <v>205</v>
      </c>
      <c r="E339" s="22" t="n">
        <v>9</v>
      </c>
      <c r="F339" s="22" t="s">
        <v>182</v>
      </c>
      <c r="G339" s="22" t="s">
        <v>241</v>
      </c>
      <c r="H339" s="22" t="n">
        <v>0.07</v>
      </c>
      <c r="I339" s="38" t="n">
        <v>1944.69</v>
      </c>
      <c r="J339" s="38" t="n">
        <v>1944.68</v>
      </c>
      <c r="K339" s="39" t="n">
        <f aca="false">IF(F339="BUY",J339-I339,I339-J339)</f>
        <v>0.00999999999999091</v>
      </c>
      <c r="L339" s="38" t="n">
        <v>1950.69</v>
      </c>
      <c r="M339" s="39" t="n">
        <f aca="false">ABS(I339-L339)</f>
        <v>6</v>
      </c>
      <c r="N339" s="24" t="n">
        <f aca="false">M339*H339*Summary!$C$6</f>
        <v>42</v>
      </c>
      <c r="O339" s="37" t="n">
        <v>44952.4376967593</v>
      </c>
      <c r="P339" s="22" t="n">
        <f aca="false">ROUND((O339-C339)*86400,0)</f>
        <v>5332</v>
      </c>
      <c r="Q339" s="22" t="str">
        <f aca="false">IF(P339&lt;10,"a) &lt;10s",IF(P339&lt;60,"b) 10-60s",IF(P339&lt;600,"c) 1-10min","d) &gt;10min")))</f>
        <v>d) &gt;10min</v>
      </c>
      <c r="R339" s="38" t="n">
        <v>1944.18</v>
      </c>
      <c r="S339" s="38" t="n">
        <v>1944.18</v>
      </c>
      <c r="T339" s="22" t="s">
        <v>189</v>
      </c>
      <c r="U339" s="39" t="n">
        <f aca="false">IF(R339="","",IF(F339="BUY",R339-S339,S339-R339))</f>
        <v>0</v>
      </c>
      <c r="V339" s="39" t="n">
        <f aca="false">IF(F339="BUY",S339-J339,J339-S339)</f>
        <v>0.5</v>
      </c>
      <c r="W339" s="6" t="n">
        <v>3.5</v>
      </c>
      <c r="X339" s="26" t="n">
        <f aca="false">IFERROR(W339/N339,0)</f>
        <v>0.0833333333333333</v>
      </c>
      <c r="Y339" s="22" t="str">
        <f aca="false">IF(W339&gt;0,"Win",IF(W339&lt;0,"Loss","Flat"))</f>
        <v>Win</v>
      </c>
      <c r="Z339" s="24" t="n">
        <f aca="false">Summary!$C$5+SUM(W$2:W339)</f>
        <v>4648.44</v>
      </c>
      <c r="AA339" s="24" t="n">
        <f aca="false">MAX(AA338,Z339)</f>
        <v>5000</v>
      </c>
      <c r="AB339" s="24" t="n">
        <f aca="false">AA339-Z339</f>
        <v>351.56</v>
      </c>
      <c r="AC339" s="23" t="n">
        <f aca="false">IFERROR(AB339/AA339,0)</f>
        <v>0.0703120000000001</v>
      </c>
      <c r="AD339" s="22" t="s">
        <v>576</v>
      </c>
    </row>
    <row r="340" customFormat="false" ht="15" hidden="false" customHeight="false" outlineLevel="0" collapsed="false">
      <c r="A340" s="22" t="n">
        <v>339</v>
      </c>
      <c r="B340" s="22" t="s">
        <v>129</v>
      </c>
      <c r="C340" s="37" t="n">
        <v>44952.7672453704</v>
      </c>
      <c r="D340" s="22" t="s">
        <v>205</v>
      </c>
      <c r="E340" s="22" t="n">
        <v>18</v>
      </c>
      <c r="F340" s="22" t="s">
        <v>182</v>
      </c>
      <c r="G340" s="22" t="s">
        <v>237</v>
      </c>
      <c r="H340" s="22" t="n">
        <v>0.07</v>
      </c>
      <c r="I340" s="38" t="n">
        <v>1919.7</v>
      </c>
      <c r="J340" s="38" t="n">
        <v>1918.8</v>
      </c>
      <c r="K340" s="39" t="n">
        <f aca="false">IF(F340="BUY",J340-I340,I340-J340)</f>
        <v>0.900000000000091</v>
      </c>
      <c r="L340" s="38" t="n">
        <v>1925.7</v>
      </c>
      <c r="M340" s="39" t="n">
        <f aca="false">ABS(I340-L340)</f>
        <v>6</v>
      </c>
      <c r="N340" s="24" t="n">
        <f aca="false">M340*H340*Summary!$C$6</f>
        <v>42</v>
      </c>
      <c r="O340" s="37" t="n">
        <v>44952.7701388889</v>
      </c>
      <c r="P340" s="22" t="n">
        <f aca="false">ROUND((O340-C340)*86400,0)</f>
        <v>250</v>
      </c>
      <c r="Q340" s="22" t="str">
        <f aca="false">IF(P340&lt;10,"a) &lt;10s",IF(P340&lt;60,"b) 10-60s",IF(P340&lt;600,"c) 1-10min","d) &gt;10min")))</f>
        <v>c) 1-10min</v>
      </c>
      <c r="R340" s="38" t="n">
        <v>1925.7</v>
      </c>
      <c r="S340" s="38" t="n">
        <v>1925.7</v>
      </c>
      <c r="T340" s="22" t="s">
        <v>188</v>
      </c>
      <c r="U340" s="39" t="n">
        <f aca="false">IF(R340="","",IF(F340="BUY",R340-S340,S340-R340))</f>
        <v>0</v>
      </c>
      <c r="V340" s="39" t="n">
        <f aca="false">IF(F340="BUY",S340-J340,J340-S340)</f>
        <v>-6.90000000000009</v>
      </c>
      <c r="W340" s="6" t="n">
        <v>-48.3</v>
      </c>
      <c r="X340" s="26" t="n">
        <f aca="false">IFERROR(W340/N340,0)</f>
        <v>-1.15</v>
      </c>
      <c r="Y340" s="22" t="str">
        <f aca="false">IF(W340&gt;0,"Win",IF(W340&lt;0,"Loss","Flat"))</f>
        <v>Loss</v>
      </c>
      <c r="Z340" s="24" t="n">
        <f aca="false">Summary!$C$5+SUM(W$2:W340)</f>
        <v>4600.14</v>
      </c>
      <c r="AA340" s="24" t="n">
        <f aca="false">MAX(AA339,Z340)</f>
        <v>5000</v>
      </c>
      <c r="AB340" s="24" t="n">
        <f aca="false">AA340-Z340</f>
        <v>399.86</v>
      </c>
      <c r="AC340" s="23" t="n">
        <f aca="false">IFERROR(AB340/AA340,0)</f>
        <v>0.0799719999999999</v>
      </c>
      <c r="AD340" s="22" t="s">
        <v>577</v>
      </c>
    </row>
    <row r="341" customFormat="false" ht="15" hidden="false" customHeight="false" outlineLevel="0" collapsed="false">
      <c r="A341" s="22" t="n">
        <v>340</v>
      </c>
      <c r="B341" s="22" t="s">
        <v>129</v>
      </c>
      <c r="C341" s="37" t="n">
        <v>44953.3902199074</v>
      </c>
      <c r="D341" s="22" t="s">
        <v>206</v>
      </c>
      <c r="E341" s="22" t="n">
        <v>9</v>
      </c>
      <c r="F341" s="22" t="s">
        <v>181</v>
      </c>
      <c r="G341" s="22" t="s">
        <v>235</v>
      </c>
      <c r="H341" s="22" t="n">
        <v>0.07</v>
      </c>
      <c r="I341" s="38" t="n">
        <v>1925.64</v>
      </c>
      <c r="J341" s="38" t="n">
        <v>1925.64</v>
      </c>
      <c r="K341" s="39" t="n">
        <f aca="false">IF(F341="BUY",J341-I341,I341-J341)</f>
        <v>0</v>
      </c>
      <c r="L341" s="38" t="n">
        <v>1919.64</v>
      </c>
      <c r="M341" s="39" t="n">
        <f aca="false">ABS(I341-L341)</f>
        <v>6</v>
      </c>
      <c r="N341" s="24" t="n">
        <f aca="false">M341*H341*Summary!$C$6</f>
        <v>42</v>
      </c>
      <c r="O341" s="37" t="n">
        <v>44953.4895486111</v>
      </c>
      <c r="P341" s="22" t="n">
        <f aca="false">ROUND((O341-C341)*86400,0)</f>
        <v>8582</v>
      </c>
      <c r="Q341" s="22" t="str">
        <f aca="false">IF(P341&lt;10,"a) &lt;10s",IF(P341&lt;60,"b) 10-60s",IF(P341&lt;600,"c) 1-10min","d) &gt;10min")))</f>
        <v>d) &gt;10min</v>
      </c>
      <c r="R341" s="38" t="n">
        <v>1926.14</v>
      </c>
      <c r="S341" s="38" t="n">
        <v>1926.14</v>
      </c>
      <c r="T341" s="22" t="s">
        <v>189</v>
      </c>
      <c r="U341" s="39" t="n">
        <f aca="false">IF(R341="","",IF(F341="BUY",R341-S341,S341-R341))</f>
        <v>0</v>
      </c>
      <c r="V341" s="39" t="n">
        <f aca="false">IF(F341="BUY",S341-J341,J341-S341)</f>
        <v>0.5</v>
      </c>
      <c r="W341" s="6" t="n">
        <v>3.5</v>
      </c>
      <c r="X341" s="26" t="n">
        <f aca="false">IFERROR(W341/N341,0)</f>
        <v>0.0833333333333333</v>
      </c>
      <c r="Y341" s="22" t="str">
        <f aca="false">IF(W341&gt;0,"Win",IF(W341&lt;0,"Loss","Flat"))</f>
        <v>Win</v>
      </c>
      <c r="Z341" s="24" t="n">
        <f aca="false">Summary!$C$5+SUM(W$2:W341)</f>
        <v>4603.64</v>
      </c>
      <c r="AA341" s="24" t="n">
        <f aca="false">MAX(AA340,Z341)</f>
        <v>5000</v>
      </c>
      <c r="AB341" s="24" t="n">
        <f aca="false">AA341-Z341</f>
        <v>396.36</v>
      </c>
      <c r="AC341" s="23" t="n">
        <f aca="false">IFERROR(AB341/AA341,0)</f>
        <v>0.0792719999999999</v>
      </c>
      <c r="AD341" s="22" t="s">
        <v>578</v>
      </c>
    </row>
    <row r="342" customFormat="false" ht="15" hidden="false" customHeight="false" outlineLevel="0" collapsed="false">
      <c r="A342" s="22" t="n">
        <v>341</v>
      </c>
      <c r="B342" s="22" t="s">
        <v>129</v>
      </c>
      <c r="C342" s="37" t="n">
        <v>44953.7420949074</v>
      </c>
      <c r="D342" s="22" t="s">
        <v>206</v>
      </c>
      <c r="E342" s="22" t="n">
        <v>17</v>
      </c>
      <c r="F342" s="22" t="s">
        <v>182</v>
      </c>
      <c r="G342" s="22" t="s">
        <v>237</v>
      </c>
      <c r="H342" s="22" t="n">
        <v>0.07</v>
      </c>
      <c r="I342" s="38" t="n">
        <v>1918.63</v>
      </c>
      <c r="J342" s="38" t="n">
        <v>1918.33</v>
      </c>
      <c r="K342" s="39" t="n">
        <f aca="false">IF(F342="BUY",J342-I342,I342-J342)</f>
        <v>0.300000000000182</v>
      </c>
      <c r="L342" s="38" t="n">
        <v>1924.63</v>
      </c>
      <c r="M342" s="39" t="n">
        <f aca="false">ABS(I342-L342)</f>
        <v>6</v>
      </c>
      <c r="N342" s="24" t="n">
        <f aca="false">M342*H342*Summary!$C$6</f>
        <v>42</v>
      </c>
      <c r="O342" s="37" t="n">
        <v>44953.7486805556</v>
      </c>
      <c r="P342" s="22" t="n">
        <f aca="false">ROUND((O342-C342)*86400,0)</f>
        <v>569</v>
      </c>
      <c r="Q342" s="22" t="str">
        <f aca="false">IF(P342&lt;10,"a) &lt;10s",IF(P342&lt;60,"b) 10-60s",IF(P342&lt;600,"c) 1-10min","d) &gt;10min")))</f>
        <v>c) 1-10min</v>
      </c>
      <c r="R342" s="38" t="n">
        <v>1924.63</v>
      </c>
      <c r="S342" s="38" t="n">
        <v>1924.82</v>
      </c>
      <c r="T342" s="22" t="s">
        <v>188</v>
      </c>
      <c r="U342" s="39" t="n">
        <f aca="false">IF(R342="","",IF(F342="BUY",R342-S342,S342-R342))</f>
        <v>0.189999999999827</v>
      </c>
      <c r="V342" s="39" t="n">
        <f aca="false">IF(F342="BUY",S342-J342,J342-S342)</f>
        <v>-6.49000000000001</v>
      </c>
      <c r="W342" s="6" t="n">
        <v>-45.43</v>
      </c>
      <c r="X342" s="26" t="n">
        <f aca="false">IFERROR(W342/N342,0)</f>
        <v>-1.08166666666667</v>
      </c>
      <c r="Y342" s="22" t="str">
        <f aca="false">IF(W342&gt;0,"Win",IF(W342&lt;0,"Loss","Flat"))</f>
        <v>Loss</v>
      </c>
      <c r="Z342" s="24" t="n">
        <f aca="false">Summary!$C$5+SUM(W$2:W342)</f>
        <v>4558.21</v>
      </c>
      <c r="AA342" s="24" t="n">
        <f aca="false">MAX(AA341,Z342)</f>
        <v>5000</v>
      </c>
      <c r="AB342" s="24" t="n">
        <f aca="false">AA342-Z342</f>
        <v>441.79</v>
      </c>
      <c r="AC342" s="23" t="n">
        <f aca="false">IFERROR(AB342/AA342,0)</f>
        <v>0.088358</v>
      </c>
      <c r="AD342" s="22" t="s">
        <v>579</v>
      </c>
    </row>
    <row r="343" customFormat="false" ht="15" hidden="false" customHeight="false" outlineLevel="0" collapsed="false">
      <c r="A343" s="22" t="n">
        <v>342</v>
      </c>
      <c r="B343" s="22" t="s">
        <v>129</v>
      </c>
      <c r="C343" s="37" t="n">
        <v>44956.3894212963</v>
      </c>
      <c r="D343" s="22" t="s">
        <v>202</v>
      </c>
      <c r="E343" s="22" t="n">
        <v>9</v>
      </c>
      <c r="F343" s="22" t="s">
        <v>182</v>
      </c>
      <c r="G343" s="22" t="s">
        <v>241</v>
      </c>
      <c r="H343" s="22" t="n">
        <v>0.07</v>
      </c>
      <c r="I343" s="38" t="n">
        <v>1929.22</v>
      </c>
      <c r="J343" s="38" t="n">
        <v>1929.18</v>
      </c>
      <c r="K343" s="39" t="n">
        <f aca="false">IF(F343="BUY",J343-I343,I343-J343)</f>
        <v>0.0399999999999636</v>
      </c>
      <c r="L343" s="38" t="n">
        <v>1935.22</v>
      </c>
      <c r="M343" s="39" t="n">
        <f aca="false">ABS(I343-L343)</f>
        <v>6</v>
      </c>
      <c r="N343" s="24" t="n">
        <f aca="false">M343*H343*Summary!$C$6</f>
        <v>42</v>
      </c>
      <c r="O343" s="37" t="n">
        <v>44956.3922916667</v>
      </c>
      <c r="P343" s="22" t="n">
        <f aca="false">ROUND((O343-C343)*86400,0)</f>
        <v>248</v>
      </c>
      <c r="Q343" s="22" t="str">
        <f aca="false">IF(P343&lt;10,"a) &lt;10s",IF(P343&lt;60,"b) 10-60s",IF(P343&lt;600,"c) 1-10min","d) &gt;10min")))</f>
        <v>c) 1-10min</v>
      </c>
      <c r="R343" s="38" t="n">
        <v>1928.68</v>
      </c>
      <c r="S343" s="38" t="n">
        <v>1928.68</v>
      </c>
      <c r="T343" s="22" t="s">
        <v>189</v>
      </c>
      <c r="U343" s="39" t="n">
        <f aca="false">IF(R343="","",IF(F343="BUY",R343-S343,S343-R343))</f>
        <v>0</v>
      </c>
      <c r="V343" s="39" t="n">
        <f aca="false">IF(F343="BUY",S343-J343,J343-S343)</f>
        <v>0.5</v>
      </c>
      <c r="W343" s="6" t="n">
        <v>3.5</v>
      </c>
      <c r="X343" s="26" t="n">
        <f aca="false">IFERROR(W343/N343,0)</f>
        <v>0.0833333333333333</v>
      </c>
      <c r="Y343" s="22" t="str">
        <f aca="false">IF(W343&gt;0,"Win",IF(W343&lt;0,"Loss","Flat"))</f>
        <v>Win</v>
      </c>
      <c r="Z343" s="24" t="n">
        <f aca="false">Summary!$C$5+SUM(W$2:W343)</f>
        <v>4561.71</v>
      </c>
      <c r="AA343" s="24" t="n">
        <f aca="false">MAX(AA342,Z343)</f>
        <v>5000</v>
      </c>
      <c r="AB343" s="24" t="n">
        <f aca="false">AA343-Z343</f>
        <v>438.29</v>
      </c>
      <c r="AC343" s="23" t="n">
        <f aca="false">IFERROR(AB343/AA343,0)</f>
        <v>0.087658</v>
      </c>
      <c r="AD343" s="22" t="s">
        <v>580</v>
      </c>
    </row>
    <row r="344" customFormat="false" ht="15" hidden="false" customHeight="false" outlineLevel="0" collapsed="false">
      <c r="A344" s="22" t="n">
        <v>343</v>
      </c>
      <c r="B344" s="22" t="s">
        <v>129</v>
      </c>
      <c r="C344" s="37" t="n">
        <v>44957.260775463</v>
      </c>
      <c r="D344" s="22" t="s">
        <v>203</v>
      </c>
      <c r="E344" s="22" t="n">
        <v>6</v>
      </c>
      <c r="F344" s="22" t="s">
        <v>182</v>
      </c>
      <c r="G344" s="22" t="s">
        <v>237</v>
      </c>
      <c r="H344" s="22" t="n">
        <v>0.07</v>
      </c>
      <c r="I344" s="38" t="n">
        <v>1920.59</v>
      </c>
      <c r="J344" s="38" t="n">
        <v>1920.57</v>
      </c>
      <c r="K344" s="39" t="n">
        <f aca="false">IF(F344="BUY",J344-I344,I344-J344)</f>
        <v>0.0199999999999818</v>
      </c>
      <c r="L344" s="38" t="n">
        <v>1926.59</v>
      </c>
      <c r="M344" s="39" t="n">
        <f aca="false">ABS(I344-L344)</f>
        <v>6</v>
      </c>
      <c r="N344" s="24" t="n">
        <f aca="false">M344*H344*Summary!$C$6</f>
        <v>42</v>
      </c>
      <c r="O344" s="37" t="n">
        <v>44957.6648611111</v>
      </c>
      <c r="P344" s="22" t="n">
        <f aca="false">ROUND((O344-C344)*86400,0)</f>
        <v>34913</v>
      </c>
      <c r="Q344" s="22" t="str">
        <f aca="false">IF(P344&lt;10,"a) &lt;10s",IF(P344&lt;60,"b) 10-60s",IF(P344&lt;600,"c) 1-10min","d) &gt;10min")))</f>
        <v>d) &gt;10min</v>
      </c>
      <c r="R344" s="38" t="n">
        <v>1920.07</v>
      </c>
      <c r="S344" s="38" t="n">
        <v>1920.15</v>
      </c>
      <c r="T344" s="22" t="s">
        <v>189</v>
      </c>
      <c r="U344" s="39" t="n">
        <f aca="false">IF(R344="","",IF(F344="BUY",R344-S344,S344-R344))</f>
        <v>0.0800000000001546</v>
      </c>
      <c r="V344" s="39" t="n">
        <f aca="false">IF(F344="BUY",S344-J344,J344-S344)</f>
        <v>0.419999999999845</v>
      </c>
      <c r="W344" s="6" t="n">
        <v>2.94</v>
      </c>
      <c r="X344" s="26" t="n">
        <f aca="false">IFERROR(W344/N344,0)</f>
        <v>0.07</v>
      </c>
      <c r="Y344" s="22" t="str">
        <f aca="false">IF(W344&gt;0,"Win",IF(W344&lt;0,"Loss","Flat"))</f>
        <v>Win</v>
      </c>
      <c r="Z344" s="24" t="n">
        <f aca="false">Summary!$C$5+SUM(W$2:W344)</f>
        <v>4564.65</v>
      </c>
      <c r="AA344" s="24" t="n">
        <f aca="false">MAX(AA343,Z344)</f>
        <v>5000</v>
      </c>
      <c r="AB344" s="24" t="n">
        <f aca="false">AA344-Z344</f>
        <v>435.35</v>
      </c>
      <c r="AC344" s="23" t="n">
        <f aca="false">IFERROR(AB344/AA344,0)</f>
        <v>0.0870700000000001</v>
      </c>
      <c r="AD344" s="22" t="s">
        <v>581</v>
      </c>
    </row>
    <row r="345" customFormat="false" ht="15" hidden="false" customHeight="false" outlineLevel="0" collapsed="false">
      <c r="A345" s="22" t="n">
        <v>344</v>
      </c>
      <c r="B345" s="22" t="s">
        <v>129</v>
      </c>
      <c r="C345" s="37" t="n">
        <v>44957.6670486111</v>
      </c>
      <c r="D345" s="22" t="s">
        <v>203</v>
      </c>
      <c r="E345" s="22" t="n">
        <v>16</v>
      </c>
      <c r="F345" s="22" t="s">
        <v>181</v>
      </c>
      <c r="G345" s="22" t="s">
        <v>235</v>
      </c>
      <c r="H345" s="22" t="n">
        <v>0.07</v>
      </c>
      <c r="I345" s="38" t="n">
        <v>1921.16</v>
      </c>
      <c r="J345" s="38" t="n">
        <v>1921.17</v>
      </c>
      <c r="K345" s="39" t="n">
        <f aca="false">IF(F345="BUY",J345-I345,I345-J345)</f>
        <v>0.00999999999999091</v>
      </c>
      <c r="L345" s="38" t="n">
        <v>1915.16</v>
      </c>
      <c r="M345" s="39" t="n">
        <f aca="false">ABS(I345-L345)</f>
        <v>6</v>
      </c>
      <c r="N345" s="24" t="n">
        <f aca="false">M345*H345*Summary!$C$6</f>
        <v>42</v>
      </c>
      <c r="O345" s="37" t="n">
        <v>44957.6895833333</v>
      </c>
      <c r="P345" s="22" t="n">
        <f aca="false">ROUND((O345-C345)*86400,0)</f>
        <v>1947</v>
      </c>
      <c r="Q345" s="22" t="str">
        <f aca="false">IF(P345&lt;10,"a) &lt;10s",IF(P345&lt;60,"b) 10-60s",IF(P345&lt;600,"c) 1-10min","d) &gt;10min")))</f>
        <v>d) &gt;10min</v>
      </c>
      <c r="R345" s="38" t="n">
        <v>1921.67</v>
      </c>
      <c r="S345" s="38" t="n">
        <v>1921.66</v>
      </c>
      <c r="T345" s="22" t="s">
        <v>189</v>
      </c>
      <c r="U345" s="39" t="n">
        <f aca="false">IF(R345="","",IF(F345="BUY",R345-S345,S345-R345))</f>
        <v>0.00999999999999091</v>
      </c>
      <c r="V345" s="39" t="n">
        <f aca="false">IF(F345="BUY",S345-J345,J345-S345)</f>
        <v>0.490000000000009</v>
      </c>
      <c r="W345" s="6" t="n">
        <v>3.43</v>
      </c>
      <c r="X345" s="26" t="n">
        <f aca="false">IFERROR(W345/N345,0)</f>
        <v>0.0816666666666667</v>
      </c>
      <c r="Y345" s="22" t="str">
        <f aca="false">IF(W345&gt;0,"Win",IF(W345&lt;0,"Loss","Flat"))</f>
        <v>Win</v>
      </c>
      <c r="Z345" s="24" t="n">
        <f aca="false">Summary!$C$5+SUM(W$2:W345)</f>
        <v>4568.08</v>
      </c>
      <c r="AA345" s="24" t="n">
        <f aca="false">MAX(AA344,Z345)</f>
        <v>5000</v>
      </c>
      <c r="AB345" s="24" t="n">
        <f aca="false">AA345-Z345</f>
        <v>431.92</v>
      </c>
      <c r="AC345" s="23" t="n">
        <f aca="false">IFERROR(AB345/AA345,0)</f>
        <v>0.086384</v>
      </c>
      <c r="AD345" s="22" t="s">
        <v>582</v>
      </c>
    </row>
    <row r="346" customFormat="false" ht="15" hidden="false" customHeight="false" outlineLevel="0" collapsed="false">
      <c r="A346" s="22" t="n">
        <v>345</v>
      </c>
      <c r="B346" s="22" t="s">
        <v>130</v>
      </c>
      <c r="C346" s="37" t="n">
        <v>44958.376712963</v>
      </c>
      <c r="D346" s="22" t="s">
        <v>204</v>
      </c>
      <c r="E346" s="22" t="n">
        <v>9</v>
      </c>
      <c r="F346" s="22" t="s">
        <v>181</v>
      </c>
      <c r="G346" s="22" t="s">
        <v>235</v>
      </c>
      <c r="H346" s="22" t="n">
        <v>0.07</v>
      </c>
      <c r="I346" s="38" t="n">
        <v>1928.15</v>
      </c>
      <c r="J346" s="38" t="n">
        <v>1928.19</v>
      </c>
      <c r="K346" s="39" t="n">
        <f aca="false">IF(F346="BUY",J346-I346,I346-J346)</f>
        <v>0.0399999999999636</v>
      </c>
      <c r="L346" s="38" t="n">
        <v>1922.15</v>
      </c>
      <c r="M346" s="39" t="n">
        <f aca="false">ABS(I346-L346)</f>
        <v>6</v>
      </c>
      <c r="N346" s="24" t="n">
        <f aca="false">M346*H346*Summary!$C$6</f>
        <v>42</v>
      </c>
      <c r="O346" s="37" t="n">
        <v>44958.6036458333</v>
      </c>
      <c r="P346" s="22" t="n">
        <f aca="false">ROUND((O346-C346)*86400,0)</f>
        <v>19607</v>
      </c>
      <c r="Q346" s="22" t="str">
        <f aca="false">IF(P346&lt;10,"a) &lt;10s",IF(P346&lt;60,"b) 10-60s",IF(P346&lt;600,"c) 1-10min","d) &gt;10min")))</f>
        <v>d) &gt;10min</v>
      </c>
      <c r="R346" s="38" t="n">
        <v>1928.69</v>
      </c>
      <c r="S346" s="38" t="n">
        <v>1928.69</v>
      </c>
      <c r="T346" s="22" t="s">
        <v>189</v>
      </c>
      <c r="U346" s="39" t="n">
        <f aca="false">IF(R346="","",IF(F346="BUY",R346-S346,S346-R346))</f>
        <v>0</v>
      </c>
      <c r="V346" s="39" t="n">
        <f aca="false">IF(F346="BUY",S346-J346,J346-S346)</f>
        <v>0.5</v>
      </c>
      <c r="W346" s="6" t="n">
        <v>3.5</v>
      </c>
      <c r="X346" s="26" t="n">
        <f aca="false">IFERROR(W346/N346,0)</f>
        <v>0.0833333333333333</v>
      </c>
      <c r="Y346" s="22" t="str">
        <f aca="false">IF(W346&gt;0,"Win",IF(W346&lt;0,"Loss","Flat"))</f>
        <v>Win</v>
      </c>
      <c r="Z346" s="24" t="n">
        <f aca="false">Summary!$C$5+SUM(W$2:W346)</f>
        <v>4571.58</v>
      </c>
      <c r="AA346" s="24" t="n">
        <f aca="false">MAX(AA345,Z346)</f>
        <v>5000</v>
      </c>
      <c r="AB346" s="24" t="n">
        <f aca="false">AA346-Z346</f>
        <v>428.42</v>
      </c>
      <c r="AC346" s="23" t="n">
        <f aca="false">IFERROR(AB346/AA346,0)</f>
        <v>0.085684</v>
      </c>
      <c r="AD346" s="22" t="s">
        <v>583</v>
      </c>
    </row>
    <row r="347" customFormat="false" ht="15" hidden="false" customHeight="false" outlineLevel="0" collapsed="false">
      <c r="A347" s="22" t="n">
        <v>346</v>
      </c>
      <c r="B347" s="22" t="s">
        <v>130</v>
      </c>
      <c r="C347" s="37" t="n">
        <v>44959.3766782407</v>
      </c>
      <c r="D347" s="22" t="s">
        <v>205</v>
      </c>
      <c r="E347" s="22" t="n">
        <v>9</v>
      </c>
      <c r="F347" s="22" t="s">
        <v>181</v>
      </c>
      <c r="G347" s="22" t="s">
        <v>235</v>
      </c>
      <c r="H347" s="22" t="n">
        <v>0.07</v>
      </c>
      <c r="I347" s="38" t="n">
        <v>1954.35</v>
      </c>
      <c r="J347" s="38" t="n">
        <v>1954.38</v>
      </c>
      <c r="K347" s="39" t="n">
        <f aca="false">IF(F347="BUY",J347-I347,I347-J347)</f>
        <v>0.0300000000002001</v>
      </c>
      <c r="L347" s="38" t="n">
        <v>1948.35</v>
      </c>
      <c r="M347" s="39" t="n">
        <f aca="false">ABS(I347-L347)</f>
        <v>6</v>
      </c>
      <c r="N347" s="24" t="n">
        <f aca="false">M347*H347*Summary!$C$6</f>
        <v>42</v>
      </c>
      <c r="O347" s="37" t="n">
        <v>44959.4066319445</v>
      </c>
      <c r="P347" s="22" t="n">
        <f aca="false">ROUND((O347-C347)*86400,0)</f>
        <v>2588</v>
      </c>
      <c r="Q347" s="22" t="str">
        <f aca="false">IF(P347&lt;10,"a) &lt;10s",IF(P347&lt;60,"b) 10-60s",IF(P347&lt;600,"c) 1-10min","d) &gt;10min")))</f>
        <v>d) &gt;10min</v>
      </c>
      <c r="R347" s="38" t="n">
        <v>1954.88</v>
      </c>
      <c r="S347" s="38" t="n">
        <v>1954.87</v>
      </c>
      <c r="T347" s="22" t="s">
        <v>189</v>
      </c>
      <c r="U347" s="39" t="n">
        <f aca="false">IF(R347="","",IF(F347="BUY",R347-S347,S347-R347))</f>
        <v>0.0100000000002183</v>
      </c>
      <c r="V347" s="39" t="n">
        <f aca="false">IF(F347="BUY",S347-J347,J347-S347)</f>
        <v>0.489999999999782</v>
      </c>
      <c r="W347" s="6" t="n">
        <v>3.43</v>
      </c>
      <c r="X347" s="26" t="n">
        <f aca="false">IFERROR(W347/N347,0)</f>
        <v>0.0816666666666667</v>
      </c>
      <c r="Y347" s="22" t="str">
        <f aca="false">IF(W347&gt;0,"Win",IF(W347&lt;0,"Loss","Flat"))</f>
        <v>Win</v>
      </c>
      <c r="Z347" s="24" t="n">
        <f aca="false">Summary!$C$5+SUM(W$2:W347)</f>
        <v>4575.01</v>
      </c>
      <c r="AA347" s="24" t="n">
        <f aca="false">MAX(AA346,Z347)</f>
        <v>5000</v>
      </c>
      <c r="AB347" s="24" t="n">
        <f aca="false">AA347-Z347</f>
        <v>424.99</v>
      </c>
      <c r="AC347" s="23" t="n">
        <f aca="false">IFERROR(AB347/AA347,0)</f>
        <v>0.084998</v>
      </c>
      <c r="AD347" s="22" t="s">
        <v>584</v>
      </c>
    </row>
    <row r="348" customFormat="false" ht="15" hidden="false" customHeight="false" outlineLevel="0" collapsed="false">
      <c r="A348" s="22" t="n">
        <v>347</v>
      </c>
      <c r="B348" s="22" t="s">
        <v>130</v>
      </c>
      <c r="C348" s="37" t="n">
        <v>44959.7083564815</v>
      </c>
      <c r="D348" s="22" t="s">
        <v>205</v>
      </c>
      <c r="E348" s="22" t="n">
        <v>17</v>
      </c>
      <c r="F348" s="22" t="s">
        <v>182</v>
      </c>
      <c r="G348" s="22" t="s">
        <v>237</v>
      </c>
      <c r="H348" s="22" t="n">
        <v>0.07</v>
      </c>
      <c r="I348" s="38" t="n">
        <v>1920.44</v>
      </c>
      <c r="J348" s="38" t="n">
        <v>1920.13</v>
      </c>
      <c r="K348" s="39" t="n">
        <f aca="false">IF(F348="BUY",J348-I348,I348-J348)</f>
        <v>0.309999999999945</v>
      </c>
      <c r="L348" s="38" t="n">
        <v>1926.44</v>
      </c>
      <c r="M348" s="39" t="n">
        <f aca="false">ABS(I348-L348)</f>
        <v>6</v>
      </c>
      <c r="N348" s="24" t="n">
        <f aca="false">M348*H348*Summary!$C$6</f>
        <v>42</v>
      </c>
      <c r="O348" s="37" t="n">
        <v>44959.7156018519</v>
      </c>
      <c r="P348" s="22" t="n">
        <f aca="false">ROUND((O348-C348)*86400,0)</f>
        <v>626</v>
      </c>
      <c r="Q348" s="22" t="str">
        <f aca="false">IF(P348&lt;10,"a) &lt;10s",IF(P348&lt;60,"b) 10-60s",IF(P348&lt;600,"c) 1-10min","d) &gt;10min")))</f>
        <v>d) &gt;10min</v>
      </c>
      <c r="R348" s="38" t="n">
        <v>1919.63</v>
      </c>
      <c r="S348" s="38" t="n">
        <v>1919.7</v>
      </c>
      <c r="T348" s="22" t="s">
        <v>189</v>
      </c>
      <c r="U348" s="39" t="n">
        <f aca="false">IF(R348="","",IF(F348="BUY",R348-S348,S348-R348))</f>
        <v>0.0699999999999363</v>
      </c>
      <c r="V348" s="39" t="n">
        <f aca="false">IF(F348="BUY",S348-J348,J348-S348)</f>
        <v>0.430000000000064</v>
      </c>
      <c r="W348" s="6" t="n">
        <v>3.01</v>
      </c>
      <c r="X348" s="26" t="n">
        <f aca="false">IFERROR(W348/N348,0)</f>
        <v>0.0716666666666667</v>
      </c>
      <c r="Y348" s="22" t="str">
        <f aca="false">IF(W348&gt;0,"Win",IF(W348&lt;0,"Loss","Flat"))</f>
        <v>Win</v>
      </c>
      <c r="Z348" s="24" t="n">
        <f aca="false">Summary!$C$5+SUM(W$2:W348)</f>
        <v>4578.02</v>
      </c>
      <c r="AA348" s="24" t="n">
        <f aca="false">MAX(AA347,Z348)</f>
        <v>5000</v>
      </c>
      <c r="AB348" s="24" t="n">
        <f aca="false">AA348-Z348</f>
        <v>421.98</v>
      </c>
      <c r="AC348" s="23" t="n">
        <f aca="false">IFERROR(AB348/AA348,0)</f>
        <v>0.0843959999999999</v>
      </c>
      <c r="AD348" s="22" t="s">
        <v>585</v>
      </c>
    </row>
    <row r="349" customFormat="false" ht="15" hidden="false" customHeight="false" outlineLevel="0" collapsed="false">
      <c r="A349" s="22" t="n">
        <v>348</v>
      </c>
      <c r="B349" s="22" t="s">
        <v>130</v>
      </c>
      <c r="C349" s="37" t="n">
        <v>44960.3751736111</v>
      </c>
      <c r="D349" s="22" t="s">
        <v>206</v>
      </c>
      <c r="E349" s="22" t="n">
        <v>9</v>
      </c>
      <c r="F349" s="22" t="s">
        <v>181</v>
      </c>
      <c r="G349" s="22" t="s">
        <v>235</v>
      </c>
      <c r="H349" s="22" t="n">
        <v>0.07</v>
      </c>
      <c r="I349" s="38" t="n">
        <v>1916.62</v>
      </c>
      <c r="J349" s="38" t="n">
        <v>1916.66</v>
      </c>
      <c r="K349" s="39" t="n">
        <f aca="false">IF(F349="BUY",J349-I349,I349-J349)</f>
        <v>0.040000000000191</v>
      </c>
      <c r="L349" s="38" t="n">
        <v>1910.62</v>
      </c>
      <c r="M349" s="39" t="n">
        <f aca="false">ABS(I349-L349)</f>
        <v>6</v>
      </c>
      <c r="N349" s="24" t="n">
        <f aca="false">M349*H349*Summary!$C$6</f>
        <v>42</v>
      </c>
      <c r="O349" s="37" t="n">
        <v>44960.4002083333</v>
      </c>
      <c r="P349" s="22" t="n">
        <f aca="false">ROUND((O349-C349)*86400,0)</f>
        <v>2163</v>
      </c>
      <c r="Q349" s="22" t="str">
        <f aca="false">IF(P349&lt;10,"a) &lt;10s",IF(P349&lt;60,"b) 10-60s",IF(P349&lt;600,"c) 1-10min","d) &gt;10min")))</f>
        <v>d) &gt;10min</v>
      </c>
      <c r="R349" s="38" t="n">
        <v>1910.62</v>
      </c>
      <c r="S349" s="38" t="n">
        <v>1910.55</v>
      </c>
      <c r="T349" s="22" t="s">
        <v>188</v>
      </c>
      <c r="U349" s="39" t="n">
        <f aca="false">IF(R349="","",IF(F349="BUY",R349-S349,S349-R349))</f>
        <v>0.0699999999999363</v>
      </c>
      <c r="V349" s="39" t="n">
        <f aca="false">IF(F349="BUY",S349-J349,J349-S349)</f>
        <v>-6.11000000000013</v>
      </c>
      <c r="W349" s="6" t="n">
        <v>-42.77</v>
      </c>
      <c r="X349" s="26" t="n">
        <f aca="false">IFERROR(W349/N349,0)</f>
        <v>-1.01833333333333</v>
      </c>
      <c r="Y349" s="22" t="str">
        <f aca="false">IF(W349&gt;0,"Win",IF(W349&lt;0,"Loss","Flat"))</f>
        <v>Loss</v>
      </c>
      <c r="Z349" s="24" t="n">
        <f aca="false">Summary!$C$5+SUM(W$2:W349)</f>
        <v>4535.25</v>
      </c>
      <c r="AA349" s="24" t="n">
        <f aca="false">MAX(AA348,Z349)</f>
        <v>5000</v>
      </c>
      <c r="AB349" s="24" t="n">
        <f aca="false">AA349-Z349</f>
        <v>464.75</v>
      </c>
      <c r="AC349" s="23" t="n">
        <f aca="false">IFERROR(AB349/AA349,0)</f>
        <v>0.09295</v>
      </c>
      <c r="AD349" s="22" t="s">
        <v>586</v>
      </c>
    </row>
    <row r="350" customFormat="false" ht="15" hidden="false" customHeight="false" outlineLevel="0" collapsed="false">
      <c r="A350" s="22" t="n">
        <v>349</v>
      </c>
      <c r="B350" s="22" t="s">
        <v>130</v>
      </c>
      <c r="C350" s="37" t="n">
        <v>44963.3778703704</v>
      </c>
      <c r="D350" s="22" t="s">
        <v>202</v>
      </c>
      <c r="E350" s="22" t="n">
        <v>9</v>
      </c>
      <c r="F350" s="22" t="s">
        <v>182</v>
      </c>
      <c r="G350" s="22" t="s">
        <v>241</v>
      </c>
      <c r="H350" s="22" t="n">
        <v>0.07</v>
      </c>
      <c r="I350" s="38" t="n">
        <v>1875.11</v>
      </c>
      <c r="J350" s="38" t="n">
        <v>1875.1</v>
      </c>
      <c r="K350" s="39" t="n">
        <f aca="false">IF(F350="BUY",J350-I350,I350-J350)</f>
        <v>0.00999999999999091</v>
      </c>
      <c r="L350" s="38" t="n">
        <v>1881.11</v>
      </c>
      <c r="M350" s="39" t="n">
        <f aca="false">ABS(I350-L350)</f>
        <v>6</v>
      </c>
      <c r="N350" s="24" t="n">
        <f aca="false">M350*H350*Summary!$C$6</f>
        <v>42</v>
      </c>
      <c r="O350" s="37" t="n">
        <v>44963.4303935185</v>
      </c>
      <c r="P350" s="22" t="n">
        <f aca="false">ROUND((O350-C350)*86400,0)</f>
        <v>4538</v>
      </c>
      <c r="Q350" s="22" t="str">
        <f aca="false">IF(P350&lt;10,"a) &lt;10s",IF(P350&lt;60,"b) 10-60s",IF(P350&lt;600,"c) 1-10min","d) &gt;10min")))</f>
        <v>d) &gt;10min</v>
      </c>
      <c r="R350" s="38" t="n">
        <v>1881.11</v>
      </c>
      <c r="S350" s="38" t="n">
        <v>1881.12</v>
      </c>
      <c r="T350" s="22" t="s">
        <v>188</v>
      </c>
      <c r="U350" s="39" t="n">
        <f aca="false">IF(R350="","",IF(F350="BUY",R350-S350,S350-R350))</f>
        <v>0.00999999999999091</v>
      </c>
      <c r="V350" s="39" t="n">
        <f aca="false">IF(F350="BUY",S350-J350,J350-S350)</f>
        <v>-6.01999999999998</v>
      </c>
      <c r="W350" s="6" t="n">
        <v>-42.14</v>
      </c>
      <c r="X350" s="26" t="n">
        <f aca="false">IFERROR(W350/N350,0)</f>
        <v>-1.00333333333333</v>
      </c>
      <c r="Y350" s="22" t="str">
        <f aca="false">IF(W350&gt;0,"Win",IF(W350&lt;0,"Loss","Flat"))</f>
        <v>Loss</v>
      </c>
      <c r="Z350" s="24" t="n">
        <f aca="false">Summary!$C$5+SUM(W$2:W350)</f>
        <v>4493.11</v>
      </c>
      <c r="AA350" s="24" t="n">
        <f aca="false">MAX(AA349,Z350)</f>
        <v>5000</v>
      </c>
      <c r="AB350" s="24" t="n">
        <f aca="false">AA350-Z350</f>
        <v>506.89</v>
      </c>
      <c r="AC350" s="23" t="n">
        <f aca="false">IFERROR(AB350/AA350,0)</f>
        <v>0.101378</v>
      </c>
      <c r="AD350" s="22" t="s">
        <v>587</v>
      </c>
    </row>
    <row r="351" customFormat="false" ht="15" hidden="false" customHeight="false" outlineLevel="0" collapsed="false">
      <c r="A351" s="22" t="n">
        <v>350</v>
      </c>
      <c r="B351" s="22" t="s">
        <v>130</v>
      </c>
      <c r="C351" s="37" t="n">
        <v>44964.3850925926</v>
      </c>
      <c r="D351" s="22" t="s">
        <v>203</v>
      </c>
      <c r="E351" s="22" t="n">
        <v>9</v>
      </c>
      <c r="F351" s="22" t="s">
        <v>182</v>
      </c>
      <c r="G351" s="22" t="s">
        <v>241</v>
      </c>
      <c r="H351" s="22" t="n">
        <v>0.07</v>
      </c>
      <c r="I351" s="38" t="n">
        <v>1872.69</v>
      </c>
      <c r="J351" s="38" t="n">
        <v>1872.67</v>
      </c>
      <c r="K351" s="39" t="n">
        <f aca="false">IF(F351="BUY",J351-I351,I351-J351)</f>
        <v>0.0199999999999818</v>
      </c>
      <c r="L351" s="38" t="n">
        <v>1878.69</v>
      </c>
      <c r="M351" s="39" t="n">
        <f aca="false">ABS(I351-L351)</f>
        <v>6</v>
      </c>
      <c r="N351" s="24" t="n">
        <f aca="false">M351*H351*Summary!$C$6</f>
        <v>42</v>
      </c>
      <c r="O351" s="37" t="n">
        <v>44964.5987268519</v>
      </c>
      <c r="P351" s="22" t="n">
        <f aca="false">ROUND((O351-C351)*86400,0)</f>
        <v>18458</v>
      </c>
      <c r="Q351" s="22" t="str">
        <f aca="false">IF(P351&lt;10,"a) &lt;10s",IF(P351&lt;60,"b) 10-60s",IF(P351&lt;600,"c) 1-10min","d) &gt;10min")))</f>
        <v>d) &gt;10min</v>
      </c>
      <c r="R351" s="38" t="n">
        <v>1872.17</v>
      </c>
      <c r="S351" s="38" t="n">
        <v>1872.17</v>
      </c>
      <c r="T351" s="22" t="s">
        <v>189</v>
      </c>
      <c r="U351" s="39" t="n">
        <f aca="false">IF(R351="","",IF(F351="BUY",R351-S351,S351-R351))</f>
        <v>0</v>
      </c>
      <c r="V351" s="39" t="n">
        <f aca="false">IF(F351="BUY",S351-J351,J351-S351)</f>
        <v>0.5</v>
      </c>
      <c r="W351" s="6" t="n">
        <v>3.5</v>
      </c>
      <c r="X351" s="26" t="n">
        <f aca="false">IFERROR(W351/N351,0)</f>
        <v>0.0833333333333333</v>
      </c>
      <c r="Y351" s="22" t="str">
        <f aca="false">IF(W351&gt;0,"Win",IF(W351&lt;0,"Loss","Flat"))</f>
        <v>Win</v>
      </c>
      <c r="Z351" s="24" t="n">
        <f aca="false">Summary!$C$5+SUM(W$2:W351)</f>
        <v>4496.61</v>
      </c>
      <c r="AA351" s="24" t="n">
        <f aca="false">MAX(AA350,Z351)</f>
        <v>5000</v>
      </c>
      <c r="AB351" s="24" t="n">
        <f aca="false">AA351-Z351</f>
        <v>503.39</v>
      </c>
      <c r="AC351" s="23" t="n">
        <f aca="false">IFERROR(AB351/AA351,0)</f>
        <v>0.100678</v>
      </c>
      <c r="AD351" s="22" t="s">
        <v>588</v>
      </c>
    </row>
    <row r="352" customFormat="false" ht="15" hidden="false" customHeight="false" outlineLevel="0" collapsed="false">
      <c r="A352" s="22" t="n">
        <v>351</v>
      </c>
      <c r="B352" s="22" t="s">
        <v>130</v>
      </c>
      <c r="C352" s="37" t="n">
        <v>44964.8232291667</v>
      </c>
      <c r="D352" s="22" t="s">
        <v>203</v>
      </c>
      <c r="E352" s="22" t="n">
        <v>19</v>
      </c>
      <c r="F352" s="22" t="s">
        <v>181</v>
      </c>
      <c r="G352" s="22" t="s">
        <v>243</v>
      </c>
      <c r="H352" s="22" t="n">
        <v>0.07</v>
      </c>
      <c r="I352" s="38" t="n">
        <v>1881.2</v>
      </c>
      <c r="J352" s="38" t="n">
        <v>1881.25</v>
      </c>
      <c r="K352" s="39" t="n">
        <f aca="false">IF(F352="BUY",J352-I352,I352-J352)</f>
        <v>0.0499999999999545</v>
      </c>
      <c r="L352" s="38" t="n">
        <v>1875.2</v>
      </c>
      <c r="M352" s="39" t="n">
        <f aca="false">ABS(I352-L352)</f>
        <v>6</v>
      </c>
      <c r="N352" s="24" t="n">
        <f aca="false">M352*H352*Summary!$C$6</f>
        <v>42</v>
      </c>
      <c r="O352" s="37" t="n">
        <v>44964.8256018519</v>
      </c>
      <c r="P352" s="22" t="n">
        <f aca="false">ROUND((O352-C352)*86400,0)</f>
        <v>205</v>
      </c>
      <c r="Q352" s="22" t="str">
        <f aca="false">IF(P352&lt;10,"a) &lt;10s",IF(P352&lt;60,"b) 10-60s",IF(P352&lt;600,"c) 1-10min","d) &gt;10min")))</f>
        <v>c) 1-10min</v>
      </c>
      <c r="R352" s="38" t="n">
        <v>1881.75</v>
      </c>
      <c r="S352" s="38" t="n">
        <v>1881.67</v>
      </c>
      <c r="T352" s="22" t="s">
        <v>189</v>
      </c>
      <c r="U352" s="39" t="n">
        <f aca="false">IF(R352="","",IF(F352="BUY",R352-S352,S352-R352))</f>
        <v>0.0799999999999272</v>
      </c>
      <c r="V352" s="39" t="n">
        <f aca="false">IF(F352="BUY",S352-J352,J352-S352)</f>
        <v>0.420000000000073</v>
      </c>
      <c r="W352" s="6" t="n">
        <v>2.94</v>
      </c>
      <c r="X352" s="26" t="n">
        <f aca="false">IFERROR(W352/N352,0)</f>
        <v>0.07</v>
      </c>
      <c r="Y352" s="22" t="str">
        <f aca="false">IF(W352&gt;0,"Win",IF(W352&lt;0,"Loss","Flat"))</f>
        <v>Win</v>
      </c>
      <c r="Z352" s="24" t="n">
        <f aca="false">Summary!$C$5+SUM(W$2:W352)</f>
        <v>4499.55</v>
      </c>
      <c r="AA352" s="24" t="n">
        <f aca="false">MAX(AA351,Z352)</f>
        <v>5000</v>
      </c>
      <c r="AB352" s="24" t="n">
        <f aca="false">AA352-Z352</f>
        <v>500.45</v>
      </c>
      <c r="AC352" s="23" t="n">
        <f aca="false">IFERROR(AB352/AA352,0)</f>
        <v>0.10009</v>
      </c>
      <c r="AD352" s="22" t="s">
        <v>589</v>
      </c>
    </row>
    <row r="353" customFormat="false" ht="15" hidden="false" customHeight="false" outlineLevel="0" collapsed="false">
      <c r="A353" s="22" t="n">
        <v>352</v>
      </c>
      <c r="B353" s="22" t="s">
        <v>130</v>
      </c>
      <c r="C353" s="37" t="n">
        <v>44965.3812962963</v>
      </c>
      <c r="D353" s="22" t="s">
        <v>204</v>
      </c>
      <c r="E353" s="22" t="n">
        <v>9</v>
      </c>
      <c r="F353" s="22" t="s">
        <v>182</v>
      </c>
      <c r="G353" s="22" t="s">
        <v>241</v>
      </c>
      <c r="H353" s="22" t="n">
        <v>0.07</v>
      </c>
      <c r="I353" s="38" t="n">
        <v>1874.93</v>
      </c>
      <c r="J353" s="38" t="n">
        <v>1874.91</v>
      </c>
      <c r="K353" s="39" t="n">
        <f aca="false">IF(F353="BUY",J353-I353,I353-J353)</f>
        <v>0.0199999999999818</v>
      </c>
      <c r="L353" s="38" t="n">
        <v>1880.93</v>
      </c>
      <c r="M353" s="39" t="n">
        <f aca="false">ABS(I353-L353)</f>
        <v>6</v>
      </c>
      <c r="N353" s="24" t="n">
        <f aca="false">M353*H353*Summary!$C$6</f>
        <v>42</v>
      </c>
      <c r="O353" s="37" t="n">
        <v>44965.4049421296</v>
      </c>
      <c r="P353" s="22" t="n">
        <f aca="false">ROUND((O353-C353)*86400,0)</f>
        <v>2043</v>
      </c>
      <c r="Q353" s="22" t="str">
        <f aca="false">IF(P353&lt;10,"a) &lt;10s",IF(P353&lt;60,"b) 10-60s",IF(P353&lt;600,"c) 1-10min","d) &gt;10min")))</f>
        <v>d) &gt;10min</v>
      </c>
      <c r="R353" s="38" t="n">
        <v>1880.93</v>
      </c>
      <c r="S353" s="38" t="n">
        <v>1881.11</v>
      </c>
      <c r="T353" s="22" t="s">
        <v>188</v>
      </c>
      <c r="U353" s="39" t="n">
        <f aca="false">IF(R353="","",IF(F353="BUY",R353-S353,S353-R353))</f>
        <v>0.179999999999836</v>
      </c>
      <c r="V353" s="39" t="n">
        <f aca="false">IF(F353="BUY",S353-J353,J353-S353)</f>
        <v>-6.19999999999982</v>
      </c>
      <c r="W353" s="6" t="n">
        <v>-43.4</v>
      </c>
      <c r="X353" s="26" t="n">
        <f aca="false">IFERROR(W353/N353,0)</f>
        <v>-1.03333333333333</v>
      </c>
      <c r="Y353" s="22" t="str">
        <f aca="false">IF(W353&gt;0,"Win",IF(W353&lt;0,"Loss","Flat"))</f>
        <v>Loss</v>
      </c>
      <c r="Z353" s="24" t="n">
        <f aca="false">Summary!$C$5+SUM(W$2:W353)</f>
        <v>4456.15</v>
      </c>
      <c r="AA353" s="24" t="n">
        <f aca="false">MAX(AA352,Z353)</f>
        <v>5000</v>
      </c>
      <c r="AB353" s="24" t="n">
        <f aca="false">AA353-Z353</f>
        <v>543.85</v>
      </c>
      <c r="AC353" s="23" t="n">
        <f aca="false">IFERROR(AB353/AA353,0)</f>
        <v>0.10877</v>
      </c>
      <c r="AD353" s="22" t="s">
        <v>590</v>
      </c>
    </row>
    <row r="354" customFormat="false" ht="15" hidden="false" customHeight="false" outlineLevel="0" collapsed="false">
      <c r="A354" s="22" t="n">
        <v>353</v>
      </c>
      <c r="B354" s="22" t="s">
        <v>130</v>
      </c>
      <c r="C354" s="37" t="n">
        <v>44965.4141666667</v>
      </c>
      <c r="D354" s="22" t="s">
        <v>204</v>
      </c>
      <c r="E354" s="22" t="n">
        <v>9</v>
      </c>
      <c r="F354" s="22" t="s">
        <v>181</v>
      </c>
      <c r="G354" s="22" t="s">
        <v>243</v>
      </c>
      <c r="H354" s="22" t="n">
        <v>0.07</v>
      </c>
      <c r="I354" s="38" t="n">
        <v>1884.35</v>
      </c>
      <c r="J354" s="38" t="n">
        <v>1884.36</v>
      </c>
      <c r="K354" s="39" t="n">
        <f aca="false">IF(F354="BUY",J354-I354,I354-J354)</f>
        <v>0.00999999999999091</v>
      </c>
      <c r="L354" s="38" t="n">
        <v>1878.35</v>
      </c>
      <c r="M354" s="39" t="n">
        <f aca="false">ABS(I354-L354)</f>
        <v>6</v>
      </c>
      <c r="N354" s="24" t="n">
        <f aca="false">M354*H354*Summary!$C$6</f>
        <v>42</v>
      </c>
      <c r="O354" s="37" t="n">
        <v>44965.6215393519</v>
      </c>
      <c r="P354" s="22" t="n">
        <f aca="false">ROUND((O354-C354)*86400,0)</f>
        <v>17917</v>
      </c>
      <c r="Q354" s="22" t="str">
        <f aca="false">IF(P354&lt;10,"a) &lt;10s",IF(P354&lt;60,"b) 10-60s",IF(P354&lt;600,"c) 1-10min","d) &gt;10min")))</f>
        <v>d) &gt;10min</v>
      </c>
      <c r="R354" s="38" t="n">
        <v>1878.35</v>
      </c>
      <c r="S354" s="38" t="n">
        <v>1878.27</v>
      </c>
      <c r="T354" s="22" t="s">
        <v>188</v>
      </c>
      <c r="U354" s="39" t="n">
        <f aca="false">IF(R354="","",IF(F354="BUY",R354-S354,S354-R354))</f>
        <v>0.0799999999999272</v>
      </c>
      <c r="V354" s="39" t="n">
        <f aca="false">IF(F354="BUY",S354-J354,J354-S354)</f>
        <v>-6.08999999999992</v>
      </c>
      <c r="W354" s="6" t="n">
        <v>-42.63</v>
      </c>
      <c r="X354" s="26" t="n">
        <f aca="false">IFERROR(W354/N354,0)</f>
        <v>-1.015</v>
      </c>
      <c r="Y354" s="22" t="str">
        <f aca="false">IF(W354&gt;0,"Win",IF(W354&lt;0,"Loss","Flat"))</f>
        <v>Loss</v>
      </c>
      <c r="Z354" s="24" t="n">
        <f aca="false">Summary!$C$5+SUM(W$2:W354)</f>
        <v>4413.52</v>
      </c>
      <c r="AA354" s="24" t="n">
        <f aca="false">MAX(AA353,Z354)</f>
        <v>5000</v>
      </c>
      <c r="AB354" s="24" t="n">
        <f aca="false">AA354-Z354</f>
        <v>586.48</v>
      </c>
      <c r="AC354" s="23" t="n">
        <f aca="false">IFERROR(AB354/AA354,0)</f>
        <v>0.117296</v>
      </c>
      <c r="AD354" s="22" t="s">
        <v>591</v>
      </c>
    </row>
    <row r="355" customFormat="false" ht="15" hidden="false" customHeight="false" outlineLevel="0" collapsed="false">
      <c r="A355" s="22" t="n">
        <v>354</v>
      </c>
      <c r="B355" s="22" t="s">
        <v>130</v>
      </c>
      <c r="C355" s="37" t="n">
        <v>44966.3897916667</v>
      </c>
      <c r="D355" s="22" t="s">
        <v>205</v>
      </c>
      <c r="E355" s="22" t="n">
        <v>9</v>
      </c>
      <c r="F355" s="22" t="s">
        <v>182</v>
      </c>
      <c r="G355" s="22" t="s">
        <v>241</v>
      </c>
      <c r="H355" s="22" t="n">
        <v>0.07</v>
      </c>
      <c r="I355" s="38" t="n">
        <v>1877.62</v>
      </c>
      <c r="J355" s="38" t="n">
        <v>1877.62</v>
      </c>
      <c r="K355" s="39" t="n">
        <f aca="false">IF(F355="BUY",J355-I355,I355-J355)</f>
        <v>0</v>
      </c>
      <c r="L355" s="38" t="n">
        <v>1883.62</v>
      </c>
      <c r="M355" s="39" t="n">
        <f aca="false">ABS(I355-L355)</f>
        <v>6</v>
      </c>
      <c r="N355" s="24" t="n">
        <f aca="false">M355*H355*Summary!$C$6</f>
        <v>42</v>
      </c>
      <c r="O355" s="37" t="n">
        <v>44966.4323263889</v>
      </c>
      <c r="P355" s="22" t="n">
        <f aca="false">ROUND((O355-C355)*86400,0)</f>
        <v>3675</v>
      </c>
      <c r="Q355" s="22" t="str">
        <f aca="false">IF(P355&lt;10,"a) &lt;10s",IF(P355&lt;60,"b) 10-60s",IF(P355&lt;600,"c) 1-10min","d) &gt;10min")))</f>
        <v>d) &gt;10min</v>
      </c>
      <c r="R355" s="38" t="n">
        <v>1883.62</v>
      </c>
      <c r="S355" s="38" t="n">
        <v>1883.63</v>
      </c>
      <c r="T355" s="22" t="s">
        <v>188</v>
      </c>
      <c r="U355" s="39" t="n">
        <f aca="false">IF(R355="","",IF(F355="BUY",R355-S355,S355-R355))</f>
        <v>0.0100000000002183</v>
      </c>
      <c r="V355" s="39" t="n">
        <f aca="false">IF(F355="BUY",S355-J355,J355-S355)</f>
        <v>-6.01000000000022</v>
      </c>
      <c r="W355" s="6" t="n">
        <v>-42.07</v>
      </c>
      <c r="X355" s="26" t="n">
        <f aca="false">IFERROR(W355/N355,0)</f>
        <v>-1.00166666666667</v>
      </c>
      <c r="Y355" s="22" t="str">
        <f aca="false">IF(W355&gt;0,"Win",IF(W355&lt;0,"Loss","Flat"))</f>
        <v>Loss</v>
      </c>
      <c r="Z355" s="24" t="n">
        <f aca="false">Summary!$C$5+SUM(W$2:W355)</f>
        <v>4371.45</v>
      </c>
      <c r="AA355" s="24" t="n">
        <f aca="false">MAX(AA354,Z355)</f>
        <v>5000</v>
      </c>
      <c r="AB355" s="24" t="n">
        <f aca="false">AA355-Z355</f>
        <v>628.55</v>
      </c>
      <c r="AC355" s="23" t="n">
        <f aca="false">IFERROR(AB355/AA355,0)</f>
        <v>0.12571</v>
      </c>
      <c r="AD355" s="22" t="s">
        <v>592</v>
      </c>
    </row>
    <row r="356" customFormat="false" ht="15" hidden="false" customHeight="false" outlineLevel="0" collapsed="false">
      <c r="A356" s="22" t="n">
        <v>355</v>
      </c>
      <c r="B356" s="22" t="s">
        <v>130</v>
      </c>
      <c r="C356" s="37" t="n">
        <v>44966.5368518519</v>
      </c>
      <c r="D356" s="22" t="s">
        <v>205</v>
      </c>
      <c r="E356" s="22" t="n">
        <v>12</v>
      </c>
      <c r="F356" s="22" t="s">
        <v>181</v>
      </c>
      <c r="G356" s="22" t="s">
        <v>243</v>
      </c>
      <c r="H356" s="22" t="n">
        <v>0.07</v>
      </c>
      <c r="I356" s="38" t="n">
        <v>1886.35</v>
      </c>
      <c r="J356" s="38" t="n">
        <v>1886.35</v>
      </c>
      <c r="K356" s="39" t="n">
        <f aca="false">IF(F356="BUY",J356-I356,I356-J356)</f>
        <v>0</v>
      </c>
      <c r="L356" s="38" t="n">
        <v>1880.35</v>
      </c>
      <c r="M356" s="39" t="n">
        <f aca="false">ABS(I356-L356)</f>
        <v>6</v>
      </c>
      <c r="N356" s="24" t="n">
        <f aca="false">M356*H356*Summary!$C$6</f>
        <v>42</v>
      </c>
      <c r="O356" s="37" t="n">
        <v>44966.6392592593</v>
      </c>
      <c r="P356" s="22" t="n">
        <f aca="false">ROUND((O356-C356)*86400,0)</f>
        <v>8848</v>
      </c>
      <c r="Q356" s="22" t="str">
        <f aca="false">IF(P356&lt;10,"a) &lt;10s",IF(P356&lt;60,"b) 10-60s",IF(P356&lt;600,"c) 1-10min","d) &gt;10min")))</f>
        <v>d) &gt;10min</v>
      </c>
      <c r="R356" s="38" t="n">
        <v>1880.35</v>
      </c>
      <c r="S356" s="38" t="n">
        <v>1880.31</v>
      </c>
      <c r="T356" s="22" t="s">
        <v>188</v>
      </c>
      <c r="U356" s="39" t="n">
        <f aca="false">IF(R356="","",IF(F356="BUY",R356-S356,S356-R356))</f>
        <v>0.0399999999999636</v>
      </c>
      <c r="V356" s="39" t="n">
        <f aca="false">IF(F356="BUY",S356-J356,J356-S356)</f>
        <v>-6.03999999999996</v>
      </c>
      <c r="W356" s="6" t="n">
        <v>-42.28</v>
      </c>
      <c r="X356" s="26" t="n">
        <f aca="false">IFERROR(W356/N356,0)</f>
        <v>-1.00666666666667</v>
      </c>
      <c r="Y356" s="22" t="str">
        <f aca="false">IF(W356&gt;0,"Win",IF(W356&lt;0,"Loss","Flat"))</f>
        <v>Loss</v>
      </c>
      <c r="Z356" s="24" t="n">
        <f aca="false">Summary!$C$5+SUM(W$2:W356)</f>
        <v>4329.17</v>
      </c>
      <c r="AA356" s="24" t="n">
        <f aca="false">MAX(AA355,Z356)</f>
        <v>5000</v>
      </c>
      <c r="AB356" s="24" t="n">
        <f aca="false">AA356-Z356</f>
        <v>670.83</v>
      </c>
      <c r="AC356" s="23" t="n">
        <f aca="false">IFERROR(AB356/AA356,0)</f>
        <v>0.134166</v>
      </c>
      <c r="AD356" s="22" t="s">
        <v>593</v>
      </c>
    </row>
    <row r="357" customFormat="false" ht="15" hidden="false" customHeight="false" outlineLevel="0" collapsed="false">
      <c r="A357" s="22" t="n">
        <v>356</v>
      </c>
      <c r="B357" s="22" t="s">
        <v>130</v>
      </c>
      <c r="C357" s="37" t="n">
        <v>44967.22625</v>
      </c>
      <c r="D357" s="22" t="s">
        <v>206</v>
      </c>
      <c r="E357" s="22" t="n">
        <v>5</v>
      </c>
      <c r="F357" s="22" t="s">
        <v>182</v>
      </c>
      <c r="G357" s="22" t="s">
        <v>237</v>
      </c>
      <c r="H357" s="22" t="n">
        <v>0.07</v>
      </c>
      <c r="I357" s="38" t="n">
        <v>1858.86</v>
      </c>
      <c r="J357" s="38" t="n">
        <v>1858.77</v>
      </c>
      <c r="K357" s="39" t="n">
        <f aca="false">IF(F357="BUY",J357-I357,I357-J357)</f>
        <v>0.0899999999999182</v>
      </c>
      <c r="L357" s="38" t="n">
        <v>1864.86</v>
      </c>
      <c r="M357" s="39" t="n">
        <f aca="false">ABS(I357-L357)</f>
        <v>6</v>
      </c>
      <c r="N357" s="24" t="n">
        <f aca="false">M357*H357*Summary!$C$6</f>
        <v>42</v>
      </c>
      <c r="O357" s="37" t="n">
        <v>44967.3288194445</v>
      </c>
      <c r="P357" s="22" t="n">
        <f aca="false">ROUND((O357-C357)*86400,0)</f>
        <v>8862</v>
      </c>
      <c r="Q357" s="22" t="str">
        <f aca="false">IF(P357&lt;10,"a) &lt;10s",IF(P357&lt;60,"b) 10-60s",IF(P357&lt;600,"c) 1-10min","d) &gt;10min")))</f>
        <v>d) &gt;10min</v>
      </c>
      <c r="R357" s="38" t="n">
        <v>1858.27</v>
      </c>
      <c r="S357" s="38" t="n">
        <v>1858.42</v>
      </c>
      <c r="T357" s="22" t="s">
        <v>189</v>
      </c>
      <c r="U357" s="39" t="n">
        <f aca="false">IF(R357="","",IF(F357="BUY",R357-S357,S357-R357))</f>
        <v>0.150000000000091</v>
      </c>
      <c r="V357" s="39" t="n">
        <f aca="false">IF(F357="BUY",S357-J357,J357-S357)</f>
        <v>0.349999999999909</v>
      </c>
      <c r="W357" s="6" t="n">
        <v>2.45</v>
      </c>
      <c r="X357" s="26" t="n">
        <f aca="false">IFERROR(W357/N357,0)</f>
        <v>0.0583333333333333</v>
      </c>
      <c r="Y357" s="22" t="str">
        <f aca="false">IF(W357&gt;0,"Win",IF(W357&lt;0,"Loss","Flat"))</f>
        <v>Win</v>
      </c>
      <c r="Z357" s="24" t="n">
        <f aca="false">Summary!$C$5+SUM(W$2:W357)</f>
        <v>4331.62</v>
      </c>
      <c r="AA357" s="24" t="n">
        <f aca="false">MAX(AA356,Z357)</f>
        <v>5000</v>
      </c>
      <c r="AB357" s="24" t="n">
        <f aca="false">AA357-Z357</f>
        <v>668.38</v>
      </c>
      <c r="AC357" s="23" t="n">
        <f aca="false">IFERROR(AB357/AA357,0)</f>
        <v>0.133676</v>
      </c>
      <c r="AD357" s="22" t="s">
        <v>594</v>
      </c>
    </row>
    <row r="358" customFormat="false" ht="15" hidden="false" customHeight="false" outlineLevel="0" collapsed="false">
      <c r="A358" s="22" t="n">
        <v>357</v>
      </c>
      <c r="B358" s="22" t="s">
        <v>130</v>
      </c>
      <c r="C358" s="37" t="n">
        <v>44967.3798958333</v>
      </c>
      <c r="D358" s="22" t="s">
        <v>206</v>
      </c>
      <c r="E358" s="22" t="n">
        <v>9</v>
      </c>
      <c r="F358" s="22" t="s">
        <v>181</v>
      </c>
      <c r="G358" s="22" t="s">
        <v>235</v>
      </c>
      <c r="H358" s="22" t="n">
        <v>0.07</v>
      </c>
      <c r="I358" s="38" t="n">
        <v>1861.58</v>
      </c>
      <c r="J358" s="38" t="n">
        <v>1862.22</v>
      </c>
      <c r="K358" s="39" t="n">
        <f aca="false">IF(F358="BUY",J358-I358,I358-J358)</f>
        <v>0.6400000000001</v>
      </c>
      <c r="L358" s="38" t="n">
        <v>1855.58</v>
      </c>
      <c r="M358" s="39" t="n">
        <f aca="false">ABS(I358-L358)</f>
        <v>6</v>
      </c>
      <c r="N358" s="24" t="n">
        <f aca="false">M358*H358*Summary!$C$6</f>
        <v>42</v>
      </c>
      <c r="O358" s="37" t="n">
        <v>44967.4712152778</v>
      </c>
      <c r="P358" s="22" t="n">
        <f aca="false">ROUND((O358-C358)*86400,0)</f>
        <v>7890</v>
      </c>
      <c r="Q358" s="22" t="str">
        <f aca="false">IF(P358&lt;10,"a) &lt;10s",IF(P358&lt;60,"b) 10-60s",IF(P358&lt;600,"c) 1-10min","d) &gt;10min")))</f>
        <v>d) &gt;10min</v>
      </c>
      <c r="R358" s="38" t="n">
        <v>1862.72</v>
      </c>
      <c r="S358" s="38" t="n">
        <v>1862.72</v>
      </c>
      <c r="T358" s="22" t="s">
        <v>189</v>
      </c>
      <c r="U358" s="39" t="n">
        <f aca="false">IF(R358="","",IF(F358="BUY",R358-S358,S358-R358))</f>
        <v>0</v>
      </c>
      <c r="V358" s="39" t="n">
        <f aca="false">IF(F358="BUY",S358-J358,J358-S358)</f>
        <v>0.5</v>
      </c>
      <c r="W358" s="6" t="n">
        <v>3.5</v>
      </c>
      <c r="X358" s="26" t="n">
        <f aca="false">IFERROR(W358/N358,0)</f>
        <v>0.0833333333333333</v>
      </c>
      <c r="Y358" s="22" t="str">
        <f aca="false">IF(W358&gt;0,"Win",IF(W358&lt;0,"Loss","Flat"))</f>
        <v>Win</v>
      </c>
      <c r="Z358" s="24" t="n">
        <f aca="false">Summary!$C$5+SUM(W$2:W358)</f>
        <v>4335.12</v>
      </c>
      <c r="AA358" s="24" t="n">
        <f aca="false">MAX(AA357,Z358)</f>
        <v>5000</v>
      </c>
      <c r="AB358" s="24" t="n">
        <f aca="false">AA358-Z358</f>
        <v>664.88</v>
      </c>
      <c r="AC358" s="23" t="n">
        <f aca="false">IFERROR(AB358/AA358,0)</f>
        <v>0.132976</v>
      </c>
      <c r="AD358" s="22" t="s">
        <v>595</v>
      </c>
    </row>
    <row r="359" customFormat="false" ht="15" hidden="false" customHeight="false" outlineLevel="0" collapsed="false">
      <c r="A359" s="22" t="n">
        <v>358</v>
      </c>
      <c r="B359" s="22" t="s">
        <v>130</v>
      </c>
      <c r="C359" s="37" t="n">
        <v>44970.4804513889</v>
      </c>
      <c r="D359" s="22" t="s">
        <v>202</v>
      </c>
      <c r="E359" s="22" t="n">
        <v>11</v>
      </c>
      <c r="F359" s="22" t="s">
        <v>182</v>
      </c>
      <c r="G359" s="22" t="s">
        <v>241</v>
      </c>
      <c r="H359" s="22" t="n">
        <v>0.07</v>
      </c>
      <c r="I359" s="38" t="n">
        <v>1856.85</v>
      </c>
      <c r="J359" s="38" t="n">
        <v>1856.69</v>
      </c>
      <c r="K359" s="39" t="n">
        <f aca="false">IF(F359="BUY",J359-I359,I359-J359)</f>
        <v>0.159999999999854</v>
      </c>
      <c r="L359" s="38" t="n">
        <v>1862.85</v>
      </c>
      <c r="M359" s="39" t="n">
        <f aca="false">ABS(I359-L359)</f>
        <v>6</v>
      </c>
      <c r="N359" s="24" t="n">
        <f aca="false">M359*H359*Summary!$C$6</f>
        <v>42</v>
      </c>
      <c r="O359" s="37" t="n">
        <v>44970.5110763889</v>
      </c>
      <c r="P359" s="22" t="n">
        <f aca="false">ROUND((O359-C359)*86400,0)</f>
        <v>2646</v>
      </c>
      <c r="Q359" s="22" t="str">
        <f aca="false">IF(P359&lt;10,"a) &lt;10s",IF(P359&lt;60,"b) 10-60s",IF(P359&lt;600,"c) 1-10min","d) &gt;10min")))</f>
        <v>d) &gt;10min</v>
      </c>
      <c r="R359" s="38" t="n">
        <v>1856.19</v>
      </c>
      <c r="S359" s="38" t="n">
        <v>1856.19</v>
      </c>
      <c r="T359" s="22" t="s">
        <v>189</v>
      </c>
      <c r="U359" s="39" t="n">
        <f aca="false">IF(R359="","",IF(F359="BUY",R359-S359,S359-R359))</f>
        <v>0</v>
      </c>
      <c r="V359" s="39" t="n">
        <f aca="false">IF(F359="BUY",S359-J359,J359-S359)</f>
        <v>0.5</v>
      </c>
      <c r="W359" s="6" t="n">
        <v>3.5</v>
      </c>
      <c r="X359" s="26" t="n">
        <f aca="false">IFERROR(W359/N359,0)</f>
        <v>0.0833333333333333</v>
      </c>
      <c r="Y359" s="22" t="str">
        <f aca="false">IF(W359&gt;0,"Win",IF(W359&lt;0,"Loss","Flat"))</f>
        <v>Win</v>
      </c>
      <c r="Z359" s="24" t="n">
        <f aca="false">Summary!$C$5+SUM(W$2:W359)</f>
        <v>4338.62</v>
      </c>
      <c r="AA359" s="24" t="n">
        <f aca="false">MAX(AA358,Z359)</f>
        <v>5000</v>
      </c>
      <c r="AB359" s="24" t="n">
        <f aca="false">AA359-Z359</f>
        <v>661.38</v>
      </c>
      <c r="AC359" s="23" t="n">
        <f aca="false">IFERROR(AB359/AA359,0)</f>
        <v>0.132276</v>
      </c>
      <c r="AD359" s="22" t="s">
        <v>596</v>
      </c>
    </row>
    <row r="360" customFormat="false" ht="15" hidden="false" customHeight="false" outlineLevel="0" collapsed="false">
      <c r="A360" s="22" t="n">
        <v>359</v>
      </c>
      <c r="B360" s="22" t="s">
        <v>130</v>
      </c>
      <c r="C360" s="37" t="n">
        <v>44970.7565393519</v>
      </c>
      <c r="D360" s="22" t="s">
        <v>202</v>
      </c>
      <c r="E360" s="22" t="n">
        <v>18</v>
      </c>
      <c r="F360" s="22" t="s">
        <v>182</v>
      </c>
      <c r="G360" s="22" t="s">
        <v>237</v>
      </c>
      <c r="H360" s="22" t="n">
        <v>0.07</v>
      </c>
      <c r="I360" s="38" t="n">
        <v>1852.59</v>
      </c>
      <c r="J360" s="38" t="n">
        <v>1852.51</v>
      </c>
      <c r="K360" s="39" t="n">
        <f aca="false">IF(F360="BUY",J360-I360,I360-J360)</f>
        <v>0.0799999999999272</v>
      </c>
      <c r="L360" s="38" t="n">
        <v>1858.59</v>
      </c>
      <c r="M360" s="39" t="n">
        <f aca="false">ABS(I360-L360)</f>
        <v>6</v>
      </c>
      <c r="N360" s="24" t="n">
        <f aca="false">M360*H360*Summary!$C$6</f>
        <v>42</v>
      </c>
      <c r="O360" s="37" t="n">
        <v>44970.9270833333</v>
      </c>
      <c r="P360" s="22" t="n">
        <f aca="false">ROUND((O360-C360)*86400,0)</f>
        <v>14735</v>
      </c>
      <c r="Q360" s="22" t="str">
        <f aca="false">IF(P360&lt;10,"a) &lt;10s",IF(P360&lt;60,"b) 10-60s",IF(P360&lt;600,"c) 1-10min","d) &gt;10min")))</f>
        <v>d) &gt;10min</v>
      </c>
      <c r="R360" s="38"/>
      <c r="S360" s="38" t="n">
        <v>1851.94</v>
      </c>
      <c r="T360" s="22" t="s">
        <v>191</v>
      </c>
      <c r="U360" s="39" t="str">
        <f aca="false">IF(R360="","",IF(F360="BUY",R360-S360,S360-R360))</f>
        <v/>
      </c>
      <c r="V360" s="39" t="n">
        <f aca="false">IF(F360="BUY",S360-J360,J360-S360)</f>
        <v>0.569999999999936</v>
      </c>
      <c r="W360" s="6" t="n">
        <v>3.99</v>
      </c>
      <c r="X360" s="26" t="n">
        <f aca="false">IFERROR(W360/N360,0)</f>
        <v>0.095</v>
      </c>
      <c r="Y360" s="22" t="str">
        <f aca="false">IF(W360&gt;0,"Win",IF(W360&lt;0,"Loss","Flat"))</f>
        <v>Win</v>
      </c>
      <c r="Z360" s="24" t="n">
        <f aca="false">Summary!$C$5+SUM(W$2:W360)</f>
        <v>4342.61</v>
      </c>
      <c r="AA360" s="24" t="n">
        <f aca="false">MAX(AA359,Z360)</f>
        <v>5000</v>
      </c>
      <c r="AB360" s="24" t="n">
        <f aca="false">AA360-Z360</f>
        <v>657.39</v>
      </c>
      <c r="AC360" s="23" t="n">
        <f aca="false">IFERROR(AB360/AA360,0)</f>
        <v>0.131478</v>
      </c>
      <c r="AD360" s="22" t="s">
        <v>597</v>
      </c>
    </row>
    <row r="361" customFormat="false" ht="15" hidden="false" customHeight="false" outlineLevel="0" collapsed="false">
      <c r="A361" s="22" t="n">
        <v>360</v>
      </c>
      <c r="B361" s="22" t="s">
        <v>130</v>
      </c>
      <c r="C361" s="37" t="n">
        <v>44971.5513310185</v>
      </c>
      <c r="D361" s="22" t="s">
        <v>203</v>
      </c>
      <c r="E361" s="22" t="n">
        <v>13</v>
      </c>
      <c r="F361" s="22" t="s">
        <v>182</v>
      </c>
      <c r="G361" s="22" t="s">
        <v>241</v>
      </c>
      <c r="H361" s="22" t="n">
        <v>0.07</v>
      </c>
      <c r="I361" s="38" t="n">
        <v>1857.69</v>
      </c>
      <c r="J361" s="38" t="n">
        <v>1857.67</v>
      </c>
      <c r="K361" s="39" t="n">
        <f aca="false">IF(F361="BUY",J361-I361,I361-J361)</f>
        <v>0.0199999999999818</v>
      </c>
      <c r="L361" s="38" t="n">
        <v>1863.69</v>
      </c>
      <c r="M361" s="39" t="n">
        <f aca="false">ABS(I361-L361)</f>
        <v>6</v>
      </c>
      <c r="N361" s="24" t="n">
        <f aca="false">M361*H361*Summary!$C$6</f>
        <v>42</v>
      </c>
      <c r="O361" s="37" t="n">
        <v>44971.569224537</v>
      </c>
      <c r="P361" s="22" t="n">
        <f aca="false">ROUND((O361-C361)*86400,0)</f>
        <v>1546</v>
      </c>
      <c r="Q361" s="22" t="str">
        <f aca="false">IF(P361&lt;10,"a) &lt;10s",IF(P361&lt;60,"b) 10-60s",IF(P361&lt;600,"c) 1-10min","d) &gt;10min")))</f>
        <v>d) &gt;10min</v>
      </c>
      <c r="R361" s="38" t="n">
        <v>1857.17</v>
      </c>
      <c r="S361" s="38" t="n">
        <v>1857.17</v>
      </c>
      <c r="T361" s="22" t="s">
        <v>189</v>
      </c>
      <c r="U361" s="39" t="n">
        <f aca="false">IF(R361="","",IF(F361="BUY",R361-S361,S361-R361))</f>
        <v>0</v>
      </c>
      <c r="V361" s="39" t="n">
        <f aca="false">IF(F361="BUY",S361-J361,J361-S361)</f>
        <v>0.5</v>
      </c>
      <c r="W361" s="6" t="n">
        <v>3.5</v>
      </c>
      <c r="X361" s="26" t="n">
        <f aca="false">IFERROR(W361/N361,0)</f>
        <v>0.0833333333333333</v>
      </c>
      <c r="Y361" s="22" t="str">
        <f aca="false">IF(W361&gt;0,"Win",IF(W361&lt;0,"Loss","Flat"))</f>
        <v>Win</v>
      </c>
      <c r="Z361" s="24" t="n">
        <f aca="false">Summary!$C$5+SUM(W$2:W361)</f>
        <v>4346.11</v>
      </c>
      <c r="AA361" s="24" t="n">
        <f aca="false">MAX(AA360,Z361)</f>
        <v>5000</v>
      </c>
      <c r="AB361" s="24" t="n">
        <f aca="false">AA361-Z361</f>
        <v>653.89</v>
      </c>
      <c r="AC361" s="23" t="n">
        <f aca="false">IFERROR(AB361/AA361,0)</f>
        <v>0.130778</v>
      </c>
      <c r="AD361" s="22" t="s">
        <v>598</v>
      </c>
    </row>
    <row r="362" customFormat="false" ht="15" hidden="false" customHeight="false" outlineLevel="0" collapsed="false">
      <c r="A362" s="22" t="n">
        <v>361</v>
      </c>
      <c r="B362" s="22" t="s">
        <v>130</v>
      </c>
      <c r="C362" s="37" t="n">
        <v>44971.6458796296</v>
      </c>
      <c r="D362" s="22" t="s">
        <v>203</v>
      </c>
      <c r="E362" s="22" t="n">
        <v>15</v>
      </c>
      <c r="F362" s="22" t="s">
        <v>182</v>
      </c>
      <c r="G362" s="22" t="s">
        <v>237</v>
      </c>
      <c r="H362" s="22" t="n">
        <v>0.07</v>
      </c>
      <c r="I362" s="38" t="n">
        <v>1850.33</v>
      </c>
      <c r="J362" s="38" t="n">
        <v>1850.25</v>
      </c>
      <c r="K362" s="39" t="n">
        <f aca="false">IF(F362="BUY",J362-I362,I362-J362)</f>
        <v>0.0799999999999272</v>
      </c>
      <c r="L362" s="38" t="n">
        <v>1856.33</v>
      </c>
      <c r="M362" s="39" t="n">
        <f aca="false">ABS(I362-L362)</f>
        <v>6</v>
      </c>
      <c r="N362" s="24" t="n">
        <f aca="false">M362*H362*Summary!$C$6</f>
        <v>42</v>
      </c>
      <c r="O362" s="37" t="n">
        <v>44971.646087963</v>
      </c>
      <c r="P362" s="22" t="n">
        <f aca="false">ROUND((O362-C362)*86400,0)</f>
        <v>18</v>
      </c>
      <c r="Q362" s="22" t="str">
        <f aca="false">IF(P362&lt;10,"a) &lt;10s",IF(P362&lt;60,"b) 10-60s",IF(P362&lt;600,"c) 1-10min","d) &gt;10min")))</f>
        <v>b) 10-60s</v>
      </c>
      <c r="R362" s="38" t="n">
        <v>1856.33</v>
      </c>
      <c r="S362" s="38" t="n">
        <v>1856.47</v>
      </c>
      <c r="T362" s="22" t="s">
        <v>188</v>
      </c>
      <c r="U362" s="39" t="n">
        <f aca="false">IF(R362="","",IF(F362="BUY",R362-S362,S362-R362))</f>
        <v>0.1400000000001</v>
      </c>
      <c r="V362" s="39" t="n">
        <f aca="false">IF(F362="BUY",S362-J362,J362-S362)</f>
        <v>-6.22000000000003</v>
      </c>
      <c r="W362" s="6" t="n">
        <v>-43.54</v>
      </c>
      <c r="X362" s="26" t="n">
        <f aca="false">IFERROR(W362/N362,0)</f>
        <v>-1.03666666666667</v>
      </c>
      <c r="Y362" s="22" t="str">
        <f aca="false">IF(W362&gt;0,"Win",IF(W362&lt;0,"Loss","Flat"))</f>
        <v>Loss</v>
      </c>
      <c r="Z362" s="24" t="n">
        <f aca="false">Summary!$C$5+SUM(W$2:W362)</f>
        <v>4302.57</v>
      </c>
      <c r="AA362" s="24" t="n">
        <f aca="false">MAX(AA361,Z362)</f>
        <v>5000</v>
      </c>
      <c r="AB362" s="24" t="n">
        <f aca="false">AA362-Z362</f>
        <v>697.43</v>
      </c>
      <c r="AC362" s="23" t="n">
        <f aca="false">IFERROR(AB362/AA362,0)</f>
        <v>0.139486</v>
      </c>
      <c r="AD362" s="22" t="s">
        <v>599</v>
      </c>
    </row>
    <row r="363" customFormat="false" ht="15" hidden="false" customHeight="false" outlineLevel="0" collapsed="false">
      <c r="A363" s="22" t="n">
        <v>362</v>
      </c>
      <c r="B363" s="22" t="s">
        <v>130</v>
      </c>
      <c r="C363" s="37" t="n">
        <v>44972.3548958333</v>
      </c>
      <c r="D363" s="22" t="s">
        <v>204</v>
      </c>
      <c r="E363" s="22" t="n">
        <v>8</v>
      </c>
      <c r="F363" s="22" t="s">
        <v>182</v>
      </c>
      <c r="G363" s="22" t="s">
        <v>237</v>
      </c>
      <c r="H363" s="22" t="n">
        <v>0.07</v>
      </c>
      <c r="I363" s="38" t="n">
        <v>1843.17</v>
      </c>
      <c r="J363" s="38" t="n">
        <v>1843.04</v>
      </c>
      <c r="K363" s="39" t="n">
        <f aca="false">IF(F363="BUY",J363-I363,I363-J363)</f>
        <v>0.130000000000109</v>
      </c>
      <c r="L363" s="38" t="n">
        <v>1849.17</v>
      </c>
      <c r="M363" s="39" t="n">
        <f aca="false">ABS(I363-L363)</f>
        <v>6</v>
      </c>
      <c r="N363" s="24" t="n">
        <f aca="false">M363*H363*Summary!$C$6</f>
        <v>42</v>
      </c>
      <c r="O363" s="37" t="n">
        <v>44972.9271064815</v>
      </c>
      <c r="P363" s="22" t="n">
        <f aca="false">ROUND((O363-C363)*86400,0)</f>
        <v>49439</v>
      </c>
      <c r="Q363" s="22" t="str">
        <f aca="false">IF(P363&lt;10,"a) &lt;10s",IF(P363&lt;60,"b) 10-60s",IF(P363&lt;600,"c) 1-10min","d) &gt;10min")))</f>
        <v>d) &gt;10min</v>
      </c>
      <c r="R363" s="38"/>
      <c r="S363" s="38" t="n">
        <v>1835.3</v>
      </c>
      <c r="T363" s="22" t="s">
        <v>191</v>
      </c>
      <c r="U363" s="39" t="str">
        <f aca="false">IF(R363="","",IF(F363="BUY",R363-S363,S363-R363))</f>
        <v/>
      </c>
      <c r="V363" s="39" t="n">
        <f aca="false">IF(F363="BUY",S363-J363,J363-S363)</f>
        <v>7.74000000000001</v>
      </c>
      <c r="W363" s="6" t="n">
        <v>54.18</v>
      </c>
      <c r="X363" s="26" t="n">
        <f aca="false">IFERROR(W363/N363,0)</f>
        <v>1.29</v>
      </c>
      <c r="Y363" s="22" t="str">
        <f aca="false">IF(W363&gt;0,"Win",IF(W363&lt;0,"Loss","Flat"))</f>
        <v>Win</v>
      </c>
      <c r="Z363" s="24" t="n">
        <f aca="false">Summary!$C$5+SUM(W$2:W363)</f>
        <v>4356.75</v>
      </c>
      <c r="AA363" s="24" t="n">
        <f aca="false">MAX(AA362,Z363)</f>
        <v>5000</v>
      </c>
      <c r="AB363" s="24" t="n">
        <f aca="false">AA363-Z363</f>
        <v>643.25</v>
      </c>
      <c r="AC363" s="23" t="n">
        <f aca="false">IFERROR(AB363/AA363,0)</f>
        <v>0.12865</v>
      </c>
      <c r="AD363" s="22" t="s">
        <v>600</v>
      </c>
    </row>
    <row r="364" customFormat="false" ht="15" hidden="false" customHeight="false" outlineLevel="0" collapsed="false">
      <c r="A364" s="22" t="n">
        <v>363</v>
      </c>
      <c r="B364" s="22" t="s">
        <v>130</v>
      </c>
      <c r="C364" s="37" t="n">
        <v>44973.4181134259</v>
      </c>
      <c r="D364" s="22" t="s">
        <v>205</v>
      </c>
      <c r="E364" s="22" t="n">
        <v>10</v>
      </c>
      <c r="F364" s="22" t="s">
        <v>181</v>
      </c>
      <c r="G364" s="22" t="s">
        <v>235</v>
      </c>
      <c r="H364" s="22" t="n">
        <v>0.07</v>
      </c>
      <c r="I364" s="38" t="n">
        <v>1841.65</v>
      </c>
      <c r="J364" s="38" t="n">
        <v>1841.65</v>
      </c>
      <c r="K364" s="39" t="n">
        <f aca="false">IF(F364="BUY",J364-I364,I364-J364)</f>
        <v>0</v>
      </c>
      <c r="L364" s="38" t="n">
        <v>1835.65</v>
      </c>
      <c r="M364" s="39" t="n">
        <f aca="false">ABS(I364-L364)</f>
        <v>6</v>
      </c>
      <c r="N364" s="24" t="n">
        <f aca="false">M364*H364*Summary!$C$6</f>
        <v>42</v>
      </c>
      <c r="O364" s="37" t="n">
        <v>44973.4343518519</v>
      </c>
      <c r="P364" s="22" t="n">
        <f aca="false">ROUND((O364-C364)*86400,0)</f>
        <v>1403</v>
      </c>
      <c r="Q364" s="22" t="str">
        <f aca="false">IF(P364&lt;10,"a) &lt;10s",IF(P364&lt;60,"b) 10-60s",IF(P364&lt;600,"c) 1-10min","d) &gt;10min")))</f>
        <v>d) &gt;10min</v>
      </c>
      <c r="R364" s="38" t="n">
        <v>1842.15</v>
      </c>
      <c r="S364" s="38" t="n">
        <v>1842.13</v>
      </c>
      <c r="T364" s="22" t="s">
        <v>189</v>
      </c>
      <c r="U364" s="39" t="n">
        <f aca="false">IF(R364="","",IF(F364="BUY",R364-S364,S364-R364))</f>
        <v>0.0199999999999818</v>
      </c>
      <c r="V364" s="39" t="n">
        <f aca="false">IF(F364="BUY",S364-J364,J364-S364)</f>
        <v>0.480000000000018</v>
      </c>
      <c r="W364" s="6" t="n">
        <v>3.36</v>
      </c>
      <c r="X364" s="26" t="n">
        <f aca="false">IFERROR(W364/N364,0)</f>
        <v>0.08</v>
      </c>
      <c r="Y364" s="22" t="str">
        <f aca="false">IF(W364&gt;0,"Win",IF(W364&lt;0,"Loss","Flat"))</f>
        <v>Win</v>
      </c>
      <c r="Z364" s="24" t="n">
        <f aca="false">Summary!$C$5+SUM(W$2:W364)</f>
        <v>4360.11</v>
      </c>
      <c r="AA364" s="24" t="n">
        <f aca="false">MAX(AA363,Z364)</f>
        <v>5000</v>
      </c>
      <c r="AB364" s="24" t="n">
        <f aca="false">AA364-Z364</f>
        <v>639.89</v>
      </c>
      <c r="AC364" s="23" t="n">
        <f aca="false">IFERROR(AB364/AA364,0)</f>
        <v>0.127978</v>
      </c>
      <c r="AD364" s="22" t="s">
        <v>601</v>
      </c>
    </row>
    <row r="365" customFormat="false" ht="15" hidden="false" customHeight="false" outlineLevel="0" collapsed="false">
      <c r="A365" s="22" t="n">
        <v>364</v>
      </c>
      <c r="B365" s="22" t="s">
        <v>130</v>
      </c>
      <c r="C365" s="37" t="n">
        <v>44973.6580671296</v>
      </c>
      <c r="D365" s="22" t="s">
        <v>205</v>
      </c>
      <c r="E365" s="22" t="n">
        <v>15</v>
      </c>
      <c r="F365" s="22" t="s">
        <v>182</v>
      </c>
      <c r="G365" s="22" t="s">
        <v>237</v>
      </c>
      <c r="H365" s="22" t="n">
        <v>0.07</v>
      </c>
      <c r="I365" s="38" t="n">
        <v>1830.48</v>
      </c>
      <c r="J365" s="38" t="n">
        <v>1830.47</v>
      </c>
      <c r="K365" s="39" t="n">
        <f aca="false">IF(F365="BUY",J365-I365,I365-J365)</f>
        <v>0.00999999999999091</v>
      </c>
      <c r="L365" s="38" t="n">
        <v>1836.48</v>
      </c>
      <c r="M365" s="39" t="n">
        <f aca="false">ABS(I365-L365)</f>
        <v>6</v>
      </c>
      <c r="N365" s="24" t="n">
        <f aca="false">M365*H365*Summary!$C$6</f>
        <v>42</v>
      </c>
      <c r="O365" s="37" t="n">
        <v>44973.6596064815</v>
      </c>
      <c r="P365" s="22" t="n">
        <f aca="false">ROUND((O365-C365)*86400,0)</f>
        <v>133</v>
      </c>
      <c r="Q365" s="22" t="str">
        <f aca="false">IF(P365&lt;10,"a) &lt;10s",IF(P365&lt;60,"b) 10-60s",IF(P365&lt;600,"c) 1-10min","d) &gt;10min")))</f>
        <v>c) 1-10min</v>
      </c>
      <c r="R365" s="38" t="n">
        <v>1829.97</v>
      </c>
      <c r="S365" s="38" t="n">
        <v>1830</v>
      </c>
      <c r="T365" s="22" t="s">
        <v>189</v>
      </c>
      <c r="U365" s="39" t="n">
        <f aca="false">IF(R365="","",IF(F365="BUY",R365-S365,S365-R365))</f>
        <v>0.0299999999999727</v>
      </c>
      <c r="V365" s="39" t="n">
        <f aca="false">IF(F365="BUY",S365-J365,J365-S365)</f>
        <v>0.470000000000027</v>
      </c>
      <c r="W365" s="6" t="n">
        <v>3.29</v>
      </c>
      <c r="X365" s="26" t="n">
        <f aca="false">IFERROR(W365/N365,0)</f>
        <v>0.0783333333333333</v>
      </c>
      <c r="Y365" s="22" t="str">
        <f aca="false">IF(W365&gt;0,"Win",IF(W365&lt;0,"Loss","Flat"))</f>
        <v>Win</v>
      </c>
      <c r="Z365" s="24" t="n">
        <f aca="false">Summary!$C$5+SUM(W$2:W365)</f>
        <v>4363.4</v>
      </c>
      <c r="AA365" s="24" t="n">
        <f aca="false">MAX(AA364,Z365)</f>
        <v>5000</v>
      </c>
      <c r="AB365" s="24" t="n">
        <f aca="false">AA365-Z365</f>
        <v>636.6</v>
      </c>
      <c r="AC365" s="23" t="n">
        <f aca="false">IFERROR(AB365/AA365,0)</f>
        <v>0.12732</v>
      </c>
      <c r="AD365" s="22" t="s">
        <v>602</v>
      </c>
    </row>
    <row r="366" customFormat="false" ht="15" hidden="false" customHeight="false" outlineLevel="0" collapsed="false">
      <c r="A366" s="22" t="n">
        <v>365</v>
      </c>
      <c r="B366" s="22" t="s">
        <v>130</v>
      </c>
      <c r="C366" s="37" t="n">
        <v>44974.1674189815</v>
      </c>
      <c r="D366" s="22" t="s">
        <v>206</v>
      </c>
      <c r="E366" s="22" t="n">
        <v>4</v>
      </c>
      <c r="F366" s="22" t="s">
        <v>182</v>
      </c>
      <c r="G366" s="22" t="s">
        <v>237</v>
      </c>
      <c r="H366" s="22" t="n">
        <v>0.07</v>
      </c>
      <c r="I366" s="38" t="n">
        <v>1827.56</v>
      </c>
      <c r="J366" s="38" t="n">
        <v>1827.55</v>
      </c>
      <c r="K366" s="39" t="n">
        <f aca="false">IF(F366="BUY",J366-I366,I366-J366)</f>
        <v>0.00999999999999091</v>
      </c>
      <c r="L366" s="38" t="n">
        <v>1833.56</v>
      </c>
      <c r="M366" s="39" t="n">
        <f aca="false">ABS(I366-L366)</f>
        <v>6</v>
      </c>
      <c r="N366" s="24" t="n">
        <f aca="false">M366*H366*Summary!$C$6</f>
        <v>42</v>
      </c>
      <c r="O366" s="37" t="n">
        <v>44974.2895601852</v>
      </c>
      <c r="P366" s="22" t="n">
        <f aca="false">ROUND((O366-C366)*86400,0)</f>
        <v>10553</v>
      </c>
      <c r="Q366" s="22" t="str">
        <f aca="false">IF(P366&lt;10,"a) &lt;10s",IF(P366&lt;60,"b) 10-60s",IF(P366&lt;600,"c) 1-10min","d) &gt;10min")))</f>
        <v>d) &gt;10min</v>
      </c>
      <c r="R366" s="38" t="n">
        <v>1827.05</v>
      </c>
      <c r="S366" s="38" t="n">
        <v>1827.09</v>
      </c>
      <c r="T366" s="22" t="s">
        <v>189</v>
      </c>
      <c r="U366" s="39" t="n">
        <f aca="false">IF(R366="","",IF(F366="BUY",R366-S366,S366-R366))</f>
        <v>0.0399999999999636</v>
      </c>
      <c r="V366" s="39" t="n">
        <f aca="false">IF(F366="BUY",S366-J366,J366-S366)</f>
        <v>0.460000000000036</v>
      </c>
      <c r="W366" s="6" t="n">
        <v>3.22</v>
      </c>
      <c r="X366" s="26" t="n">
        <f aca="false">IFERROR(W366/N366,0)</f>
        <v>0.0766666666666667</v>
      </c>
      <c r="Y366" s="22" t="str">
        <f aca="false">IF(W366&gt;0,"Win",IF(W366&lt;0,"Loss","Flat"))</f>
        <v>Win</v>
      </c>
      <c r="Z366" s="24" t="n">
        <f aca="false">Summary!$C$5+SUM(W$2:W366)</f>
        <v>4366.62</v>
      </c>
      <c r="AA366" s="24" t="n">
        <f aca="false">MAX(AA365,Z366)</f>
        <v>5000</v>
      </c>
      <c r="AB366" s="24" t="n">
        <f aca="false">AA366-Z366</f>
        <v>633.38</v>
      </c>
      <c r="AC366" s="23" t="n">
        <f aca="false">IFERROR(AB366/AA366,0)</f>
        <v>0.126676</v>
      </c>
      <c r="AD366" s="22" t="s">
        <v>603</v>
      </c>
    </row>
    <row r="367" customFormat="false" ht="15" hidden="false" customHeight="false" outlineLevel="0" collapsed="false">
      <c r="A367" s="22" t="n">
        <v>366</v>
      </c>
      <c r="B367" s="22" t="s">
        <v>130</v>
      </c>
      <c r="C367" s="37" t="n">
        <v>44974.3758449074</v>
      </c>
      <c r="D367" s="22" t="s">
        <v>206</v>
      </c>
      <c r="E367" s="22" t="n">
        <v>9</v>
      </c>
      <c r="F367" s="22" t="s">
        <v>182</v>
      </c>
      <c r="G367" s="22" t="s">
        <v>241</v>
      </c>
      <c r="H367" s="22" t="n">
        <v>0.07</v>
      </c>
      <c r="I367" s="38" t="n">
        <v>1823.1</v>
      </c>
      <c r="J367" s="38" t="n">
        <v>1822.98</v>
      </c>
      <c r="K367" s="39" t="n">
        <f aca="false">IF(F367="BUY",J367-I367,I367-J367)</f>
        <v>0.119999999999891</v>
      </c>
      <c r="L367" s="38" t="n">
        <v>1829.1</v>
      </c>
      <c r="M367" s="39" t="n">
        <f aca="false">ABS(I367-L367)</f>
        <v>6</v>
      </c>
      <c r="N367" s="24" t="n">
        <f aca="false">M367*H367*Summary!$C$6</f>
        <v>42</v>
      </c>
      <c r="O367" s="37" t="n">
        <v>44974.4555208333</v>
      </c>
      <c r="P367" s="22" t="n">
        <f aca="false">ROUND((O367-C367)*86400,0)</f>
        <v>6884</v>
      </c>
      <c r="Q367" s="22" t="str">
        <f aca="false">IF(P367&lt;10,"a) &lt;10s",IF(P367&lt;60,"b) 10-60s",IF(P367&lt;600,"c) 1-10min","d) &gt;10min")))</f>
        <v>d) &gt;10min</v>
      </c>
      <c r="R367" s="38" t="n">
        <v>1822.48</v>
      </c>
      <c r="S367" s="38" t="n">
        <v>1822.48</v>
      </c>
      <c r="T367" s="22" t="s">
        <v>189</v>
      </c>
      <c r="U367" s="39" t="n">
        <f aca="false">IF(R367="","",IF(F367="BUY",R367-S367,S367-R367))</f>
        <v>0</v>
      </c>
      <c r="V367" s="39" t="n">
        <f aca="false">IF(F367="BUY",S367-J367,J367-S367)</f>
        <v>0.5</v>
      </c>
      <c r="W367" s="6" t="n">
        <v>3.5</v>
      </c>
      <c r="X367" s="26" t="n">
        <f aca="false">IFERROR(W367/N367,0)</f>
        <v>0.0833333333333333</v>
      </c>
      <c r="Y367" s="22" t="str">
        <f aca="false">IF(W367&gt;0,"Win",IF(W367&lt;0,"Loss","Flat"))</f>
        <v>Win</v>
      </c>
      <c r="Z367" s="24" t="n">
        <f aca="false">Summary!$C$5+SUM(W$2:W367)</f>
        <v>4370.12</v>
      </c>
      <c r="AA367" s="24" t="n">
        <f aca="false">MAX(AA366,Z367)</f>
        <v>5000</v>
      </c>
      <c r="AB367" s="24" t="n">
        <f aca="false">AA367-Z367</f>
        <v>629.88</v>
      </c>
      <c r="AC367" s="23" t="n">
        <f aca="false">IFERROR(AB367/AA367,0)</f>
        <v>0.125976</v>
      </c>
      <c r="AD367" s="22" t="s">
        <v>604</v>
      </c>
    </row>
    <row r="368" customFormat="false" ht="15" hidden="false" customHeight="false" outlineLevel="0" collapsed="false">
      <c r="A368" s="22" t="n">
        <v>367</v>
      </c>
      <c r="B368" s="22" t="s">
        <v>130</v>
      </c>
      <c r="C368" s="37" t="n">
        <v>44977.2536574074</v>
      </c>
      <c r="D368" s="22" t="s">
        <v>202</v>
      </c>
      <c r="E368" s="22" t="n">
        <v>6</v>
      </c>
      <c r="F368" s="22" t="s">
        <v>181</v>
      </c>
      <c r="G368" s="22" t="s">
        <v>243</v>
      </c>
      <c r="H368" s="22" t="n">
        <v>0.07</v>
      </c>
      <c r="I368" s="38" t="n">
        <v>1843.51</v>
      </c>
      <c r="J368" s="38" t="n">
        <v>1843.52</v>
      </c>
      <c r="K368" s="39" t="n">
        <f aca="false">IF(F368="BUY",J368-I368,I368-J368)</f>
        <v>0.00999999999999091</v>
      </c>
      <c r="L368" s="38" t="n">
        <v>1837.51</v>
      </c>
      <c r="M368" s="39" t="n">
        <f aca="false">ABS(I368-L368)</f>
        <v>6</v>
      </c>
      <c r="N368" s="24" t="n">
        <f aca="false">M368*H368*Summary!$C$6</f>
        <v>42</v>
      </c>
      <c r="O368" s="37" t="n">
        <v>44977.3981134259</v>
      </c>
      <c r="P368" s="22" t="n">
        <f aca="false">ROUND((O368-C368)*86400,0)</f>
        <v>12481</v>
      </c>
      <c r="Q368" s="22" t="str">
        <f aca="false">IF(P368&lt;10,"a) &lt;10s",IF(P368&lt;60,"b) 10-60s",IF(P368&lt;600,"c) 1-10min","d) &gt;10min")))</f>
        <v>d) &gt;10min</v>
      </c>
      <c r="R368" s="38" t="n">
        <v>1844.02</v>
      </c>
      <c r="S368" s="38" t="n">
        <v>1844.02</v>
      </c>
      <c r="T368" s="22" t="s">
        <v>189</v>
      </c>
      <c r="U368" s="39" t="n">
        <f aca="false">IF(R368="","",IF(F368="BUY",R368-S368,S368-R368))</f>
        <v>0</v>
      </c>
      <c r="V368" s="39" t="n">
        <f aca="false">IF(F368="BUY",S368-J368,J368-S368)</f>
        <v>0.5</v>
      </c>
      <c r="W368" s="6" t="n">
        <v>3.5</v>
      </c>
      <c r="X368" s="26" t="n">
        <f aca="false">IFERROR(W368/N368,0)</f>
        <v>0.0833333333333333</v>
      </c>
      <c r="Y368" s="22" t="str">
        <f aca="false">IF(W368&gt;0,"Win",IF(W368&lt;0,"Loss","Flat"))</f>
        <v>Win</v>
      </c>
      <c r="Z368" s="24" t="n">
        <f aca="false">Summary!$C$5+SUM(W$2:W368)</f>
        <v>4373.62</v>
      </c>
      <c r="AA368" s="24" t="n">
        <f aca="false">MAX(AA367,Z368)</f>
        <v>5000</v>
      </c>
      <c r="AB368" s="24" t="n">
        <f aca="false">AA368-Z368</f>
        <v>626.38</v>
      </c>
      <c r="AC368" s="23" t="n">
        <f aca="false">IFERROR(AB368/AA368,0)</f>
        <v>0.125276</v>
      </c>
      <c r="AD368" s="22" t="s">
        <v>605</v>
      </c>
    </row>
    <row r="369" customFormat="false" ht="15" hidden="false" customHeight="false" outlineLevel="0" collapsed="false">
      <c r="A369" s="22" t="n">
        <v>368</v>
      </c>
      <c r="B369" s="22" t="s">
        <v>130</v>
      </c>
      <c r="C369" s="37" t="n">
        <v>44977.4494097222</v>
      </c>
      <c r="D369" s="22" t="s">
        <v>202</v>
      </c>
      <c r="E369" s="22" t="n">
        <v>10</v>
      </c>
      <c r="F369" s="22" t="s">
        <v>182</v>
      </c>
      <c r="G369" s="22" t="s">
        <v>241</v>
      </c>
      <c r="H369" s="22" t="n">
        <v>0.07</v>
      </c>
      <c r="I369" s="38" t="n">
        <v>1841.05</v>
      </c>
      <c r="J369" s="38" t="n">
        <v>1841.04</v>
      </c>
      <c r="K369" s="39" t="n">
        <f aca="false">IF(F369="BUY",J369-I369,I369-J369)</f>
        <v>0.00999999999999091</v>
      </c>
      <c r="L369" s="38" t="n">
        <v>1847.05</v>
      </c>
      <c r="M369" s="39" t="n">
        <f aca="false">ABS(I369-L369)</f>
        <v>6</v>
      </c>
      <c r="N369" s="24" t="n">
        <f aca="false">M369*H369*Summary!$C$6</f>
        <v>42</v>
      </c>
      <c r="O369" s="37" t="n">
        <v>44977.6638078704</v>
      </c>
      <c r="P369" s="22" t="n">
        <f aca="false">ROUND((O369-C369)*86400,0)</f>
        <v>18524</v>
      </c>
      <c r="Q369" s="22" t="str">
        <f aca="false">IF(P369&lt;10,"a) &lt;10s",IF(P369&lt;60,"b) 10-60s",IF(P369&lt;600,"c) 1-10min","d) &gt;10min")))</f>
        <v>d) &gt;10min</v>
      </c>
      <c r="R369" s="38" t="n">
        <v>1847.05</v>
      </c>
      <c r="S369" s="38" t="n">
        <v>1847.06</v>
      </c>
      <c r="T369" s="22" t="s">
        <v>188</v>
      </c>
      <c r="U369" s="39" t="n">
        <f aca="false">IF(R369="","",IF(F369="BUY",R369-S369,S369-R369))</f>
        <v>0.00999999999999091</v>
      </c>
      <c r="V369" s="39" t="n">
        <f aca="false">IF(F369="BUY",S369-J369,J369-S369)</f>
        <v>-6.01999999999998</v>
      </c>
      <c r="W369" s="6" t="n">
        <v>-42.14</v>
      </c>
      <c r="X369" s="26" t="n">
        <f aca="false">IFERROR(W369/N369,0)</f>
        <v>-1.00333333333333</v>
      </c>
      <c r="Y369" s="22" t="str">
        <f aca="false">IF(W369&gt;0,"Win",IF(W369&lt;0,"Loss","Flat"))</f>
        <v>Loss</v>
      </c>
      <c r="Z369" s="24" t="n">
        <f aca="false">Summary!$C$5+SUM(W$2:W369)</f>
        <v>4331.48</v>
      </c>
      <c r="AA369" s="24" t="n">
        <f aca="false">MAX(AA368,Z369)</f>
        <v>5000</v>
      </c>
      <c r="AB369" s="24" t="n">
        <f aca="false">AA369-Z369</f>
        <v>668.52</v>
      </c>
      <c r="AC369" s="23" t="n">
        <f aca="false">IFERROR(AB369/AA369,0)</f>
        <v>0.133704</v>
      </c>
      <c r="AD369" s="22" t="s">
        <v>606</v>
      </c>
    </row>
    <row r="370" customFormat="false" ht="15" hidden="false" customHeight="false" outlineLevel="0" collapsed="false">
      <c r="A370" s="22" t="n">
        <v>369</v>
      </c>
      <c r="B370" s="22" t="s">
        <v>130</v>
      </c>
      <c r="C370" s="37" t="n">
        <v>44978.2422800926</v>
      </c>
      <c r="D370" s="22" t="s">
        <v>203</v>
      </c>
      <c r="E370" s="22" t="n">
        <v>5</v>
      </c>
      <c r="F370" s="22" t="s">
        <v>182</v>
      </c>
      <c r="G370" s="22" t="s">
        <v>237</v>
      </c>
      <c r="H370" s="22" t="n">
        <v>0.07</v>
      </c>
      <c r="I370" s="38" t="n">
        <v>1837.15</v>
      </c>
      <c r="J370" s="38" t="n">
        <v>1837.12</v>
      </c>
      <c r="K370" s="39" t="n">
        <f aca="false">IF(F370="BUY",J370-I370,I370-J370)</f>
        <v>0.0300000000002001</v>
      </c>
      <c r="L370" s="38" t="n">
        <v>1843.15</v>
      </c>
      <c r="M370" s="39" t="n">
        <f aca="false">ABS(I370-L370)</f>
        <v>6</v>
      </c>
      <c r="N370" s="24" t="n">
        <f aca="false">M370*H370*Summary!$C$6</f>
        <v>42</v>
      </c>
      <c r="O370" s="37" t="n">
        <v>44978.3977546296</v>
      </c>
      <c r="P370" s="22" t="n">
        <f aca="false">ROUND((O370-C370)*86400,0)</f>
        <v>13433</v>
      </c>
      <c r="Q370" s="22" t="str">
        <f aca="false">IF(P370&lt;10,"a) &lt;10s",IF(P370&lt;60,"b) 10-60s",IF(P370&lt;600,"c) 1-10min","d) &gt;10min")))</f>
        <v>d) &gt;10min</v>
      </c>
      <c r="R370" s="38" t="n">
        <v>1836.62</v>
      </c>
      <c r="S370" s="38" t="n">
        <v>1836.75</v>
      </c>
      <c r="T370" s="22" t="s">
        <v>189</v>
      </c>
      <c r="U370" s="39" t="n">
        <f aca="false">IF(R370="","",IF(F370="BUY",R370-S370,S370-R370))</f>
        <v>0.130000000000109</v>
      </c>
      <c r="V370" s="39" t="n">
        <f aca="false">IF(F370="BUY",S370-J370,J370-S370)</f>
        <v>0.369999999999891</v>
      </c>
      <c r="W370" s="6" t="n">
        <v>2.59</v>
      </c>
      <c r="X370" s="26" t="n">
        <f aca="false">IFERROR(W370/N370,0)</f>
        <v>0.0616666666666667</v>
      </c>
      <c r="Y370" s="22" t="str">
        <f aca="false">IF(W370&gt;0,"Win",IF(W370&lt;0,"Loss","Flat"))</f>
        <v>Win</v>
      </c>
      <c r="Z370" s="24" t="n">
        <f aca="false">Summary!$C$5+SUM(W$2:W370)</f>
        <v>4334.07</v>
      </c>
      <c r="AA370" s="24" t="n">
        <f aca="false">MAX(AA369,Z370)</f>
        <v>5000</v>
      </c>
      <c r="AB370" s="24" t="n">
        <f aca="false">AA370-Z370</f>
        <v>665.93</v>
      </c>
      <c r="AC370" s="23" t="n">
        <f aca="false">IFERROR(AB370/AA370,0)</f>
        <v>0.133186</v>
      </c>
      <c r="AD370" s="22" t="s">
        <v>607</v>
      </c>
    </row>
    <row r="371" customFormat="false" ht="15" hidden="false" customHeight="false" outlineLevel="0" collapsed="false">
      <c r="A371" s="22" t="n">
        <v>370</v>
      </c>
      <c r="B371" s="22" t="s">
        <v>130</v>
      </c>
      <c r="C371" s="37" t="n">
        <v>44978.6717013889</v>
      </c>
      <c r="D371" s="22" t="s">
        <v>203</v>
      </c>
      <c r="E371" s="22" t="n">
        <v>16</v>
      </c>
      <c r="F371" s="22" t="s">
        <v>181</v>
      </c>
      <c r="G371" s="22" t="s">
        <v>235</v>
      </c>
      <c r="H371" s="22" t="n">
        <v>0.07</v>
      </c>
      <c r="I371" s="38" t="n">
        <v>1839.7</v>
      </c>
      <c r="J371" s="38" t="n">
        <v>1839.71</v>
      </c>
      <c r="K371" s="39" t="n">
        <f aca="false">IF(F371="BUY",J371-I371,I371-J371)</f>
        <v>0.00999999999999091</v>
      </c>
      <c r="L371" s="38" t="n">
        <v>1833.7</v>
      </c>
      <c r="M371" s="39" t="n">
        <f aca="false">ABS(I371-L371)</f>
        <v>6</v>
      </c>
      <c r="N371" s="24" t="n">
        <f aca="false">M371*H371*Summary!$C$6</f>
        <v>42</v>
      </c>
      <c r="O371" s="37" t="n">
        <v>44978.6979166667</v>
      </c>
      <c r="P371" s="22" t="n">
        <f aca="false">ROUND((O371-C371)*86400,0)</f>
        <v>2265</v>
      </c>
      <c r="Q371" s="22" t="str">
        <f aca="false">IF(P371&lt;10,"a) &lt;10s",IF(P371&lt;60,"b) 10-60s",IF(P371&lt;600,"c) 1-10min","d) &gt;10min")))</f>
        <v>d) &gt;10min</v>
      </c>
      <c r="R371" s="38" t="n">
        <v>1840.21</v>
      </c>
      <c r="S371" s="38" t="n">
        <v>1838.86</v>
      </c>
      <c r="T371" s="22" t="s">
        <v>189</v>
      </c>
      <c r="U371" s="39" t="n">
        <f aca="false">IF(R371="","",IF(F371="BUY",R371-S371,S371-R371))</f>
        <v>1.35000000000014</v>
      </c>
      <c r="V371" s="39" t="n">
        <f aca="false">IF(F371="BUY",S371-J371,J371-S371)</f>
        <v>-0.850000000000136</v>
      </c>
      <c r="W371" s="6" t="n">
        <v>-5.95</v>
      </c>
      <c r="X371" s="26" t="n">
        <f aca="false">IFERROR(W371/N371,0)</f>
        <v>-0.141666666666667</v>
      </c>
      <c r="Y371" s="22" t="str">
        <f aca="false">IF(W371&gt;0,"Win",IF(W371&lt;0,"Loss","Flat"))</f>
        <v>Loss</v>
      </c>
      <c r="Z371" s="24" t="n">
        <f aca="false">Summary!$C$5+SUM(W$2:W371)</f>
        <v>4328.12</v>
      </c>
      <c r="AA371" s="24" t="n">
        <f aca="false">MAX(AA370,Z371)</f>
        <v>5000</v>
      </c>
      <c r="AB371" s="24" t="n">
        <f aca="false">AA371-Z371</f>
        <v>671.88</v>
      </c>
      <c r="AC371" s="23" t="n">
        <f aca="false">IFERROR(AB371/AA371,0)</f>
        <v>0.134376</v>
      </c>
      <c r="AD371" s="22" t="s">
        <v>608</v>
      </c>
    </row>
    <row r="372" customFormat="false" ht="15" hidden="false" customHeight="false" outlineLevel="0" collapsed="false">
      <c r="A372" s="22" t="n">
        <v>371</v>
      </c>
      <c r="B372" s="22" t="s">
        <v>130</v>
      </c>
      <c r="C372" s="37" t="n">
        <v>44979.4008912037</v>
      </c>
      <c r="D372" s="22" t="s">
        <v>204</v>
      </c>
      <c r="E372" s="22" t="n">
        <v>9</v>
      </c>
      <c r="F372" s="22" t="s">
        <v>181</v>
      </c>
      <c r="G372" s="22" t="s">
        <v>235</v>
      </c>
      <c r="H372" s="22" t="n">
        <v>0.07</v>
      </c>
      <c r="I372" s="38" t="n">
        <v>1837.17</v>
      </c>
      <c r="J372" s="38" t="n">
        <v>1837.2</v>
      </c>
      <c r="K372" s="39" t="n">
        <f aca="false">IF(F372="BUY",J372-I372,I372-J372)</f>
        <v>0.0299999999999727</v>
      </c>
      <c r="L372" s="38" t="n">
        <v>1831.17</v>
      </c>
      <c r="M372" s="39" t="n">
        <f aca="false">ABS(I372-L372)</f>
        <v>6</v>
      </c>
      <c r="N372" s="24" t="n">
        <f aca="false">M372*H372*Summary!$C$6</f>
        <v>42</v>
      </c>
      <c r="O372" s="37" t="n">
        <v>44979.4316898148</v>
      </c>
      <c r="P372" s="22" t="n">
        <f aca="false">ROUND((O372-C372)*86400,0)</f>
        <v>2661</v>
      </c>
      <c r="Q372" s="22" t="str">
        <f aca="false">IF(P372&lt;10,"a) &lt;10s",IF(P372&lt;60,"b) 10-60s",IF(P372&lt;600,"c) 1-10min","d) &gt;10min")))</f>
        <v>d) &gt;10min</v>
      </c>
      <c r="R372" s="38" t="n">
        <v>1837.7</v>
      </c>
      <c r="S372" s="38" t="n">
        <v>1837.68</v>
      </c>
      <c r="T372" s="22" t="s">
        <v>189</v>
      </c>
      <c r="U372" s="39" t="n">
        <f aca="false">IF(R372="","",IF(F372="BUY",R372-S372,S372-R372))</f>
        <v>0.0199999999999818</v>
      </c>
      <c r="V372" s="39" t="n">
        <f aca="false">IF(F372="BUY",S372-J372,J372-S372)</f>
        <v>0.480000000000018</v>
      </c>
      <c r="W372" s="6" t="n">
        <v>3.36</v>
      </c>
      <c r="X372" s="26" t="n">
        <f aca="false">IFERROR(W372/N372,0)</f>
        <v>0.08</v>
      </c>
      <c r="Y372" s="22" t="str">
        <f aca="false">IF(W372&gt;0,"Win",IF(W372&lt;0,"Loss","Flat"))</f>
        <v>Win</v>
      </c>
      <c r="Z372" s="24" t="n">
        <f aca="false">Summary!$C$5+SUM(W$2:W372)</f>
        <v>4331.48</v>
      </c>
      <c r="AA372" s="24" t="n">
        <f aca="false">MAX(AA371,Z372)</f>
        <v>5000</v>
      </c>
      <c r="AB372" s="24" t="n">
        <f aca="false">AA372-Z372</f>
        <v>668.52</v>
      </c>
      <c r="AC372" s="23" t="n">
        <f aca="false">IFERROR(AB372/AA372,0)</f>
        <v>0.133704</v>
      </c>
      <c r="AD372" s="22" t="s">
        <v>609</v>
      </c>
    </row>
    <row r="373" customFormat="false" ht="15" hidden="false" customHeight="false" outlineLevel="0" collapsed="false">
      <c r="A373" s="22" t="n">
        <v>372</v>
      </c>
      <c r="B373" s="22" t="s">
        <v>130</v>
      </c>
      <c r="C373" s="37" t="n">
        <v>44979.6045949074</v>
      </c>
      <c r="D373" s="22" t="s">
        <v>204</v>
      </c>
      <c r="E373" s="22" t="n">
        <v>14</v>
      </c>
      <c r="F373" s="22" t="s">
        <v>181</v>
      </c>
      <c r="G373" s="22" t="s">
        <v>243</v>
      </c>
      <c r="H373" s="22" t="n">
        <v>0.07</v>
      </c>
      <c r="I373" s="38" t="n">
        <v>1843.74</v>
      </c>
      <c r="J373" s="38" t="n">
        <v>1843.81</v>
      </c>
      <c r="K373" s="39" t="n">
        <f aca="false">IF(F373="BUY",J373-I373,I373-J373)</f>
        <v>0.0699999999999363</v>
      </c>
      <c r="L373" s="38" t="n">
        <v>1837.74</v>
      </c>
      <c r="M373" s="39" t="n">
        <f aca="false">ABS(I373-L373)</f>
        <v>6</v>
      </c>
      <c r="N373" s="24" t="n">
        <f aca="false">M373*H373*Summary!$C$6</f>
        <v>42</v>
      </c>
      <c r="O373" s="37" t="n">
        <v>44979.6082175926</v>
      </c>
      <c r="P373" s="22" t="n">
        <f aca="false">ROUND((O373-C373)*86400,0)</f>
        <v>313</v>
      </c>
      <c r="Q373" s="22" t="str">
        <f aca="false">IF(P373&lt;10,"a) &lt;10s",IF(P373&lt;60,"b) 10-60s",IF(P373&lt;600,"c) 1-10min","d) &gt;10min")))</f>
        <v>c) 1-10min</v>
      </c>
      <c r="R373" s="38" t="n">
        <v>1844.31</v>
      </c>
      <c r="S373" s="38" t="n">
        <v>1844.29</v>
      </c>
      <c r="T373" s="22" t="s">
        <v>189</v>
      </c>
      <c r="U373" s="39" t="n">
        <f aca="false">IF(R373="","",IF(F373="BUY",R373-S373,S373-R373))</f>
        <v>0.0199999999999818</v>
      </c>
      <c r="V373" s="39" t="n">
        <f aca="false">IF(F373="BUY",S373-J373,J373-S373)</f>
        <v>0.480000000000018</v>
      </c>
      <c r="W373" s="6" t="n">
        <v>3.36</v>
      </c>
      <c r="X373" s="26" t="n">
        <f aca="false">IFERROR(W373/N373,0)</f>
        <v>0.08</v>
      </c>
      <c r="Y373" s="22" t="str">
        <f aca="false">IF(W373&gt;0,"Win",IF(W373&lt;0,"Loss","Flat"))</f>
        <v>Win</v>
      </c>
      <c r="Z373" s="24" t="n">
        <f aca="false">Summary!$C$5+SUM(W$2:W373)</f>
        <v>4334.84</v>
      </c>
      <c r="AA373" s="24" t="n">
        <f aca="false">MAX(AA372,Z373)</f>
        <v>5000</v>
      </c>
      <c r="AB373" s="24" t="n">
        <f aca="false">AA373-Z373</f>
        <v>665.16</v>
      </c>
      <c r="AC373" s="23" t="n">
        <f aca="false">IFERROR(AB373/AA373,0)</f>
        <v>0.133032</v>
      </c>
      <c r="AD373" s="22" t="s">
        <v>610</v>
      </c>
    </row>
    <row r="374" customFormat="false" ht="15" hidden="false" customHeight="false" outlineLevel="0" collapsed="false">
      <c r="A374" s="22" t="n">
        <v>373</v>
      </c>
      <c r="B374" s="22" t="s">
        <v>130</v>
      </c>
      <c r="C374" s="37" t="n">
        <v>44980.0834837963</v>
      </c>
      <c r="D374" s="22" t="s">
        <v>205</v>
      </c>
      <c r="E374" s="22" t="n">
        <v>2</v>
      </c>
      <c r="F374" s="22" t="s">
        <v>182</v>
      </c>
      <c r="G374" s="22" t="s">
        <v>237</v>
      </c>
      <c r="H374" s="22" t="n">
        <v>0.07</v>
      </c>
      <c r="I374" s="38" t="n">
        <v>1823.43</v>
      </c>
      <c r="J374" s="38" t="n">
        <v>1823.4</v>
      </c>
      <c r="K374" s="39" t="n">
        <f aca="false">IF(F374="BUY",J374-I374,I374-J374)</f>
        <v>0.0299999999999727</v>
      </c>
      <c r="L374" s="38" t="n">
        <v>1829.43</v>
      </c>
      <c r="M374" s="39" t="n">
        <f aca="false">ABS(I374-L374)</f>
        <v>6</v>
      </c>
      <c r="N374" s="24" t="n">
        <f aca="false">M374*H374*Summary!$C$6</f>
        <v>42</v>
      </c>
      <c r="O374" s="37" t="n">
        <v>44980.200625</v>
      </c>
      <c r="P374" s="22" t="n">
        <f aca="false">ROUND((O374-C374)*86400,0)</f>
        <v>10121</v>
      </c>
      <c r="Q374" s="22" t="str">
        <f aca="false">IF(P374&lt;10,"a) &lt;10s",IF(P374&lt;60,"b) 10-60s",IF(P374&lt;600,"c) 1-10min","d) &gt;10min")))</f>
        <v>d) &gt;10min</v>
      </c>
      <c r="R374" s="38" t="n">
        <v>1829.43</v>
      </c>
      <c r="S374" s="38" t="n">
        <v>1829.43</v>
      </c>
      <c r="T374" s="22" t="s">
        <v>188</v>
      </c>
      <c r="U374" s="39" t="n">
        <f aca="false">IF(R374="","",IF(F374="BUY",R374-S374,S374-R374))</f>
        <v>0</v>
      </c>
      <c r="V374" s="39" t="n">
        <f aca="false">IF(F374="BUY",S374-J374,J374-S374)</f>
        <v>-6.02999999999997</v>
      </c>
      <c r="W374" s="6" t="n">
        <v>-42.21</v>
      </c>
      <c r="X374" s="26" t="n">
        <f aca="false">IFERROR(W374/N374,0)</f>
        <v>-1.005</v>
      </c>
      <c r="Y374" s="22" t="str">
        <f aca="false">IF(W374&gt;0,"Win",IF(W374&lt;0,"Loss","Flat"))</f>
        <v>Loss</v>
      </c>
      <c r="Z374" s="24" t="n">
        <f aca="false">Summary!$C$5+SUM(W$2:W374)</f>
        <v>4292.63</v>
      </c>
      <c r="AA374" s="24" t="n">
        <f aca="false">MAX(AA373,Z374)</f>
        <v>5000</v>
      </c>
      <c r="AB374" s="24" t="n">
        <f aca="false">AA374-Z374</f>
        <v>707.37</v>
      </c>
      <c r="AC374" s="23" t="n">
        <f aca="false">IFERROR(AB374/AA374,0)</f>
        <v>0.141474</v>
      </c>
      <c r="AD374" s="22" t="s">
        <v>611</v>
      </c>
    </row>
    <row r="375" customFormat="false" ht="15" hidden="false" customHeight="false" outlineLevel="0" collapsed="false">
      <c r="A375" s="22" t="n">
        <v>374</v>
      </c>
      <c r="B375" s="22" t="s">
        <v>130</v>
      </c>
      <c r="C375" s="37" t="n">
        <v>44980.3797106482</v>
      </c>
      <c r="D375" s="22" t="s">
        <v>205</v>
      </c>
      <c r="E375" s="22" t="n">
        <v>9</v>
      </c>
      <c r="F375" s="22" t="s">
        <v>181</v>
      </c>
      <c r="G375" s="22" t="s">
        <v>235</v>
      </c>
      <c r="H375" s="22" t="n">
        <v>0.07</v>
      </c>
      <c r="I375" s="38" t="n">
        <v>1833.69</v>
      </c>
      <c r="J375" s="38" t="n">
        <v>1833.78</v>
      </c>
      <c r="K375" s="39" t="n">
        <f aca="false">IF(F375="BUY",J375-I375,I375-J375)</f>
        <v>0.0899999999999182</v>
      </c>
      <c r="L375" s="38" t="n">
        <v>1827.69</v>
      </c>
      <c r="M375" s="39" t="n">
        <f aca="false">ABS(I375-L375)</f>
        <v>6</v>
      </c>
      <c r="N375" s="24" t="n">
        <f aca="false">M375*H375*Summary!$C$6</f>
        <v>42</v>
      </c>
      <c r="O375" s="37" t="n">
        <v>44980.4207407407</v>
      </c>
      <c r="P375" s="22" t="n">
        <f aca="false">ROUND((O375-C375)*86400,0)</f>
        <v>3545</v>
      </c>
      <c r="Q375" s="22" t="str">
        <f aca="false">IF(P375&lt;10,"a) &lt;10s",IF(P375&lt;60,"b) 10-60s",IF(P375&lt;600,"c) 1-10min","d) &gt;10min")))</f>
        <v>d) &gt;10min</v>
      </c>
      <c r="R375" s="38" t="n">
        <v>1827.69</v>
      </c>
      <c r="S375" s="38" t="n">
        <v>1827.68</v>
      </c>
      <c r="T375" s="22" t="s">
        <v>188</v>
      </c>
      <c r="U375" s="39" t="n">
        <f aca="false">IF(R375="","",IF(F375="BUY",R375-S375,S375-R375))</f>
        <v>0.00999999999999091</v>
      </c>
      <c r="V375" s="39" t="n">
        <f aca="false">IF(F375="BUY",S375-J375,J375-S375)</f>
        <v>-6.09999999999991</v>
      </c>
      <c r="W375" s="6" t="n">
        <v>-42.7</v>
      </c>
      <c r="X375" s="26" t="n">
        <f aca="false">IFERROR(W375/N375,0)</f>
        <v>-1.01666666666667</v>
      </c>
      <c r="Y375" s="22" t="str">
        <f aca="false">IF(W375&gt;0,"Win",IF(W375&lt;0,"Loss","Flat"))</f>
        <v>Loss</v>
      </c>
      <c r="Z375" s="24" t="n">
        <f aca="false">Summary!$C$5+SUM(W$2:W375)</f>
        <v>4249.93</v>
      </c>
      <c r="AA375" s="24" t="n">
        <f aca="false">MAX(AA374,Z375)</f>
        <v>5000</v>
      </c>
      <c r="AB375" s="24" t="n">
        <f aca="false">AA375-Z375</f>
        <v>750.07</v>
      </c>
      <c r="AC375" s="23" t="n">
        <f aca="false">IFERROR(AB375/AA375,0)</f>
        <v>0.150014</v>
      </c>
      <c r="AD375" s="22" t="s">
        <v>612</v>
      </c>
    </row>
    <row r="376" customFormat="false" ht="15" hidden="false" customHeight="false" outlineLevel="0" collapsed="false">
      <c r="A376" s="22" t="n">
        <v>375</v>
      </c>
      <c r="B376" s="22" t="s">
        <v>130</v>
      </c>
      <c r="C376" s="37" t="n">
        <v>44981.3751388889</v>
      </c>
      <c r="D376" s="22" t="s">
        <v>206</v>
      </c>
      <c r="E376" s="22" t="n">
        <v>9</v>
      </c>
      <c r="F376" s="22" t="s">
        <v>182</v>
      </c>
      <c r="G376" s="22" t="s">
        <v>241</v>
      </c>
      <c r="H376" s="22" t="n">
        <v>0.07</v>
      </c>
      <c r="I376" s="38" t="n">
        <v>1823.22</v>
      </c>
      <c r="J376" s="38" t="n">
        <v>1823.21</v>
      </c>
      <c r="K376" s="39" t="n">
        <f aca="false">IF(F376="BUY",J376-I376,I376-J376)</f>
        <v>0.00999999999999091</v>
      </c>
      <c r="L376" s="38" t="n">
        <v>1829.22</v>
      </c>
      <c r="M376" s="39" t="n">
        <f aca="false">ABS(I376-L376)</f>
        <v>6</v>
      </c>
      <c r="N376" s="24" t="n">
        <f aca="false">M376*H376*Summary!$C$6</f>
        <v>42</v>
      </c>
      <c r="O376" s="37" t="n">
        <v>44981.4332060185</v>
      </c>
      <c r="P376" s="22" t="n">
        <f aca="false">ROUND((O376-C376)*86400,0)</f>
        <v>5017</v>
      </c>
      <c r="Q376" s="22" t="str">
        <f aca="false">IF(P376&lt;10,"a) &lt;10s",IF(P376&lt;60,"b) 10-60s",IF(P376&lt;600,"c) 1-10min","d) &gt;10min")))</f>
        <v>d) &gt;10min</v>
      </c>
      <c r="R376" s="38" t="n">
        <v>1822.71</v>
      </c>
      <c r="S376" s="38" t="n">
        <v>1822.72</v>
      </c>
      <c r="T376" s="22" t="s">
        <v>189</v>
      </c>
      <c r="U376" s="39" t="n">
        <f aca="false">IF(R376="","",IF(F376="BUY",R376-S376,S376-R376))</f>
        <v>0.00999999999999091</v>
      </c>
      <c r="V376" s="39" t="n">
        <f aca="false">IF(F376="BUY",S376-J376,J376-S376)</f>
        <v>0.490000000000009</v>
      </c>
      <c r="W376" s="6" t="n">
        <v>3.43</v>
      </c>
      <c r="X376" s="26" t="n">
        <f aca="false">IFERROR(W376/N376,0)</f>
        <v>0.0816666666666667</v>
      </c>
      <c r="Y376" s="22" t="str">
        <f aca="false">IF(W376&gt;0,"Win",IF(W376&lt;0,"Loss","Flat"))</f>
        <v>Win</v>
      </c>
      <c r="Z376" s="24" t="n">
        <f aca="false">Summary!$C$5+SUM(W$2:W376)</f>
        <v>4253.36</v>
      </c>
      <c r="AA376" s="24" t="n">
        <f aca="false">MAX(AA375,Z376)</f>
        <v>5000</v>
      </c>
      <c r="AB376" s="24" t="n">
        <f aca="false">AA376-Z376</f>
        <v>746.64</v>
      </c>
      <c r="AC376" s="23" t="n">
        <f aca="false">IFERROR(AB376/AA376,0)</f>
        <v>0.149328</v>
      </c>
      <c r="AD376" s="22" t="s">
        <v>613</v>
      </c>
    </row>
    <row r="377" customFormat="false" ht="15" hidden="false" customHeight="false" outlineLevel="0" collapsed="false">
      <c r="A377" s="22" t="n">
        <v>376</v>
      </c>
      <c r="B377" s="22" t="s">
        <v>130</v>
      </c>
      <c r="C377" s="37" t="n">
        <v>44981.5714583333</v>
      </c>
      <c r="D377" s="22" t="s">
        <v>206</v>
      </c>
      <c r="E377" s="22" t="n">
        <v>13</v>
      </c>
      <c r="F377" s="22" t="s">
        <v>182</v>
      </c>
      <c r="G377" s="22" t="s">
        <v>237</v>
      </c>
      <c r="H377" s="22" t="n">
        <v>0.07</v>
      </c>
      <c r="I377" s="38" t="n">
        <v>1817.4</v>
      </c>
      <c r="J377" s="38" t="n">
        <v>1817.36</v>
      </c>
      <c r="K377" s="39" t="n">
        <f aca="false">IF(F377="BUY",J377-I377,I377-J377)</f>
        <v>0.040000000000191</v>
      </c>
      <c r="L377" s="38" t="n">
        <v>1823.4</v>
      </c>
      <c r="M377" s="39" t="n">
        <f aca="false">ABS(I377-L377)</f>
        <v>6</v>
      </c>
      <c r="N377" s="24" t="n">
        <f aca="false">M377*H377*Summary!$C$6</f>
        <v>42</v>
      </c>
      <c r="O377" s="37" t="n">
        <v>44981.6327546296</v>
      </c>
      <c r="P377" s="22" t="n">
        <f aca="false">ROUND((O377-C377)*86400,0)</f>
        <v>5296</v>
      </c>
      <c r="Q377" s="22" t="str">
        <f aca="false">IF(P377&lt;10,"a) &lt;10s",IF(P377&lt;60,"b) 10-60s",IF(P377&lt;600,"c) 1-10min","d) &gt;10min")))</f>
        <v>d) &gt;10min</v>
      </c>
      <c r="R377" s="38" t="n">
        <v>1816.86</v>
      </c>
      <c r="S377" s="38" t="n">
        <v>1816.86</v>
      </c>
      <c r="T377" s="22" t="s">
        <v>189</v>
      </c>
      <c r="U377" s="39" t="n">
        <f aca="false">IF(R377="","",IF(F377="BUY",R377-S377,S377-R377))</f>
        <v>0</v>
      </c>
      <c r="V377" s="39" t="n">
        <f aca="false">IF(F377="BUY",S377-J377,J377-S377)</f>
        <v>0.5</v>
      </c>
      <c r="W377" s="6" t="n">
        <v>3.5</v>
      </c>
      <c r="X377" s="26" t="n">
        <f aca="false">IFERROR(W377/N377,0)</f>
        <v>0.0833333333333333</v>
      </c>
      <c r="Y377" s="22" t="str">
        <f aca="false">IF(W377&gt;0,"Win",IF(W377&lt;0,"Loss","Flat"))</f>
        <v>Win</v>
      </c>
      <c r="Z377" s="24" t="n">
        <f aca="false">Summary!$C$5+SUM(W$2:W377)</f>
        <v>4256.86</v>
      </c>
      <c r="AA377" s="24" t="n">
        <f aca="false">MAX(AA376,Z377)</f>
        <v>5000</v>
      </c>
      <c r="AB377" s="24" t="n">
        <f aca="false">AA377-Z377</f>
        <v>743.14</v>
      </c>
      <c r="AC377" s="23" t="n">
        <f aca="false">IFERROR(AB377/AA377,0)</f>
        <v>0.148628</v>
      </c>
      <c r="AD377" s="22" t="s">
        <v>614</v>
      </c>
    </row>
    <row r="378" customFormat="false" ht="15" hidden="false" customHeight="false" outlineLevel="0" collapsed="false">
      <c r="A378" s="22" t="n">
        <v>377</v>
      </c>
      <c r="B378" s="22" t="s">
        <v>130</v>
      </c>
      <c r="C378" s="37" t="n">
        <v>44984.2359606482</v>
      </c>
      <c r="D378" s="22" t="s">
        <v>202</v>
      </c>
      <c r="E378" s="22" t="n">
        <v>5</v>
      </c>
      <c r="F378" s="22" t="s">
        <v>182</v>
      </c>
      <c r="G378" s="22" t="s">
        <v>237</v>
      </c>
      <c r="H378" s="22" t="n">
        <v>0.07</v>
      </c>
      <c r="I378" s="38" t="n">
        <v>1808.87</v>
      </c>
      <c r="J378" s="38" t="n">
        <v>1808.83</v>
      </c>
      <c r="K378" s="39" t="n">
        <f aca="false">IF(F378="BUY",J378-I378,I378-J378)</f>
        <v>0.0399999999999636</v>
      </c>
      <c r="L378" s="38" t="n">
        <v>1814.87</v>
      </c>
      <c r="M378" s="39" t="n">
        <f aca="false">ABS(I378-L378)</f>
        <v>6</v>
      </c>
      <c r="N378" s="24" t="n">
        <f aca="false">M378*H378*Summary!$C$6</f>
        <v>42</v>
      </c>
      <c r="O378" s="37" t="n">
        <v>44984.6519907407</v>
      </c>
      <c r="P378" s="22" t="n">
        <f aca="false">ROUND((O378-C378)*86400,0)</f>
        <v>35945</v>
      </c>
      <c r="Q378" s="22" t="str">
        <f aca="false">IF(P378&lt;10,"a) &lt;10s",IF(P378&lt;60,"b) 10-60s",IF(P378&lt;600,"c) 1-10min","d) &gt;10min")))</f>
        <v>d) &gt;10min</v>
      </c>
      <c r="R378" s="38" t="n">
        <v>1814.87</v>
      </c>
      <c r="S378" s="38" t="n">
        <v>1814.94</v>
      </c>
      <c r="T378" s="22" t="s">
        <v>188</v>
      </c>
      <c r="U378" s="39" t="n">
        <f aca="false">IF(R378="","",IF(F378="BUY",R378-S378,S378-R378))</f>
        <v>0.0700000000001637</v>
      </c>
      <c r="V378" s="39" t="n">
        <f aca="false">IF(F378="BUY",S378-J378,J378-S378)</f>
        <v>-6.11000000000013</v>
      </c>
      <c r="W378" s="6" t="n">
        <v>-42.77</v>
      </c>
      <c r="X378" s="26" t="n">
        <f aca="false">IFERROR(W378/N378,0)</f>
        <v>-1.01833333333333</v>
      </c>
      <c r="Y378" s="22" t="str">
        <f aca="false">IF(W378&gt;0,"Win",IF(W378&lt;0,"Loss","Flat"))</f>
        <v>Loss</v>
      </c>
      <c r="Z378" s="24" t="n">
        <f aca="false">Summary!$C$5+SUM(W$2:W378)</f>
        <v>4214.09</v>
      </c>
      <c r="AA378" s="24" t="n">
        <f aca="false">MAX(AA377,Z378)</f>
        <v>5000</v>
      </c>
      <c r="AB378" s="24" t="n">
        <f aca="false">AA378-Z378</f>
        <v>785.91</v>
      </c>
      <c r="AC378" s="23" t="n">
        <f aca="false">IFERROR(AB378/AA378,0)</f>
        <v>0.157182</v>
      </c>
      <c r="AD378" s="22" t="s">
        <v>615</v>
      </c>
    </row>
    <row r="379" customFormat="false" ht="15" hidden="false" customHeight="false" outlineLevel="0" collapsed="false">
      <c r="A379" s="22" t="n">
        <v>378</v>
      </c>
      <c r="B379" s="22" t="s">
        <v>130</v>
      </c>
      <c r="C379" s="37" t="n">
        <v>44985.389224537</v>
      </c>
      <c r="D379" s="22" t="s">
        <v>203</v>
      </c>
      <c r="E379" s="22" t="n">
        <v>9</v>
      </c>
      <c r="F379" s="22" t="s">
        <v>182</v>
      </c>
      <c r="G379" s="22" t="s">
        <v>241</v>
      </c>
      <c r="H379" s="22" t="n">
        <v>0.07</v>
      </c>
      <c r="I379" s="38" t="n">
        <v>1812.06</v>
      </c>
      <c r="J379" s="38" t="n">
        <v>1812.02</v>
      </c>
      <c r="K379" s="39" t="n">
        <f aca="false">IF(F379="BUY",J379-I379,I379-J379)</f>
        <v>0.0399999999999636</v>
      </c>
      <c r="L379" s="38" t="n">
        <v>1818.06</v>
      </c>
      <c r="M379" s="39" t="n">
        <f aca="false">ABS(I379-L379)</f>
        <v>6</v>
      </c>
      <c r="N379" s="24" t="n">
        <f aca="false">M379*H379*Summary!$C$6</f>
        <v>42</v>
      </c>
      <c r="O379" s="37" t="n">
        <v>44985.4538078704</v>
      </c>
      <c r="P379" s="22" t="n">
        <f aca="false">ROUND((O379-C379)*86400,0)</f>
        <v>5580</v>
      </c>
      <c r="Q379" s="22" t="str">
        <f aca="false">IF(P379&lt;10,"a) &lt;10s",IF(P379&lt;60,"b) 10-60s",IF(P379&lt;600,"c) 1-10min","d) &gt;10min")))</f>
        <v>d) &gt;10min</v>
      </c>
      <c r="R379" s="38" t="n">
        <v>1811.52</v>
      </c>
      <c r="S379" s="38" t="n">
        <v>1811.53</v>
      </c>
      <c r="T379" s="22" t="s">
        <v>189</v>
      </c>
      <c r="U379" s="39" t="n">
        <f aca="false">IF(R379="","",IF(F379="BUY",R379-S379,S379-R379))</f>
        <v>0.00999999999999091</v>
      </c>
      <c r="V379" s="39" t="n">
        <f aca="false">IF(F379="BUY",S379-J379,J379-S379)</f>
        <v>0.490000000000009</v>
      </c>
      <c r="W379" s="6" t="n">
        <v>3.43</v>
      </c>
      <c r="X379" s="26" t="n">
        <f aca="false">IFERROR(W379/N379,0)</f>
        <v>0.0816666666666667</v>
      </c>
      <c r="Y379" s="22" t="str">
        <f aca="false">IF(W379&gt;0,"Win",IF(W379&lt;0,"Loss","Flat"))</f>
        <v>Win</v>
      </c>
      <c r="Z379" s="24" t="n">
        <f aca="false">Summary!$C$5+SUM(W$2:W379)</f>
        <v>4217.52</v>
      </c>
      <c r="AA379" s="24" t="n">
        <f aca="false">MAX(AA378,Z379)</f>
        <v>5000</v>
      </c>
      <c r="AB379" s="24" t="n">
        <f aca="false">AA379-Z379</f>
        <v>782.48</v>
      </c>
      <c r="AC379" s="23" t="n">
        <f aca="false">IFERROR(AB379/AA379,0)</f>
        <v>0.156496</v>
      </c>
      <c r="AD379" s="22" t="s">
        <v>616</v>
      </c>
    </row>
    <row r="380" customFormat="false" ht="15" hidden="false" customHeight="false" outlineLevel="0" collapsed="false">
      <c r="A380" s="22" t="n">
        <v>379</v>
      </c>
      <c r="B380" s="22" t="s">
        <v>130</v>
      </c>
      <c r="C380" s="37" t="n">
        <v>44985.7083333333</v>
      </c>
      <c r="D380" s="22" t="s">
        <v>203</v>
      </c>
      <c r="E380" s="22" t="n">
        <v>17</v>
      </c>
      <c r="F380" s="22" t="s">
        <v>181</v>
      </c>
      <c r="G380" s="22" t="s">
        <v>243</v>
      </c>
      <c r="H380" s="22" t="n">
        <v>0.07</v>
      </c>
      <c r="I380" s="38" t="n">
        <v>1820.06</v>
      </c>
      <c r="J380" s="38" t="n">
        <v>1821.9</v>
      </c>
      <c r="K380" s="39" t="n">
        <f aca="false">IF(F380="BUY",J380-I380,I380-J380)</f>
        <v>1.84000000000015</v>
      </c>
      <c r="L380" s="38" t="n">
        <v>1814.06</v>
      </c>
      <c r="M380" s="39" t="n">
        <f aca="false">ABS(I380-L380)</f>
        <v>6</v>
      </c>
      <c r="N380" s="24" t="n">
        <f aca="false">M380*H380*Summary!$C$6</f>
        <v>42</v>
      </c>
      <c r="O380" s="37" t="n">
        <v>44985.7161921296</v>
      </c>
      <c r="P380" s="22" t="n">
        <f aca="false">ROUND((O380-C380)*86400,0)</f>
        <v>679</v>
      </c>
      <c r="Q380" s="22" t="str">
        <f aca="false">IF(P380&lt;10,"a) &lt;10s",IF(P380&lt;60,"b) 10-60s",IF(P380&lt;600,"c) 1-10min","d) &gt;10min")))</f>
        <v>d) &gt;10min</v>
      </c>
      <c r="R380" s="38" t="n">
        <v>1822.4</v>
      </c>
      <c r="S380" s="38" t="n">
        <v>1822.36</v>
      </c>
      <c r="T380" s="22" t="s">
        <v>189</v>
      </c>
      <c r="U380" s="39" t="n">
        <f aca="false">IF(R380="","",IF(F380="BUY",R380-S380,S380-R380))</f>
        <v>0.040000000000191</v>
      </c>
      <c r="V380" s="39" t="n">
        <f aca="false">IF(F380="BUY",S380-J380,J380-S380)</f>
        <v>0.459999999999809</v>
      </c>
      <c r="W380" s="6" t="n">
        <v>3.22</v>
      </c>
      <c r="X380" s="26" t="n">
        <f aca="false">IFERROR(W380/N380,0)</f>
        <v>0.0766666666666667</v>
      </c>
      <c r="Y380" s="22" t="str">
        <f aca="false">IF(W380&gt;0,"Win",IF(W380&lt;0,"Loss","Flat"))</f>
        <v>Win</v>
      </c>
      <c r="Z380" s="24" t="n">
        <f aca="false">Summary!$C$5+SUM(W$2:W380)</f>
        <v>4220.74</v>
      </c>
      <c r="AA380" s="24" t="n">
        <f aca="false">MAX(AA379,Z380)</f>
        <v>5000</v>
      </c>
      <c r="AB380" s="24" t="n">
        <f aca="false">AA380-Z380</f>
        <v>779.26</v>
      </c>
      <c r="AC380" s="23" t="n">
        <f aca="false">IFERROR(AB380/AA380,0)</f>
        <v>0.155852</v>
      </c>
      <c r="AD380" s="22" t="s">
        <v>617</v>
      </c>
    </row>
    <row r="381" customFormat="false" ht="15" hidden="false" customHeight="false" outlineLevel="0" collapsed="false">
      <c r="A381" s="22" t="n">
        <v>380</v>
      </c>
      <c r="B381" s="22" t="s">
        <v>131</v>
      </c>
      <c r="C381" s="37" t="n">
        <v>44986.2303240741</v>
      </c>
      <c r="D381" s="22" t="s">
        <v>204</v>
      </c>
      <c r="E381" s="22" t="n">
        <v>5</v>
      </c>
      <c r="F381" s="22" t="s">
        <v>181</v>
      </c>
      <c r="G381" s="22" t="s">
        <v>243</v>
      </c>
      <c r="H381" s="22" t="n">
        <v>0.07</v>
      </c>
      <c r="I381" s="38" t="n">
        <v>1831.05</v>
      </c>
      <c r="J381" s="38" t="n">
        <v>1831.06</v>
      </c>
      <c r="K381" s="39" t="n">
        <f aca="false">IF(F381="BUY",J381-I381,I381-J381)</f>
        <v>0.00999999999999091</v>
      </c>
      <c r="L381" s="38" t="n">
        <v>1825.05</v>
      </c>
      <c r="M381" s="39" t="n">
        <f aca="false">ABS(I381-L381)</f>
        <v>6</v>
      </c>
      <c r="N381" s="24" t="n">
        <f aca="false">M381*H381*Summary!$C$6</f>
        <v>42</v>
      </c>
      <c r="O381" s="37" t="n">
        <v>44986.4019560185</v>
      </c>
      <c r="P381" s="22" t="n">
        <f aca="false">ROUND((O381-C381)*86400,0)</f>
        <v>14829</v>
      </c>
      <c r="Q381" s="22" t="str">
        <f aca="false">IF(P381&lt;10,"a) &lt;10s",IF(P381&lt;60,"b) 10-60s",IF(P381&lt;600,"c) 1-10min","d) &gt;10min")))</f>
        <v>d) &gt;10min</v>
      </c>
      <c r="R381" s="38" t="n">
        <v>1831.56</v>
      </c>
      <c r="S381" s="38" t="n">
        <v>1831.54</v>
      </c>
      <c r="T381" s="22" t="s">
        <v>189</v>
      </c>
      <c r="U381" s="39" t="n">
        <f aca="false">IF(R381="","",IF(F381="BUY",R381-S381,S381-R381))</f>
        <v>0.0199999999999818</v>
      </c>
      <c r="V381" s="39" t="n">
        <f aca="false">IF(F381="BUY",S381-J381,J381-S381)</f>
        <v>0.480000000000018</v>
      </c>
      <c r="W381" s="6" t="n">
        <v>3.36</v>
      </c>
      <c r="X381" s="26" t="n">
        <f aca="false">IFERROR(W381/N381,0)</f>
        <v>0.08</v>
      </c>
      <c r="Y381" s="22" t="str">
        <f aca="false">IF(W381&gt;0,"Win",IF(W381&lt;0,"Loss","Flat"))</f>
        <v>Win</v>
      </c>
      <c r="Z381" s="24" t="n">
        <f aca="false">Summary!$C$5+SUM(W$2:W381)</f>
        <v>4224.1</v>
      </c>
      <c r="AA381" s="24" t="n">
        <f aca="false">MAX(AA380,Z381)</f>
        <v>5000</v>
      </c>
      <c r="AB381" s="24" t="n">
        <f aca="false">AA381-Z381</f>
        <v>775.9</v>
      </c>
      <c r="AC381" s="23" t="n">
        <f aca="false">IFERROR(AB381/AA381,0)</f>
        <v>0.15518</v>
      </c>
      <c r="AD381" s="22" t="s">
        <v>618</v>
      </c>
    </row>
    <row r="382" customFormat="false" ht="15" hidden="false" customHeight="false" outlineLevel="0" collapsed="false">
      <c r="A382" s="22" t="n">
        <v>381</v>
      </c>
      <c r="B382" s="22" t="s">
        <v>131</v>
      </c>
      <c r="C382" s="37" t="n">
        <v>44986.4591550926</v>
      </c>
      <c r="D382" s="22" t="s">
        <v>204</v>
      </c>
      <c r="E382" s="22" t="n">
        <v>11</v>
      </c>
      <c r="F382" s="22" t="s">
        <v>181</v>
      </c>
      <c r="G382" s="22" t="s">
        <v>235</v>
      </c>
      <c r="H382" s="22" t="n">
        <v>0.07</v>
      </c>
      <c r="I382" s="38" t="n">
        <v>1836.57</v>
      </c>
      <c r="J382" s="38" t="n">
        <v>1836.6</v>
      </c>
      <c r="K382" s="39" t="n">
        <f aca="false">IF(F382="BUY",J382-I382,I382-J382)</f>
        <v>0.0299999999999727</v>
      </c>
      <c r="L382" s="38" t="n">
        <v>1830.57</v>
      </c>
      <c r="M382" s="39" t="n">
        <f aca="false">ABS(I382-L382)</f>
        <v>6</v>
      </c>
      <c r="N382" s="24" t="n">
        <f aca="false">M382*H382*Summary!$C$6</f>
        <v>42</v>
      </c>
      <c r="O382" s="37" t="n">
        <v>44986.4735416667</v>
      </c>
      <c r="P382" s="22" t="n">
        <f aca="false">ROUND((O382-C382)*86400,0)</f>
        <v>1243</v>
      </c>
      <c r="Q382" s="22" t="str">
        <f aca="false">IF(P382&lt;10,"a) &lt;10s",IF(P382&lt;60,"b) 10-60s",IF(P382&lt;600,"c) 1-10min","d) &gt;10min")))</f>
        <v>d) &gt;10min</v>
      </c>
      <c r="R382" s="38" t="n">
        <v>1830.57</v>
      </c>
      <c r="S382" s="38" t="n">
        <v>1830.56</v>
      </c>
      <c r="T382" s="22" t="s">
        <v>188</v>
      </c>
      <c r="U382" s="39" t="n">
        <f aca="false">IF(R382="","",IF(F382="BUY",R382-S382,S382-R382))</f>
        <v>0.00999999999999091</v>
      </c>
      <c r="V382" s="39" t="n">
        <f aca="false">IF(F382="BUY",S382-J382,J382-S382)</f>
        <v>-6.03999999999996</v>
      </c>
      <c r="W382" s="6" t="n">
        <v>-42.28</v>
      </c>
      <c r="X382" s="26" t="n">
        <f aca="false">IFERROR(W382/N382,0)</f>
        <v>-1.00666666666667</v>
      </c>
      <c r="Y382" s="22" t="str">
        <f aca="false">IF(W382&gt;0,"Win",IF(W382&lt;0,"Loss","Flat"))</f>
        <v>Loss</v>
      </c>
      <c r="Z382" s="24" t="n">
        <f aca="false">Summary!$C$5+SUM(W$2:W382)</f>
        <v>4181.82</v>
      </c>
      <c r="AA382" s="24" t="n">
        <f aca="false">MAX(AA381,Z382)</f>
        <v>5000</v>
      </c>
      <c r="AB382" s="24" t="n">
        <f aca="false">AA382-Z382</f>
        <v>818.18</v>
      </c>
      <c r="AC382" s="23" t="n">
        <f aca="false">IFERROR(AB382/AA382,0)</f>
        <v>0.163636</v>
      </c>
      <c r="AD382" s="22" t="s">
        <v>619</v>
      </c>
    </row>
    <row r="383" customFormat="false" ht="15" hidden="false" customHeight="false" outlineLevel="0" collapsed="false">
      <c r="A383" s="22" t="n">
        <v>382</v>
      </c>
      <c r="B383" s="22" t="s">
        <v>131</v>
      </c>
      <c r="C383" s="37" t="n">
        <v>44987.3750462963</v>
      </c>
      <c r="D383" s="22" t="s">
        <v>205</v>
      </c>
      <c r="E383" s="22" t="n">
        <v>9</v>
      </c>
      <c r="F383" s="22" t="s">
        <v>182</v>
      </c>
      <c r="G383" s="22" t="s">
        <v>241</v>
      </c>
      <c r="H383" s="22" t="n">
        <v>0.06</v>
      </c>
      <c r="I383" s="38" t="n">
        <v>1831.83</v>
      </c>
      <c r="J383" s="38" t="n">
        <v>1831.71</v>
      </c>
      <c r="K383" s="39" t="n">
        <f aca="false">IF(F383="BUY",J383-I383,I383-J383)</f>
        <v>0.119999999999891</v>
      </c>
      <c r="L383" s="38" t="n">
        <v>1837.83</v>
      </c>
      <c r="M383" s="39" t="n">
        <f aca="false">ABS(I383-L383)</f>
        <v>6</v>
      </c>
      <c r="N383" s="24" t="n">
        <f aca="false">M383*H383*Summary!$C$6</f>
        <v>36</v>
      </c>
      <c r="O383" s="37" t="n">
        <v>44987.5841319444</v>
      </c>
      <c r="P383" s="22" t="n">
        <f aca="false">ROUND((O383-C383)*86400,0)</f>
        <v>18065</v>
      </c>
      <c r="Q383" s="22" t="str">
        <f aca="false">IF(P383&lt;10,"a) &lt;10s",IF(P383&lt;60,"b) 10-60s",IF(P383&lt;600,"c) 1-10min","d) &gt;10min")))</f>
        <v>d) &gt;10min</v>
      </c>
      <c r="R383" s="38" t="n">
        <v>1837.83</v>
      </c>
      <c r="S383" s="38" t="n">
        <v>1837.83</v>
      </c>
      <c r="T383" s="22" t="s">
        <v>188</v>
      </c>
      <c r="U383" s="39" t="n">
        <f aca="false">IF(R383="","",IF(F383="BUY",R383-S383,S383-R383))</f>
        <v>0</v>
      </c>
      <c r="V383" s="39" t="n">
        <f aca="false">IF(F383="BUY",S383-J383,J383-S383)</f>
        <v>-6.11999999999989</v>
      </c>
      <c r="W383" s="6" t="n">
        <v>-36.72</v>
      </c>
      <c r="X383" s="26" t="n">
        <f aca="false">IFERROR(W383/N383,0)</f>
        <v>-1.02</v>
      </c>
      <c r="Y383" s="22" t="str">
        <f aca="false">IF(W383&gt;0,"Win",IF(W383&lt;0,"Loss","Flat"))</f>
        <v>Loss</v>
      </c>
      <c r="Z383" s="24" t="n">
        <f aca="false">Summary!$C$5+SUM(W$2:W383)</f>
        <v>4145.1</v>
      </c>
      <c r="AA383" s="24" t="n">
        <f aca="false">MAX(AA382,Z383)</f>
        <v>5000</v>
      </c>
      <c r="AB383" s="24" t="n">
        <f aca="false">AA383-Z383</f>
        <v>854.9</v>
      </c>
      <c r="AC383" s="23" t="n">
        <f aca="false">IFERROR(AB383/AA383,0)</f>
        <v>0.17098</v>
      </c>
      <c r="AD383" s="22" t="s">
        <v>620</v>
      </c>
    </row>
    <row r="384" customFormat="false" ht="15" hidden="false" customHeight="false" outlineLevel="0" collapsed="false">
      <c r="A384" s="22" t="n">
        <v>383</v>
      </c>
      <c r="B384" s="22" t="s">
        <v>131</v>
      </c>
      <c r="C384" s="37" t="n">
        <v>44988.0834027778</v>
      </c>
      <c r="D384" s="22" t="s">
        <v>206</v>
      </c>
      <c r="E384" s="22" t="n">
        <v>2</v>
      </c>
      <c r="F384" s="22" t="s">
        <v>181</v>
      </c>
      <c r="G384" s="22" t="s">
        <v>243</v>
      </c>
      <c r="H384" s="22" t="n">
        <v>0.06</v>
      </c>
      <c r="I384" s="38" t="n">
        <v>1838.87</v>
      </c>
      <c r="J384" s="38" t="n">
        <v>1838.88</v>
      </c>
      <c r="K384" s="39" t="n">
        <f aca="false">IF(F384="BUY",J384-I384,I384-J384)</f>
        <v>0.0100000000002183</v>
      </c>
      <c r="L384" s="38" t="n">
        <v>1832.87</v>
      </c>
      <c r="M384" s="39" t="n">
        <f aca="false">ABS(I384-L384)</f>
        <v>6</v>
      </c>
      <c r="N384" s="24" t="n">
        <f aca="false">M384*H384*Summary!$C$6</f>
        <v>36</v>
      </c>
      <c r="O384" s="37" t="n">
        <v>44988.1486226852</v>
      </c>
      <c r="P384" s="22" t="n">
        <f aca="false">ROUND((O384-C384)*86400,0)</f>
        <v>5635</v>
      </c>
      <c r="Q384" s="22" t="str">
        <f aca="false">IF(P384&lt;10,"a) &lt;10s",IF(P384&lt;60,"b) 10-60s",IF(P384&lt;600,"c) 1-10min","d) &gt;10min")))</f>
        <v>d) &gt;10min</v>
      </c>
      <c r="R384" s="38" t="n">
        <v>1839.38</v>
      </c>
      <c r="S384" s="38" t="n">
        <v>1839.35</v>
      </c>
      <c r="T384" s="22" t="s">
        <v>189</v>
      </c>
      <c r="U384" s="39" t="n">
        <f aca="false">IF(R384="","",IF(F384="BUY",R384-S384,S384-R384))</f>
        <v>0.0300000000002001</v>
      </c>
      <c r="V384" s="39" t="n">
        <f aca="false">IF(F384="BUY",S384-J384,J384-S384)</f>
        <v>0.4699999999998</v>
      </c>
      <c r="W384" s="6" t="n">
        <v>2.82</v>
      </c>
      <c r="X384" s="26" t="n">
        <f aca="false">IFERROR(W384/N384,0)</f>
        <v>0.0783333333333333</v>
      </c>
      <c r="Y384" s="22" t="str">
        <f aca="false">IF(W384&gt;0,"Win",IF(W384&lt;0,"Loss","Flat"))</f>
        <v>Win</v>
      </c>
      <c r="Z384" s="24" t="n">
        <f aca="false">Summary!$C$5+SUM(W$2:W384)</f>
        <v>4147.92</v>
      </c>
      <c r="AA384" s="24" t="n">
        <f aca="false">MAX(AA383,Z384)</f>
        <v>5000</v>
      </c>
      <c r="AB384" s="24" t="n">
        <f aca="false">AA384-Z384</f>
        <v>852.08</v>
      </c>
      <c r="AC384" s="23" t="n">
        <f aca="false">IFERROR(AB384/AA384,0)</f>
        <v>0.170416</v>
      </c>
      <c r="AD384" s="22" t="s">
        <v>621</v>
      </c>
    </row>
    <row r="385" customFormat="false" ht="15" hidden="false" customHeight="false" outlineLevel="0" collapsed="false">
      <c r="A385" s="22" t="n">
        <v>384</v>
      </c>
      <c r="B385" s="22" t="s">
        <v>131</v>
      </c>
      <c r="C385" s="37" t="n">
        <v>44988.3763773148</v>
      </c>
      <c r="D385" s="22" t="s">
        <v>206</v>
      </c>
      <c r="E385" s="22" t="n">
        <v>9</v>
      </c>
      <c r="F385" s="22" t="s">
        <v>181</v>
      </c>
      <c r="G385" s="22" t="s">
        <v>235</v>
      </c>
      <c r="H385" s="22" t="n">
        <v>0.06</v>
      </c>
      <c r="I385" s="38" t="n">
        <v>1844.33</v>
      </c>
      <c r="J385" s="38" t="n">
        <v>1844.34</v>
      </c>
      <c r="K385" s="39" t="n">
        <f aca="false">IF(F385="BUY",J385-I385,I385-J385)</f>
        <v>0.00999999999999091</v>
      </c>
      <c r="L385" s="38" t="n">
        <v>1838.33</v>
      </c>
      <c r="M385" s="39" t="n">
        <f aca="false">ABS(I385-L385)</f>
        <v>6</v>
      </c>
      <c r="N385" s="24" t="n">
        <f aca="false">M385*H385*Summary!$C$6</f>
        <v>36</v>
      </c>
      <c r="O385" s="37" t="n">
        <v>44988.4943287037</v>
      </c>
      <c r="P385" s="22" t="n">
        <f aca="false">ROUND((O385-C385)*86400,0)</f>
        <v>10191</v>
      </c>
      <c r="Q385" s="22" t="str">
        <f aca="false">IF(P385&lt;10,"a) &lt;10s",IF(P385&lt;60,"b) 10-60s",IF(P385&lt;600,"c) 1-10min","d) &gt;10min")))</f>
        <v>d) &gt;10min</v>
      </c>
      <c r="R385" s="38" t="n">
        <v>1844.84</v>
      </c>
      <c r="S385" s="38" t="n">
        <v>1844.84</v>
      </c>
      <c r="T385" s="22" t="s">
        <v>189</v>
      </c>
      <c r="U385" s="39" t="n">
        <f aca="false">IF(R385="","",IF(F385="BUY",R385-S385,S385-R385))</f>
        <v>0</v>
      </c>
      <c r="V385" s="39" t="n">
        <f aca="false">IF(F385="BUY",S385-J385,J385-S385)</f>
        <v>0.5</v>
      </c>
      <c r="W385" s="6" t="n">
        <v>3</v>
      </c>
      <c r="X385" s="26" t="n">
        <f aca="false">IFERROR(W385/N385,0)</f>
        <v>0.0833333333333333</v>
      </c>
      <c r="Y385" s="22" t="str">
        <f aca="false">IF(W385&gt;0,"Win",IF(W385&lt;0,"Loss","Flat"))</f>
        <v>Win</v>
      </c>
      <c r="Z385" s="24" t="n">
        <f aca="false">Summary!$C$5+SUM(W$2:W385)</f>
        <v>4150.92</v>
      </c>
      <c r="AA385" s="24" t="n">
        <f aca="false">MAX(AA384,Z385)</f>
        <v>5000</v>
      </c>
      <c r="AB385" s="24" t="n">
        <f aca="false">AA385-Z385</f>
        <v>849.08</v>
      </c>
      <c r="AC385" s="23" t="n">
        <f aca="false">IFERROR(AB385/AA385,0)</f>
        <v>0.169816</v>
      </c>
      <c r="AD385" s="22" t="s">
        <v>622</v>
      </c>
    </row>
    <row r="386" customFormat="false" ht="15" hidden="false" customHeight="false" outlineLevel="0" collapsed="false">
      <c r="A386" s="22" t="n">
        <v>385</v>
      </c>
      <c r="B386" s="22" t="s">
        <v>131</v>
      </c>
      <c r="C386" s="37" t="n">
        <v>44991.3764467593</v>
      </c>
      <c r="D386" s="22" t="s">
        <v>202</v>
      </c>
      <c r="E386" s="22" t="n">
        <v>9</v>
      </c>
      <c r="F386" s="22" t="s">
        <v>182</v>
      </c>
      <c r="G386" s="22" t="s">
        <v>241</v>
      </c>
      <c r="H386" s="22" t="n">
        <v>0.06</v>
      </c>
      <c r="I386" s="38" t="n">
        <v>1852.92</v>
      </c>
      <c r="J386" s="38" t="n">
        <v>1852.8</v>
      </c>
      <c r="K386" s="39" t="n">
        <f aca="false">IF(F386="BUY",J386-I386,I386-J386)</f>
        <v>0.120000000000118</v>
      </c>
      <c r="L386" s="38" t="n">
        <v>1858.92</v>
      </c>
      <c r="M386" s="39" t="n">
        <f aca="false">ABS(I386-L386)</f>
        <v>6</v>
      </c>
      <c r="N386" s="24" t="n">
        <f aca="false">M386*H386*Summary!$C$6</f>
        <v>36</v>
      </c>
      <c r="O386" s="37" t="n">
        <v>44991.623599537</v>
      </c>
      <c r="P386" s="22" t="n">
        <f aca="false">ROUND((O386-C386)*86400,0)</f>
        <v>21354</v>
      </c>
      <c r="Q386" s="22" t="str">
        <f aca="false">IF(P386&lt;10,"a) &lt;10s",IF(P386&lt;60,"b) 10-60s",IF(P386&lt;600,"c) 1-10min","d) &gt;10min")))</f>
        <v>d) &gt;10min</v>
      </c>
      <c r="R386" s="38" t="n">
        <v>1852.3</v>
      </c>
      <c r="S386" s="38" t="n">
        <v>1852.31</v>
      </c>
      <c r="T386" s="22" t="s">
        <v>189</v>
      </c>
      <c r="U386" s="39" t="n">
        <f aca="false">IF(R386="","",IF(F386="BUY",R386-S386,S386-R386))</f>
        <v>0.00999999999999091</v>
      </c>
      <c r="V386" s="39" t="n">
        <f aca="false">IF(F386="BUY",S386-J386,J386-S386)</f>
        <v>0.490000000000009</v>
      </c>
      <c r="W386" s="6" t="n">
        <v>2.94</v>
      </c>
      <c r="X386" s="26" t="n">
        <f aca="false">IFERROR(W386/N386,0)</f>
        <v>0.0816666666666667</v>
      </c>
      <c r="Y386" s="22" t="str">
        <f aca="false">IF(W386&gt;0,"Win",IF(W386&lt;0,"Loss","Flat"))</f>
        <v>Win</v>
      </c>
      <c r="Z386" s="24" t="n">
        <f aca="false">Summary!$C$5+SUM(W$2:W386)</f>
        <v>4153.86</v>
      </c>
      <c r="AA386" s="24" t="n">
        <f aca="false">MAX(AA385,Z386)</f>
        <v>5000</v>
      </c>
      <c r="AB386" s="24" t="n">
        <f aca="false">AA386-Z386</f>
        <v>846.14</v>
      </c>
      <c r="AC386" s="23" t="n">
        <f aca="false">IFERROR(AB386/AA386,0)</f>
        <v>0.169228</v>
      </c>
      <c r="AD386" s="22" t="s">
        <v>623</v>
      </c>
    </row>
    <row r="387" customFormat="false" ht="15" hidden="false" customHeight="false" outlineLevel="0" collapsed="false">
      <c r="A387" s="22" t="n">
        <v>386</v>
      </c>
      <c r="B387" s="22" t="s">
        <v>131</v>
      </c>
      <c r="C387" s="37" t="n">
        <v>44992.0907638889</v>
      </c>
      <c r="D387" s="22" t="s">
        <v>203</v>
      </c>
      <c r="E387" s="22" t="n">
        <v>2</v>
      </c>
      <c r="F387" s="22" t="s">
        <v>182</v>
      </c>
      <c r="G387" s="22" t="s">
        <v>237</v>
      </c>
      <c r="H387" s="22" t="n">
        <v>0.06</v>
      </c>
      <c r="I387" s="38" t="n">
        <v>1845.02</v>
      </c>
      <c r="J387" s="38" t="n">
        <v>1845.02</v>
      </c>
      <c r="K387" s="39" t="n">
        <f aca="false">IF(F387="BUY",J387-I387,I387-J387)</f>
        <v>0</v>
      </c>
      <c r="L387" s="38" t="n">
        <v>1851.02</v>
      </c>
      <c r="M387" s="39" t="n">
        <f aca="false">ABS(I387-L387)</f>
        <v>6</v>
      </c>
      <c r="N387" s="24" t="n">
        <f aca="false">M387*H387*Summary!$C$6</f>
        <v>36</v>
      </c>
      <c r="O387" s="37" t="n">
        <v>44992.3929513889</v>
      </c>
      <c r="P387" s="22" t="n">
        <f aca="false">ROUND((O387-C387)*86400,0)</f>
        <v>26109</v>
      </c>
      <c r="Q387" s="22" t="str">
        <f aca="false">IF(P387&lt;10,"a) &lt;10s",IF(P387&lt;60,"b) 10-60s",IF(P387&lt;600,"c) 1-10min","d) &gt;10min")))</f>
        <v>d) &gt;10min</v>
      </c>
      <c r="R387" s="38" t="n">
        <v>1851.02</v>
      </c>
      <c r="S387" s="38" t="n">
        <v>1851.02</v>
      </c>
      <c r="T387" s="22" t="s">
        <v>188</v>
      </c>
      <c r="U387" s="39" t="n">
        <f aca="false">IF(R387="","",IF(F387="BUY",R387-S387,S387-R387))</f>
        <v>0</v>
      </c>
      <c r="V387" s="39" t="n">
        <f aca="false">IF(F387="BUY",S387-J387,J387-S387)</f>
        <v>-6</v>
      </c>
      <c r="W387" s="6" t="n">
        <v>-36</v>
      </c>
      <c r="X387" s="26" t="n">
        <f aca="false">IFERROR(W387/N387,0)</f>
        <v>-1</v>
      </c>
      <c r="Y387" s="22" t="str">
        <f aca="false">IF(W387&gt;0,"Win",IF(W387&lt;0,"Loss","Flat"))</f>
        <v>Loss</v>
      </c>
      <c r="Z387" s="24" t="n">
        <f aca="false">Summary!$C$5+SUM(W$2:W387)</f>
        <v>4117.86</v>
      </c>
      <c r="AA387" s="24" t="n">
        <f aca="false">MAX(AA386,Z387)</f>
        <v>5000</v>
      </c>
      <c r="AB387" s="24" t="n">
        <f aca="false">AA387-Z387</f>
        <v>882.14</v>
      </c>
      <c r="AC387" s="23" t="n">
        <f aca="false">IFERROR(AB387/AA387,0)</f>
        <v>0.176428</v>
      </c>
      <c r="AD387" s="22" t="s">
        <v>624</v>
      </c>
    </row>
    <row r="388" customFormat="false" ht="15" hidden="false" customHeight="false" outlineLevel="0" collapsed="false">
      <c r="A388" s="22" t="n">
        <v>387</v>
      </c>
      <c r="B388" s="22" t="s">
        <v>131</v>
      </c>
      <c r="C388" s="37" t="n">
        <v>44993.0935532407</v>
      </c>
      <c r="D388" s="22" t="s">
        <v>204</v>
      </c>
      <c r="E388" s="22" t="n">
        <v>2</v>
      </c>
      <c r="F388" s="22" t="s">
        <v>182</v>
      </c>
      <c r="G388" s="22" t="s">
        <v>237</v>
      </c>
      <c r="H388" s="22" t="n">
        <v>0.06</v>
      </c>
      <c r="I388" s="38" t="n">
        <v>1812.66</v>
      </c>
      <c r="J388" s="38" t="n">
        <v>1812.61</v>
      </c>
      <c r="K388" s="39" t="n">
        <f aca="false">IF(F388="BUY",J388-I388,I388-J388)</f>
        <v>0.0500000000001819</v>
      </c>
      <c r="L388" s="38" t="n">
        <v>1818.66</v>
      </c>
      <c r="M388" s="39" t="n">
        <f aca="false">ABS(I388-L388)</f>
        <v>6</v>
      </c>
      <c r="N388" s="24" t="n">
        <f aca="false">M388*H388*Summary!$C$6</f>
        <v>36</v>
      </c>
      <c r="O388" s="37" t="n">
        <v>44993.29875</v>
      </c>
      <c r="P388" s="22" t="n">
        <f aca="false">ROUND((O388-C388)*86400,0)</f>
        <v>17729</v>
      </c>
      <c r="Q388" s="22" t="str">
        <f aca="false">IF(P388&lt;10,"a) &lt;10s",IF(P388&lt;60,"b) 10-60s",IF(P388&lt;600,"c) 1-10min","d) &gt;10min")))</f>
        <v>d) &gt;10min</v>
      </c>
      <c r="R388" s="38" t="n">
        <v>1812.11</v>
      </c>
      <c r="S388" s="38" t="n">
        <v>1812.12</v>
      </c>
      <c r="T388" s="22" t="s">
        <v>189</v>
      </c>
      <c r="U388" s="39" t="n">
        <f aca="false">IF(R388="","",IF(F388="BUY",R388-S388,S388-R388))</f>
        <v>0.00999999999999091</v>
      </c>
      <c r="V388" s="39" t="n">
        <f aca="false">IF(F388="BUY",S388-J388,J388-S388)</f>
        <v>0.490000000000009</v>
      </c>
      <c r="W388" s="6" t="n">
        <v>2.94</v>
      </c>
      <c r="X388" s="26" t="n">
        <f aca="false">IFERROR(W388/N388,0)</f>
        <v>0.0816666666666667</v>
      </c>
      <c r="Y388" s="22" t="str">
        <f aca="false">IF(W388&gt;0,"Win",IF(W388&lt;0,"Loss","Flat"))</f>
        <v>Win</v>
      </c>
      <c r="Z388" s="24" t="n">
        <f aca="false">Summary!$C$5+SUM(W$2:W388)</f>
        <v>4120.8</v>
      </c>
      <c r="AA388" s="24" t="n">
        <f aca="false">MAX(AA387,Z388)</f>
        <v>5000</v>
      </c>
      <c r="AB388" s="24" t="n">
        <f aca="false">AA388-Z388</f>
        <v>879.2</v>
      </c>
      <c r="AC388" s="23" t="n">
        <f aca="false">IFERROR(AB388/AA388,0)</f>
        <v>0.17584</v>
      </c>
      <c r="AD388" s="22" t="s">
        <v>625</v>
      </c>
    </row>
    <row r="389" customFormat="false" ht="15" hidden="false" customHeight="false" outlineLevel="0" collapsed="false">
      <c r="A389" s="22" t="n">
        <v>388</v>
      </c>
      <c r="B389" s="22" t="s">
        <v>131</v>
      </c>
      <c r="C389" s="37" t="n">
        <v>44994.3755439815</v>
      </c>
      <c r="D389" s="22" t="s">
        <v>205</v>
      </c>
      <c r="E389" s="22" t="n">
        <v>9</v>
      </c>
      <c r="F389" s="22" t="s">
        <v>182</v>
      </c>
      <c r="G389" s="22" t="s">
        <v>241</v>
      </c>
      <c r="H389" s="22" t="n">
        <v>0.06</v>
      </c>
      <c r="I389" s="38" t="n">
        <v>1812.91</v>
      </c>
      <c r="J389" s="38" t="n">
        <v>1812.9</v>
      </c>
      <c r="K389" s="39" t="n">
        <f aca="false">IF(F389="BUY",J389-I389,I389-J389)</f>
        <v>0.00999999999999091</v>
      </c>
      <c r="L389" s="38" t="n">
        <v>1818.91</v>
      </c>
      <c r="M389" s="39" t="n">
        <f aca="false">ABS(I389-L389)</f>
        <v>6</v>
      </c>
      <c r="N389" s="24" t="n">
        <f aca="false">M389*H389*Summary!$C$6</f>
        <v>36</v>
      </c>
      <c r="O389" s="37" t="n">
        <v>44994.4460416667</v>
      </c>
      <c r="P389" s="22" t="n">
        <f aca="false">ROUND((O389-C389)*86400,0)</f>
        <v>6091</v>
      </c>
      <c r="Q389" s="22" t="str">
        <f aca="false">IF(P389&lt;10,"a) &lt;10s",IF(P389&lt;60,"b) 10-60s",IF(P389&lt;600,"c) 1-10min","d) &gt;10min")))</f>
        <v>d) &gt;10min</v>
      </c>
      <c r="R389" s="38" t="n">
        <v>1818.91</v>
      </c>
      <c r="S389" s="38" t="n">
        <v>1819.06</v>
      </c>
      <c r="T389" s="22" t="s">
        <v>188</v>
      </c>
      <c r="U389" s="39" t="n">
        <f aca="false">IF(R389="","",IF(F389="BUY",R389-S389,S389-R389))</f>
        <v>0.149999999999864</v>
      </c>
      <c r="V389" s="39" t="n">
        <f aca="false">IF(F389="BUY",S389-J389,J389-S389)</f>
        <v>-6.15999999999985</v>
      </c>
      <c r="W389" s="6" t="n">
        <v>-36.96</v>
      </c>
      <c r="X389" s="26" t="n">
        <f aca="false">IFERROR(W389/N389,0)</f>
        <v>-1.02666666666667</v>
      </c>
      <c r="Y389" s="22" t="str">
        <f aca="false">IF(W389&gt;0,"Win",IF(W389&lt;0,"Loss","Flat"))</f>
        <v>Loss</v>
      </c>
      <c r="Z389" s="24" t="n">
        <f aca="false">Summary!$C$5+SUM(W$2:W389)</f>
        <v>4083.84</v>
      </c>
      <c r="AA389" s="24" t="n">
        <f aca="false">MAX(AA388,Z389)</f>
        <v>5000</v>
      </c>
      <c r="AB389" s="24" t="n">
        <f aca="false">AA389-Z389</f>
        <v>916.16</v>
      </c>
      <c r="AC389" s="23" t="n">
        <f aca="false">IFERROR(AB389/AA389,0)</f>
        <v>0.183232</v>
      </c>
      <c r="AD389" s="22" t="s">
        <v>626</v>
      </c>
    </row>
    <row r="390" customFormat="false" ht="15" hidden="false" customHeight="false" outlineLevel="0" collapsed="false">
      <c r="A390" s="22" t="n">
        <v>389</v>
      </c>
      <c r="B390" s="22" t="s">
        <v>131</v>
      </c>
      <c r="C390" s="37" t="n">
        <v>44994.6666666667</v>
      </c>
      <c r="D390" s="22" t="s">
        <v>205</v>
      </c>
      <c r="E390" s="22" t="n">
        <v>16</v>
      </c>
      <c r="F390" s="22" t="s">
        <v>181</v>
      </c>
      <c r="G390" s="22" t="s">
        <v>243</v>
      </c>
      <c r="H390" s="22" t="n">
        <v>0.06</v>
      </c>
      <c r="I390" s="38" t="n">
        <v>1824.19</v>
      </c>
      <c r="J390" s="38" t="n">
        <v>1825.4</v>
      </c>
      <c r="K390" s="39" t="n">
        <f aca="false">IF(F390="BUY",J390-I390,I390-J390)</f>
        <v>1.21000000000004</v>
      </c>
      <c r="L390" s="38" t="n">
        <v>1818.19</v>
      </c>
      <c r="M390" s="39" t="n">
        <f aca="false">ABS(I390-L390)</f>
        <v>6</v>
      </c>
      <c r="N390" s="24" t="n">
        <f aca="false">M390*H390*Summary!$C$6</f>
        <v>36</v>
      </c>
      <c r="O390" s="37" t="n">
        <v>44994.6852314815</v>
      </c>
      <c r="P390" s="22" t="n">
        <f aca="false">ROUND((O390-C390)*86400,0)</f>
        <v>1604</v>
      </c>
      <c r="Q390" s="22" t="str">
        <f aca="false">IF(P390&lt;10,"a) &lt;10s",IF(P390&lt;60,"b) 10-60s",IF(P390&lt;600,"c) 1-10min","d) &gt;10min")))</f>
        <v>d) &gt;10min</v>
      </c>
      <c r="R390" s="38" t="n">
        <v>1825.9</v>
      </c>
      <c r="S390" s="38" t="n">
        <v>1825.88</v>
      </c>
      <c r="T390" s="22" t="s">
        <v>189</v>
      </c>
      <c r="U390" s="39" t="n">
        <f aca="false">IF(R390="","",IF(F390="BUY",R390-S390,S390-R390))</f>
        <v>0.0199999999999818</v>
      </c>
      <c r="V390" s="39" t="n">
        <f aca="false">IF(F390="BUY",S390-J390,J390-S390)</f>
        <v>0.480000000000018</v>
      </c>
      <c r="W390" s="6" t="n">
        <v>2.88</v>
      </c>
      <c r="X390" s="26" t="n">
        <f aca="false">IFERROR(W390/N390,0)</f>
        <v>0.08</v>
      </c>
      <c r="Y390" s="22" t="str">
        <f aca="false">IF(W390&gt;0,"Win",IF(W390&lt;0,"Loss","Flat"))</f>
        <v>Win</v>
      </c>
      <c r="Z390" s="24" t="n">
        <f aca="false">Summary!$C$5+SUM(W$2:W390)</f>
        <v>4086.72</v>
      </c>
      <c r="AA390" s="24" t="n">
        <f aca="false">MAX(AA389,Z390)</f>
        <v>5000</v>
      </c>
      <c r="AB390" s="24" t="n">
        <f aca="false">AA390-Z390</f>
        <v>913.28</v>
      </c>
      <c r="AC390" s="23" t="n">
        <f aca="false">IFERROR(AB390/AA390,0)</f>
        <v>0.182656</v>
      </c>
      <c r="AD390" s="22" t="s">
        <v>627</v>
      </c>
    </row>
    <row r="391" customFormat="false" ht="15" hidden="false" customHeight="false" outlineLevel="0" collapsed="false">
      <c r="A391" s="22" t="n">
        <v>390</v>
      </c>
      <c r="B391" s="22" t="s">
        <v>131</v>
      </c>
      <c r="C391" s="37" t="n">
        <v>44995.3755439815</v>
      </c>
      <c r="D391" s="22" t="s">
        <v>206</v>
      </c>
      <c r="E391" s="22" t="n">
        <v>9</v>
      </c>
      <c r="F391" s="22" t="s">
        <v>181</v>
      </c>
      <c r="G391" s="22" t="s">
        <v>235</v>
      </c>
      <c r="H391" s="22" t="n">
        <v>0.06</v>
      </c>
      <c r="I391" s="38" t="n">
        <v>1832.75</v>
      </c>
      <c r="J391" s="38" t="n">
        <v>1832.8</v>
      </c>
      <c r="K391" s="39" t="n">
        <f aca="false">IF(F391="BUY",J391-I391,I391-J391)</f>
        <v>0.0499999999999545</v>
      </c>
      <c r="L391" s="38" t="n">
        <v>1826.75</v>
      </c>
      <c r="M391" s="39" t="n">
        <f aca="false">ABS(I391-L391)</f>
        <v>6</v>
      </c>
      <c r="N391" s="24" t="n">
        <f aca="false">M391*H391*Summary!$C$6</f>
        <v>36</v>
      </c>
      <c r="O391" s="37" t="n">
        <v>44995.4305324074</v>
      </c>
      <c r="P391" s="22" t="n">
        <f aca="false">ROUND((O391-C391)*86400,0)</f>
        <v>4751</v>
      </c>
      <c r="Q391" s="22" t="str">
        <f aca="false">IF(P391&lt;10,"a) &lt;10s",IF(P391&lt;60,"b) 10-60s",IF(P391&lt;600,"c) 1-10min","d) &gt;10min")))</f>
        <v>d) &gt;10min</v>
      </c>
      <c r="R391" s="38" t="n">
        <v>1833.3</v>
      </c>
      <c r="S391" s="38" t="n">
        <v>1833.3</v>
      </c>
      <c r="T391" s="22" t="s">
        <v>189</v>
      </c>
      <c r="U391" s="39" t="n">
        <f aca="false">IF(R391="","",IF(F391="BUY",R391-S391,S391-R391))</f>
        <v>0</v>
      </c>
      <c r="V391" s="39" t="n">
        <f aca="false">IF(F391="BUY",S391-J391,J391-S391)</f>
        <v>0.5</v>
      </c>
      <c r="W391" s="6" t="n">
        <v>3</v>
      </c>
      <c r="X391" s="26" t="n">
        <f aca="false">IFERROR(W391/N391,0)</f>
        <v>0.0833333333333333</v>
      </c>
      <c r="Y391" s="22" t="str">
        <f aca="false">IF(W391&gt;0,"Win",IF(W391&lt;0,"Loss","Flat"))</f>
        <v>Win</v>
      </c>
      <c r="Z391" s="24" t="n">
        <f aca="false">Summary!$C$5+SUM(W$2:W391)</f>
        <v>4089.72</v>
      </c>
      <c r="AA391" s="24" t="n">
        <f aca="false">MAX(AA390,Z391)</f>
        <v>5000</v>
      </c>
      <c r="AB391" s="24" t="n">
        <f aca="false">AA391-Z391</f>
        <v>910.28</v>
      </c>
      <c r="AC391" s="23" t="n">
        <f aca="false">IFERROR(AB391/AA391,0)</f>
        <v>0.182056</v>
      </c>
      <c r="AD391" s="22" t="s">
        <v>628</v>
      </c>
    </row>
    <row r="392" customFormat="false" ht="15" hidden="false" customHeight="false" outlineLevel="0" collapsed="false">
      <c r="A392" s="22" t="n">
        <v>391</v>
      </c>
      <c r="B392" s="22" t="s">
        <v>131</v>
      </c>
      <c r="C392" s="37" t="n">
        <v>44998.4022453704</v>
      </c>
      <c r="D392" s="22" t="s">
        <v>202</v>
      </c>
      <c r="E392" s="22" t="n">
        <v>9</v>
      </c>
      <c r="F392" s="22" t="s">
        <v>182</v>
      </c>
      <c r="G392" s="22" t="s">
        <v>241</v>
      </c>
      <c r="H392" s="22" t="n">
        <v>0.06</v>
      </c>
      <c r="I392" s="38" t="n">
        <v>1877.02</v>
      </c>
      <c r="J392" s="38" t="n">
        <v>1877.02</v>
      </c>
      <c r="K392" s="39" t="n">
        <f aca="false">IF(F392="BUY",J392-I392,I392-J392)</f>
        <v>0</v>
      </c>
      <c r="L392" s="38" t="n">
        <v>1883.02</v>
      </c>
      <c r="M392" s="39" t="n">
        <f aca="false">ABS(I392-L392)</f>
        <v>6</v>
      </c>
      <c r="N392" s="24" t="n">
        <f aca="false">M392*H392*Summary!$C$6</f>
        <v>36</v>
      </c>
      <c r="O392" s="37" t="n">
        <v>44998.4406365741</v>
      </c>
      <c r="P392" s="22" t="n">
        <f aca="false">ROUND((O392-C392)*86400,0)</f>
        <v>3317</v>
      </c>
      <c r="Q392" s="22" t="str">
        <f aca="false">IF(P392&lt;10,"a) &lt;10s",IF(P392&lt;60,"b) 10-60s",IF(P392&lt;600,"c) 1-10min","d) &gt;10min")))</f>
        <v>d) &gt;10min</v>
      </c>
      <c r="R392" s="38" t="n">
        <v>1876.52</v>
      </c>
      <c r="S392" s="38" t="n">
        <v>1876.57</v>
      </c>
      <c r="T392" s="22" t="s">
        <v>189</v>
      </c>
      <c r="U392" s="39" t="n">
        <f aca="false">IF(R392="","",IF(F392="BUY",R392-S392,S392-R392))</f>
        <v>0.0499999999999545</v>
      </c>
      <c r="V392" s="39" t="n">
        <f aca="false">IF(F392="BUY",S392-J392,J392-S392)</f>
        <v>0.450000000000046</v>
      </c>
      <c r="W392" s="6" t="n">
        <v>2.7</v>
      </c>
      <c r="X392" s="26" t="n">
        <f aca="false">IFERROR(W392/N392,0)</f>
        <v>0.075</v>
      </c>
      <c r="Y392" s="22" t="str">
        <f aca="false">IF(W392&gt;0,"Win",IF(W392&lt;0,"Loss","Flat"))</f>
        <v>Win</v>
      </c>
      <c r="Z392" s="24" t="n">
        <f aca="false">Summary!$C$5+SUM(W$2:W392)</f>
        <v>4092.42</v>
      </c>
      <c r="AA392" s="24" t="n">
        <f aca="false">MAX(AA391,Z392)</f>
        <v>5000</v>
      </c>
      <c r="AB392" s="24" t="n">
        <f aca="false">AA392-Z392</f>
        <v>907.58</v>
      </c>
      <c r="AC392" s="23" t="n">
        <f aca="false">IFERROR(AB392/AA392,0)</f>
        <v>0.181516</v>
      </c>
      <c r="AD392" s="22" t="s">
        <v>629</v>
      </c>
    </row>
    <row r="393" customFormat="false" ht="15" hidden="false" customHeight="false" outlineLevel="0" collapsed="false">
      <c r="A393" s="22" t="n">
        <v>392</v>
      </c>
      <c r="B393" s="22" t="s">
        <v>131</v>
      </c>
      <c r="C393" s="37" t="n">
        <v>44999.375</v>
      </c>
      <c r="D393" s="22" t="s">
        <v>203</v>
      </c>
      <c r="E393" s="22" t="n">
        <v>9</v>
      </c>
      <c r="F393" s="22" t="s">
        <v>181</v>
      </c>
      <c r="G393" s="22" t="s">
        <v>235</v>
      </c>
      <c r="H393" s="22" t="n">
        <v>0.06</v>
      </c>
      <c r="I393" s="38" t="n">
        <v>1904.36</v>
      </c>
      <c r="J393" s="38" t="n">
        <v>1904.41</v>
      </c>
      <c r="K393" s="39" t="n">
        <f aca="false">IF(F393="BUY",J393-I393,I393-J393)</f>
        <v>0.0500000000001819</v>
      </c>
      <c r="L393" s="38" t="n">
        <v>1898.36</v>
      </c>
      <c r="M393" s="39" t="n">
        <f aca="false">ABS(I393-L393)</f>
        <v>6</v>
      </c>
      <c r="N393" s="24" t="n">
        <f aca="false">M393*H393*Summary!$C$6</f>
        <v>36</v>
      </c>
      <c r="O393" s="37" t="n">
        <v>44999.4840393519</v>
      </c>
      <c r="P393" s="22" t="n">
        <f aca="false">ROUND((O393-C393)*86400,0)</f>
        <v>9421</v>
      </c>
      <c r="Q393" s="22" t="str">
        <f aca="false">IF(P393&lt;10,"a) &lt;10s",IF(P393&lt;60,"b) 10-60s",IF(P393&lt;600,"c) 1-10min","d) &gt;10min")))</f>
        <v>d) &gt;10min</v>
      </c>
      <c r="R393" s="38" t="n">
        <v>1904.91</v>
      </c>
      <c r="S393" s="38" t="n">
        <v>1904.9</v>
      </c>
      <c r="T393" s="22" t="s">
        <v>189</v>
      </c>
      <c r="U393" s="39" t="n">
        <f aca="false">IF(R393="","",IF(F393="BUY",R393-S393,S393-R393))</f>
        <v>0.00999999999999091</v>
      </c>
      <c r="V393" s="39" t="n">
        <f aca="false">IF(F393="BUY",S393-J393,J393-S393)</f>
        <v>0.490000000000009</v>
      </c>
      <c r="W393" s="6" t="n">
        <v>2.94</v>
      </c>
      <c r="X393" s="26" t="n">
        <f aca="false">IFERROR(W393/N393,0)</f>
        <v>0.0816666666666667</v>
      </c>
      <c r="Y393" s="22" t="str">
        <f aca="false">IF(W393&gt;0,"Win",IF(W393&lt;0,"Loss","Flat"))</f>
        <v>Win</v>
      </c>
      <c r="Z393" s="24" t="n">
        <f aca="false">Summary!$C$5+SUM(W$2:W393)</f>
        <v>4095.36</v>
      </c>
      <c r="AA393" s="24" t="n">
        <f aca="false">MAX(AA392,Z393)</f>
        <v>5000</v>
      </c>
      <c r="AB393" s="24" t="n">
        <f aca="false">AA393-Z393</f>
        <v>904.64</v>
      </c>
      <c r="AC393" s="23" t="n">
        <f aca="false">IFERROR(AB393/AA393,0)</f>
        <v>0.180928</v>
      </c>
      <c r="AD393" s="22" t="s">
        <v>630</v>
      </c>
    </row>
    <row r="394" customFormat="false" ht="15" hidden="false" customHeight="false" outlineLevel="0" collapsed="false">
      <c r="A394" s="22" t="n">
        <v>393</v>
      </c>
      <c r="B394" s="22" t="s">
        <v>131</v>
      </c>
      <c r="C394" s="37" t="n">
        <v>45000.3904861111</v>
      </c>
      <c r="D394" s="22" t="s">
        <v>204</v>
      </c>
      <c r="E394" s="22" t="n">
        <v>9</v>
      </c>
      <c r="F394" s="22" t="s">
        <v>182</v>
      </c>
      <c r="G394" s="22" t="s">
        <v>241</v>
      </c>
      <c r="H394" s="22" t="n">
        <v>0.06</v>
      </c>
      <c r="I394" s="38" t="n">
        <v>1899.04</v>
      </c>
      <c r="J394" s="38" t="n">
        <v>1899</v>
      </c>
      <c r="K394" s="39" t="n">
        <f aca="false">IF(F394="BUY",J394-I394,I394-J394)</f>
        <v>0.0399999999999636</v>
      </c>
      <c r="L394" s="38" t="n">
        <v>1905.04</v>
      </c>
      <c r="M394" s="39" t="n">
        <f aca="false">ABS(I394-L394)</f>
        <v>6</v>
      </c>
      <c r="N394" s="24" t="n">
        <f aca="false">M394*H394*Summary!$C$6</f>
        <v>36</v>
      </c>
      <c r="O394" s="37" t="n">
        <v>45000.5292476852</v>
      </c>
      <c r="P394" s="22" t="n">
        <f aca="false">ROUND((O394-C394)*86400,0)</f>
        <v>11989</v>
      </c>
      <c r="Q394" s="22" t="str">
        <f aca="false">IF(P394&lt;10,"a) &lt;10s",IF(P394&lt;60,"b) 10-60s",IF(P394&lt;600,"c) 1-10min","d) &gt;10min")))</f>
        <v>d) &gt;10min</v>
      </c>
      <c r="R394" s="38" t="n">
        <v>1898.5</v>
      </c>
      <c r="S394" s="38" t="n">
        <v>1898.51</v>
      </c>
      <c r="T394" s="22" t="s">
        <v>189</v>
      </c>
      <c r="U394" s="39" t="n">
        <f aca="false">IF(R394="","",IF(F394="BUY",R394-S394,S394-R394))</f>
        <v>0.00999999999999091</v>
      </c>
      <c r="V394" s="39" t="n">
        <f aca="false">IF(F394="BUY",S394-J394,J394-S394)</f>
        <v>0.490000000000009</v>
      </c>
      <c r="W394" s="6" t="n">
        <v>2.94</v>
      </c>
      <c r="X394" s="26" t="n">
        <f aca="false">IFERROR(W394/N394,0)</f>
        <v>0.0816666666666667</v>
      </c>
      <c r="Y394" s="22" t="str">
        <f aca="false">IF(W394&gt;0,"Win",IF(W394&lt;0,"Loss","Flat"))</f>
        <v>Win</v>
      </c>
      <c r="Z394" s="24" t="n">
        <f aca="false">Summary!$C$5+SUM(W$2:W394)</f>
        <v>4098.3</v>
      </c>
      <c r="AA394" s="24" t="n">
        <f aca="false">MAX(AA393,Z394)</f>
        <v>5000</v>
      </c>
      <c r="AB394" s="24" t="n">
        <f aca="false">AA394-Z394</f>
        <v>901.7</v>
      </c>
      <c r="AC394" s="23" t="n">
        <f aca="false">IFERROR(AB394/AA394,0)</f>
        <v>0.18034</v>
      </c>
      <c r="AD394" s="22" t="s">
        <v>631</v>
      </c>
    </row>
    <row r="395" customFormat="false" ht="15" hidden="false" customHeight="false" outlineLevel="0" collapsed="false">
      <c r="A395" s="22" t="n">
        <v>394</v>
      </c>
      <c r="B395" s="22" t="s">
        <v>131</v>
      </c>
      <c r="C395" s="37" t="n">
        <v>45000.6049537037</v>
      </c>
      <c r="D395" s="22" t="s">
        <v>204</v>
      </c>
      <c r="E395" s="22" t="n">
        <v>14</v>
      </c>
      <c r="F395" s="22" t="s">
        <v>181</v>
      </c>
      <c r="G395" s="22" t="s">
        <v>243</v>
      </c>
      <c r="H395" s="22" t="n">
        <v>0.06</v>
      </c>
      <c r="I395" s="38" t="n">
        <v>1913.98</v>
      </c>
      <c r="J395" s="38" t="n">
        <v>1914.02</v>
      </c>
      <c r="K395" s="39" t="n">
        <f aca="false">IF(F395="BUY",J395-I395,I395-J395)</f>
        <v>0.0399999999999636</v>
      </c>
      <c r="L395" s="38" t="n">
        <v>1907.98</v>
      </c>
      <c r="M395" s="39" t="n">
        <f aca="false">ABS(I395-L395)</f>
        <v>6</v>
      </c>
      <c r="N395" s="24" t="n">
        <f aca="false">M395*H395*Summary!$C$6</f>
        <v>36</v>
      </c>
      <c r="O395" s="37" t="n">
        <v>45000.6051388889</v>
      </c>
      <c r="P395" s="22" t="n">
        <f aca="false">ROUND((O395-C395)*86400,0)</f>
        <v>16</v>
      </c>
      <c r="Q395" s="22" t="str">
        <f aca="false">IF(P395&lt;10,"a) &lt;10s",IF(P395&lt;60,"b) 10-60s",IF(P395&lt;600,"c) 1-10min","d) &gt;10min")))</f>
        <v>b) 10-60s</v>
      </c>
      <c r="R395" s="38" t="n">
        <v>1914.52</v>
      </c>
      <c r="S395" s="38" t="n">
        <v>1914.5</v>
      </c>
      <c r="T395" s="22" t="s">
        <v>189</v>
      </c>
      <c r="U395" s="39" t="n">
        <f aca="false">IF(R395="","",IF(F395="BUY",R395-S395,S395-R395))</f>
        <v>0.0199999999999818</v>
      </c>
      <c r="V395" s="39" t="n">
        <f aca="false">IF(F395="BUY",S395-J395,J395-S395)</f>
        <v>0.480000000000018</v>
      </c>
      <c r="W395" s="6" t="n">
        <v>2.88</v>
      </c>
      <c r="X395" s="26" t="n">
        <f aca="false">IFERROR(W395/N395,0)</f>
        <v>0.08</v>
      </c>
      <c r="Y395" s="22" t="str">
        <f aca="false">IF(W395&gt;0,"Win",IF(W395&lt;0,"Loss","Flat"))</f>
        <v>Win</v>
      </c>
      <c r="Z395" s="24" t="n">
        <f aca="false">Summary!$C$5+SUM(W$2:W395)</f>
        <v>4101.18</v>
      </c>
      <c r="AA395" s="24" t="n">
        <f aca="false">MAX(AA394,Z395)</f>
        <v>5000</v>
      </c>
      <c r="AB395" s="24" t="n">
        <f aca="false">AA395-Z395</f>
        <v>898.82</v>
      </c>
      <c r="AC395" s="23" t="n">
        <f aca="false">IFERROR(AB395/AA395,0)</f>
        <v>0.179764</v>
      </c>
      <c r="AD395" s="22" t="s">
        <v>632</v>
      </c>
    </row>
    <row r="396" customFormat="false" ht="15" hidden="false" customHeight="false" outlineLevel="0" collapsed="false">
      <c r="A396" s="22" t="n">
        <v>395</v>
      </c>
      <c r="B396" s="22" t="s">
        <v>131</v>
      </c>
      <c r="C396" s="37" t="n">
        <v>45002.4039236111</v>
      </c>
      <c r="D396" s="22" t="s">
        <v>206</v>
      </c>
      <c r="E396" s="22" t="n">
        <v>9</v>
      </c>
      <c r="F396" s="22" t="s">
        <v>181</v>
      </c>
      <c r="G396" s="22" t="s">
        <v>235</v>
      </c>
      <c r="H396" s="22" t="n">
        <v>0.06</v>
      </c>
      <c r="I396" s="38" t="n">
        <v>1932.72</v>
      </c>
      <c r="J396" s="38" t="n">
        <v>1932.76</v>
      </c>
      <c r="K396" s="39" t="n">
        <f aca="false">IF(F396="BUY",J396-I396,I396-J396)</f>
        <v>0.0399999999999636</v>
      </c>
      <c r="L396" s="38" t="n">
        <v>1926.72</v>
      </c>
      <c r="M396" s="39" t="n">
        <f aca="false">ABS(I396-L396)</f>
        <v>6</v>
      </c>
      <c r="N396" s="24" t="n">
        <f aca="false">M396*H396*Summary!$C$6</f>
        <v>36</v>
      </c>
      <c r="O396" s="37" t="n">
        <v>45002.7442708333</v>
      </c>
      <c r="P396" s="22" t="n">
        <f aca="false">ROUND((O396-C396)*86400,0)</f>
        <v>29406</v>
      </c>
      <c r="Q396" s="22" t="str">
        <f aca="false">IF(P396&lt;10,"a) &lt;10s",IF(P396&lt;60,"b) 10-60s",IF(P396&lt;600,"c) 1-10min","d) &gt;10min")))</f>
        <v>d) &gt;10min</v>
      </c>
      <c r="R396" s="38"/>
      <c r="S396" s="38" t="n">
        <v>1962.72</v>
      </c>
      <c r="T396" s="22" t="s">
        <v>187</v>
      </c>
      <c r="U396" s="39" t="str">
        <f aca="false">IF(R396="","",IF(F396="BUY",R396-S396,S396-R396))</f>
        <v/>
      </c>
      <c r="V396" s="39" t="n">
        <f aca="false">IF(F396="BUY",S396-J396,J396-S396)</f>
        <v>29.96</v>
      </c>
      <c r="W396" s="6" t="n">
        <v>179.76</v>
      </c>
      <c r="X396" s="26" t="n">
        <f aca="false">IFERROR(W396/N396,0)</f>
        <v>4.99333333333333</v>
      </c>
      <c r="Y396" s="22" t="str">
        <f aca="false">IF(W396&gt;0,"Win",IF(W396&lt;0,"Loss","Flat"))</f>
        <v>Win</v>
      </c>
      <c r="Z396" s="24" t="n">
        <f aca="false">Summary!$C$5+SUM(W$2:W396)</f>
        <v>4280.94</v>
      </c>
      <c r="AA396" s="24" t="n">
        <f aca="false">MAX(AA395,Z396)</f>
        <v>5000</v>
      </c>
      <c r="AB396" s="24" t="n">
        <f aca="false">AA396-Z396</f>
        <v>719.06</v>
      </c>
      <c r="AC396" s="23" t="n">
        <f aca="false">IFERROR(AB396/AA396,0)</f>
        <v>0.143812</v>
      </c>
      <c r="AD396" s="22" t="s">
        <v>633</v>
      </c>
    </row>
    <row r="397" customFormat="false" ht="15" hidden="false" customHeight="false" outlineLevel="0" collapsed="false">
      <c r="A397" s="22" t="n">
        <v>396</v>
      </c>
      <c r="B397" s="22" t="s">
        <v>131</v>
      </c>
      <c r="C397" s="37" t="n">
        <v>45005.3758449074</v>
      </c>
      <c r="D397" s="22" t="s">
        <v>202</v>
      </c>
      <c r="E397" s="22" t="n">
        <v>9</v>
      </c>
      <c r="F397" s="22" t="s">
        <v>181</v>
      </c>
      <c r="G397" s="22" t="s">
        <v>235</v>
      </c>
      <c r="H397" s="22" t="n">
        <v>0.07</v>
      </c>
      <c r="I397" s="38" t="n">
        <v>1988.46</v>
      </c>
      <c r="J397" s="38" t="n">
        <v>1988.47</v>
      </c>
      <c r="K397" s="39" t="n">
        <f aca="false">IF(F397="BUY",J397-I397,I397-J397)</f>
        <v>0.00999999999999091</v>
      </c>
      <c r="L397" s="38" t="n">
        <v>1982.46</v>
      </c>
      <c r="M397" s="39" t="n">
        <f aca="false">ABS(I397-L397)</f>
        <v>6</v>
      </c>
      <c r="N397" s="24" t="n">
        <f aca="false">M397*H397*Summary!$C$6</f>
        <v>42</v>
      </c>
      <c r="O397" s="37" t="n">
        <v>45005.3797916667</v>
      </c>
      <c r="P397" s="22" t="n">
        <f aca="false">ROUND((O397-C397)*86400,0)</f>
        <v>341</v>
      </c>
      <c r="Q397" s="22" t="str">
        <f aca="false">IF(P397&lt;10,"a) &lt;10s",IF(P397&lt;60,"b) 10-60s",IF(P397&lt;600,"c) 1-10min","d) &gt;10min")))</f>
        <v>c) 1-10min</v>
      </c>
      <c r="R397" s="38" t="n">
        <v>1988.97</v>
      </c>
      <c r="S397" s="38" t="n">
        <v>1988.8</v>
      </c>
      <c r="T397" s="22" t="s">
        <v>189</v>
      </c>
      <c r="U397" s="39" t="n">
        <f aca="false">IF(R397="","",IF(F397="BUY",R397-S397,S397-R397))</f>
        <v>0.170000000000073</v>
      </c>
      <c r="V397" s="39" t="n">
        <f aca="false">IF(F397="BUY",S397-J397,J397-S397)</f>
        <v>0.329999999999927</v>
      </c>
      <c r="W397" s="6" t="n">
        <v>2.31</v>
      </c>
      <c r="X397" s="26" t="n">
        <f aca="false">IFERROR(W397/N397,0)</f>
        <v>0.055</v>
      </c>
      <c r="Y397" s="22" t="str">
        <f aca="false">IF(W397&gt;0,"Win",IF(W397&lt;0,"Loss","Flat"))</f>
        <v>Win</v>
      </c>
      <c r="Z397" s="24" t="n">
        <f aca="false">Summary!$C$5+SUM(W$2:W397)</f>
        <v>4283.25</v>
      </c>
      <c r="AA397" s="24" t="n">
        <f aca="false">MAX(AA396,Z397)</f>
        <v>5000</v>
      </c>
      <c r="AB397" s="24" t="n">
        <f aca="false">AA397-Z397</f>
        <v>716.75</v>
      </c>
      <c r="AC397" s="23" t="n">
        <f aca="false">IFERROR(AB397/AA397,0)</f>
        <v>0.14335</v>
      </c>
      <c r="AD397" s="22" t="s">
        <v>634</v>
      </c>
    </row>
    <row r="398" customFormat="false" ht="15" hidden="false" customHeight="false" outlineLevel="0" collapsed="false">
      <c r="A398" s="22" t="n">
        <v>397</v>
      </c>
      <c r="B398" s="22" t="s">
        <v>131</v>
      </c>
      <c r="C398" s="37" t="n">
        <v>45006.3877430556</v>
      </c>
      <c r="D398" s="22" t="s">
        <v>203</v>
      </c>
      <c r="E398" s="22" t="n">
        <v>9</v>
      </c>
      <c r="F398" s="22" t="s">
        <v>182</v>
      </c>
      <c r="G398" s="22" t="s">
        <v>241</v>
      </c>
      <c r="H398" s="22" t="n">
        <v>0.07</v>
      </c>
      <c r="I398" s="38" t="n">
        <v>1979.91</v>
      </c>
      <c r="J398" s="38" t="n">
        <v>1979.9</v>
      </c>
      <c r="K398" s="39" t="n">
        <f aca="false">IF(F398="BUY",J398-I398,I398-J398)</f>
        <v>0.00999999999999091</v>
      </c>
      <c r="L398" s="38" t="n">
        <v>1985.91</v>
      </c>
      <c r="M398" s="39" t="n">
        <f aca="false">ABS(I398-L398)</f>
        <v>6</v>
      </c>
      <c r="N398" s="24" t="n">
        <f aca="false">M398*H398*Summary!$C$6</f>
        <v>42</v>
      </c>
      <c r="O398" s="37" t="n">
        <v>45006.3920023148</v>
      </c>
      <c r="P398" s="22" t="n">
        <f aca="false">ROUND((O398-C398)*86400,0)</f>
        <v>368</v>
      </c>
      <c r="Q398" s="22" t="str">
        <f aca="false">IF(P398&lt;10,"a) &lt;10s",IF(P398&lt;60,"b) 10-60s",IF(P398&lt;600,"c) 1-10min","d) &gt;10min")))</f>
        <v>c) 1-10min</v>
      </c>
      <c r="R398" s="38" t="n">
        <v>1979.4</v>
      </c>
      <c r="S398" s="38" t="n">
        <v>1979.47</v>
      </c>
      <c r="T398" s="22" t="s">
        <v>189</v>
      </c>
      <c r="U398" s="39" t="n">
        <f aca="false">IF(R398="","",IF(F398="BUY",R398-S398,S398-R398))</f>
        <v>0.0699999999999363</v>
      </c>
      <c r="V398" s="39" t="n">
        <f aca="false">IF(F398="BUY",S398-J398,J398-S398)</f>
        <v>0.430000000000064</v>
      </c>
      <c r="W398" s="6" t="n">
        <v>3.01</v>
      </c>
      <c r="X398" s="26" t="n">
        <f aca="false">IFERROR(W398/N398,0)</f>
        <v>0.0716666666666667</v>
      </c>
      <c r="Y398" s="22" t="str">
        <f aca="false">IF(W398&gt;0,"Win",IF(W398&lt;0,"Loss","Flat"))</f>
        <v>Win</v>
      </c>
      <c r="Z398" s="24" t="n">
        <f aca="false">Summary!$C$5+SUM(W$2:W398)</f>
        <v>4286.26</v>
      </c>
      <c r="AA398" s="24" t="n">
        <f aca="false">MAX(AA397,Z398)</f>
        <v>5000</v>
      </c>
      <c r="AB398" s="24" t="n">
        <f aca="false">AA398-Z398</f>
        <v>713.74</v>
      </c>
      <c r="AC398" s="23" t="n">
        <f aca="false">IFERROR(AB398/AA398,0)</f>
        <v>0.142748</v>
      </c>
      <c r="AD398" s="22" t="s">
        <v>635</v>
      </c>
    </row>
    <row r="399" customFormat="false" ht="15" hidden="false" customHeight="false" outlineLevel="0" collapsed="false">
      <c r="A399" s="22" t="n">
        <v>398</v>
      </c>
      <c r="B399" s="22" t="s">
        <v>131</v>
      </c>
      <c r="C399" s="37" t="n">
        <v>45006.4631597222</v>
      </c>
      <c r="D399" s="22" t="s">
        <v>203</v>
      </c>
      <c r="E399" s="22" t="n">
        <v>11</v>
      </c>
      <c r="F399" s="22" t="s">
        <v>182</v>
      </c>
      <c r="G399" s="22" t="s">
        <v>237</v>
      </c>
      <c r="H399" s="22" t="n">
        <v>0.07</v>
      </c>
      <c r="I399" s="38" t="n">
        <v>1965.75</v>
      </c>
      <c r="J399" s="38" t="n">
        <v>1964.78</v>
      </c>
      <c r="K399" s="39" t="n">
        <f aca="false">IF(F399="BUY",J399-I399,I399-J399)</f>
        <v>0.970000000000027</v>
      </c>
      <c r="L399" s="38" t="n">
        <v>1971.75</v>
      </c>
      <c r="M399" s="39" t="n">
        <f aca="false">ABS(I399-L399)</f>
        <v>6</v>
      </c>
      <c r="N399" s="24" t="n">
        <f aca="false">M399*H399*Summary!$C$6</f>
        <v>42</v>
      </c>
      <c r="O399" s="37" t="n">
        <v>45006.6404513889</v>
      </c>
      <c r="P399" s="22" t="n">
        <f aca="false">ROUND((O399-C399)*86400,0)</f>
        <v>15318</v>
      </c>
      <c r="Q399" s="22" t="str">
        <f aca="false">IF(P399&lt;10,"a) &lt;10s",IF(P399&lt;60,"b) 10-60s",IF(P399&lt;600,"c) 1-10min","d) &gt;10min")))</f>
        <v>d) &gt;10min</v>
      </c>
      <c r="R399" s="38" t="n">
        <v>1964.28</v>
      </c>
      <c r="S399" s="38" t="n">
        <v>1964.34</v>
      </c>
      <c r="T399" s="22" t="s">
        <v>189</v>
      </c>
      <c r="U399" s="39" t="n">
        <f aca="false">IF(R399="","",IF(F399="BUY",R399-S399,S399-R399))</f>
        <v>0.0599999999999454</v>
      </c>
      <c r="V399" s="39" t="n">
        <f aca="false">IF(F399="BUY",S399-J399,J399-S399)</f>
        <v>0.440000000000055</v>
      </c>
      <c r="W399" s="6" t="n">
        <v>3.08</v>
      </c>
      <c r="X399" s="26" t="n">
        <f aca="false">IFERROR(W399/N399,0)</f>
        <v>0.0733333333333333</v>
      </c>
      <c r="Y399" s="22" t="str">
        <f aca="false">IF(W399&gt;0,"Win",IF(W399&lt;0,"Loss","Flat"))</f>
        <v>Win</v>
      </c>
      <c r="Z399" s="24" t="n">
        <f aca="false">Summary!$C$5+SUM(W$2:W399)</f>
        <v>4289.34</v>
      </c>
      <c r="AA399" s="24" t="n">
        <f aca="false">MAX(AA398,Z399)</f>
        <v>5000</v>
      </c>
      <c r="AB399" s="24" t="n">
        <f aca="false">AA399-Z399</f>
        <v>710.66</v>
      </c>
      <c r="AC399" s="23" t="n">
        <f aca="false">IFERROR(AB399/AA399,0)</f>
        <v>0.142132</v>
      </c>
      <c r="AD399" s="22" t="s">
        <v>636</v>
      </c>
    </row>
    <row r="400" customFormat="false" ht="15" hidden="false" customHeight="false" outlineLevel="0" collapsed="false">
      <c r="A400" s="22" t="n">
        <v>399</v>
      </c>
      <c r="B400" s="22" t="s">
        <v>131</v>
      </c>
      <c r="C400" s="37" t="n">
        <v>45007.3904976852</v>
      </c>
      <c r="D400" s="22" t="s">
        <v>204</v>
      </c>
      <c r="E400" s="22" t="n">
        <v>9</v>
      </c>
      <c r="F400" s="22" t="s">
        <v>181</v>
      </c>
      <c r="G400" s="22" t="s">
        <v>235</v>
      </c>
      <c r="H400" s="22" t="n">
        <v>0.07</v>
      </c>
      <c r="I400" s="38" t="n">
        <v>1941.15</v>
      </c>
      <c r="J400" s="38" t="n">
        <v>1941.18</v>
      </c>
      <c r="K400" s="39" t="n">
        <f aca="false">IF(F400="BUY",J400-I400,I400-J400)</f>
        <v>0.0299999999999727</v>
      </c>
      <c r="L400" s="38" t="n">
        <v>1935.15</v>
      </c>
      <c r="M400" s="39" t="n">
        <f aca="false">ABS(I400-L400)</f>
        <v>6</v>
      </c>
      <c r="N400" s="24" t="n">
        <f aca="false">M400*H400*Summary!$C$6</f>
        <v>42</v>
      </c>
      <c r="O400" s="37" t="n">
        <v>45007.4064236111</v>
      </c>
      <c r="P400" s="22" t="n">
        <f aca="false">ROUND((O400-C400)*86400,0)</f>
        <v>1376</v>
      </c>
      <c r="Q400" s="22" t="str">
        <f aca="false">IF(P400&lt;10,"a) &lt;10s",IF(P400&lt;60,"b) 10-60s",IF(P400&lt;600,"c) 1-10min","d) &gt;10min")))</f>
        <v>d) &gt;10min</v>
      </c>
      <c r="R400" s="38" t="n">
        <v>1941.68</v>
      </c>
      <c r="S400" s="38" t="n">
        <v>1941.63</v>
      </c>
      <c r="T400" s="22" t="s">
        <v>189</v>
      </c>
      <c r="U400" s="39" t="n">
        <f aca="false">IF(R400="","",IF(F400="BUY",R400-S400,S400-R400))</f>
        <v>0.0499999999999545</v>
      </c>
      <c r="V400" s="39" t="n">
        <f aca="false">IF(F400="BUY",S400-J400,J400-S400)</f>
        <v>0.450000000000046</v>
      </c>
      <c r="W400" s="6" t="n">
        <v>3.15</v>
      </c>
      <c r="X400" s="26" t="n">
        <f aca="false">IFERROR(W400/N400,0)</f>
        <v>0.075</v>
      </c>
      <c r="Y400" s="22" t="str">
        <f aca="false">IF(W400&gt;0,"Win",IF(W400&lt;0,"Loss","Flat"))</f>
        <v>Win</v>
      </c>
      <c r="Z400" s="24" t="n">
        <f aca="false">Summary!$C$5+SUM(W$2:W400)</f>
        <v>4292.49</v>
      </c>
      <c r="AA400" s="24" t="n">
        <f aca="false">MAX(AA399,Z400)</f>
        <v>5000</v>
      </c>
      <c r="AB400" s="24" t="n">
        <f aca="false">AA400-Z400</f>
        <v>707.51</v>
      </c>
      <c r="AC400" s="23" t="n">
        <f aca="false">IFERROR(AB400/AA400,0)</f>
        <v>0.141502</v>
      </c>
      <c r="AD400" s="22" t="s">
        <v>637</v>
      </c>
    </row>
    <row r="401" customFormat="false" ht="15" hidden="false" customHeight="false" outlineLevel="0" collapsed="false">
      <c r="A401" s="22" t="n">
        <v>400</v>
      </c>
      <c r="B401" s="22" t="s">
        <v>131</v>
      </c>
      <c r="C401" s="37" t="n">
        <v>45007.4354166667</v>
      </c>
      <c r="D401" s="22" t="s">
        <v>204</v>
      </c>
      <c r="E401" s="22" t="n">
        <v>10</v>
      </c>
      <c r="F401" s="22" t="s">
        <v>182</v>
      </c>
      <c r="G401" s="22" t="s">
        <v>237</v>
      </c>
      <c r="H401" s="22" t="n">
        <v>0.07</v>
      </c>
      <c r="I401" s="38" t="n">
        <v>1935.19</v>
      </c>
      <c r="J401" s="38" t="n">
        <v>1935.19</v>
      </c>
      <c r="K401" s="39" t="n">
        <f aca="false">IF(F401="BUY",J401-I401,I401-J401)</f>
        <v>0</v>
      </c>
      <c r="L401" s="38" t="n">
        <v>1941.19</v>
      </c>
      <c r="M401" s="39" t="n">
        <f aca="false">ABS(I401-L401)</f>
        <v>6</v>
      </c>
      <c r="N401" s="24" t="n">
        <f aca="false">M401*H401*Summary!$C$6</f>
        <v>42</v>
      </c>
      <c r="O401" s="37" t="n">
        <v>45007.4488078704</v>
      </c>
      <c r="P401" s="22" t="n">
        <f aca="false">ROUND((O401-C401)*86400,0)</f>
        <v>1157</v>
      </c>
      <c r="Q401" s="22" t="str">
        <f aca="false">IF(P401&lt;10,"a) &lt;10s",IF(P401&lt;60,"b) 10-60s",IF(P401&lt;600,"c) 1-10min","d) &gt;10min")))</f>
        <v>d) &gt;10min</v>
      </c>
      <c r="R401" s="38" t="n">
        <v>1941.19</v>
      </c>
      <c r="S401" s="38" t="n">
        <v>1941.2</v>
      </c>
      <c r="T401" s="22" t="s">
        <v>188</v>
      </c>
      <c r="U401" s="39" t="n">
        <f aca="false">IF(R401="","",IF(F401="BUY",R401-S401,S401-R401))</f>
        <v>0.00999999999999091</v>
      </c>
      <c r="V401" s="39" t="n">
        <f aca="false">IF(F401="BUY",S401-J401,J401-S401)</f>
        <v>-6.00999999999999</v>
      </c>
      <c r="W401" s="6" t="n">
        <v>-42.07</v>
      </c>
      <c r="X401" s="26" t="n">
        <f aca="false">IFERROR(W401/N401,0)</f>
        <v>-1.00166666666667</v>
      </c>
      <c r="Y401" s="22" t="str">
        <f aca="false">IF(W401&gt;0,"Win",IF(W401&lt;0,"Loss","Flat"))</f>
        <v>Loss</v>
      </c>
      <c r="Z401" s="24" t="n">
        <f aca="false">Summary!$C$5+SUM(W$2:W401)</f>
        <v>4250.42</v>
      </c>
      <c r="AA401" s="24" t="n">
        <f aca="false">MAX(AA400,Z401)</f>
        <v>5000</v>
      </c>
      <c r="AB401" s="24" t="n">
        <f aca="false">AA401-Z401</f>
        <v>749.58</v>
      </c>
      <c r="AC401" s="23" t="n">
        <f aca="false">IFERROR(AB401/AA401,0)</f>
        <v>0.149916</v>
      </c>
      <c r="AD401" s="22" t="s">
        <v>638</v>
      </c>
    </row>
    <row r="402" customFormat="false" ht="15" hidden="false" customHeight="false" outlineLevel="0" collapsed="false">
      <c r="A402" s="22" t="n">
        <v>401</v>
      </c>
      <c r="B402" s="22" t="s">
        <v>131</v>
      </c>
      <c r="C402" s="37" t="n">
        <v>45008.3542592593</v>
      </c>
      <c r="D402" s="22" t="s">
        <v>205</v>
      </c>
      <c r="E402" s="22" t="n">
        <v>8</v>
      </c>
      <c r="F402" s="22" t="s">
        <v>181</v>
      </c>
      <c r="G402" s="22" t="s">
        <v>243</v>
      </c>
      <c r="H402" s="22" t="n">
        <v>0.07</v>
      </c>
      <c r="I402" s="38" t="n">
        <v>1978.71</v>
      </c>
      <c r="J402" s="38" t="n">
        <v>1978.72</v>
      </c>
      <c r="K402" s="39" t="n">
        <f aca="false">IF(F402="BUY",J402-I402,I402-J402)</f>
        <v>0.00999999999999091</v>
      </c>
      <c r="L402" s="38" t="n">
        <v>1972.71</v>
      </c>
      <c r="M402" s="39" t="n">
        <f aca="false">ABS(I402-L402)</f>
        <v>6</v>
      </c>
      <c r="N402" s="24" t="n">
        <f aca="false">M402*H402*Summary!$C$6</f>
        <v>42</v>
      </c>
      <c r="O402" s="37" t="n">
        <v>45008.3605671296</v>
      </c>
      <c r="P402" s="22" t="n">
        <f aca="false">ROUND((O402-C402)*86400,0)</f>
        <v>545</v>
      </c>
      <c r="Q402" s="22" t="str">
        <f aca="false">IF(P402&lt;10,"a) &lt;10s",IF(P402&lt;60,"b) 10-60s",IF(P402&lt;600,"c) 1-10min","d) &gt;10min")))</f>
        <v>c) 1-10min</v>
      </c>
      <c r="R402" s="38" t="n">
        <v>1979.22</v>
      </c>
      <c r="S402" s="38" t="n">
        <v>1979.21</v>
      </c>
      <c r="T402" s="22" t="s">
        <v>189</v>
      </c>
      <c r="U402" s="39" t="n">
        <f aca="false">IF(R402="","",IF(F402="BUY",R402-S402,S402-R402))</f>
        <v>0.00999999999999091</v>
      </c>
      <c r="V402" s="39" t="n">
        <f aca="false">IF(F402="BUY",S402-J402,J402-S402)</f>
        <v>0.490000000000009</v>
      </c>
      <c r="W402" s="6" t="n">
        <v>3.43</v>
      </c>
      <c r="X402" s="26" t="n">
        <f aca="false">IFERROR(W402/N402,0)</f>
        <v>0.0816666666666667</v>
      </c>
      <c r="Y402" s="22" t="str">
        <f aca="false">IF(W402&gt;0,"Win",IF(W402&lt;0,"Loss","Flat"))</f>
        <v>Win</v>
      </c>
      <c r="Z402" s="24" t="n">
        <f aca="false">Summary!$C$5+SUM(W$2:W402)</f>
        <v>4253.85</v>
      </c>
      <c r="AA402" s="24" t="n">
        <f aca="false">MAX(AA401,Z402)</f>
        <v>5000</v>
      </c>
      <c r="AB402" s="24" t="n">
        <f aca="false">AA402-Z402</f>
        <v>746.15</v>
      </c>
      <c r="AC402" s="23" t="n">
        <f aca="false">IFERROR(AB402/AA402,0)</f>
        <v>0.14923</v>
      </c>
      <c r="AD402" s="22" t="s">
        <v>639</v>
      </c>
    </row>
    <row r="403" customFormat="false" ht="15" hidden="false" customHeight="false" outlineLevel="0" collapsed="false">
      <c r="A403" s="22" t="n">
        <v>402</v>
      </c>
      <c r="B403" s="22" t="s">
        <v>131</v>
      </c>
      <c r="C403" s="37" t="n">
        <v>45008.3876041667</v>
      </c>
      <c r="D403" s="22" t="s">
        <v>205</v>
      </c>
      <c r="E403" s="22" t="n">
        <v>9</v>
      </c>
      <c r="F403" s="22" t="s">
        <v>181</v>
      </c>
      <c r="G403" s="22" t="s">
        <v>235</v>
      </c>
      <c r="H403" s="22" t="n">
        <v>0.07</v>
      </c>
      <c r="I403" s="38" t="n">
        <v>1980.77</v>
      </c>
      <c r="J403" s="38" t="n">
        <v>1980.96</v>
      </c>
      <c r="K403" s="39" t="n">
        <f aca="false">IF(F403="BUY",J403-I403,I403-J403)</f>
        <v>0.190000000000055</v>
      </c>
      <c r="L403" s="38" t="n">
        <v>1974.77</v>
      </c>
      <c r="M403" s="39" t="n">
        <f aca="false">ABS(I403-L403)</f>
        <v>6</v>
      </c>
      <c r="N403" s="24" t="n">
        <f aca="false">M403*H403*Summary!$C$6</f>
        <v>42</v>
      </c>
      <c r="O403" s="37" t="n">
        <v>45008.3967708333</v>
      </c>
      <c r="P403" s="22" t="n">
        <f aca="false">ROUND((O403-C403)*86400,0)</f>
        <v>792</v>
      </c>
      <c r="Q403" s="22" t="str">
        <f aca="false">IF(P403&lt;10,"a) &lt;10s",IF(P403&lt;60,"b) 10-60s",IF(P403&lt;600,"c) 1-10min","d) &gt;10min")))</f>
        <v>d) &gt;10min</v>
      </c>
      <c r="R403" s="38" t="n">
        <v>1981.46</v>
      </c>
      <c r="S403" s="38" t="n">
        <v>1981.45</v>
      </c>
      <c r="T403" s="22" t="s">
        <v>189</v>
      </c>
      <c r="U403" s="39" t="n">
        <f aca="false">IF(R403="","",IF(F403="BUY",R403-S403,S403-R403))</f>
        <v>0.00999999999999091</v>
      </c>
      <c r="V403" s="39" t="n">
        <f aca="false">IF(F403="BUY",S403-J403,J403-S403)</f>
        <v>0.490000000000009</v>
      </c>
      <c r="W403" s="6" t="n">
        <v>3.43</v>
      </c>
      <c r="X403" s="26" t="n">
        <f aca="false">IFERROR(W403/N403,0)</f>
        <v>0.0816666666666667</v>
      </c>
      <c r="Y403" s="22" t="str">
        <f aca="false">IF(W403&gt;0,"Win",IF(W403&lt;0,"Loss","Flat"))</f>
        <v>Win</v>
      </c>
      <c r="Z403" s="24" t="n">
        <f aca="false">Summary!$C$5+SUM(W$2:W403)</f>
        <v>4257.28</v>
      </c>
      <c r="AA403" s="24" t="n">
        <f aca="false">MAX(AA402,Z403)</f>
        <v>5000</v>
      </c>
      <c r="AB403" s="24" t="n">
        <f aca="false">AA403-Z403</f>
        <v>742.72</v>
      </c>
      <c r="AC403" s="23" t="n">
        <f aca="false">IFERROR(AB403/AA403,0)</f>
        <v>0.148544</v>
      </c>
      <c r="AD403" s="22" t="s">
        <v>640</v>
      </c>
    </row>
    <row r="404" customFormat="false" ht="15" hidden="false" customHeight="false" outlineLevel="0" collapsed="false">
      <c r="A404" s="22" t="n">
        <v>403</v>
      </c>
      <c r="B404" s="22" t="s">
        <v>131</v>
      </c>
      <c r="C404" s="37" t="n">
        <v>45009.3865740741</v>
      </c>
      <c r="D404" s="22" t="s">
        <v>206</v>
      </c>
      <c r="E404" s="22" t="n">
        <v>9</v>
      </c>
      <c r="F404" s="22" t="s">
        <v>182</v>
      </c>
      <c r="G404" s="22" t="s">
        <v>241</v>
      </c>
      <c r="H404" s="22" t="n">
        <v>0.07</v>
      </c>
      <c r="I404" s="38" t="n">
        <v>1989.25</v>
      </c>
      <c r="J404" s="38" t="n">
        <v>1989.18</v>
      </c>
      <c r="K404" s="39" t="n">
        <f aca="false">IF(F404="BUY",J404-I404,I404-J404)</f>
        <v>0.0699999999999363</v>
      </c>
      <c r="L404" s="38" t="n">
        <v>1995.25</v>
      </c>
      <c r="M404" s="39" t="n">
        <f aca="false">ABS(I404-L404)</f>
        <v>6</v>
      </c>
      <c r="N404" s="24" t="n">
        <f aca="false">M404*H404*Summary!$C$6</f>
        <v>42</v>
      </c>
      <c r="O404" s="37" t="n">
        <v>45009.4009953704</v>
      </c>
      <c r="P404" s="22" t="n">
        <f aca="false">ROUND((O404-C404)*86400,0)</f>
        <v>1246</v>
      </c>
      <c r="Q404" s="22" t="str">
        <f aca="false">IF(P404&lt;10,"a) &lt;10s",IF(P404&lt;60,"b) 10-60s",IF(P404&lt;600,"c) 1-10min","d) &gt;10min")))</f>
        <v>d) &gt;10min</v>
      </c>
      <c r="R404" s="38" t="n">
        <v>1988.68</v>
      </c>
      <c r="S404" s="38" t="n">
        <v>1988.69</v>
      </c>
      <c r="T404" s="22" t="s">
        <v>189</v>
      </c>
      <c r="U404" s="39" t="n">
        <f aca="false">IF(R404="","",IF(F404="BUY",R404-S404,S404-R404))</f>
        <v>0.00999999999999091</v>
      </c>
      <c r="V404" s="39" t="n">
        <f aca="false">IF(F404="BUY",S404-J404,J404-S404)</f>
        <v>0.490000000000009</v>
      </c>
      <c r="W404" s="6" t="n">
        <v>3.43</v>
      </c>
      <c r="X404" s="26" t="n">
        <f aca="false">IFERROR(W404/N404,0)</f>
        <v>0.0816666666666667</v>
      </c>
      <c r="Y404" s="22" t="str">
        <f aca="false">IF(W404&gt;0,"Win",IF(W404&lt;0,"Loss","Flat"))</f>
        <v>Win</v>
      </c>
      <c r="Z404" s="24" t="n">
        <f aca="false">Summary!$C$5+SUM(W$2:W404)</f>
        <v>4260.71</v>
      </c>
      <c r="AA404" s="24" t="n">
        <f aca="false">MAX(AA403,Z404)</f>
        <v>5000</v>
      </c>
      <c r="AB404" s="24" t="n">
        <f aca="false">AA404-Z404</f>
        <v>739.29</v>
      </c>
      <c r="AC404" s="23" t="n">
        <f aca="false">IFERROR(AB404/AA404,0)</f>
        <v>0.147858</v>
      </c>
      <c r="AD404" s="22" t="s">
        <v>641</v>
      </c>
    </row>
    <row r="405" customFormat="false" ht="15" hidden="false" customHeight="false" outlineLevel="0" collapsed="false">
      <c r="A405" s="22" t="n">
        <v>404</v>
      </c>
      <c r="B405" s="22" t="s">
        <v>131</v>
      </c>
      <c r="C405" s="37" t="n">
        <v>45009.648125</v>
      </c>
      <c r="D405" s="22" t="s">
        <v>206</v>
      </c>
      <c r="E405" s="22" t="n">
        <v>15</v>
      </c>
      <c r="F405" s="22" t="s">
        <v>181</v>
      </c>
      <c r="G405" s="22" t="s">
        <v>243</v>
      </c>
      <c r="H405" s="22" t="n">
        <v>0.07</v>
      </c>
      <c r="I405" s="38" t="n">
        <v>2003.19</v>
      </c>
      <c r="J405" s="38" t="n">
        <v>2003.28</v>
      </c>
      <c r="K405" s="39" t="n">
        <f aca="false">IF(F405="BUY",J405-I405,I405-J405)</f>
        <v>0.0899999999999182</v>
      </c>
      <c r="L405" s="38" t="n">
        <v>1997.19</v>
      </c>
      <c r="M405" s="39" t="n">
        <f aca="false">ABS(I405-L405)</f>
        <v>6</v>
      </c>
      <c r="N405" s="24" t="n">
        <f aca="false">M405*H405*Summary!$C$6</f>
        <v>42</v>
      </c>
      <c r="O405" s="37" t="n">
        <v>45009.6504398148</v>
      </c>
      <c r="P405" s="22" t="n">
        <f aca="false">ROUND((O405-C405)*86400,0)</f>
        <v>200</v>
      </c>
      <c r="Q405" s="22" t="str">
        <f aca="false">IF(P405&lt;10,"a) &lt;10s",IF(P405&lt;60,"b) 10-60s",IF(P405&lt;600,"c) 1-10min","d) &gt;10min")))</f>
        <v>c) 1-10min</v>
      </c>
      <c r="R405" s="38" t="n">
        <v>1997.19</v>
      </c>
      <c r="S405" s="38" t="n">
        <v>1997.14</v>
      </c>
      <c r="T405" s="22" t="s">
        <v>188</v>
      </c>
      <c r="U405" s="39" t="n">
        <f aca="false">IF(R405="","",IF(F405="BUY",R405-S405,S405-R405))</f>
        <v>0.0499999999999545</v>
      </c>
      <c r="V405" s="39" t="n">
        <f aca="false">IF(F405="BUY",S405-J405,J405-S405)</f>
        <v>-6.13999999999987</v>
      </c>
      <c r="W405" s="6" t="n">
        <v>-42.98</v>
      </c>
      <c r="X405" s="26" t="n">
        <f aca="false">IFERROR(W405/N405,0)</f>
        <v>-1.02333333333333</v>
      </c>
      <c r="Y405" s="22" t="str">
        <f aca="false">IF(W405&gt;0,"Win",IF(W405&lt;0,"Loss","Flat"))</f>
        <v>Loss</v>
      </c>
      <c r="Z405" s="24" t="n">
        <f aca="false">Summary!$C$5+SUM(W$2:W405)</f>
        <v>4217.73</v>
      </c>
      <c r="AA405" s="24" t="n">
        <f aca="false">MAX(AA404,Z405)</f>
        <v>5000</v>
      </c>
      <c r="AB405" s="24" t="n">
        <f aca="false">AA405-Z405</f>
        <v>782.27</v>
      </c>
      <c r="AC405" s="23" t="n">
        <f aca="false">IFERROR(AB405/AA405,0)</f>
        <v>0.156454</v>
      </c>
      <c r="AD405" s="22" t="s">
        <v>642</v>
      </c>
    </row>
    <row r="406" customFormat="false" ht="15" hidden="false" customHeight="false" outlineLevel="0" collapsed="false">
      <c r="A406" s="22" t="n">
        <v>405</v>
      </c>
      <c r="B406" s="22" t="s">
        <v>131</v>
      </c>
      <c r="C406" s="37" t="n">
        <v>45012.3751851852</v>
      </c>
      <c r="D406" s="22" t="s">
        <v>202</v>
      </c>
      <c r="E406" s="22" t="n">
        <v>9</v>
      </c>
      <c r="F406" s="22" t="s">
        <v>182</v>
      </c>
      <c r="G406" s="22" t="s">
        <v>241</v>
      </c>
      <c r="H406" s="22" t="n">
        <v>0.07</v>
      </c>
      <c r="I406" s="38" t="n">
        <v>1969.24</v>
      </c>
      <c r="J406" s="38" t="n">
        <v>1969.24</v>
      </c>
      <c r="K406" s="39" t="n">
        <f aca="false">IF(F406="BUY",J406-I406,I406-J406)</f>
        <v>0</v>
      </c>
      <c r="L406" s="38" t="n">
        <v>1975.24</v>
      </c>
      <c r="M406" s="39" t="n">
        <f aca="false">ABS(I406-L406)</f>
        <v>6</v>
      </c>
      <c r="N406" s="24" t="n">
        <f aca="false">M406*H406*Summary!$C$6</f>
        <v>42</v>
      </c>
      <c r="O406" s="37" t="n">
        <v>45012.3955324074</v>
      </c>
      <c r="P406" s="22" t="n">
        <f aca="false">ROUND((O406-C406)*86400,0)</f>
        <v>1758</v>
      </c>
      <c r="Q406" s="22" t="str">
        <f aca="false">IF(P406&lt;10,"a) &lt;10s",IF(P406&lt;60,"b) 10-60s",IF(P406&lt;600,"c) 1-10min","d) &gt;10min")))</f>
        <v>d) &gt;10min</v>
      </c>
      <c r="R406" s="38" t="n">
        <v>1968.74</v>
      </c>
      <c r="S406" s="38" t="n">
        <v>1968.74</v>
      </c>
      <c r="T406" s="22" t="s">
        <v>189</v>
      </c>
      <c r="U406" s="39" t="n">
        <f aca="false">IF(R406="","",IF(F406="BUY",R406-S406,S406-R406))</f>
        <v>0</v>
      </c>
      <c r="V406" s="39" t="n">
        <f aca="false">IF(F406="BUY",S406-J406,J406-S406)</f>
        <v>0.5</v>
      </c>
      <c r="W406" s="6" t="n">
        <v>3.5</v>
      </c>
      <c r="X406" s="26" t="n">
        <f aca="false">IFERROR(W406/N406,0)</f>
        <v>0.0833333333333333</v>
      </c>
      <c r="Y406" s="22" t="str">
        <f aca="false">IF(W406&gt;0,"Win",IF(W406&lt;0,"Loss","Flat"))</f>
        <v>Win</v>
      </c>
      <c r="Z406" s="24" t="n">
        <f aca="false">Summary!$C$5+SUM(W$2:W406)</f>
        <v>4221.23</v>
      </c>
      <c r="AA406" s="24" t="n">
        <f aca="false">MAX(AA405,Z406)</f>
        <v>5000</v>
      </c>
      <c r="AB406" s="24" t="n">
        <f aca="false">AA406-Z406</f>
        <v>778.77</v>
      </c>
      <c r="AC406" s="23" t="n">
        <f aca="false">IFERROR(AB406/AA406,0)</f>
        <v>0.155754</v>
      </c>
      <c r="AD406" s="22" t="s">
        <v>643</v>
      </c>
    </row>
    <row r="407" customFormat="false" ht="15" hidden="false" customHeight="false" outlineLevel="0" collapsed="false">
      <c r="A407" s="22" t="n">
        <v>406</v>
      </c>
      <c r="B407" s="22" t="s">
        <v>131</v>
      </c>
      <c r="C407" s="37" t="n">
        <v>45013.3827083333</v>
      </c>
      <c r="D407" s="22" t="s">
        <v>203</v>
      </c>
      <c r="E407" s="22" t="n">
        <v>9</v>
      </c>
      <c r="F407" s="22" t="s">
        <v>182</v>
      </c>
      <c r="G407" s="22" t="s">
        <v>241</v>
      </c>
      <c r="H407" s="22" t="n">
        <v>0.07</v>
      </c>
      <c r="I407" s="38" t="n">
        <v>1956.62</v>
      </c>
      <c r="J407" s="38" t="n">
        <v>1956.62</v>
      </c>
      <c r="K407" s="39" t="n">
        <f aca="false">IF(F407="BUY",J407-I407,I407-J407)</f>
        <v>0</v>
      </c>
      <c r="L407" s="38" t="n">
        <v>1962.62</v>
      </c>
      <c r="M407" s="39" t="n">
        <f aca="false">ABS(I407-L407)</f>
        <v>6</v>
      </c>
      <c r="N407" s="24" t="n">
        <f aca="false">M407*H407*Summary!$C$6</f>
        <v>42</v>
      </c>
      <c r="O407" s="37" t="n">
        <v>45013.3859375</v>
      </c>
      <c r="P407" s="22" t="n">
        <f aca="false">ROUND((O407-C407)*86400,0)</f>
        <v>279</v>
      </c>
      <c r="Q407" s="22" t="str">
        <f aca="false">IF(P407&lt;10,"a) &lt;10s",IF(P407&lt;60,"b) 10-60s",IF(P407&lt;600,"c) 1-10min","d) &gt;10min")))</f>
        <v>c) 1-10min</v>
      </c>
      <c r="R407" s="38" t="n">
        <v>1956.12</v>
      </c>
      <c r="S407" s="38" t="n">
        <v>1956.18</v>
      </c>
      <c r="T407" s="22" t="s">
        <v>189</v>
      </c>
      <c r="U407" s="39" t="n">
        <f aca="false">IF(R407="","",IF(F407="BUY",R407-S407,S407-R407))</f>
        <v>0.0600000000001728</v>
      </c>
      <c r="V407" s="39" t="n">
        <f aca="false">IF(F407="BUY",S407-J407,J407-S407)</f>
        <v>0.439999999999827</v>
      </c>
      <c r="W407" s="6" t="n">
        <v>3.08</v>
      </c>
      <c r="X407" s="26" t="n">
        <f aca="false">IFERROR(W407/N407,0)</f>
        <v>0.0733333333333333</v>
      </c>
      <c r="Y407" s="22" t="str">
        <f aca="false">IF(W407&gt;0,"Win",IF(W407&lt;0,"Loss","Flat"))</f>
        <v>Win</v>
      </c>
      <c r="Z407" s="24" t="n">
        <f aca="false">Summary!$C$5+SUM(W$2:W407)</f>
        <v>4224.31</v>
      </c>
      <c r="AA407" s="24" t="n">
        <f aca="false">MAX(AA406,Z407)</f>
        <v>5000</v>
      </c>
      <c r="AB407" s="24" t="n">
        <f aca="false">AA407-Z407</f>
        <v>775.690000000001</v>
      </c>
      <c r="AC407" s="23" t="n">
        <f aca="false">IFERROR(AB407/AA407,0)</f>
        <v>0.155138</v>
      </c>
      <c r="AD407" s="22" t="s">
        <v>644</v>
      </c>
    </row>
    <row r="408" customFormat="false" ht="15" hidden="false" customHeight="false" outlineLevel="0" collapsed="false">
      <c r="A408" s="22" t="n">
        <v>407</v>
      </c>
      <c r="B408" s="22" t="s">
        <v>131</v>
      </c>
      <c r="C408" s="37" t="n">
        <v>45014.5569444444</v>
      </c>
      <c r="D408" s="22" t="s">
        <v>204</v>
      </c>
      <c r="E408" s="22" t="n">
        <v>13</v>
      </c>
      <c r="F408" s="22" t="s">
        <v>181</v>
      </c>
      <c r="G408" s="22" t="s">
        <v>235</v>
      </c>
      <c r="H408" s="22" t="n">
        <v>0.07</v>
      </c>
      <c r="I408" s="38" t="n">
        <v>1968.82</v>
      </c>
      <c r="J408" s="38" t="n">
        <v>1968.85</v>
      </c>
      <c r="K408" s="39" t="n">
        <f aca="false">IF(F408="BUY",J408-I408,I408-J408)</f>
        <v>0.0299999999999727</v>
      </c>
      <c r="L408" s="38" t="n">
        <v>1962.82</v>
      </c>
      <c r="M408" s="39" t="n">
        <f aca="false">ABS(I408-L408)</f>
        <v>6</v>
      </c>
      <c r="N408" s="24" t="n">
        <f aca="false">M408*H408*Summary!$C$6</f>
        <v>42</v>
      </c>
      <c r="O408" s="37" t="n">
        <v>45014.6387847222</v>
      </c>
      <c r="P408" s="22" t="n">
        <f aca="false">ROUND((O408-C408)*86400,0)</f>
        <v>7071</v>
      </c>
      <c r="Q408" s="22" t="str">
        <f aca="false">IF(P408&lt;10,"a) &lt;10s",IF(P408&lt;60,"b) 10-60s",IF(P408&lt;600,"c) 1-10min","d) &gt;10min")))</f>
        <v>d) &gt;10min</v>
      </c>
      <c r="R408" s="38" t="n">
        <v>1962.82</v>
      </c>
      <c r="S408" s="38" t="n">
        <v>1962.82</v>
      </c>
      <c r="T408" s="22" t="s">
        <v>188</v>
      </c>
      <c r="U408" s="39" t="n">
        <f aca="false">IF(R408="","",IF(F408="BUY",R408-S408,S408-R408))</f>
        <v>0</v>
      </c>
      <c r="V408" s="39" t="n">
        <f aca="false">IF(F408="BUY",S408-J408,J408-S408)</f>
        <v>-6.02999999999997</v>
      </c>
      <c r="W408" s="6" t="n">
        <v>-42.21</v>
      </c>
      <c r="X408" s="26" t="n">
        <f aca="false">IFERROR(W408/N408,0)</f>
        <v>-1.005</v>
      </c>
      <c r="Y408" s="22" t="str">
        <f aca="false">IF(W408&gt;0,"Win",IF(W408&lt;0,"Loss","Flat"))</f>
        <v>Loss</v>
      </c>
      <c r="Z408" s="24" t="n">
        <f aca="false">Summary!$C$5+SUM(W$2:W408)</f>
        <v>4182.1</v>
      </c>
      <c r="AA408" s="24" t="n">
        <f aca="false">MAX(AA407,Z408)</f>
        <v>5000</v>
      </c>
      <c r="AB408" s="24" t="n">
        <f aca="false">AA408-Z408</f>
        <v>817.9</v>
      </c>
      <c r="AC408" s="23" t="n">
        <f aca="false">IFERROR(AB408/AA408,0)</f>
        <v>0.16358</v>
      </c>
      <c r="AD408" s="22" t="s">
        <v>645</v>
      </c>
    </row>
    <row r="409" customFormat="false" ht="15" hidden="false" customHeight="false" outlineLevel="0" collapsed="false">
      <c r="A409" s="22" t="n">
        <v>408</v>
      </c>
      <c r="B409" s="22" t="s">
        <v>131</v>
      </c>
      <c r="C409" s="37" t="n">
        <v>45015.1733680556</v>
      </c>
      <c r="D409" s="22" t="s">
        <v>205</v>
      </c>
      <c r="E409" s="22" t="n">
        <v>4</v>
      </c>
      <c r="F409" s="22" t="s">
        <v>182</v>
      </c>
      <c r="G409" s="22" t="s">
        <v>237</v>
      </c>
      <c r="H409" s="22" t="n">
        <v>0.06</v>
      </c>
      <c r="I409" s="38" t="n">
        <v>1958.58</v>
      </c>
      <c r="J409" s="38" t="n">
        <v>1957.01</v>
      </c>
      <c r="K409" s="39" t="n">
        <f aca="false">IF(F409="BUY",J409-I409,I409-J409)</f>
        <v>1.56999999999994</v>
      </c>
      <c r="L409" s="38" t="n">
        <v>1964.58</v>
      </c>
      <c r="M409" s="39" t="n">
        <f aca="false">ABS(I409-L409)</f>
        <v>6</v>
      </c>
      <c r="N409" s="24" t="n">
        <f aca="false">M409*H409*Summary!$C$6</f>
        <v>36</v>
      </c>
      <c r="O409" s="37" t="n">
        <v>45015.3575925926</v>
      </c>
      <c r="P409" s="22" t="n">
        <f aca="false">ROUND((O409-C409)*86400,0)</f>
        <v>15917</v>
      </c>
      <c r="Q409" s="22" t="str">
        <f aca="false">IF(P409&lt;10,"a) &lt;10s",IF(P409&lt;60,"b) 10-60s",IF(P409&lt;600,"c) 1-10min","d) &gt;10min")))</f>
        <v>d) &gt;10min</v>
      </c>
      <c r="R409" s="38" t="n">
        <v>1964.58</v>
      </c>
      <c r="S409" s="38" t="n">
        <v>1964.61</v>
      </c>
      <c r="T409" s="22" t="s">
        <v>188</v>
      </c>
      <c r="U409" s="39" t="n">
        <f aca="false">IF(R409="","",IF(F409="BUY",R409-S409,S409-R409))</f>
        <v>0.0299999999999727</v>
      </c>
      <c r="V409" s="39" t="n">
        <f aca="false">IF(F409="BUY",S409-J409,J409-S409)</f>
        <v>-7.59999999999991</v>
      </c>
      <c r="W409" s="6" t="n">
        <v>-45.6</v>
      </c>
      <c r="X409" s="26" t="n">
        <f aca="false">IFERROR(W409/N409,0)</f>
        <v>-1.26666666666667</v>
      </c>
      <c r="Y409" s="22" t="str">
        <f aca="false">IF(W409&gt;0,"Win",IF(W409&lt;0,"Loss","Flat"))</f>
        <v>Loss</v>
      </c>
      <c r="Z409" s="24" t="n">
        <f aca="false">Summary!$C$5+SUM(W$2:W409)</f>
        <v>4136.5</v>
      </c>
      <c r="AA409" s="24" t="n">
        <f aca="false">MAX(AA408,Z409)</f>
        <v>5000</v>
      </c>
      <c r="AB409" s="24" t="n">
        <f aca="false">AA409-Z409</f>
        <v>863.5</v>
      </c>
      <c r="AC409" s="23" t="n">
        <f aca="false">IFERROR(AB409/AA409,0)</f>
        <v>0.1727</v>
      </c>
      <c r="AD409" s="22" t="s">
        <v>646</v>
      </c>
    </row>
    <row r="410" customFormat="false" ht="15" hidden="false" customHeight="false" outlineLevel="0" collapsed="false">
      <c r="A410" s="22" t="n">
        <v>409</v>
      </c>
      <c r="B410" s="22" t="s">
        <v>131</v>
      </c>
      <c r="C410" s="37" t="n">
        <v>45015.3766203704</v>
      </c>
      <c r="D410" s="22" t="s">
        <v>205</v>
      </c>
      <c r="E410" s="22" t="n">
        <v>9</v>
      </c>
      <c r="F410" s="22" t="s">
        <v>181</v>
      </c>
      <c r="G410" s="22" t="s">
        <v>235</v>
      </c>
      <c r="H410" s="22" t="n">
        <v>0.06</v>
      </c>
      <c r="I410" s="38" t="n">
        <v>1965.38</v>
      </c>
      <c r="J410" s="38" t="n">
        <v>1965.44</v>
      </c>
      <c r="K410" s="39" t="n">
        <f aca="false">IF(F410="BUY",J410-I410,I410-J410)</f>
        <v>0.0599999999999454</v>
      </c>
      <c r="L410" s="38" t="n">
        <v>1959.38</v>
      </c>
      <c r="M410" s="39" t="n">
        <f aca="false">ABS(I410-L410)</f>
        <v>6</v>
      </c>
      <c r="N410" s="24" t="n">
        <f aca="false">M410*H410*Summary!$C$6</f>
        <v>36</v>
      </c>
      <c r="O410" s="37" t="n">
        <v>45015.3889930556</v>
      </c>
      <c r="P410" s="22" t="n">
        <f aca="false">ROUND((O410-C410)*86400,0)</f>
        <v>1069</v>
      </c>
      <c r="Q410" s="22" t="str">
        <f aca="false">IF(P410&lt;10,"a) &lt;10s",IF(P410&lt;60,"b) 10-60s",IF(P410&lt;600,"c) 1-10min","d) &gt;10min")))</f>
        <v>d) &gt;10min</v>
      </c>
      <c r="R410" s="38" t="n">
        <v>1965.94</v>
      </c>
      <c r="S410" s="38" t="n">
        <v>1965.92</v>
      </c>
      <c r="T410" s="22" t="s">
        <v>189</v>
      </c>
      <c r="U410" s="39" t="n">
        <f aca="false">IF(R410="","",IF(F410="BUY",R410-S410,S410-R410))</f>
        <v>0.0199999999999818</v>
      </c>
      <c r="V410" s="39" t="n">
        <f aca="false">IF(F410="BUY",S410-J410,J410-S410)</f>
        <v>0.480000000000018</v>
      </c>
      <c r="W410" s="6" t="n">
        <v>2.88</v>
      </c>
      <c r="X410" s="26" t="n">
        <f aca="false">IFERROR(W410/N410,0)</f>
        <v>0.08</v>
      </c>
      <c r="Y410" s="22" t="str">
        <f aca="false">IF(W410&gt;0,"Win",IF(W410&lt;0,"Loss","Flat"))</f>
        <v>Win</v>
      </c>
      <c r="Z410" s="24" t="n">
        <f aca="false">Summary!$C$5+SUM(W$2:W410)</f>
        <v>4139.38</v>
      </c>
      <c r="AA410" s="24" t="n">
        <f aca="false">MAX(AA409,Z410)</f>
        <v>5000</v>
      </c>
      <c r="AB410" s="24" t="n">
        <f aca="false">AA410-Z410</f>
        <v>860.62</v>
      </c>
      <c r="AC410" s="23" t="n">
        <f aca="false">IFERROR(AB410/AA410,0)</f>
        <v>0.172124</v>
      </c>
      <c r="AD410" s="22" t="s">
        <v>647</v>
      </c>
    </row>
    <row r="411" customFormat="false" ht="15" hidden="false" customHeight="false" outlineLevel="0" collapsed="false">
      <c r="A411" s="22" t="n">
        <v>410</v>
      </c>
      <c r="B411" s="22" t="s">
        <v>131</v>
      </c>
      <c r="C411" s="37" t="n">
        <v>45016.390162037</v>
      </c>
      <c r="D411" s="22" t="s">
        <v>206</v>
      </c>
      <c r="E411" s="22" t="n">
        <v>9</v>
      </c>
      <c r="F411" s="22" t="s">
        <v>181</v>
      </c>
      <c r="G411" s="22" t="s">
        <v>235</v>
      </c>
      <c r="H411" s="22" t="n">
        <v>0.06</v>
      </c>
      <c r="I411" s="38" t="n">
        <v>1981.95</v>
      </c>
      <c r="J411" s="38" t="n">
        <v>1981.95</v>
      </c>
      <c r="K411" s="39" t="n">
        <f aca="false">IF(F411="BUY",J411-I411,I411-J411)</f>
        <v>0</v>
      </c>
      <c r="L411" s="38" t="n">
        <v>1975.95</v>
      </c>
      <c r="M411" s="39" t="n">
        <f aca="false">ABS(I411-L411)</f>
        <v>6</v>
      </c>
      <c r="N411" s="24" t="n">
        <f aca="false">M411*H411*Summary!$C$6</f>
        <v>36</v>
      </c>
      <c r="O411" s="37" t="n">
        <v>45016.4214583333</v>
      </c>
      <c r="P411" s="22" t="n">
        <f aca="false">ROUND((O411-C411)*86400,0)</f>
        <v>2704</v>
      </c>
      <c r="Q411" s="22" t="str">
        <f aca="false">IF(P411&lt;10,"a) &lt;10s",IF(P411&lt;60,"b) 10-60s",IF(P411&lt;600,"c) 1-10min","d) &gt;10min")))</f>
        <v>d) &gt;10min</v>
      </c>
      <c r="R411" s="38" t="n">
        <v>1982.45</v>
      </c>
      <c r="S411" s="38" t="n">
        <v>1982.45</v>
      </c>
      <c r="T411" s="22" t="s">
        <v>189</v>
      </c>
      <c r="U411" s="39" t="n">
        <f aca="false">IF(R411="","",IF(F411="BUY",R411-S411,S411-R411))</f>
        <v>0</v>
      </c>
      <c r="V411" s="39" t="n">
        <f aca="false">IF(F411="BUY",S411-J411,J411-S411)</f>
        <v>0.5</v>
      </c>
      <c r="W411" s="6" t="n">
        <v>3</v>
      </c>
      <c r="X411" s="26" t="n">
        <f aca="false">IFERROR(W411/N411,0)</f>
        <v>0.0833333333333333</v>
      </c>
      <c r="Y411" s="22" t="str">
        <f aca="false">IF(W411&gt;0,"Win",IF(W411&lt;0,"Loss","Flat"))</f>
        <v>Win</v>
      </c>
      <c r="Z411" s="24" t="n">
        <f aca="false">Summary!$C$5+SUM(W$2:W411)</f>
        <v>4142.38</v>
      </c>
      <c r="AA411" s="24" t="n">
        <f aca="false">MAX(AA410,Z411)</f>
        <v>5000</v>
      </c>
      <c r="AB411" s="24" t="n">
        <f aca="false">AA411-Z411</f>
        <v>857.62</v>
      </c>
      <c r="AC411" s="23" t="n">
        <f aca="false">IFERROR(AB411/AA411,0)</f>
        <v>0.171524</v>
      </c>
      <c r="AD411" s="22" t="s">
        <v>648</v>
      </c>
    </row>
    <row r="412" customFormat="false" ht="15" hidden="false" customHeight="false" outlineLevel="0" collapsed="false">
      <c r="A412" s="22" t="n">
        <v>411</v>
      </c>
      <c r="B412" s="22" t="s">
        <v>132</v>
      </c>
      <c r="C412" s="37" t="n">
        <v>45019.7275694445</v>
      </c>
      <c r="D412" s="22" t="s">
        <v>202</v>
      </c>
      <c r="E412" s="22" t="n">
        <v>17</v>
      </c>
      <c r="F412" s="22" t="s">
        <v>181</v>
      </c>
      <c r="G412" s="22" t="s">
        <v>243</v>
      </c>
      <c r="H412" s="22" t="n">
        <v>0.06</v>
      </c>
      <c r="I412" s="38" t="n">
        <v>1987.49</v>
      </c>
      <c r="J412" s="38" t="n">
        <v>1987.55</v>
      </c>
      <c r="K412" s="39" t="n">
        <f aca="false">IF(F412="BUY",J412-I412,I412-J412)</f>
        <v>0.0599999999999454</v>
      </c>
      <c r="L412" s="38" t="n">
        <v>1981.49</v>
      </c>
      <c r="M412" s="39" t="n">
        <f aca="false">ABS(I412-L412)</f>
        <v>6</v>
      </c>
      <c r="N412" s="24" t="n">
        <f aca="false">M412*H412*Summary!$C$6</f>
        <v>36</v>
      </c>
      <c r="O412" s="37" t="n">
        <v>45019.7336689815</v>
      </c>
      <c r="P412" s="22" t="n">
        <f aca="false">ROUND((O412-C412)*86400,0)</f>
        <v>527</v>
      </c>
      <c r="Q412" s="22" t="str">
        <f aca="false">IF(P412&lt;10,"a) &lt;10s",IF(P412&lt;60,"b) 10-60s",IF(P412&lt;600,"c) 1-10min","d) &gt;10min")))</f>
        <v>c) 1-10min</v>
      </c>
      <c r="R412" s="38" t="n">
        <v>1988.05</v>
      </c>
      <c r="S412" s="38" t="n">
        <v>1988.05</v>
      </c>
      <c r="T412" s="22" t="s">
        <v>189</v>
      </c>
      <c r="U412" s="39" t="n">
        <f aca="false">IF(R412="","",IF(F412="BUY",R412-S412,S412-R412))</f>
        <v>0</v>
      </c>
      <c r="V412" s="39" t="n">
        <f aca="false">IF(F412="BUY",S412-J412,J412-S412)</f>
        <v>0.5</v>
      </c>
      <c r="W412" s="6" t="n">
        <v>3</v>
      </c>
      <c r="X412" s="26" t="n">
        <f aca="false">IFERROR(W412/N412,0)</f>
        <v>0.0833333333333333</v>
      </c>
      <c r="Y412" s="22" t="str">
        <f aca="false">IF(W412&gt;0,"Win",IF(W412&lt;0,"Loss","Flat"))</f>
        <v>Win</v>
      </c>
      <c r="Z412" s="24" t="n">
        <f aca="false">Summary!$C$5+SUM(W$2:W412)</f>
        <v>4145.38</v>
      </c>
      <c r="AA412" s="24" t="n">
        <f aca="false">MAX(AA411,Z412)</f>
        <v>5000</v>
      </c>
      <c r="AB412" s="24" t="n">
        <f aca="false">AA412-Z412</f>
        <v>854.62</v>
      </c>
      <c r="AC412" s="23" t="n">
        <f aca="false">IFERROR(AB412/AA412,0)</f>
        <v>0.170924</v>
      </c>
      <c r="AD412" s="22" t="s">
        <v>649</v>
      </c>
    </row>
    <row r="413" customFormat="false" ht="15" hidden="false" customHeight="false" outlineLevel="0" collapsed="false">
      <c r="A413" s="22" t="n">
        <v>412</v>
      </c>
      <c r="B413" s="22" t="s">
        <v>132</v>
      </c>
      <c r="C413" s="37" t="n">
        <v>45020.3976157407</v>
      </c>
      <c r="D413" s="22" t="s">
        <v>203</v>
      </c>
      <c r="E413" s="22" t="n">
        <v>9</v>
      </c>
      <c r="F413" s="22" t="s">
        <v>182</v>
      </c>
      <c r="G413" s="22" t="s">
        <v>241</v>
      </c>
      <c r="H413" s="22" t="n">
        <v>0.06</v>
      </c>
      <c r="I413" s="38" t="n">
        <v>1977.76</v>
      </c>
      <c r="J413" s="38" t="n">
        <v>1977.72</v>
      </c>
      <c r="K413" s="39" t="n">
        <f aca="false">IF(F413="BUY",J413-I413,I413-J413)</f>
        <v>0.0399999999999636</v>
      </c>
      <c r="L413" s="38" t="n">
        <v>1983.76</v>
      </c>
      <c r="M413" s="39" t="n">
        <f aca="false">ABS(I413-L413)</f>
        <v>6</v>
      </c>
      <c r="N413" s="24" t="n">
        <f aca="false">M413*H413*Summary!$C$6</f>
        <v>36</v>
      </c>
      <c r="O413" s="37" t="n">
        <v>45020.4532060185</v>
      </c>
      <c r="P413" s="22" t="n">
        <f aca="false">ROUND((O413-C413)*86400,0)</f>
        <v>4803</v>
      </c>
      <c r="Q413" s="22" t="str">
        <f aca="false">IF(P413&lt;10,"a) &lt;10s",IF(P413&lt;60,"b) 10-60s",IF(P413&lt;600,"c) 1-10min","d) &gt;10min")))</f>
        <v>d) &gt;10min</v>
      </c>
      <c r="R413" s="38" t="n">
        <v>1983.76</v>
      </c>
      <c r="S413" s="38" t="n">
        <v>1983.77</v>
      </c>
      <c r="T413" s="22" t="s">
        <v>188</v>
      </c>
      <c r="U413" s="39" t="n">
        <f aca="false">IF(R413="","",IF(F413="BUY",R413-S413,S413-R413))</f>
        <v>0.00999999999999091</v>
      </c>
      <c r="V413" s="39" t="n">
        <f aca="false">IF(F413="BUY",S413-J413,J413-S413)</f>
        <v>-6.04999999999995</v>
      </c>
      <c r="W413" s="6" t="n">
        <v>-36.3</v>
      </c>
      <c r="X413" s="26" t="n">
        <f aca="false">IFERROR(W413/N413,0)</f>
        <v>-1.00833333333333</v>
      </c>
      <c r="Y413" s="22" t="str">
        <f aca="false">IF(W413&gt;0,"Win",IF(W413&lt;0,"Loss","Flat"))</f>
        <v>Loss</v>
      </c>
      <c r="Z413" s="24" t="n">
        <f aca="false">Summary!$C$5+SUM(W$2:W413)</f>
        <v>4109.08</v>
      </c>
      <c r="AA413" s="24" t="n">
        <f aca="false">MAX(AA412,Z413)</f>
        <v>5000</v>
      </c>
      <c r="AB413" s="24" t="n">
        <f aca="false">AA413-Z413</f>
        <v>890.92</v>
      </c>
      <c r="AC413" s="23" t="n">
        <f aca="false">IFERROR(AB413/AA413,0)</f>
        <v>0.178184</v>
      </c>
      <c r="AD413" s="22" t="s">
        <v>650</v>
      </c>
    </row>
    <row r="414" customFormat="false" ht="15" hidden="false" customHeight="false" outlineLevel="0" collapsed="false">
      <c r="A414" s="22" t="n">
        <v>413</v>
      </c>
      <c r="B414" s="22" t="s">
        <v>132</v>
      </c>
      <c r="C414" s="37" t="n">
        <v>45020.6958564815</v>
      </c>
      <c r="D414" s="22" t="s">
        <v>203</v>
      </c>
      <c r="E414" s="22" t="n">
        <v>16</v>
      </c>
      <c r="F414" s="22" t="s">
        <v>181</v>
      </c>
      <c r="G414" s="22" t="s">
        <v>243</v>
      </c>
      <c r="H414" s="22" t="n">
        <v>0.06</v>
      </c>
      <c r="I414" s="38" t="n">
        <v>1990.37</v>
      </c>
      <c r="J414" s="38" t="n">
        <v>1990.4</v>
      </c>
      <c r="K414" s="39" t="n">
        <f aca="false">IF(F414="BUY",J414-I414,I414-J414)</f>
        <v>0.0300000000002001</v>
      </c>
      <c r="L414" s="38" t="n">
        <v>1984.37</v>
      </c>
      <c r="M414" s="39" t="n">
        <f aca="false">ABS(I414-L414)</f>
        <v>6</v>
      </c>
      <c r="N414" s="24" t="n">
        <f aca="false">M414*H414*Summary!$C$6</f>
        <v>36</v>
      </c>
      <c r="O414" s="37" t="n">
        <v>45020.7066435185</v>
      </c>
      <c r="P414" s="22" t="n">
        <f aca="false">ROUND((O414-C414)*86400,0)</f>
        <v>932</v>
      </c>
      <c r="Q414" s="22" t="str">
        <f aca="false">IF(P414&lt;10,"a) &lt;10s",IF(P414&lt;60,"b) 10-60s",IF(P414&lt;600,"c) 1-10min","d) &gt;10min")))</f>
        <v>d) &gt;10min</v>
      </c>
      <c r="R414" s="38" t="n">
        <v>1990.9</v>
      </c>
      <c r="S414" s="38" t="n">
        <v>1990.9</v>
      </c>
      <c r="T414" s="22" t="s">
        <v>189</v>
      </c>
      <c r="U414" s="39" t="n">
        <f aca="false">IF(R414="","",IF(F414="BUY",R414-S414,S414-R414))</f>
        <v>0</v>
      </c>
      <c r="V414" s="39" t="n">
        <f aca="false">IF(F414="BUY",S414-J414,J414-S414)</f>
        <v>0.5</v>
      </c>
      <c r="W414" s="6" t="n">
        <v>3</v>
      </c>
      <c r="X414" s="26" t="n">
        <f aca="false">IFERROR(W414/N414,0)</f>
        <v>0.0833333333333333</v>
      </c>
      <c r="Y414" s="22" t="str">
        <f aca="false">IF(W414&gt;0,"Win",IF(W414&lt;0,"Loss","Flat"))</f>
        <v>Win</v>
      </c>
      <c r="Z414" s="24" t="n">
        <f aca="false">Summary!$C$5+SUM(W$2:W414)</f>
        <v>4112.08</v>
      </c>
      <c r="AA414" s="24" t="n">
        <f aca="false">MAX(AA413,Z414)</f>
        <v>5000</v>
      </c>
      <c r="AB414" s="24" t="n">
        <f aca="false">AA414-Z414</f>
        <v>887.92</v>
      </c>
      <c r="AC414" s="23" t="n">
        <f aca="false">IFERROR(AB414/AA414,0)</f>
        <v>0.177584</v>
      </c>
      <c r="AD414" s="22" t="s">
        <v>651</v>
      </c>
    </row>
    <row r="415" customFormat="false" ht="15" hidden="false" customHeight="false" outlineLevel="0" collapsed="false">
      <c r="A415" s="22" t="n">
        <v>414</v>
      </c>
      <c r="B415" s="22" t="s">
        <v>132</v>
      </c>
      <c r="C415" s="37" t="n">
        <v>45021.239525463</v>
      </c>
      <c r="D415" s="22" t="s">
        <v>204</v>
      </c>
      <c r="E415" s="22" t="n">
        <v>5</v>
      </c>
      <c r="F415" s="22" t="s">
        <v>181</v>
      </c>
      <c r="G415" s="22" t="s">
        <v>243</v>
      </c>
      <c r="H415" s="22" t="n">
        <v>0.06</v>
      </c>
      <c r="I415" s="38" t="n">
        <v>2024.85</v>
      </c>
      <c r="J415" s="38" t="n">
        <v>2024.87</v>
      </c>
      <c r="K415" s="39" t="n">
        <f aca="false">IF(F415="BUY",J415-I415,I415-J415)</f>
        <v>0.0199999999999818</v>
      </c>
      <c r="L415" s="38" t="n">
        <v>2018.85</v>
      </c>
      <c r="M415" s="39" t="n">
        <f aca="false">ABS(I415-L415)</f>
        <v>6</v>
      </c>
      <c r="N415" s="24" t="n">
        <f aca="false">M415*H415*Summary!$C$6</f>
        <v>36</v>
      </c>
      <c r="O415" s="37" t="n">
        <v>45021.4452083333</v>
      </c>
      <c r="P415" s="22" t="n">
        <f aca="false">ROUND((O415-C415)*86400,0)</f>
        <v>17771</v>
      </c>
      <c r="Q415" s="22" t="str">
        <f aca="false">IF(P415&lt;10,"a) &lt;10s",IF(P415&lt;60,"b) 10-60s",IF(P415&lt;600,"c) 1-10min","d) &gt;10min")))</f>
        <v>d) &gt;10min</v>
      </c>
      <c r="R415" s="38" t="n">
        <v>2025.37</v>
      </c>
      <c r="S415" s="38" t="n">
        <v>2025.28</v>
      </c>
      <c r="T415" s="22" t="s">
        <v>189</v>
      </c>
      <c r="U415" s="39" t="n">
        <f aca="false">IF(R415="","",IF(F415="BUY",R415-S415,S415-R415))</f>
        <v>0.0899999999999182</v>
      </c>
      <c r="V415" s="39" t="n">
        <f aca="false">IF(F415="BUY",S415-J415,J415-S415)</f>
        <v>0.410000000000082</v>
      </c>
      <c r="W415" s="6" t="n">
        <v>2.46</v>
      </c>
      <c r="X415" s="26" t="n">
        <f aca="false">IFERROR(W415/N415,0)</f>
        <v>0.0683333333333333</v>
      </c>
      <c r="Y415" s="22" t="str">
        <f aca="false">IF(W415&gt;0,"Win",IF(W415&lt;0,"Loss","Flat"))</f>
        <v>Win</v>
      </c>
      <c r="Z415" s="24" t="n">
        <f aca="false">Summary!$C$5+SUM(W$2:W415)</f>
        <v>4114.54</v>
      </c>
      <c r="AA415" s="24" t="n">
        <f aca="false">MAX(AA414,Z415)</f>
        <v>5000</v>
      </c>
      <c r="AB415" s="24" t="n">
        <f aca="false">AA415-Z415</f>
        <v>885.46</v>
      </c>
      <c r="AC415" s="23" t="n">
        <f aca="false">IFERROR(AB415/AA415,0)</f>
        <v>0.177092</v>
      </c>
      <c r="AD415" s="22" t="s">
        <v>652</v>
      </c>
    </row>
    <row r="416" customFormat="false" ht="15" hidden="false" customHeight="false" outlineLevel="0" collapsed="false">
      <c r="A416" s="22" t="n">
        <v>415</v>
      </c>
      <c r="B416" s="22" t="s">
        <v>132</v>
      </c>
      <c r="C416" s="37" t="n">
        <v>45021.5180902778</v>
      </c>
      <c r="D416" s="22" t="s">
        <v>204</v>
      </c>
      <c r="E416" s="22" t="n">
        <v>12</v>
      </c>
      <c r="F416" s="22" t="s">
        <v>182</v>
      </c>
      <c r="G416" s="22" t="s">
        <v>241</v>
      </c>
      <c r="H416" s="22" t="n">
        <v>0.06</v>
      </c>
      <c r="I416" s="38" t="n">
        <v>2022</v>
      </c>
      <c r="J416" s="38" t="n">
        <v>2022</v>
      </c>
      <c r="K416" s="39" t="n">
        <f aca="false">IF(F416="BUY",J416-I416,I416-J416)</f>
        <v>0</v>
      </c>
      <c r="L416" s="38" t="n">
        <v>2028</v>
      </c>
      <c r="M416" s="39" t="n">
        <f aca="false">ABS(I416-L416)</f>
        <v>6</v>
      </c>
      <c r="N416" s="24" t="n">
        <f aca="false">M416*H416*Summary!$C$6</f>
        <v>36</v>
      </c>
      <c r="O416" s="37" t="n">
        <v>45021.6359490741</v>
      </c>
      <c r="P416" s="22" t="n">
        <f aca="false">ROUND((O416-C416)*86400,0)</f>
        <v>10183</v>
      </c>
      <c r="Q416" s="22" t="str">
        <f aca="false">IF(P416&lt;10,"a) &lt;10s",IF(P416&lt;60,"b) 10-60s",IF(P416&lt;600,"c) 1-10min","d) &gt;10min")))</f>
        <v>d) &gt;10min</v>
      </c>
      <c r="R416" s="38" t="n">
        <v>2028</v>
      </c>
      <c r="S416" s="38" t="n">
        <v>2028.68</v>
      </c>
      <c r="T416" s="22" t="s">
        <v>188</v>
      </c>
      <c r="U416" s="39" t="n">
        <f aca="false">IF(R416="","",IF(F416="BUY",R416-S416,S416-R416))</f>
        <v>0.680000000000064</v>
      </c>
      <c r="V416" s="39" t="n">
        <f aca="false">IF(F416="BUY",S416-J416,J416-S416)</f>
        <v>-6.68000000000006</v>
      </c>
      <c r="W416" s="6" t="n">
        <v>-40.08</v>
      </c>
      <c r="X416" s="26" t="n">
        <f aca="false">IFERROR(W416/N416,0)</f>
        <v>-1.11333333333333</v>
      </c>
      <c r="Y416" s="22" t="str">
        <f aca="false">IF(W416&gt;0,"Win",IF(W416&lt;0,"Loss","Flat"))</f>
        <v>Loss</v>
      </c>
      <c r="Z416" s="24" t="n">
        <f aca="false">Summary!$C$5+SUM(W$2:W416)</f>
        <v>4074.46</v>
      </c>
      <c r="AA416" s="24" t="n">
        <f aca="false">MAX(AA415,Z416)</f>
        <v>5000</v>
      </c>
      <c r="AB416" s="24" t="n">
        <f aca="false">AA416-Z416</f>
        <v>925.54</v>
      </c>
      <c r="AC416" s="23" t="n">
        <f aca="false">IFERROR(AB416/AA416,0)</f>
        <v>0.185108</v>
      </c>
      <c r="AD416" s="22" t="s">
        <v>653</v>
      </c>
    </row>
    <row r="417" customFormat="false" ht="15" hidden="false" customHeight="false" outlineLevel="0" collapsed="false">
      <c r="A417" s="22" t="n">
        <v>416</v>
      </c>
      <c r="B417" s="22" t="s">
        <v>132</v>
      </c>
      <c r="C417" s="37" t="n">
        <v>45022.2296296296</v>
      </c>
      <c r="D417" s="22" t="s">
        <v>205</v>
      </c>
      <c r="E417" s="22" t="n">
        <v>5</v>
      </c>
      <c r="F417" s="22" t="s">
        <v>182</v>
      </c>
      <c r="G417" s="22" t="s">
        <v>237</v>
      </c>
      <c r="H417" s="22" t="n">
        <v>0.06</v>
      </c>
      <c r="I417" s="38" t="n">
        <v>2009.89</v>
      </c>
      <c r="J417" s="38" t="n">
        <v>2009.83</v>
      </c>
      <c r="K417" s="39" t="n">
        <f aca="false">IF(F417="BUY",J417-I417,I417-J417)</f>
        <v>0.0600000000001728</v>
      </c>
      <c r="L417" s="38" t="n">
        <v>2015.89</v>
      </c>
      <c r="M417" s="39" t="n">
        <f aca="false">ABS(I417-L417)</f>
        <v>6</v>
      </c>
      <c r="N417" s="24" t="n">
        <f aca="false">M417*H417*Summary!$C$6</f>
        <v>36</v>
      </c>
      <c r="O417" s="37" t="n">
        <v>45022.3686342593</v>
      </c>
      <c r="P417" s="22" t="n">
        <f aca="false">ROUND((O417-C417)*86400,0)</f>
        <v>12010</v>
      </c>
      <c r="Q417" s="22" t="str">
        <f aca="false">IF(P417&lt;10,"a) &lt;10s",IF(P417&lt;60,"b) 10-60s",IF(P417&lt;600,"c) 1-10min","d) &gt;10min")))</f>
        <v>d) &gt;10min</v>
      </c>
      <c r="R417" s="38" t="n">
        <v>2015.89</v>
      </c>
      <c r="S417" s="38" t="n">
        <v>2015.96</v>
      </c>
      <c r="T417" s="22" t="s">
        <v>188</v>
      </c>
      <c r="U417" s="39" t="n">
        <f aca="false">IF(R417="","",IF(F417="BUY",R417-S417,S417-R417))</f>
        <v>0.0699999999999363</v>
      </c>
      <c r="V417" s="39" t="n">
        <f aca="false">IF(F417="BUY",S417-J417,J417-S417)</f>
        <v>-6.13000000000011</v>
      </c>
      <c r="W417" s="6" t="n">
        <v>-36.78</v>
      </c>
      <c r="X417" s="26" t="n">
        <f aca="false">IFERROR(W417/N417,0)</f>
        <v>-1.02166666666667</v>
      </c>
      <c r="Y417" s="22" t="str">
        <f aca="false">IF(W417&gt;0,"Win",IF(W417&lt;0,"Loss","Flat"))</f>
        <v>Loss</v>
      </c>
      <c r="Z417" s="24" t="n">
        <f aca="false">Summary!$C$5+SUM(W$2:W417)</f>
        <v>4037.68</v>
      </c>
      <c r="AA417" s="24" t="n">
        <f aca="false">MAX(AA416,Z417)</f>
        <v>5000</v>
      </c>
      <c r="AB417" s="24" t="n">
        <f aca="false">AA417-Z417</f>
        <v>962.32</v>
      </c>
      <c r="AC417" s="23" t="n">
        <f aca="false">IFERROR(AB417/AA417,0)</f>
        <v>0.192464</v>
      </c>
      <c r="AD417" s="22" t="s">
        <v>654</v>
      </c>
    </row>
    <row r="418" customFormat="false" ht="15" hidden="false" customHeight="false" outlineLevel="0" collapsed="false">
      <c r="A418" s="22" t="n">
        <v>417</v>
      </c>
      <c r="B418" s="22" t="s">
        <v>132</v>
      </c>
      <c r="C418" s="37" t="n">
        <v>45022.6691898148</v>
      </c>
      <c r="D418" s="22" t="s">
        <v>205</v>
      </c>
      <c r="E418" s="22" t="n">
        <v>16</v>
      </c>
      <c r="F418" s="22" t="s">
        <v>182</v>
      </c>
      <c r="G418" s="22" t="s">
        <v>241</v>
      </c>
      <c r="H418" s="22" t="n">
        <v>0.06</v>
      </c>
      <c r="I418" s="38" t="n">
        <v>2010.43</v>
      </c>
      <c r="J418" s="38" t="n">
        <v>2010.43</v>
      </c>
      <c r="K418" s="39" t="n">
        <f aca="false">IF(F418="BUY",J418-I418,I418-J418)</f>
        <v>0</v>
      </c>
      <c r="L418" s="38" t="n">
        <v>2016.43</v>
      </c>
      <c r="M418" s="39" t="n">
        <f aca="false">ABS(I418-L418)</f>
        <v>6</v>
      </c>
      <c r="N418" s="24" t="n">
        <f aca="false">M418*H418*Summary!$C$6</f>
        <v>36</v>
      </c>
      <c r="O418" s="37" t="n">
        <v>45022.7319560185</v>
      </c>
      <c r="P418" s="22" t="n">
        <f aca="false">ROUND((O418-C418)*86400,0)</f>
        <v>5423</v>
      </c>
      <c r="Q418" s="22" t="str">
        <f aca="false">IF(P418&lt;10,"a) &lt;10s",IF(P418&lt;60,"b) 10-60s",IF(P418&lt;600,"c) 1-10min","d) &gt;10min")))</f>
        <v>d) &gt;10min</v>
      </c>
      <c r="R418" s="38" t="n">
        <v>2009.93</v>
      </c>
      <c r="S418" s="38" t="n">
        <v>2009.93</v>
      </c>
      <c r="T418" s="22" t="s">
        <v>189</v>
      </c>
      <c r="U418" s="39" t="n">
        <f aca="false">IF(R418="","",IF(F418="BUY",R418-S418,S418-R418))</f>
        <v>0</v>
      </c>
      <c r="V418" s="39" t="n">
        <f aca="false">IF(F418="BUY",S418-J418,J418-S418)</f>
        <v>0.5</v>
      </c>
      <c r="W418" s="6" t="n">
        <v>3</v>
      </c>
      <c r="X418" s="26" t="n">
        <f aca="false">IFERROR(W418/N418,0)</f>
        <v>0.0833333333333333</v>
      </c>
      <c r="Y418" s="22" t="str">
        <f aca="false">IF(W418&gt;0,"Win",IF(W418&lt;0,"Loss","Flat"))</f>
        <v>Win</v>
      </c>
      <c r="Z418" s="24" t="n">
        <f aca="false">Summary!$C$5+SUM(W$2:W418)</f>
        <v>4040.68</v>
      </c>
      <c r="AA418" s="24" t="n">
        <f aca="false">MAX(AA417,Z418)</f>
        <v>5000</v>
      </c>
      <c r="AB418" s="24" t="n">
        <f aca="false">AA418-Z418</f>
        <v>959.32</v>
      </c>
      <c r="AC418" s="23" t="n">
        <f aca="false">IFERROR(AB418/AA418,0)</f>
        <v>0.191864</v>
      </c>
      <c r="AD418" s="22" t="s">
        <v>655</v>
      </c>
    </row>
    <row r="419" customFormat="false" ht="15" hidden="false" customHeight="false" outlineLevel="0" collapsed="false">
      <c r="A419" s="22" t="n">
        <v>418</v>
      </c>
      <c r="B419" s="22" t="s">
        <v>132</v>
      </c>
      <c r="C419" s="37" t="n">
        <v>45026.3923842593</v>
      </c>
      <c r="D419" s="22" t="s">
        <v>202</v>
      </c>
      <c r="E419" s="22" t="n">
        <v>9</v>
      </c>
      <c r="F419" s="22" t="s">
        <v>181</v>
      </c>
      <c r="G419" s="22" t="s">
        <v>235</v>
      </c>
      <c r="H419" s="22" t="n">
        <v>0.06</v>
      </c>
      <c r="I419" s="38" t="n">
        <v>1995.11</v>
      </c>
      <c r="J419" s="38" t="n">
        <v>1995.11</v>
      </c>
      <c r="K419" s="39" t="n">
        <f aca="false">IF(F419="BUY",J419-I419,I419-J419)</f>
        <v>0</v>
      </c>
      <c r="L419" s="38" t="n">
        <v>1989.11</v>
      </c>
      <c r="M419" s="39" t="n">
        <f aca="false">ABS(I419-L419)</f>
        <v>6</v>
      </c>
      <c r="N419" s="24" t="n">
        <f aca="false">M419*H419*Summary!$C$6</f>
        <v>36</v>
      </c>
      <c r="O419" s="37" t="n">
        <v>45026.6599768519</v>
      </c>
      <c r="P419" s="22" t="n">
        <f aca="false">ROUND((O419-C419)*86400,0)</f>
        <v>23120</v>
      </c>
      <c r="Q419" s="22" t="str">
        <f aca="false">IF(P419&lt;10,"a) &lt;10s",IF(P419&lt;60,"b) 10-60s",IF(P419&lt;600,"c) 1-10min","d) &gt;10min")))</f>
        <v>d) &gt;10min</v>
      </c>
      <c r="R419" s="38" t="n">
        <v>1995.61</v>
      </c>
      <c r="S419" s="38" t="n">
        <v>1995.44</v>
      </c>
      <c r="T419" s="22" t="s">
        <v>189</v>
      </c>
      <c r="U419" s="39" t="n">
        <f aca="false">IF(R419="","",IF(F419="BUY",R419-S419,S419-R419))</f>
        <v>0.169999999999845</v>
      </c>
      <c r="V419" s="39" t="n">
        <f aca="false">IF(F419="BUY",S419-J419,J419-S419)</f>
        <v>0.330000000000155</v>
      </c>
      <c r="W419" s="6" t="n">
        <v>1.98</v>
      </c>
      <c r="X419" s="26" t="n">
        <f aca="false">IFERROR(W419/N419,0)</f>
        <v>0.055</v>
      </c>
      <c r="Y419" s="22" t="str">
        <f aca="false">IF(W419&gt;0,"Win",IF(W419&lt;0,"Loss","Flat"))</f>
        <v>Win</v>
      </c>
      <c r="Z419" s="24" t="n">
        <f aca="false">Summary!$C$5+SUM(W$2:W419)</f>
        <v>4042.66</v>
      </c>
      <c r="AA419" s="24" t="n">
        <f aca="false">MAX(AA418,Z419)</f>
        <v>5000</v>
      </c>
      <c r="AB419" s="24" t="n">
        <f aca="false">AA419-Z419</f>
        <v>957.34</v>
      </c>
      <c r="AC419" s="23" t="n">
        <f aca="false">IFERROR(AB419/AA419,0)</f>
        <v>0.191468</v>
      </c>
      <c r="AD419" s="22" t="s">
        <v>656</v>
      </c>
    </row>
    <row r="420" customFormat="false" ht="15" hidden="false" customHeight="false" outlineLevel="0" collapsed="false">
      <c r="A420" s="22" t="n">
        <v>419</v>
      </c>
      <c r="B420" s="22" t="s">
        <v>132</v>
      </c>
      <c r="C420" s="37" t="n">
        <v>45027.3893865741</v>
      </c>
      <c r="D420" s="22" t="s">
        <v>203</v>
      </c>
      <c r="E420" s="22" t="n">
        <v>9</v>
      </c>
      <c r="F420" s="22" t="s">
        <v>181</v>
      </c>
      <c r="G420" s="22" t="s">
        <v>235</v>
      </c>
      <c r="H420" s="22" t="n">
        <v>0.06</v>
      </c>
      <c r="I420" s="38" t="n">
        <v>2001.41</v>
      </c>
      <c r="J420" s="38" t="n">
        <v>2001.42</v>
      </c>
      <c r="K420" s="39" t="n">
        <f aca="false">IF(F420="BUY",J420-I420,I420-J420)</f>
        <v>0.00999999999999091</v>
      </c>
      <c r="L420" s="38" t="n">
        <v>1995.41</v>
      </c>
      <c r="M420" s="39" t="n">
        <f aca="false">ABS(I420-L420)</f>
        <v>6</v>
      </c>
      <c r="N420" s="24" t="n">
        <f aca="false">M420*H420*Summary!$C$6</f>
        <v>36</v>
      </c>
      <c r="O420" s="37" t="n">
        <v>45027.4581944444</v>
      </c>
      <c r="P420" s="22" t="n">
        <f aca="false">ROUND((O420-C420)*86400,0)</f>
        <v>5945</v>
      </c>
      <c r="Q420" s="22" t="str">
        <f aca="false">IF(P420&lt;10,"a) &lt;10s",IF(P420&lt;60,"b) 10-60s",IF(P420&lt;600,"c) 1-10min","d) &gt;10min")))</f>
        <v>d) &gt;10min</v>
      </c>
      <c r="R420" s="38" t="n">
        <v>2001.92</v>
      </c>
      <c r="S420" s="38" t="n">
        <v>2001.92</v>
      </c>
      <c r="T420" s="22" t="s">
        <v>189</v>
      </c>
      <c r="U420" s="39" t="n">
        <f aca="false">IF(R420="","",IF(F420="BUY",R420-S420,S420-R420))</f>
        <v>0</v>
      </c>
      <c r="V420" s="39" t="n">
        <f aca="false">IF(F420="BUY",S420-J420,J420-S420)</f>
        <v>0.5</v>
      </c>
      <c r="W420" s="6" t="n">
        <v>3</v>
      </c>
      <c r="X420" s="26" t="n">
        <f aca="false">IFERROR(W420/N420,0)</f>
        <v>0.0833333333333333</v>
      </c>
      <c r="Y420" s="22" t="str">
        <f aca="false">IF(W420&gt;0,"Win",IF(W420&lt;0,"Loss","Flat"))</f>
        <v>Win</v>
      </c>
      <c r="Z420" s="24" t="n">
        <f aca="false">Summary!$C$5+SUM(W$2:W420)</f>
        <v>4045.66</v>
      </c>
      <c r="AA420" s="24" t="n">
        <f aca="false">MAX(AA419,Z420)</f>
        <v>5000</v>
      </c>
      <c r="AB420" s="24" t="n">
        <f aca="false">AA420-Z420</f>
        <v>954.34</v>
      </c>
      <c r="AC420" s="23" t="n">
        <f aca="false">IFERROR(AB420/AA420,0)</f>
        <v>0.190868</v>
      </c>
      <c r="AD420" s="22" t="s">
        <v>657</v>
      </c>
    </row>
    <row r="421" customFormat="false" ht="15" hidden="false" customHeight="false" outlineLevel="0" collapsed="false">
      <c r="A421" s="22" t="n">
        <v>420</v>
      </c>
      <c r="B421" s="22" t="s">
        <v>132</v>
      </c>
      <c r="C421" s="37" t="n">
        <v>45027.4753935185</v>
      </c>
      <c r="D421" s="22" t="s">
        <v>203</v>
      </c>
      <c r="E421" s="22" t="n">
        <v>11</v>
      </c>
      <c r="F421" s="22" t="s">
        <v>181</v>
      </c>
      <c r="G421" s="22" t="s">
        <v>243</v>
      </c>
      <c r="H421" s="22" t="n">
        <v>0.06</v>
      </c>
      <c r="I421" s="38" t="n">
        <v>2006.36</v>
      </c>
      <c r="J421" s="38" t="n">
        <v>2006.37</v>
      </c>
      <c r="K421" s="39" t="n">
        <f aca="false">IF(F421="BUY",J421-I421,I421-J421)</f>
        <v>0.00999999999999091</v>
      </c>
      <c r="L421" s="38" t="n">
        <v>2000.36</v>
      </c>
      <c r="M421" s="39" t="n">
        <f aca="false">ABS(I421-L421)</f>
        <v>6</v>
      </c>
      <c r="N421" s="24" t="n">
        <f aca="false">M421*H421*Summary!$C$6</f>
        <v>36</v>
      </c>
      <c r="O421" s="37" t="n">
        <v>45027.6030671296</v>
      </c>
      <c r="P421" s="22" t="n">
        <f aca="false">ROUND((O421-C421)*86400,0)</f>
        <v>11031</v>
      </c>
      <c r="Q421" s="22" t="str">
        <f aca="false">IF(P421&lt;10,"a) &lt;10s",IF(P421&lt;60,"b) 10-60s",IF(P421&lt;600,"c) 1-10min","d) &gt;10min")))</f>
        <v>d) &gt;10min</v>
      </c>
      <c r="R421" s="38" t="n">
        <v>2000.36</v>
      </c>
      <c r="S421" s="38" t="n">
        <v>2000.3</v>
      </c>
      <c r="T421" s="22" t="s">
        <v>188</v>
      </c>
      <c r="U421" s="39" t="n">
        <f aca="false">IF(R421="","",IF(F421="BUY",R421-S421,S421-R421))</f>
        <v>0.0599999999999454</v>
      </c>
      <c r="V421" s="39" t="n">
        <f aca="false">IF(F421="BUY",S421-J421,J421-S421)</f>
        <v>-6.06999999999994</v>
      </c>
      <c r="W421" s="6" t="n">
        <v>-36.42</v>
      </c>
      <c r="X421" s="26" t="n">
        <f aca="false">IFERROR(W421/N421,0)</f>
        <v>-1.01166666666667</v>
      </c>
      <c r="Y421" s="22" t="str">
        <f aca="false">IF(W421&gt;0,"Win",IF(W421&lt;0,"Loss","Flat"))</f>
        <v>Loss</v>
      </c>
      <c r="Z421" s="24" t="n">
        <f aca="false">Summary!$C$5+SUM(W$2:W421)</f>
        <v>4009.24</v>
      </c>
      <c r="AA421" s="24" t="n">
        <f aca="false">MAX(AA420,Z421)</f>
        <v>5000</v>
      </c>
      <c r="AB421" s="24" t="n">
        <f aca="false">AA421-Z421</f>
        <v>990.76</v>
      </c>
      <c r="AC421" s="23" t="n">
        <f aca="false">IFERROR(AB421/AA421,0)</f>
        <v>0.198152</v>
      </c>
      <c r="AD421" s="22" t="s">
        <v>658</v>
      </c>
    </row>
    <row r="422" customFormat="false" ht="15" hidden="false" customHeight="false" outlineLevel="0" collapsed="false">
      <c r="A422" s="22" t="n">
        <v>421</v>
      </c>
      <c r="B422" s="22" t="s">
        <v>132</v>
      </c>
      <c r="C422" s="37" t="n">
        <v>45028.1809143519</v>
      </c>
      <c r="D422" s="22" t="s">
        <v>204</v>
      </c>
      <c r="E422" s="22" t="n">
        <v>4</v>
      </c>
      <c r="F422" s="22" t="s">
        <v>181</v>
      </c>
      <c r="G422" s="22" t="s">
        <v>243</v>
      </c>
      <c r="H422" s="22" t="n">
        <v>0.06</v>
      </c>
      <c r="I422" s="38" t="n">
        <v>2007.35</v>
      </c>
      <c r="J422" s="38" t="n">
        <v>2008.51</v>
      </c>
      <c r="K422" s="39" t="n">
        <f aca="false">IF(F422="BUY",J422-I422,I422-J422)</f>
        <v>1.16000000000008</v>
      </c>
      <c r="L422" s="38" t="n">
        <v>2001.35</v>
      </c>
      <c r="M422" s="39" t="n">
        <f aca="false">ABS(I422-L422)</f>
        <v>6</v>
      </c>
      <c r="N422" s="24" t="n">
        <f aca="false">M422*H422*Summary!$C$6</f>
        <v>36</v>
      </c>
      <c r="O422" s="37" t="n">
        <v>45028.4984953704</v>
      </c>
      <c r="P422" s="22" t="n">
        <f aca="false">ROUND((O422-C422)*86400,0)</f>
        <v>27439</v>
      </c>
      <c r="Q422" s="22" t="str">
        <f aca="false">IF(P422&lt;10,"a) &lt;10s",IF(P422&lt;60,"b) 10-60s",IF(P422&lt;600,"c) 1-10min","d) &gt;10min")))</f>
        <v>d) &gt;10min</v>
      </c>
      <c r="R422" s="38" t="n">
        <v>2009.01</v>
      </c>
      <c r="S422" s="38" t="n">
        <v>2008.99</v>
      </c>
      <c r="T422" s="22" t="s">
        <v>189</v>
      </c>
      <c r="U422" s="39" t="n">
        <f aca="false">IF(R422="","",IF(F422="BUY",R422-S422,S422-R422))</f>
        <v>0.0199999999999818</v>
      </c>
      <c r="V422" s="39" t="n">
        <f aca="false">IF(F422="BUY",S422-J422,J422-S422)</f>
        <v>0.480000000000018</v>
      </c>
      <c r="W422" s="6" t="n">
        <v>2.88</v>
      </c>
      <c r="X422" s="26" t="n">
        <f aca="false">IFERROR(W422/N422,0)</f>
        <v>0.08</v>
      </c>
      <c r="Y422" s="22" t="str">
        <f aca="false">IF(W422&gt;0,"Win",IF(W422&lt;0,"Loss","Flat"))</f>
        <v>Win</v>
      </c>
      <c r="Z422" s="24" t="n">
        <f aca="false">Summary!$C$5+SUM(W$2:W422)</f>
        <v>4012.12</v>
      </c>
      <c r="AA422" s="24" t="n">
        <f aca="false">MAX(AA421,Z422)</f>
        <v>5000</v>
      </c>
      <c r="AB422" s="24" t="n">
        <f aca="false">AA422-Z422</f>
        <v>987.88</v>
      </c>
      <c r="AC422" s="23" t="n">
        <f aca="false">IFERROR(AB422/AA422,0)</f>
        <v>0.197576</v>
      </c>
      <c r="AD422" s="22" t="s">
        <v>659</v>
      </c>
    </row>
    <row r="423" customFormat="false" ht="15" hidden="false" customHeight="false" outlineLevel="0" collapsed="false">
      <c r="A423" s="22" t="n">
        <v>422</v>
      </c>
      <c r="B423" s="22" t="s">
        <v>132</v>
      </c>
      <c r="C423" s="37" t="n">
        <v>45028.6460532407</v>
      </c>
      <c r="D423" s="22" t="s">
        <v>204</v>
      </c>
      <c r="E423" s="22" t="n">
        <v>15</v>
      </c>
      <c r="F423" s="22" t="s">
        <v>181</v>
      </c>
      <c r="G423" s="22" t="s">
        <v>235</v>
      </c>
      <c r="H423" s="22" t="n">
        <v>0.06</v>
      </c>
      <c r="I423" s="38" t="n">
        <v>2020.98</v>
      </c>
      <c r="J423" s="38" t="n">
        <v>2021.1</v>
      </c>
      <c r="K423" s="39" t="n">
        <f aca="false">IF(F423="BUY",J423-I423,I423-J423)</f>
        <v>0.119999999999891</v>
      </c>
      <c r="L423" s="38" t="n">
        <v>2014.98</v>
      </c>
      <c r="M423" s="39" t="n">
        <f aca="false">ABS(I423-L423)</f>
        <v>6</v>
      </c>
      <c r="N423" s="24" t="n">
        <f aca="false">M423*H423*Summary!$C$6</f>
        <v>36</v>
      </c>
      <c r="O423" s="37" t="n">
        <v>45028.6481944445</v>
      </c>
      <c r="P423" s="22" t="n">
        <f aca="false">ROUND((O423-C423)*86400,0)</f>
        <v>185</v>
      </c>
      <c r="Q423" s="22" t="str">
        <f aca="false">IF(P423&lt;10,"a) &lt;10s",IF(P423&lt;60,"b) 10-60s",IF(P423&lt;600,"c) 1-10min","d) &gt;10min")))</f>
        <v>c) 1-10min</v>
      </c>
      <c r="R423" s="38" t="n">
        <v>2021.6</v>
      </c>
      <c r="S423" s="38" t="n">
        <v>2021.49</v>
      </c>
      <c r="T423" s="22" t="s">
        <v>189</v>
      </c>
      <c r="U423" s="39" t="n">
        <f aca="false">IF(R423="","",IF(F423="BUY",R423-S423,S423-R423))</f>
        <v>0.1099999999999</v>
      </c>
      <c r="V423" s="39" t="n">
        <f aca="false">IF(F423="BUY",S423-J423,J423-S423)</f>
        <v>0.3900000000001</v>
      </c>
      <c r="W423" s="6" t="n">
        <v>2.34</v>
      </c>
      <c r="X423" s="26" t="n">
        <f aca="false">IFERROR(W423/N423,0)</f>
        <v>0.065</v>
      </c>
      <c r="Y423" s="22" t="str">
        <f aca="false">IF(W423&gt;0,"Win",IF(W423&lt;0,"Loss","Flat"))</f>
        <v>Win</v>
      </c>
      <c r="Z423" s="24" t="n">
        <f aca="false">Summary!$C$5+SUM(W$2:W423)</f>
        <v>4014.46</v>
      </c>
      <c r="AA423" s="24" t="n">
        <f aca="false">MAX(AA422,Z423)</f>
        <v>5000</v>
      </c>
      <c r="AB423" s="24" t="n">
        <f aca="false">AA423-Z423</f>
        <v>985.54</v>
      </c>
      <c r="AC423" s="23" t="n">
        <f aca="false">IFERROR(AB423/AA423,0)</f>
        <v>0.197108</v>
      </c>
      <c r="AD423" s="22" t="s">
        <v>660</v>
      </c>
    </row>
    <row r="424" customFormat="false" ht="15" hidden="false" customHeight="false" outlineLevel="0" collapsed="false">
      <c r="A424" s="22" t="n">
        <v>423</v>
      </c>
      <c r="B424" s="22" t="s">
        <v>132</v>
      </c>
      <c r="C424" s="37" t="n">
        <v>45029.3921412037</v>
      </c>
      <c r="D424" s="22" t="s">
        <v>205</v>
      </c>
      <c r="E424" s="22" t="n">
        <v>9</v>
      </c>
      <c r="F424" s="22" t="s">
        <v>181</v>
      </c>
      <c r="G424" s="22" t="s">
        <v>235</v>
      </c>
      <c r="H424" s="22" t="n">
        <v>0.06</v>
      </c>
      <c r="I424" s="38" t="n">
        <v>2019.4</v>
      </c>
      <c r="J424" s="38" t="n">
        <v>2019.47</v>
      </c>
      <c r="K424" s="39" t="n">
        <f aca="false">IF(F424="BUY",J424-I424,I424-J424)</f>
        <v>0.0699999999999363</v>
      </c>
      <c r="L424" s="38" t="n">
        <v>2013.4</v>
      </c>
      <c r="M424" s="39" t="n">
        <f aca="false">ABS(I424-L424)</f>
        <v>6</v>
      </c>
      <c r="N424" s="24" t="n">
        <f aca="false">M424*H424*Summary!$C$6</f>
        <v>36</v>
      </c>
      <c r="O424" s="37" t="n">
        <v>45029.410474537</v>
      </c>
      <c r="P424" s="22" t="n">
        <f aca="false">ROUND((O424-C424)*86400,0)</f>
        <v>1584</v>
      </c>
      <c r="Q424" s="22" t="str">
        <f aca="false">IF(P424&lt;10,"a) &lt;10s",IF(P424&lt;60,"b) 10-60s",IF(P424&lt;600,"c) 1-10min","d) &gt;10min")))</f>
        <v>d) &gt;10min</v>
      </c>
      <c r="R424" s="38" t="n">
        <v>2019.97</v>
      </c>
      <c r="S424" s="38" t="n">
        <v>2019.96</v>
      </c>
      <c r="T424" s="22" t="s">
        <v>189</v>
      </c>
      <c r="U424" s="39" t="n">
        <f aca="false">IF(R424="","",IF(F424="BUY",R424-S424,S424-R424))</f>
        <v>0.00999999999999091</v>
      </c>
      <c r="V424" s="39" t="n">
        <f aca="false">IF(F424="BUY",S424-J424,J424-S424)</f>
        <v>0.490000000000009</v>
      </c>
      <c r="W424" s="6" t="n">
        <v>2.94</v>
      </c>
      <c r="X424" s="26" t="n">
        <f aca="false">IFERROR(W424/N424,0)</f>
        <v>0.0816666666666667</v>
      </c>
      <c r="Y424" s="22" t="str">
        <f aca="false">IF(W424&gt;0,"Win",IF(W424&lt;0,"Loss","Flat"))</f>
        <v>Win</v>
      </c>
      <c r="Z424" s="24" t="n">
        <f aca="false">Summary!$C$5+SUM(W$2:W424)</f>
        <v>4017.4</v>
      </c>
      <c r="AA424" s="24" t="n">
        <f aca="false">MAX(AA423,Z424)</f>
        <v>5000</v>
      </c>
      <c r="AB424" s="24" t="n">
        <f aca="false">AA424-Z424</f>
        <v>982.6</v>
      </c>
      <c r="AC424" s="23" t="n">
        <f aca="false">IFERROR(AB424/AA424,0)</f>
        <v>0.19652</v>
      </c>
      <c r="AD424" s="22" t="s">
        <v>661</v>
      </c>
    </row>
    <row r="425" customFormat="false" ht="15" hidden="false" customHeight="false" outlineLevel="0" collapsed="false">
      <c r="A425" s="22" t="n">
        <v>424</v>
      </c>
      <c r="B425" s="22" t="s">
        <v>132</v>
      </c>
      <c r="C425" s="37" t="n">
        <v>45029.4719212963</v>
      </c>
      <c r="D425" s="22" t="s">
        <v>205</v>
      </c>
      <c r="E425" s="22" t="n">
        <v>11</v>
      </c>
      <c r="F425" s="22" t="s">
        <v>181</v>
      </c>
      <c r="G425" s="22" t="s">
        <v>243</v>
      </c>
      <c r="H425" s="22" t="n">
        <v>0.06</v>
      </c>
      <c r="I425" s="38" t="n">
        <v>2028.24</v>
      </c>
      <c r="J425" s="38" t="n">
        <v>2028.24</v>
      </c>
      <c r="K425" s="39" t="n">
        <f aca="false">IF(F425="BUY",J425-I425,I425-J425)</f>
        <v>0</v>
      </c>
      <c r="L425" s="38" t="n">
        <v>2022.24</v>
      </c>
      <c r="M425" s="39" t="n">
        <f aca="false">ABS(I425-L425)</f>
        <v>6</v>
      </c>
      <c r="N425" s="24" t="n">
        <f aca="false">M425*H425*Summary!$C$6</f>
        <v>36</v>
      </c>
      <c r="O425" s="37" t="n">
        <v>45029.6462384259</v>
      </c>
      <c r="P425" s="22" t="n">
        <f aca="false">ROUND((O425-C425)*86400,0)</f>
        <v>15061</v>
      </c>
      <c r="Q425" s="22" t="str">
        <f aca="false">IF(P425&lt;10,"a) &lt;10s",IF(P425&lt;60,"b) 10-60s",IF(P425&lt;600,"c) 1-10min","d) &gt;10min")))</f>
        <v>d) &gt;10min</v>
      </c>
      <c r="R425" s="38" t="n">
        <v>2028.74</v>
      </c>
      <c r="S425" s="38" t="n">
        <v>2028.57</v>
      </c>
      <c r="T425" s="22" t="s">
        <v>189</v>
      </c>
      <c r="U425" s="39" t="n">
        <f aca="false">IF(R425="","",IF(F425="BUY",R425-S425,S425-R425))</f>
        <v>0.170000000000073</v>
      </c>
      <c r="V425" s="39" t="n">
        <f aca="false">IF(F425="BUY",S425-J425,J425-S425)</f>
        <v>0.329999999999927</v>
      </c>
      <c r="W425" s="6" t="n">
        <v>1.98</v>
      </c>
      <c r="X425" s="26" t="n">
        <f aca="false">IFERROR(W425/N425,0)</f>
        <v>0.055</v>
      </c>
      <c r="Y425" s="22" t="str">
        <f aca="false">IF(W425&gt;0,"Win",IF(W425&lt;0,"Loss","Flat"))</f>
        <v>Win</v>
      </c>
      <c r="Z425" s="24" t="n">
        <f aca="false">Summary!$C$5+SUM(W$2:W425)</f>
        <v>4019.38</v>
      </c>
      <c r="AA425" s="24" t="n">
        <f aca="false">MAX(AA424,Z425)</f>
        <v>5000</v>
      </c>
      <c r="AB425" s="24" t="n">
        <f aca="false">AA425-Z425</f>
        <v>980.62</v>
      </c>
      <c r="AC425" s="23" t="n">
        <f aca="false">IFERROR(AB425/AA425,0)</f>
        <v>0.196124</v>
      </c>
      <c r="AD425" s="22" t="s">
        <v>662</v>
      </c>
    </row>
    <row r="426" customFormat="false" ht="15" hidden="false" customHeight="false" outlineLevel="0" collapsed="false">
      <c r="A426" s="22" t="n">
        <v>425</v>
      </c>
      <c r="B426" s="22" t="s">
        <v>132</v>
      </c>
      <c r="C426" s="37" t="n">
        <v>45030.4204976852</v>
      </c>
      <c r="D426" s="22" t="s">
        <v>206</v>
      </c>
      <c r="E426" s="22" t="n">
        <v>10</v>
      </c>
      <c r="F426" s="22" t="s">
        <v>182</v>
      </c>
      <c r="G426" s="22" t="s">
        <v>241</v>
      </c>
      <c r="H426" s="22" t="n">
        <v>0.06</v>
      </c>
      <c r="I426" s="38" t="n">
        <v>2039.52</v>
      </c>
      <c r="J426" s="38" t="n">
        <v>2039.08</v>
      </c>
      <c r="K426" s="39" t="n">
        <f aca="false">IF(F426="BUY",J426-I426,I426-J426)</f>
        <v>0.440000000000055</v>
      </c>
      <c r="L426" s="38" t="n">
        <v>2045.52</v>
      </c>
      <c r="M426" s="39" t="n">
        <f aca="false">ABS(I426-L426)</f>
        <v>6</v>
      </c>
      <c r="N426" s="24" t="n">
        <f aca="false">M426*H426*Summary!$C$6</f>
        <v>36</v>
      </c>
      <c r="O426" s="37" t="n">
        <v>45030.4531365741</v>
      </c>
      <c r="P426" s="22" t="n">
        <f aca="false">ROUND((O426-C426)*86400,0)</f>
        <v>2820</v>
      </c>
      <c r="Q426" s="22" t="str">
        <f aca="false">IF(P426&lt;10,"a) &lt;10s",IF(P426&lt;60,"b) 10-60s",IF(P426&lt;600,"c) 1-10min","d) &gt;10min")))</f>
        <v>d) &gt;10min</v>
      </c>
      <c r="R426" s="38" t="n">
        <v>2038.58</v>
      </c>
      <c r="S426" s="38" t="n">
        <v>2038.65</v>
      </c>
      <c r="T426" s="22" t="s">
        <v>189</v>
      </c>
      <c r="U426" s="39" t="n">
        <f aca="false">IF(R426="","",IF(F426="BUY",R426-S426,S426-R426))</f>
        <v>0.0700000000001637</v>
      </c>
      <c r="V426" s="39" t="n">
        <f aca="false">IF(F426="BUY",S426-J426,J426-S426)</f>
        <v>0.429999999999836</v>
      </c>
      <c r="W426" s="6" t="n">
        <v>2.58</v>
      </c>
      <c r="X426" s="26" t="n">
        <f aca="false">IFERROR(W426/N426,0)</f>
        <v>0.0716666666666667</v>
      </c>
      <c r="Y426" s="22" t="str">
        <f aca="false">IF(W426&gt;0,"Win",IF(W426&lt;0,"Loss","Flat"))</f>
        <v>Win</v>
      </c>
      <c r="Z426" s="24" t="n">
        <f aca="false">Summary!$C$5+SUM(W$2:W426)</f>
        <v>4021.96</v>
      </c>
      <c r="AA426" s="24" t="n">
        <f aca="false">MAX(AA425,Z426)</f>
        <v>5000</v>
      </c>
      <c r="AB426" s="24" t="n">
        <f aca="false">AA426-Z426</f>
        <v>978.04</v>
      </c>
      <c r="AC426" s="23" t="n">
        <f aca="false">IFERROR(AB426/AA426,0)</f>
        <v>0.195608</v>
      </c>
      <c r="AD426" s="22" t="s">
        <v>663</v>
      </c>
    </row>
    <row r="427" customFormat="false" ht="15" hidden="false" customHeight="false" outlineLevel="0" collapsed="false">
      <c r="A427" s="22" t="n">
        <v>426</v>
      </c>
      <c r="B427" s="22" t="s">
        <v>132</v>
      </c>
      <c r="C427" s="37" t="n">
        <v>45030.7139583333</v>
      </c>
      <c r="D427" s="22" t="s">
        <v>206</v>
      </c>
      <c r="E427" s="22" t="n">
        <v>17</v>
      </c>
      <c r="F427" s="22" t="s">
        <v>182</v>
      </c>
      <c r="G427" s="22" t="s">
        <v>237</v>
      </c>
      <c r="H427" s="22" t="n">
        <v>0.06</v>
      </c>
      <c r="I427" s="38" t="n">
        <v>2013.52</v>
      </c>
      <c r="J427" s="38" t="n">
        <v>2013.52</v>
      </c>
      <c r="K427" s="39" t="n">
        <f aca="false">IF(F427="BUY",J427-I427,I427-J427)</f>
        <v>0</v>
      </c>
      <c r="L427" s="38" t="n">
        <v>2019.52</v>
      </c>
      <c r="M427" s="39" t="n">
        <f aca="false">ABS(I427-L427)</f>
        <v>6</v>
      </c>
      <c r="N427" s="24" t="n">
        <f aca="false">M427*H427*Summary!$C$6</f>
        <v>36</v>
      </c>
      <c r="O427" s="37" t="n">
        <v>45030.9270949074</v>
      </c>
      <c r="P427" s="22" t="n">
        <f aca="false">ROUND((O427-C427)*86400,0)</f>
        <v>18415</v>
      </c>
      <c r="Q427" s="22" t="str">
        <f aca="false">IF(P427&lt;10,"a) &lt;10s",IF(P427&lt;60,"b) 10-60s",IF(P427&lt;600,"c) 1-10min","d) &gt;10min")))</f>
        <v>d) &gt;10min</v>
      </c>
      <c r="R427" s="38"/>
      <c r="S427" s="38" t="n">
        <v>2005.99</v>
      </c>
      <c r="T427" s="22" t="s">
        <v>191</v>
      </c>
      <c r="U427" s="39" t="str">
        <f aca="false">IF(R427="","",IF(F427="BUY",R427-S427,S427-R427))</f>
        <v/>
      </c>
      <c r="V427" s="39" t="n">
        <f aca="false">IF(F427="BUY",S427-J427,J427-S427)</f>
        <v>7.52999999999997</v>
      </c>
      <c r="W427" s="6" t="n">
        <v>45.18</v>
      </c>
      <c r="X427" s="26" t="n">
        <f aca="false">IFERROR(W427/N427,0)</f>
        <v>1.255</v>
      </c>
      <c r="Y427" s="22" t="str">
        <f aca="false">IF(W427&gt;0,"Win",IF(W427&lt;0,"Loss","Flat"))</f>
        <v>Win</v>
      </c>
      <c r="Z427" s="24" t="n">
        <f aca="false">Summary!$C$5+SUM(W$2:W427)</f>
        <v>4067.14</v>
      </c>
      <c r="AA427" s="24" t="n">
        <f aca="false">MAX(AA426,Z427)</f>
        <v>5000</v>
      </c>
      <c r="AB427" s="24" t="n">
        <f aca="false">AA427-Z427</f>
        <v>932.86</v>
      </c>
      <c r="AC427" s="23" t="n">
        <f aca="false">IFERROR(AB427/AA427,0)</f>
        <v>0.186572</v>
      </c>
      <c r="AD427" s="22" t="s">
        <v>664</v>
      </c>
    </row>
    <row r="428" customFormat="false" ht="15" hidden="false" customHeight="false" outlineLevel="0" collapsed="false">
      <c r="A428" s="22" t="n">
        <v>427</v>
      </c>
      <c r="B428" s="22" t="s">
        <v>132</v>
      </c>
      <c r="C428" s="37" t="n">
        <v>45033.378287037</v>
      </c>
      <c r="D428" s="22" t="s">
        <v>202</v>
      </c>
      <c r="E428" s="22" t="n">
        <v>9</v>
      </c>
      <c r="F428" s="22" t="s">
        <v>181</v>
      </c>
      <c r="G428" s="22" t="s">
        <v>235</v>
      </c>
      <c r="H428" s="22" t="n">
        <v>0.06</v>
      </c>
      <c r="I428" s="38" t="n">
        <v>2012.62</v>
      </c>
      <c r="J428" s="38" t="n">
        <v>2012.63</v>
      </c>
      <c r="K428" s="39" t="n">
        <f aca="false">IF(F428="BUY",J428-I428,I428-J428)</f>
        <v>0.0100000000002183</v>
      </c>
      <c r="L428" s="38" t="n">
        <v>2006.62</v>
      </c>
      <c r="M428" s="39" t="n">
        <f aca="false">ABS(I428-L428)</f>
        <v>6</v>
      </c>
      <c r="N428" s="24" t="n">
        <f aca="false">M428*H428*Summary!$C$6</f>
        <v>36</v>
      </c>
      <c r="O428" s="37" t="n">
        <v>45033.4279398148</v>
      </c>
      <c r="P428" s="22" t="n">
        <f aca="false">ROUND((O428-C428)*86400,0)</f>
        <v>4290</v>
      </c>
      <c r="Q428" s="22" t="str">
        <f aca="false">IF(P428&lt;10,"a) &lt;10s",IF(P428&lt;60,"b) 10-60s",IF(P428&lt;600,"c) 1-10min","d) &gt;10min")))</f>
        <v>d) &gt;10min</v>
      </c>
      <c r="R428" s="38" t="n">
        <v>2013.13</v>
      </c>
      <c r="S428" s="38" t="n">
        <v>2013.13</v>
      </c>
      <c r="T428" s="22" t="s">
        <v>189</v>
      </c>
      <c r="U428" s="39" t="n">
        <f aca="false">IF(R428="","",IF(F428="BUY",R428-S428,S428-R428))</f>
        <v>0</v>
      </c>
      <c r="V428" s="39" t="n">
        <f aca="false">IF(F428="BUY",S428-J428,J428-S428)</f>
        <v>0.5</v>
      </c>
      <c r="W428" s="6" t="n">
        <v>3</v>
      </c>
      <c r="X428" s="26" t="n">
        <f aca="false">IFERROR(W428/N428,0)</f>
        <v>0.0833333333333333</v>
      </c>
      <c r="Y428" s="22" t="str">
        <f aca="false">IF(W428&gt;0,"Win",IF(W428&lt;0,"Loss","Flat"))</f>
        <v>Win</v>
      </c>
      <c r="Z428" s="24" t="n">
        <f aca="false">Summary!$C$5+SUM(W$2:W428)</f>
        <v>4070.14</v>
      </c>
      <c r="AA428" s="24" t="n">
        <f aca="false">MAX(AA427,Z428)</f>
        <v>5000</v>
      </c>
      <c r="AB428" s="24" t="n">
        <f aca="false">AA428-Z428</f>
        <v>929.86</v>
      </c>
      <c r="AC428" s="23" t="n">
        <f aca="false">IFERROR(AB428/AA428,0)</f>
        <v>0.185972</v>
      </c>
      <c r="AD428" s="22" t="s">
        <v>665</v>
      </c>
    </row>
    <row r="429" customFormat="false" ht="15" hidden="false" customHeight="false" outlineLevel="0" collapsed="false">
      <c r="A429" s="22" t="n">
        <v>428</v>
      </c>
      <c r="B429" s="22" t="s">
        <v>132</v>
      </c>
      <c r="C429" s="37" t="n">
        <v>45033.6993402778</v>
      </c>
      <c r="D429" s="22" t="s">
        <v>202</v>
      </c>
      <c r="E429" s="22" t="n">
        <v>16</v>
      </c>
      <c r="F429" s="22" t="s">
        <v>182</v>
      </c>
      <c r="G429" s="22" t="s">
        <v>237</v>
      </c>
      <c r="H429" s="22" t="n">
        <v>0.06</v>
      </c>
      <c r="I429" s="38" t="n">
        <v>1992.29</v>
      </c>
      <c r="J429" s="38" t="n">
        <v>1992.26</v>
      </c>
      <c r="K429" s="39" t="n">
        <f aca="false">IF(F429="BUY",J429-I429,I429-J429)</f>
        <v>0.0299999999999727</v>
      </c>
      <c r="L429" s="38" t="n">
        <v>1998.29</v>
      </c>
      <c r="M429" s="39" t="n">
        <f aca="false">ABS(I429-L429)</f>
        <v>6</v>
      </c>
      <c r="N429" s="24" t="n">
        <f aca="false">M429*H429*Summary!$C$6</f>
        <v>36</v>
      </c>
      <c r="O429" s="37" t="n">
        <v>45033.7328587963</v>
      </c>
      <c r="P429" s="22" t="n">
        <f aca="false">ROUND((O429-C429)*86400,0)</f>
        <v>2896</v>
      </c>
      <c r="Q429" s="22" t="str">
        <f aca="false">IF(P429&lt;10,"a) &lt;10s",IF(P429&lt;60,"b) 10-60s",IF(P429&lt;600,"c) 1-10min","d) &gt;10min")))</f>
        <v>d) &gt;10min</v>
      </c>
      <c r="R429" s="38" t="n">
        <v>1991.76</v>
      </c>
      <c r="S429" s="38" t="n">
        <v>1991.76</v>
      </c>
      <c r="T429" s="22" t="s">
        <v>189</v>
      </c>
      <c r="U429" s="39" t="n">
        <f aca="false">IF(R429="","",IF(F429="BUY",R429-S429,S429-R429))</f>
        <v>0</v>
      </c>
      <c r="V429" s="39" t="n">
        <f aca="false">IF(F429="BUY",S429-J429,J429-S429)</f>
        <v>0.5</v>
      </c>
      <c r="W429" s="6" t="n">
        <v>3</v>
      </c>
      <c r="X429" s="26" t="n">
        <f aca="false">IFERROR(W429/N429,0)</f>
        <v>0.0833333333333333</v>
      </c>
      <c r="Y429" s="22" t="str">
        <f aca="false">IF(W429&gt;0,"Win",IF(W429&lt;0,"Loss","Flat"))</f>
        <v>Win</v>
      </c>
      <c r="Z429" s="24" t="n">
        <f aca="false">Summary!$C$5+SUM(W$2:W429)</f>
        <v>4073.14</v>
      </c>
      <c r="AA429" s="24" t="n">
        <f aca="false">MAX(AA428,Z429)</f>
        <v>5000</v>
      </c>
      <c r="AB429" s="24" t="n">
        <f aca="false">AA429-Z429</f>
        <v>926.86</v>
      </c>
      <c r="AC429" s="23" t="n">
        <f aca="false">IFERROR(AB429/AA429,0)</f>
        <v>0.185372</v>
      </c>
      <c r="AD429" s="22" t="s">
        <v>666</v>
      </c>
    </row>
    <row r="430" customFormat="false" ht="15" hidden="false" customHeight="false" outlineLevel="0" collapsed="false">
      <c r="A430" s="22" t="n">
        <v>429</v>
      </c>
      <c r="B430" s="22" t="s">
        <v>132</v>
      </c>
      <c r="C430" s="37" t="n">
        <v>45034.4332175926</v>
      </c>
      <c r="D430" s="22" t="s">
        <v>203</v>
      </c>
      <c r="E430" s="22" t="n">
        <v>10</v>
      </c>
      <c r="F430" s="22" t="s">
        <v>181</v>
      </c>
      <c r="G430" s="22" t="s">
        <v>235</v>
      </c>
      <c r="H430" s="22" t="n">
        <v>0.06</v>
      </c>
      <c r="I430" s="38" t="n">
        <v>2001.7</v>
      </c>
      <c r="J430" s="38" t="n">
        <v>2001.7</v>
      </c>
      <c r="K430" s="39" t="n">
        <f aca="false">IF(F430="BUY",J430-I430,I430-J430)</f>
        <v>0</v>
      </c>
      <c r="L430" s="38" t="n">
        <v>1995.7</v>
      </c>
      <c r="M430" s="39" t="n">
        <f aca="false">ABS(I430-L430)</f>
        <v>6</v>
      </c>
      <c r="N430" s="24" t="n">
        <f aca="false">M430*H430*Summary!$C$6</f>
        <v>36</v>
      </c>
      <c r="O430" s="37" t="n">
        <v>45034.4504976852</v>
      </c>
      <c r="P430" s="22" t="n">
        <f aca="false">ROUND((O430-C430)*86400,0)</f>
        <v>1493</v>
      </c>
      <c r="Q430" s="22" t="str">
        <f aca="false">IF(P430&lt;10,"a) &lt;10s",IF(P430&lt;60,"b) 10-60s",IF(P430&lt;600,"c) 1-10min","d) &gt;10min")))</f>
        <v>d) &gt;10min</v>
      </c>
      <c r="R430" s="38" t="n">
        <v>2002.2</v>
      </c>
      <c r="S430" s="38" t="n">
        <v>2002.09</v>
      </c>
      <c r="T430" s="22" t="s">
        <v>189</v>
      </c>
      <c r="U430" s="39" t="n">
        <f aca="false">IF(R430="","",IF(F430="BUY",R430-S430,S430-R430))</f>
        <v>0.110000000000127</v>
      </c>
      <c r="V430" s="39" t="n">
        <f aca="false">IF(F430="BUY",S430-J430,J430-S430)</f>
        <v>0.389999999999873</v>
      </c>
      <c r="W430" s="6" t="n">
        <v>2.34</v>
      </c>
      <c r="X430" s="26" t="n">
        <f aca="false">IFERROR(W430/N430,0)</f>
        <v>0.065</v>
      </c>
      <c r="Y430" s="22" t="str">
        <f aca="false">IF(W430&gt;0,"Win",IF(W430&lt;0,"Loss","Flat"))</f>
        <v>Win</v>
      </c>
      <c r="Z430" s="24" t="n">
        <f aca="false">Summary!$C$5+SUM(W$2:W430)</f>
        <v>4075.48</v>
      </c>
      <c r="AA430" s="24" t="n">
        <f aca="false">MAX(AA429,Z430)</f>
        <v>5000</v>
      </c>
      <c r="AB430" s="24" t="n">
        <f aca="false">AA430-Z430</f>
        <v>924.52</v>
      </c>
      <c r="AC430" s="23" t="n">
        <f aca="false">IFERROR(AB430/AA430,0)</f>
        <v>0.184904</v>
      </c>
      <c r="AD430" s="22" t="s">
        <v>667</v>
      </c>
    </row>
    <row r="431" customFormat="false" ht="15" hidden="false" customHeight="false" outlineLevel="0" collapsed="false">
      <c r="A431" s="22" t="n">
        <v>430</v>
      </c>
      <c r="B431" s="22" t="s">
        <v>132</v>
      </c>
      <c r="C431" s="37" t="n">
        <v>45035.3806944444</v>
      </c>
      <c r="D431" s="22" t="s">
        <v>204</v>
      </c>
      <c r="E431" s="22" t="n">
        <v>9</v>
      </c>
      <c r="F431" s="22" t="s">
        <v>182</v>
      </c>
      <c r="G431" s="22" t="s">
        <v>241</v>
      </c>
      <c r="H431" s="22" t="n">
        <v>0.06</v>
      </c>
      <c r="I431" s="38" t="n">
        <v>1999.22</v>
      </c>
      <c r="J431" s="38" t="n">
        <v>1999.2</v>
      </c>
      <c r="K431" s="39" t="n">
        <f aca="false">IF(F431="BUY",J431-I431,I431-J431)</f>
        <v>0.0199999999999818</v>
      </c>
      <c r="L431" s="38" t="n">
        <v>2005.22</v>
      </c>
      <c r="M431" s="39" t="n">
        <f aca="false">ABS(I431-L431)</f>
        <v>6</v>
      </c>
      <c r="N431" s="24" t="n">
        <f aca="false">M431*H431*Summary!$C$6</f>
        <v>36</v>
      </c>
      <c r="O431" s="37" t="n">
        <v>45035.9270833333</v>
      </c>
      <c r="P431" s="22" t="n">
        <f aca="false">ROUND((O431-C431)*86400,0)</f>
        <v>47208</v>
      </c>
      <c r="Q431" s="22" t="str">
        <f aca="false">IF(P431&lt;10,"a) &lt;10s",IF(P431&lt;60,"b) 10-60s",IF(P431&lt;600,"c) 1-10min","d) &gt;10min")))</f>
        <v>d) &gt;10min</v>
      </c>
      <c r="R431" s="38"/>
      <c r="S431" s="38" t="n">
        <v>1996.19</v>
      </c>
      <c r="T431" s="22" t="s">
        <v>191</v>
      </c>
      <c r="U431" s="39" t="str">
        <f aca="false">IF(R431="","",IF(F431="BUY",R431-S431,S431-R431))</f>
        <v/>
      </c>
      <c r="V431" s="39" t="n">
        <f aca="false">IF(F431="BUY",S431-J431,J431-S431)</f>
        <v>3.00999999999999</v>
      </c>
      <c r="W431" s="6" t="n">
        <v>18.06</v>
      </c>
      <c r="X431" s="26" t="n">
        <f aca="false">IFERROR(W431/N431,0)</f>
        <v>0.501666666666667</v>
      </c>
      <c r="Y431" s="22" t="str">
        <f aca="false">IF(W431&gt;0,"Win",IF(W431&lt;0,"Loss","Flat"))</f>
        <v>Win</v>
      </c>
      <c r="Z431" s="24" t="n">
        <f aca="false">Summary!$C$5+SUM(W$2:W431)</f>
        <v>4093.54</v>
      </c>
      <c r="AA431" s="24" t="n">
        <f aca="false">MAX(AA430,Z431)</f>
        <v>5000</v>
      </c>
      <c r="AB431" s="24" t="n">
        <f aca="false">AA431-Z431</f>
        <v>906.46</v>
      </c>
      <c r="AC431" s="23" t="n">
        <f aca="false">IFERROR(AB431/AA431,0)</f>
        <v>0.181292</v>
      </c>
      <c r="AD431" s="22" t="s">
        <v>668</v>
      </c>
    </row>
    <row r="432" customFormat="false" ht="15" hidden="false" customHeight="false" outlineLevel="0" collapsed="false">
      <c r="A432" s="22" t="n">
        <v>431</v>
      </c>
      <c r="B432" s="22" t="s">
        <v>132</v>
      </c>
      <c r="C432" s="37" t="n">
        <v>45036.3752199074</v>
      </c>
      <c r="D432" s="22" t="s">
        <v>205</v>
      </c>
      <c r="E432" s="22" t="n">
        <v>9</v>
      </c>
      <c r="F432" s="22" t="s">
        <v>181</v>
      </c>
      <c r="G432" s="22" t="s">
        <v>235</v>
      </c>
      <c r="H432" s="22" t="n">
        <v>0.06</v>
      </c>
      <c r="I432" s="38" t="n">
        <v>1995.2</v>
      </c>
      <c r="J432" s="38" t="n">
        <v>1995.27</v>
      </c>
      <c r="K432" s="39" t="n">
        <f aca="false">IF(F432="BUY",J432-I432,I432-J432)</f>
        <v>0.0699999999999363</v>
      </c>
      <c r="L432" s="38" t="n">
        <v>1989.2</v>
      </c>
      <c r="M432" s="39" t="n">
        <f aca="false">ABS(I432-L432)</f>
        <v>6</v>
      </c>
      <c r="N432" s="24" t="n">
        <f aca="false">M432*H432*Summary!$C$6</f>
        <v>36</v>
      </c>
      <c r="O432" s="37" t="n">
        <v>45036.4448842593</v>
      </c>
      <c r="P432" s="22" t="n">
        <f aca="false">ROUND((O432-C432)*86400,0)</f>
        <v>6019</v>
      </c>
      <c r="Q432" s="22" t="str">
        <f aca="false">IF(P432&lt;10,"a) &lt;10s",IF(P432&lt;60,"b) 10-60s",IF(P432&lt;600,"c) 1-10min","d) &gt;10min")))</f>
        <v>d) &gt;10min</v>
      </c>
      <c r="R432" s="38" t="n">
        <v>1995.77</v>
      </c>
      <c r="S432" s="38" t="n">
        <v>1995.66</v>
      </c>
      <c r="T432" s="22" t="s">
        <v>189</v>
      </c>
      <c r="U432" s="39" t="n">
        <f aca="false">IF(R432="","",IF(F432="BUY",R432-S432,S432-R432))</f>
        <v>0.1099999999999</v>
      </c>
      <c r="V432" s="39" t="n">
        <f aca="false">IF(F432="BUY",S432-J432,J432-S432)</f>
        <v>0.3900000000001</v>
      </c>
      <c r="W432" s="6" t="n">
        <v>2.34</v>
      </c>
      <c r="X432" s="26" t="n">
        <f aca="false">IFERROR(W432/N432,0)</f>
        <v>0.065</v>
      </c>
      <c r="Y432" s="22" t="str">
        <f aca="false">IF(W432&gt;0,"Win",IF(W432&lt;0,"Loss","Flat"))</f>
        <v>Win</v>
      </c>
      <c r="Z432" s="24" t="n">
        <f aca="false">Summary!$C$5+SUM(W$2:W432)</f>
        <v>4095.88</v>
      </c>
      <c r="AA432" s="24" t="n">
        <f aca="false">MAX(AA431,Z432)</f>
        <v>5000</v>
      </c>
      <c r="AB432" s="24" t="n">
        <f aca="false">AA432-Z432</f>
        <v>904.12</v>
      </c>
      <c r="AC432" s="23" t="n">
        <f aca="false">IFERROR(AB432/AA432,0)</f>
        <v>0.180824</v>
      </c>
      <c r="AD432" s="22" t="s">
        <v>669</v>
      </c>
    </row>
    <row r="433" customFormat="false" ht="15" hidden="false" customHeight="false" outlineLevel="0" collapsed="false">
      <c r="A433" s="22" t="n">
        <v>432</v>
      </c>
      <c r="B433" s="22" t="s">
        <v>132</v>
      </c>
      <c r="C433" s="37" t="n">
        <v>45036.6470138889</v>
      </c>
      <c r="D433" s="22" t="s">
        <v>205</v>
      </c>
      <c r="E433" s="22" t="n">
        <v>15</v>
      </c>
      <c r="F433" s="22" t="s">
        <v>181</v>
      </c>
      <c r="G433" s="22" t="s">
        <v>243</v>
      </c>
      <c r="H433" s="22" t="n">
        <v>0.06</v>
      </c>
      <c r="I433" s="38" t="n">
        <v>2008.05</v>
      </c>
      <c r="J433" s="38" t="n">
        <v>2008.06</v>
      </c>
      <c r="K433" s="39" t="n">
        <f aca="false">IF(F433="BUY",J433-I433,I433-J433)</f>
        <v>0.00999999999999091</v>
      </c>
      <c r="L433" s="38" t="n">
        <v>2002.05</v>
      </c>
      <c r="M433" s="39" t="n">
        <f aca="false">ABS(I433-L433)</f>
        <v>6</v>
      </c>
      <c r="N433" s="24" t="n">
        <f aca="false">M433*H433*Summary!$C$6</f>
        <v>36</v>
      </c>
      <c r="O433" s="37" t="n">
        <v>45036.6480324074</v>
      </c>
      <c r="P433" s="22" t="n">
        <f aca="false">ROUND((O433-C433)*86400,0)</f>
        <v>88</v>
      </c>
      <c r="Q433" s="22" t="str">
        <f aca="false">IF(P433&lt;10,"a) &lt;10s",IF(P433&lt;60,"b) 10-60s",IF(P433&lt;600,"c) 1-10min","d) &gt;10min")))</f>
        <v>c) 1-10min</v>
      </c>
      <c r="R433" s="38" t="n">
        <v>2008.56</v>
      </c>
      <c r="S433" s="38" t="n">
        <v>2008.5</v>
      </c>
      <c r="T433" s="22" t="s">
        <v>189</v>
      </c>
      <c r="U433" s="39" t="n">
        <f aca="false">IF(R433="","",IF(F433="BUY",R433-S433,S433-R433))</f>
        <v>0.0599999999999454</v>
      </c>
      <c r="V433" s="39" t="n">
        <f aca="false">IF(F433="BUY",S433-J433,J433-S433)</f>
        <v>0.440000000000055</v>
      </c>
      <c r="W433" s="6" t="n">
        <v>2.64</v>
      </c>
      <c r="X433" s="26" t="n">
        <f aca="false">IFERROR(W433/N433,0)</f>
        <v>0.0733333333333333</v>
      </c>
      <c r="Y433" s="22" t="str">
        <f aca="false">IF(W433&gt;0,"Win",IF(W433&lt;0,"Loss","Flat"))</f>
        <v>Win</v>
      </c>
      <c r="Z433" s="24" t="n">
        <f aca="false">Summary!$C$5+SUM(W$2:W433)</f>
        <v>4098.52</v>
      </c>
      <c r="AA433" s="24" t="n">
        <f aca="false">MAX(AA432,Z433)</f>
        <v>5000</v>
      </c>
      <c r="AB433" s="24" t="n">
        <f aca="false">AA433-Z433</f>
        <v>901.48</v>
      </c>
      <c r="AC433" s="23" t="n">
        <f aca="false">IFERROR(AB433/AA433,0)</f>
        <v>0.180296</v>
      </c>
      <c r="AD433" s="22" t="s">
        <v>670</v>
      </c>
    </row>
    <row r="434" customFormat="false" ht="15" hidden="false" customHeight="false" outlineLevel="0" collapsed="false">
      <c r="A434" s="22" t="n">
        <v>433</v>
      </c>
      <c r="B434" s="22" t="s">
        <v>132</v>
      </c>
      <c r="C434" s="37" t="n">
        <v>45037.3940393519</v>
      </c>
      <c r="D434" s="22" t="s">
        <v>206</v>
      </c>
      <c r="E434" s="22" t="n">
        <v>9</v>
      </c>
      <c r="F434" s="22" t="s">
        <v>182</v>
      </c>
      <c r="G434" s="22" t="s">
        <v>241</v>
      </c>
      <c r="H434" s="22" t="n">
        <v>0.06</v>
      </c>
      <c r="I434" s="38" t="n">
        <v>1993.89</v>
      </c>
      <c r="J434" s="38" t="n">
        <v>1993.85</v>
      </c>
      <c r="K434" s="39" t="n">
        <f aca="false">IF(F434="BUY",J434-I434,I434-J434)</f>
        <v>0.040000000000191</v>
      </c>
      <c r="L434" s="38" t="n">
        <v>1999.89</v>
      </c>
      <c r="M434" s="39" t="n">
        <f aca="false">ABS(I434-L434)</f>
        <v>6</v>
      </c>
      <c r="N434" s="24" t="n">
        <f aca="false">M434*H434*Summary!$C$6</f>
        <v>36</v>
      </c>
      <c r="O434" s="37" t="n">
        <v>45037.6792939815</v>
      </c>
      <c r="P434" s="22" t="n">
        <f aca="false">ROUND((O434-C434)*86400,0)</f>
        <v>24646</v>
      </c>
      <c r="Q434" s="22" t="str">
        <f aca="false">IF(P434&lt;10,"a) &lt;10s",IF(P434&lt;60,"b) 10-60s",IF(P434&lt;600,"c) 1-10min","d) &gt;10min")))</f>
        <v>d) &gt;10min</v>
      </c>
      <c r="R434" s="38" t="n">
        <v>1993.35</v>
      </c>
      <c r="S434" s="38" t="n">
        <v>1993.37</v>
      </c>
      <c r="T434" s="22" t="s">
        <v>189</v>
      </c>
      <c r="U434" s="39" t="n">
        <f aca="false">IF(R434="","",IF(F434="BUY",R434-S434,S434-R434))</f>
        <v>0.0199999999999818</v>
      </c>
      <c r="V434" s="39" t="n">
        <f aca="false">IF(F434="BUY",S434-J434,J434-S434)</f>
        <v>0.480000000000018</v>
      </c>
      <c r="W434" s="6" t="n">
        <v>2.88</v>
      </c>
      <c r="X434" s="26" t="n">
        <f aca="false">IFERROR(W434/N434,0)</f>
        <v>0.08</v>
      </c>
      <c r="Y434" s="22" t="str">
        <f aca="false">IF(W434&gt;0,"Win",IF(W434&lt;0,"Loss","Flat"))</f>
        <v>Win</v>
      </c>
      <c r="Z434" s="24" t="n">
        <f aca="false">Summary!$C$5+SUM(W$2:W434)</f>
        <v>4101.4</v>
      </c>
      <c r="AA434" s="24" t="n">
        <f aca="false">MAX(AA433,Z434)</f>
        <v>5000</v>
      </c>
      <c r="AB434" s="24" t="n">
        <f aca="false">AA434-Z434</f>
        <v>898.6</v>
      </c>
      <c r="AC434" s="23" t="n">
        <f aca="false">IFERROR(AB434/AA434,0)</f>
        <v>0.17972</v>
      </c>
      <c r="AD434" s="22" t="s">
        <v>671</v>
      </c>
    </row>
    <row r="435" customFormat="false" ht="15" hidden="false" customHeight="false" outlineLevel="0" collapsed="false">
      <c r="A435" s="22" t="n">
        <v>434</v>
      </c>
      <c r="B435" s="22" t="s">
        <v>132</v>
      </c>
      <c r="C435" s="37" t="n">
        <v>45040.3809259259</v>
      </c>
      <c r="D435" s="22" t="s">
        <v>202</v>
      </c>
      <c r="E435" s="22" t="n">
        <v>9</v>
      </c>
      <c r="F435" s="22" t="s">
        <v>181</v>
      </c>
      <c r="G435" s="22" t="s">
        <v>235</v>
      </c>
      <c r="H435" s="22" t="n">
        <v>0.06</v>
      </c>
      <c r="I435" s="38" t="n">
        <v>1981.13</v>
      </c>
      <c r="J435" s="38" t="n">
        <v>1981.18</v>
      </c>
      <c r="K435" s="39" t="n">
        <f aca="false">IF(F435="BUY",J435-I435,I435-J435)</f>
        <v>0.0499999999999545</v>
      </c>
      <c r="L435" s="38" t="n">
        <v>1975.13</v>
      </c>
      <c r="M435" s="39" t="n">
        <f aca="false">ABS(I435-L435)</f>
        <v>6</v>
      </c>
      <c r="N435" s="24" t="n">
        <f aca="false">M435*H435*Summary!$C$6</f>
        <v>36</v>
      </c>
      <c r="O435" s="37" t="n">
        <v>45040.6322916667</v>
      </c>
      <c r="P435" s="22" t="n">
        <f aca="false">ROUND((O435-C435)*86400,0)</f>
        <v>21718</v>
      </c>
      <c r="Q435" s="22" t="str">
        <f aca="false">IF(P435&lt;10,"a) &lt;10s",IF(P435&lt;60,"b) 10-60s",IF(P435&lt;600,"c) 1-10min","d) &gt;10min")))</f>
        <v>d) &gt;10min</v>
      </c>
      <c r="R435" s="38" t="n">
        <v>1981.68</v>
      </c>
      <c r="S435" s="38" t="n">
        <v>1981.64</v>
      </c>
      <c r="T435" s="22" t="s">
        <v>189</v>
      </c>
      <c r="U435" s="39" t="n">
        <f aca="false">IF(R435="","",IF(F435="BUY",R435-S435,S435-R435))</f>
        <v>0.0399999999999636</v>
      </c>
      <c r="V435" s="39" t="n">
        <f aca="false">IF(F435="BUY",S435-J435,J435-S435)</f>
        <v>0.460000000000036</v>
      </c>
      <c r="W435" s="6" t="n">
        <v>2.76</v>
      </c>
      <c r="X435" s="26" t="n">
        <f aca="false">IFERROR(W435/N435,0)</f>
        <v>0.0766666666666667</v>
      </c>
      <c r="Y435" s="22" t="str">
        <f aca="false">IF(W435&gt;0,"Win",IF(W435&lt;0,"Loss","Flat"))</f>
        <v>Win</v>
      </c>
      <c r="Z435" s="24" t="n">
        <f aca="false">Summary!$C$5+SUM(W$2:W435)</f>
        <v>4104.16</v>
      </c>
      <c r="AA435" s="24" t="n">
        <f aca="false">MAX(AA434,Z435)</f>
        <v>5000</v>
      </c>
      <c r="AB435" s="24" t="n">
        <f aca="false">AA435-Z435</f>
        <v>895.84</v>
      </c>
      <c r="AC435" s="23" t="n">
        <f aca="false">IFERROR(AB435/AA435,0)</f>
        <v>0.179168</v>
      </c>
      <c r="AD435" s="22" t="s">
        <v>672</v>
      </c>
    </row>
    <row r="436" customFormat="false" ht="15" hidden="false" customHeight="false" outlineLevel="0" collapsed="false">
      <c r="A436" s="22" t="n">
        <v>435</v>
      </c>
      <c r="B436" s="22" t="s">
        <v>132</v>
      </c>
      <c r="C436" s="37" t="n">
        <v>45041.4462384259</v>
      </c>
      <c r="D436" s="22" t="s">
        <v>203</v>
      </c>
      <c r="E436" s="22" t="n">
        <v>10</v>
      </c>
      <c r="F436" s="22" t="s">
        <v>182</v>
      </c>
      <c r="G436" s="22" t="s">
        <v>241</v>
      </c>
      <c r="H436" s="22" t="n">
        <v>0.06</v>
      </c>
      <c r="I436" s="38" t="n">
        <v>1990.79</v>
      </c>
      <c r="J436" s="38" t="n">
        <v>1990.78</v>
      </c>
      <c r="K436" s="39" t="n">
        <f aca="false">IF(F436="BUY",J436-I436,I436-J436)</f>
        <v>0.00999999999999091</v>
      </c>
      <c r="L436" s="38" t="n">
        <v>1996.79</v>
      </c>
      <c r="M436" s="39" t="n">
        <f aca="false">ABS(I436-L436)</f>
        <v>6</v>
      </c>
      <c r="N436" s="24" t="n">
        <f aca="false">M436*H436*Summary!$C$6</f>
        <v>36</v>
      </c>
      <c r="O436" s="37" t="n">
        <v>45041.4504398148</v>
      </c>
      <c r="P436" s="22" t="n">
        <f aca="false">ROUND((O436-C436)*86400,0)</f>
        <v>363</v>
      </c>
      <c r="Q436" s="22" t="str">
        <f aca="false">IF(P436&lt;10,"a) &lt;10s",IF(P436&lt;60,"b) 10-60s",IF(P436&lt;600,"c) 1-10min","d) &gt;10min")))</f>
        <v>c) 1-10min</v>
      </c>
      <c r="R436" s="38" t="n">
        <v>1990.28</v>
      </c>
      <c r="S436" s="38" t="n">
        <v>1990.28</v>
      </c>
      <c r="T436" s="22" t="s">
        <v>189</v>
      </c>
      <c r="U436" s="39" t="n">
        <f aca="false">IF(R436="","",IF(F436="BUY",R436-S436,S436-R436))</f>
        <v>0</v>
      </c>
      <c r="V436" s="39" t="n">
        <f aca="false">IF(F436="BUY",S436-J436,J436-S436)</f>
        <v>0.5</v>
      </c>
      <c r="W436" s="6" t="n">
        <v>3</v>
      </c>
      <c r="X436" s="26" t="n">
        <f aca="false">IFERROR(W436/N436,0)</f>
        <v>0.0833333333333333</v>
      </c>
      <c r="Y436" s="22" t="str">
        <f aca="false">IF(W436&gt;0,"Win",IF(W436&lt;0,"Loss","Flat"))</f>
        <v>Win</v>
      </c>
      <c r="Z436" s="24" t="n">
        <f aca="false">Summary!$C$5+SUM(W$2:W436)</f>
        <v>4107.16</v>
      </c>
      <c r="AA436" s="24" t="n">
        <f aca="false">MAX(AA435,Z436)</f>
        <v>5000</v>
      </c>
      <c r="AB436" s="24" t="n">
        <f aca="false">AA436-Z436</f>
        <v>892.84</v>
      </c>
      <c r="AC436" s="23" t="n">
        <f aca="false">IFERROR(AB436/AA436,0)</f>
        <v>0.178568</v>
      </c>
      <c r="AD436" s="22" t="s">
        <v>673</v>
      </c>
    </row>
    <row r="437" customFormat="false" ht="15" hidden="false" customHeight="false" outlineLevel="0" collapsed="false">
      <c r="A437" s="22" t="n">
        <v>436</v>
      </c>
      <c r="B437" s="22" t="s">
        <v>132</v>
      </c>
      <c r="C437" s="37" t="n">
        <v>45042.3972222222</v>
      </c>
      <c r="D437" s="22" t="s">
        <v>204</v>
      </c>
      <c r="E437" s="22" t="n">
        <v>9</v>
      </c>
      <c r="F437" s="22" t="s">
        <v>181</v>
      </c>
      <c r="G437" s="22" t="s">
        <v>235</v>
      </c>
      <c r="H437" s="22" t="n">
        <v>0.06</v>
      </c>
      <c r="I437" s="38" t="n">
        <v>1997.98</v>
      </c>
      <c r="J437" s="38" t="n">
        <v>1998.03</v>
      </c>
      <c r="K437" s="39" t="n">
        <f aca="false">IF(F437="BUY",J437-I437,I437-J437)</f>
        <v>0.0499999999999545</v>
      </c>
      <c r="L437" s="38" t="n">
        <v>1991.98</v>
      </c>
      <c r="M437" s="39" t="n">
        <f aca="false">ABS(I437-L437)</f>
        <v>6</v>
      </c>
      <c r="N437" s="24" t="n">
        <f aca="false">M437*H437*Summary!$C$6</f>
        <v>36</v>
      </c>
      <c r="O437" s="37" t="n">
        <v>45042.5288194444</v>
      </c>
      <c r="P437" s="22" t="n">
        <f aca="false">ROUND((O437-C437)*86400,0)</f>
        <v>11370</v>
      </c>
      <c r="Q437" s="22" t="str">
        <f aca="false">IF(P437&lt;10,"a) &lt;10s",IF(P437&lt;60,"b) 10-60s",IF(P437&lt;600,"c) 1-10min","d) &gt;10min")))</f>
        <v>d) &gt;10min</v>
      </c>
      <c r="R437" s="38" t="n">
        <v>1998.53</v>
      </c>
      <c r="S437" s="38" t="n">
        <v>1998.5</v>
      </c>
      <c r="T437" s="22" t="s">
        <v>189</v>
      </c>
      <c r="U437" s="39" t="n">
        <f aca="false">IF(R437="","",IF(F437="BUY",R437-S437,S437-R437))</f>
        <v>0.0299999999999727</v>
      </c>
      <c r="V437" s="39" t="n">
        <f aca="false">IF(F437="BUY",S437-J437,J437-S437)</f>
        <v>0.470000000000027</v>
      </c>
      <c r="W437" s="6" t="n">
        <v>2.82</v>
      </c>
      <c r="X437" s="26" t="n">
        <f aca="false">IFERROR(W437/N437,0)</f>
        <v>0.0783333333333333</v>
      </c>
      <c r="Y437" s="22" t="str">
        <f aca="false">IF(W437&gt;0,"Win",IF(W437&lt;0,"Loss","Flat"))</f>
        <v>Win</v>
      </c>
      <c r="Z437" s="24" t="n">
        <f aca="false">Summary!$C$5+SUM(W$2:W437)</f>
        <v>4109.98</v>
      </c>
      <c r="AA437" s="24" t="n">
        <f aca="false">MAX(AA436,Z437)</f>
        <v>5000</v>
      </c>
      <c r="AB437" s="24" t="n">
        <f aca="false">AA437-Z437</f>
        <v>890.02</v>
      </c>
      <c r="AC437" s="23" t="n">
        <f aca="false">IFERROR(AB437/AA437,0)</f>
        <v>0.178004</v>
      </c>
      <c r="AD437" s="22" t="s">
        <v>674</v>
      </c>
    </row>
    <row r="438" customFormat="false" ht="15" hidden="false" customHeight="false" outlineLevel="0" collapsed="false">
      <c r="A438" s="22" t="n">
        <v>437</v>
      </c>
      <c r="B438" s="22" t="s">
        <v>132</v>
      </c>
      <c r="C438" s="37" t="n">
        <v>45042.6824537037</v>
      </c>
      <c r="D438" s="22" t="s">
        <v>204</v>
      </c>
      <c r="E438" s="22" t="n">
        <v>16</v>
      </c>
      <c r="F438" s="22" t="s">
        <v>181</v>
      </c>
      <c r="G438" s="22" t="s">
        <v>243</v>
      </c>
      <c r="H438" s="22" t="n">
        <v>0.06</v>
      </c>
      <c r="I438" s="38" t="n">
        <v>2003.8</v>
      </c>
      <c r="J438" s="38" t="n">
        <v>2003.95</v>
      </c>
      <c r="K438" s="39" t="n">
        <f aca="false">IF(F438="BUY",J438-I438,I438-J438)</f>
        <v>0.150000000000091</v>
      </c>
      <c r="L438" s="38" t="n">
        <v>1997.8</v>
      </c>
      <c r="M438" s="39" t="n">
        <f aca="false">ABS(I438-L438)</f>
        <v>6</v>
      </c>
      <c r="N438" s="24" t="n">
        <f aca="false">M438*H438*Summary!$C$6</f>
        <v>36</v>
      </c>
      <c r="O438" s="37" t="n">
        <v>45042.684537037</v>
      </c>
      <c r="P438" s="22" t="n">
        <f aca="false">ROUND((O438-C438)*86400,0)</f>
        <v>180</v>
      </c>
      <c r="Q438" s="22" t="str">
        <f aca="false">IF(P438&lt;10,"a) &lt;10s",IF(P438&lt;60,"b) 10-60s",IF(P438&lt;600,"c) 1-10min","d) &gt;10min")))</f>
        <v>c) 1-10min</v>
      </c>
      <c r="R438" s="38" t="n">
        <v>2004.45</v>
      </c>
      <c r="S438" s="38" t="n">
        <v>2004.45</v>
      </c>
      <c r="T438" s="22" t="s">
        <v>189</v>
      </c>
      <c r="U438" s="39" t="n">
        <f aca="false">IF(R438="","",IF(F438="BUY",R438-S438,S438-R438))</f>
        <v>0</v>
      </c>
      <c r="V438" s="39" t="n">
        <f aca="false">IF(F438="BUY",S438-J438,J438-S438)</f>
        <v>0.5</v>
      </c>
      <c r="W438" s="6" t="n">
        <v>3</v>
      </c>
      <c r="X438" s="26" t="n">
        <f aca="false">IFERROR(W438/N438,0)</f>
        <v>0.0833333333333333</v>
      </c>
      <c r="Y438" s="22" t="str">
        <f aca="false">IF(W438&gt;0,"Win",IF(W438&lt;0,"Loss","Flat"))</f>
        <v>Win</v>
      </c>
      <c r="Z438" s="24" t="n">
        <f aca="false">Summary!$C$5+SUM(W$2:W438)</f>
        <v>4112.98</v>
      </c>
      <c r="AA438" s="24" t="n">
        <f aca="false">MAX(AA437,Z438)</f>
        <v>5000</v>
      </c>
      <c r="AB438" s="24" t="n">
        <f aca="false">AA438-Z438</f>
        <v>887.02</v>
      </c>
      <c r="AC438" s="23" t="n">
        <f aca="false">IFERROR(AB438/AA438,0)</f>
        <v>0.177404</v>
      </c>
      <c r="AD438" s="22" t="s">
        <v>675</v>
      </c>
    </row>
    <row r="439" customFormat="false" ht="15" hidden="false" customHeight="false" outlineLevel="0" collapsed="false">
      <c r="A439" s="22" t="n">
        <v>438</v>
      </c>
      <c r="B439" s="22" t="s">
        <v>132</v>
      </c>
      <c r="C439" s="37" t="n">
        <v>45043.3762615741</v>
      </c>
      <c r="D439" s="22" t="s">
        <v>205</v>
      </c>
      <c r="E439" s="22" t="n">
        <v>9</v>
      </c>
      <c r="F439" s="22" t="s">
        <v>182</v>
      </c>
      <c r="G439" s="22" t="s">
        <v>241</v>
      </c>
      <c r="H439" s="22" t="n">
        <v>0.06</v>
      </c>
      <c r="I439" s="38" t="n">
        <v>1997.65</v>
      </c>
      <c r="J439" s="38" t="n">
        <v>1997.62</v>
      </c>
      <c r="K439" s="39" t="n">
        <f aca="false">IF(F439="BUY",J439-I439,I439-J439)</f>
        <v>0.0300000000002001</v>
      </c>
      <c r="L439" s="38" t="n">
        <v>2003.65</v>
      </c>
      <c r="M439" s="39" t="n">
        <f aca="false">ABS(I439-L439)</f>
        <v>6</v>
      </c>
      <c r="N439" s="24" t="n">
        <f aca="false">M439*H439*Summary!$C$6</f>
        <v>36</v>
      </c>
      <c r="O439" s="37" t="n">
        <v>45043.6459143519</v>
      </c>
      <c r="P439" s="22" t="n">
        <f aca="false">ROUND((O439-C439)*86400,0)</f>
        <v>23298</v>
      </c>
      <c r="Q439" s="22" t="str">
        <f aca="false">IF(P439&lt;10,"a) &lt;10s",IF(P439&lt;60,"b) 10-60s",IF(P439&lt;600,"c) 1-10min","d) &gt;10min")))</f>
        <v>d) &gt;10min</v>
      </c>
      <c r="R439" s="38" t="n">
        <v>1997.12</v>
      </c>
      <c r="S439" s="38" t="n">
        <v>1997.27</v>
      </c>
      <c r="T439" s="22" t="s">
        <v>189</v>
      </c>
      <c r="U439" s="39" t="n">
        <f aca="false">IF(R439="","",IF(F439="BUY",R439-S439,S439-R439))</f>
        <v>0.150000000000091</v>
      </c>
      <c r="V439" s="39" t="n">
        <f aca="false">IF(F439="BUY",S439-J439,J439-S439)</f>
        <v>0.349999999999909</v>
      </c>
      <c r="W439" s="6" t="n">
        <v>2.1</v>
      </c>
      <c r="X439" s="26" t="n">
        <f aca="false">IFERROR(W439/N439,0)</f>
        <v>0.0583333333333333</v>
      </c>
      <c r="Y439" s="22" t="str">
        <f aca="false">IF(W439&gt;0,"Win",IF(W439&lt;0,"Loss","Flat"))</f>
        <v>Win</v>
      </c>
      <c r="Z439" s="24" t="n">
        <f aca="false">Summary!$C$5+SUM(W$2:W439)</f>
        <v>4115.08</v>
      </c>
      <c r="AA439" s="24" t="n">
        <f aca="false">MAX(AA438,Z439)</f>
        <v>5000</v>
      </c>
      <c r="AB439" s="24" t="n">
        <f aca="false">AA439-Z439</f>
        <v>884.92</v>
      </c>
      <c r="AC439" s="23" t="n">
        <f aca="false">IFERROR(AB439/AA439,0)</f>
        <v>0.176984</v>
      </c>
      <c r="AD439" s="22" t="s">
        <v>676</v>
      </c>
    </row>
    <row r="440" customFormat="false" ht="15" hidden="false" customHeight="false" outlineLevel="0" collapsed="false">
      <c r="A440" s="22" t="n">
        <v>439</v>
      </c>
      <c r="B440" s="22" t="s">
        <v>132</v>
      </c>
      <c r="C440" s="37" t="n">
        <v>45043.6557060185</v>
      </c>
      <c r="D440" s="22" t="s">
        <v>205</v>
      </c>
      <c r="E440" s="22" t="n">
        <v>15</v>
      </c>
      <c r="F440" s="22" t="s">
        <v>182</v>
      </c>
      <c r="G440" s="22" t="s">
        <v>237</v>
      </c>
      <c r="H440" s="22" t="n">
        <v>0.06</v>
      </c>
      <c r="I440" s="38" t="n">
        <v>1983.2</v>
      </c>
      <c r="J440" s="38" t="n">
        <v>1982.64</v>
      </c>
      <c r="K440" s="39" t="n">
        <f aca="false">IF(F440="BUY",J440-I440,I440-J440)</f>
        <v>0.559999999999945</v>
      </c>
      <c r="L440" s="38" t="n">
        <v>1989.2</v>
      </c>
      <c r="M440" s="39" t="n">
        <f aca="false">ABS(I440-L440)</f>
        <v>6</v>
      </c>
      <c r="N440" s="24" t="n">
        <f aca="false">M440*H440*Summary!$C$6</f>
        <v>36</v>
      </c>
      <c r="O440" s="37" t="n">
        <v>45043.6821875</v>
      </c>
      <c r="P440" s="22" t="n">
        <f aca="false">ROUND((O440-C440)*86400,0)</f>
        <v>2288</v>
      </c>
      <c r="Q440" s="22" t="str">
        <f aca="false">IF(P440&lt;10,"a) &lt;10s",IF(P440&lt;60,"b) 10-60s",IF(P440&lt;600,"c) 1-10min","d) &gt;10min")))</f>
        <v>d) &gt;10min</v>
      </c>
      <c r="R440" s="38" t="n">
        <v>1982.14</v>
      </c>
      <c r="S440" s="38" t="n">
        <v>1982.16</v>
      </c>
      <c r="T440" s="22" t="s">
        <v>189</v>
      </c>
      <c r="U440" s="39" t="n">
        <f aca="false">IF(R440="","",IF(F440="BUY",R440-S440,S440-R440))</f>
        <v>0.0199999999999818</v>
      </c>
      <c r="V440" s="39" t="n">
        <f aca="false">IF(F440="BUY",S440-J440,J440-S440)</f>
        <v>0.480000000000018</v>
      </c>
      <c r="W440" s="6" t="n">
        <v>2.88</v>
      </c>
      <c r="X440" s="26" t="n">
        <f aca="false">IFERROR(W440/N440,0)</f>
        <v>0.08</v>
      </c>
      <c r="Y440" s="22" t="str">
        <f aca="false">IF(W440&gt;0,"Win",IF(W440&lt;0,"Loss","Flat"))</f>
        <v>Win</v>
      </c>
      <c r="Z440" s="24" t="n">
        <f aca="false">Summary!$C$5+SUM(W$2:W440)</f>
        <v>4117.96</v>
      </c>
      <c r="AA440" s="24" t="n">
        <f aca="false">MAX(AA439,Z440)</f>
        <v>5000</v>
      </c>
      <c r="AB440" s="24" t="n">
        <f aca="false">AA440-Z440</f>
        <v>882.04</v>
      </c>
      <c r="AC440" s="23" t="n">
        <f aca="false">IFERROR(AB440/AA440,0)</f>
        <v>0.176408</v>
      </c>
      <c r="AD440" s="22" t="s">
        <v>677</v>
      </c>
    </row>
    <row r="441" customFormat="false" ht="15" hidden="false" customHeight="false" outlineLevel="0" collapsed="false">
      <c r="A441" s="22" t="n">
        <v>440</v>
      </c>
      <c r="B441" s="22" t="s">
        <v>132</v>
      </c>
      <c r="C441" s="37" t="n">
        <v>45044.376412037</v>
      </c>
      <c r="D441" s="22" t="s">
        <v>206</v>
      </c>
      <c r="E441" s="22" t="n">
        <v>9</v>
      </c>
      <c r="F441" s="22" t="s">
        <v>182</v>
      </c>
      <c r="G441" s="22" t="s">
        <v>241</v>
      </c>
      <c r="H441" s="22" t="n">
        <v>0.06</v>
      </c>
      <c r="I441" s="38" t="n">
        <v>1983.32</v>
      </c>
      <c r="J441" s="38" t="n">
        <v>1983.32</v>
      </c>
      <c r="K441" s="39" t="n">
        <f aca="false">IF(F441="BUY",J441-I441,I441-J441)</f>
        <v>0</v>
      </c>
      <c r="L441" s="38" t="n">
        <v>1989.32</v>
      </c>
      <c r="M441" s="39" t="n">
        <f aca="false">ABS(I441-L441)</f>
        <v>6</v>
      </c>
      <c r="N441" s="24" t="n">
        <f aca="false">M441*H441*Summary!$C$6</f>
        <v>36</v>
      </c>
      <c r="O441" s="37" t="n">
        <v>45044.4831828704</v>
      </c>
      <c r="P441" s="22" t="n">
        <f aca="false">ROUND((O441-C441)*86400,0)</f>
        <v>9225</v>
      </c>
      <c r="Q441" s="22" t="str">
        <f aca="false">IF(P441&lt;10,"a) &lt;10s",IF(P441&lt;60,"b) 10-60s",IF(P441&lt;600,"c) 1-10min","d) &gt;10min")))</f>
        <v>d) &gt;10min</v>
      </c>
      <c r="R441" s="38" t="n">
        <v>1982.82</v>
      </c>
      <c r="S441" s="38" t="n">
        <v>1982.83</v>
      </c>
      <c r="T441" s="22" t="s">
        <v>189</v>
      </c>
      <c r="U441" s="39" t="n">
        <f aca="false">IF(R441="","",IF(F441="BUY",R441-S441,S441-R441))</f>
        <v>0.00999999999999091</v>
      </c>
      <c r="V441" s="39" t="n">
        <f aca="false">IF(F441="BUY",S441-J441,J441-S441)</f>
        <v>0.490000000000009</v>
      </c>
      <c r="W441" s="6" t="n">
        <v>2.94</v>
      </c>
      <c r="X441" s="26" t="n">
        <f aca="false">IFERROR(W441/N441,0)</f>
        <v>0.0816666666666667</v>
      </c>
      <c r="Y441" s="22" t="str">
        <f aca="false">IF(W441&gt;0,"Win",IF(W441&lt;0,"Loss","Flat"))</f>
        <v>Win</v>
      </c>
      <c r="Z441" s="24" t="n">
        <f aca="false">Summary!$C$5+SUM(W$2:W441)</f>
        <v>4120.9</v>
      </c>
      <c r="AA441" s="24" t="n">
        <f aca="false">MAX(AA440,Z441)</f>
        <v>5000</v>
      </c>
      <c r="AB441" s="24" t="n">
        <f aca="false">AA441-Z441</f>
        <v>879.1</v>
      </c>
      <c r="AC441" s="23" t="n">
        <f aca="false">IFERROR(AB441/AA441,0)</f>
        <v>0.17582</v>
      </c>
      <c r="AD441" s="22" t="s">
        <v>678</v>
      </c>
    </row>
    <row r="442" customFormat="false" ht="15" hidden="false" customHeight="false" outlineLevel="0" collapsed="false">
      <c r="A442" s="22" t="n">
        <v>441</v>
      </c>
      <c r="B442" s="22" t="s">
        <v>133</v>
      </c>
      <c r="C442" s="37" t="n">
        <v>45047.3933680556</v>
      </c>
      <c r="D442" s="22" t="s">
        <v>202</v>
      </c>
      <c r="E442" s="22" t="n">
        <v>9</v>
      </c>
      <c r="F442" s="22" t="s">
        <v>182</v>
      </c>
      <c r="G442" s="22" t="s">
        <v>241</v>
      </c>
      <c r="H442" s="22" t="n">
        <v>0.06</v>
      </c>
      <c r="I442" s="38" t="n">
        <v>1979.68</v>
      </c>
      <c r="J442" s="38" t="n">
        <v>1979.66</v>
      </c>
      <c r="K442" s="39" t="n">
        <f aca="false">IF(F442="BUY",J442-I442,I442-J442)</f>
        <v>0.0199999999999818</v>
      </c>
      <c r="L442" s="38" t="n">
        <v>1985.68</v>
      </c>
      <c r="M442" s="39" t="n">
        <f aca="false">ABS(I442-L442)</f>
        <v>6</v>
      </c>
      <c r="N442" s="24" t="n">
        <f aca="false">M442*H442*Summary!$C$6</f>
        <v>36</v>
      </c>
      <c r="O442" s="37" t="n">
        <v>45047.5070717593</v>
      </c>
      <c r="P442" s="22" t="n">
        <f aca="false">ROUND((O442-C442)*86400,0)</f>
        <v>9824</v>
      </c>
      <c r="Q442" s="22" t="str">
        <f aca="false">IF(P442&lt;10,"a) &lt;10s",IF(P442&lt;60,"b) 10-60s",IF(P442&lt;600,"c) 1-10min","d) &gt;10min")))</f>
        <v>d) &gt;10min</v>
      </c>
      <c r="R442" s="38" t="n">
        <v>1979.16</v>
      </c>
      <c r="S442" s="38" t="n">
        <v>1979.25</v>
      </c>
      <c r="T442" s="22" t="s">
        <v>189</v>
      </c>
      <c r="U442" s="39" t="n">
        <f aca="false">IF(R442="","",IF(F442="BUY",R442-S442,S442-R442))</f>
        <v>0.0899999999999182</v>
      </c>
      <c r="V442" s="39" t="n">
        <f aca="false">IF(F442="BUY",S442-J442,J442-S442)</f>
        <v>0.410000000000082</v>
      </c>
      <c r="W442" s="6" t="n">
        <v>2.46</v>
      </c>
      <c r="X442" s="26" t="n">
        <f aca="false">IFERROR(W442/N442,0)</f>
        <v>0.0683333333333333</v>
      </c>
      <c r="Y442" s="22" t="str">
        <f aca="false">IF(W442&gt;0,"Win",IF(W442&lt;0,"Loss","Flat"))</f>
        <v>Win</v>
      </c>
      <c r="Z442" s="24" t="n">
        <f aca="false">Summary!$C$5+SUM(W$2:W442)</f>
        <v>4123.36</v>
      </c>
      <c r="AA442" s="24" t="n">
        <f aca="false">MAX(AA441,Z442)</f>
        <v>5000</v>
      </c>
      <c r="AB442" s="24" t="n">
        <f aca="false">AA442-Z442</f>
        <v>876.64</v>
      </c>
      <c r="AC442" s="23" t="n">
        <f aca="false">IFERROR(AB442/AA442,0)</f>
        <v>0.175328</v>
      </c>
      <c r="AD442" s="22" t="s">
        <v>679</v>
      </c>
    </row>
    <row r="443" customFormat="false" ht="15" hidden="false" customHeight="false" outlineLevel="0" collapsed="false">
      <c r="A443" s="22" t="n">
        <v>442</v>
      </c>
      <c r="B443" s="22" t="s">
        <v>133</v>
      </c>
      <c r="C443" s="37" t="n">
        <v>45047.6409259259</v>
      </c>
      <c r="D443" s="22" t="s">
        <v>202</v>
      </c>
      <c r="E443" s="22" t="n">
        <v>15</v>
      </c>
      <c r="F443" s="22" t="s">
        <v>181</v>
      </c>
      <c r="G443" s="22" t="s">
        <v>243</v>
      </c>
      <c r="H443" s="22" t="n">
        <v>0.06</v>
      </c>
      <c r="I443" s="38" t="n">
        <v>1994.92</v>
      </c>
      <c r="J443" s="38" t="n">
        <v>1995.08</v>
      </c>
      <c r="K443" s="39" t="n">
        <f aca="false">IF(F443="BUY",J443-I443,I443-J443)</f>
        <v>0.159999999999854</v>
      </c>
      <c r="L443" s="38" t="n">
        <v>1988.92</v>
      </c>
      <c r="M443" s="39" t="n">
        <f aca="false">ABS(I443-L443)</f>
        <v>6</v>
      </c>
      <c r="N443" s="24" t="n">
        <f aca="false">M443*H443*Summary!$C$6</f>
        <v>36</v>
      </c>
      <c r="O443" s="37" t="n">
        <v>45047.7083333333</v>
      </c>
      <c r="P443" s="22" t="n">
        <f aca="false">ROUND((O443-C443)*86400,0)</f>
        <v>5824</v>
      </c>
      <c r="Q443" s="22" t="str">
        <f aca="false">IF(P443&lt;10,"a) &lt;10s",IF(P443&lt;60,"b) 10-60s",IF(P443&lt;600,"c) 1-10min","d) &gt;10min")))</f>
        <v>d) &gt;10min</v>
      </c>
      <c r="R443" s="38" t="n">
        <v>1995.58</v>
      </c>
      <c r="S443" s="38" t="n">
        <v>1994.85</v>
      </c>
      <c r="T443" s="22" t="s">
        <v>189</v>
      </c>
      <c r="U443" s="39" t="n">
        <f aca="false">IF(R443="","",IF(F443="BUY",R443-S443,S443-R443))</f>
        <v>0.730000000000018</v>
      </c>
      <c r="V443" s="39" t="n">
        <f aca="false">IF(F443="BUY",S443-J443,J443-S443)</f>
        <v>-0.230000000000018</v>
      </c>
      <c r="W443" s="6" t="n">
        <v>-1.38</v>
      </c>
      <c r="X443" s="26" t="n">
        <f aca="false">IFERROR(W443/N443,0)</f>
        <v>-0.0383333333333333</v>
      </c>
      <c r="Y443" s="22" t="str">
        <f aca="false">IF(W443&gt;0,"Win",IF(W443&lt;0,"Loss","Flat"))</f>
        <v>Loss</v>
      </c>
      <c r="Z443" s="24" t="n">
        <f aca="false">Summary!$C$5+SUM(W$2:W443)</f>
        <v>4121.98</v>
      </c>
      <c r="AA443" s="24" t="n">
        <f aca="false">MAX(AA442,Z443)</f>
        <v>5000</v>
      </c>
      <c r="AB443" s="24" t="n">
        <f aca="false">AA443-Z443</f>
        <v>878.02</v>
      </c>
      <c r="AC443" s="23" t="n">
        <f aca="false">IFERROR(AB443/AA443,0)</f>
        <v>0.175604</v>
      </c>
      <c r="AD443" s="22" t="s">
        <v>680</v>
      </c>
    </row>
    <row r="444" customFormat="false" ht="15" hidden="false" customHeight="false" outlineLevel="0" collapsed="false">
      <c r="A444" s="22" t="n">
        <v>443</v>
      </c>
      <c r="B444" s="22" t="s">
        <v>133</v>
      </c>
      <c r="C444" s="37" t="n">
        <v>45048.3801157407</v>
      </c>
      <c r="D444" s="22" t="s">
        <v>203</v>
      </c>
      <c r="E444" s="22" t="n">
        <v>9</v>
      </c>
      <c r="F444" s="22" t="s">
        <v>181</v>
      </c>
      <c r="G444" s="22" t="s">
        <v>235</v>
      </c>
      <c r="H444" s="22" t="n">
        <v>0.06</v>
      </c>
      <c r="I444" s="38" t="n">
        <v>1984.18</v>
      </c>
      <c r="J444" s="38" t="n">
        <v>1984.2</v>
      </c>
      <c r="K444" s="39" t="n">
        <f aca="false">IF(F444="BUY",J444-I444,I444-J444)</f>
        <v>0.0199999999999818</v>
      </c>
      <c r="L444" s="38" t="n">
        <v>1978.18</v>
      </c>
      <c r="M444" s="39" t="n">
        <f aca="false">ABS(I444-L444)</f>
        <v>6</v>
      </c>
      <c r="N444" s="24" t="n">
        <f aca="false">M444*H444*Summary!$C$6</f>
        <v>36</v>
      </c>
      <c r="O444" s="37" t="n">
        <v>45048.5336342593</v>
      </c>
      <c r="P444" s="22" t="n">
        <f aca="false">ROUND((O444-C444)*86400,0)</f>
        <v>13264</v>
      </c>
      <c r="Q444" s="22" t="str">
        <f aca="false">IF(P444&lt;10,"a) &lt;10s",IF(P444&lt;60,"b) 10-60s",IF(P444&lt;600,"c) 1-10min","d) &gt;10min")))</f>
        <v>d) &gt;10min</v>
      </c>
      <c r="R444" s="38" t="n">
        <v>1984.7</v>
      </c>
      <c r="S444" s="38" t="n">
        <v>1984.69</v>
      </c>
      <c r="T444" s="22" t="s">
        <v>189</v>
      </c>
      <c r="U444" s="39" t="n">
        <f aca="false">IF(R444="","",IF(F444="BUY",R444-S444,S444-R444))</f>
        <v>0.00999999999999091</v>
      </c>
      <c r="V444" s="39" t="n">
        <f aca="false">IF(F444="BUY",S444-J444,J444-S444)</f>
        <v>0.490000000000009</v>
      </c>
      <c r="W444" s="6" t="n">
        <v>2.94</v>
      </c>
      <c r="X444" s="26" t="n">
        <f aca="false">IFERROR(W444/N444,0)</f>
        <v>0.0816666666666667</v>
      </c>
      <c r="Y444" s="22" t="str">
        <f aca="false">IF(W444&gt;0,"Win",IF(W444&lt;0,"Loss","Flat"))</f>
        <v>Win</v>
      </c>
      <c r="Z444" s="24" t="n">
        <f aca="false">Summary!$C$5+SUM(W$2:W444)</f>
        <v>4124.92</v>
      </c>
      <c r="AA444" s="24" t="n">
        <f aca="false">MAX(AA443,Z444)</f>
        <v>5000</v>
      </c>
      <c r="AB444" s="24" t="n">
        <f aca="false">AA444-Z444</f>
        <v>875.08</v>
      </c>
      <c r="AC444" s="23" t="n">
        <f aca="false">IFERROR(AB444/AA444,0)</f>
        <v>0.175016</v>
      </c>
      <c r="AD444" s="22" t="s">
        <v>681</v>
      </c>
    </row>
    <row r="445" customFormat="false" ht="15" hidden="false" customHeight="false" outlineLevel="0" collapsed="false">
      <c r="A445" s="22" t="n">
        <v>444</v>
      </c>
      <c r="B445" s="22" t="s">
        <v>133</v>
      </c>
      <c r="C445" s="37" t="n">
        <v>45048.7306018519</v>
      </c>
      <c r="D445" s="22" t="s">
        <v>203</v>
      </c>
      <c r="E445" s="22" t="n">
        <v>17</v>
      </c>
      <c r="F445" s="22" t="s">
        <v>181</v>
      </c>
      <c r="G445" s="22" t="s">
        <v>243</v>
      </c>
      <c r="H445" s="22" t="n">
        <v>0.06</v>
      </c>
      <c r="I445" s="38" t="n">
        <v>2005.85</v>
      </c>
      <c r="J445" s="38" t="n">
        <v>2005.87</v>
      </c>
      <c r="K445" s="39" t="n">
        <f aca="false">IF(F445="BUY",J445-I445,I445-J445)</f>
        <v>0.0199999999999818</v>
      </c>
      <c r="L445" s="38" t="n">
        <v>1999.85</v>
      </c>
      <c r="M445" s="39" t="n">
        <f aca="false">ABS(I445-L445)</f>
        <v>6</v>
      </c>
      <c r="N445" s="24" t="n">
        <f aca="false">M445*H445*Summary!$C$6</f>
        <v>36</v>
      </c>
      <c r="O445" s="37" t="n">
        <v>45048.7474421296</v>
      </c>
      <c r="P445" s="22" t="n">
        <f aca="false">ROUND((O445-C445)*86400,0)</f>
        <v>1455</v>
      </c>
      <c r="Q445" s="22" t="str">
        <f aca="false">IF(P445&lt;10,"a) &lt;10s",IF(P445&lt;60,"b) 10-60s",IF(P445&lt;600,"c) 1-10min","d) &gt;10min")))</f>
        <v>d) &gt;10min</v>
      </c>
      <c r="R445" s="38" t="n">
        <v>2006.37</v>
      </c>
      <c r="S445" s="38" t="n">
        <v>2006.37</v>
      </c>
      <c r="T445" s="22" t="s">
        <v>189</v>
      </c>
      <c r="U445" s="39" t="n">
        <f aca="false">IF(R445="","",IF(F445="BUY",R445-S445,S445-R445))</f>
        <v>0</v>
      </c>
      <c r="V445" s="39" t="n">
        <f aca="false">IF(F445="BUY",S445-J445,J445-S445)</f>
        <v>0.5</v>
      </c>
      <c r="W445" s="6" t="n">
        <v>3</v>
      </c>
      <c r="X445" s="26" t="n">
        <f aca="false">IFERROR(W445/N445,0)</f>
        <v>0.0833333333333333</v>
      </c>
      <c r="Y445" s="22" t="str">
        <f aca="false">IF(W445&gt;0,"Win",IF(W445&lt;0,"Loss","Flat"))</f>
        <v>Win</v>
      </c>
      <c r="Z445" s="24" t="n">
        <f aca="false">Summary!$C$5+SUM(W$2:W445)</f>
        <v>4127.92</v>
      </c>
      <c r="AA445" s="24" t="n">
        <f aca="false">MAX(AA444,Z445)</f>
        <v>5000</v>
      </c>
      <c r="AB445" s="24" t="n">
        <f aca="false">AA445-Z445</f>
        <v>872.08</v>
      </c>
      <c r="AC445" s="23" t="n">
        <f aca="false">IFERROR(AB445/AA445,0)</f>
        <v>0.174416</v>
      </c>
      <c r="AD445" s="22" t="s">
        <v>682</v>
      </c>
    </row>
    <row r="446" customFormat="false" ht="15" hidden="false" customHeight="false" outlineLevel="0" collapsed="false">
      <c r="A446" s="22" t="n">
        <v>445</v>
      </c>
      <c r="B446" s="22" t="s">
        <v>133</v>
      </c>
      <c r="C446" s="37" t="n">
        <v>45049.2965972222</v>
      </c>
      <c r="D446" s="22" t="s">
        <v>204</v>
      </c>
      <c r="E446" s="22" t="n">
        <v>7</v>
      </c>
      <c r="F446" s="22" t="s">
        <v>181</v>
      </c>
      <c r="G446" s="22" t="s">
        <v>243</v>
      </c>
      <c r="H446" s="22" t="n">
        <v>0.06</v>
      </c>
      <c r="I446" s="38" t="n">
        <v>2019.25</v>
      </c>
      <c r="J446" s="38" t="n">
        <v>2019.25</v>
      </c>
      <c r="K446" s="39" t="n">
        <f aca="false">IF(F446="BUY",J446-I446,I446-J446)</f>
        <v>0</v>
      </c>
      <c r="L446" s="38" t="n">
        <v>2013.25</v>
      </c>
      <c r="M446" s="39" t="n">
        <f aca="false">ABS(I446-L446)</f>
        <v>6</v>
      </c>
      <c r="N446" s="24" t="n">
        <f aca="false">M446*H446*Summary!$C$6</f>
        <v>36</v>
      </c>
      <c r="O446" s="37" t="n">
        <v>45049.4458333333</v>
      </c>
      <c r="P446" s="22" t="n">
        <f aca="false">ROUND((O446-C446)*86400,0)</f>
        <v>12894</v>
      </c>
      <c r="Q446" s="22" t="str">
        <f aca="false">IF(P446&lt;10,"a) &lt;10s",IF(P446&lt;60,"b) 10-60s",IF(P446&lt;600,"c) 1-10min","d) &gt;10min")))</f>
        <v>d) &gt;10min</v>
      </c>
      <c r="R446" s="38" t="n">
        <v>2013.25</v>
      </c>
      <c r="S446" s="38" t="n">
        <v>2013.25</v>
      </c>
      <c r="T446" s="22" t="s">
        <v>188</v>
      </c>
      <c r="U446" s="39" t="n">
        <f aca="false">IF(R446="","",IF(F446="BUY",R446-S446,S446-R446))</f>
        <v>0</v>
      </c>
      <c r="V446" s="39" t="n">
        <f aca="false">IF(F446="BUY",S446-J446,J446-S446)</f>
        <v>-6</v>
      </c>
      <c r="W446" s="6" t="n">
        <v>-36</v>
      </c>
      <c r="X446" s="26" t="n">
        <f aca="false">IFERROR(W446/N446,0)</f>
        <v>-1</v>
      </c>
      <c r="Y446" s="22" t="str">
        <f aca="false">IF(W446&gt;0,"Win",IF(W446&lt;0,"Loss","Flat"))</f>
        <v>Loss</v>
      </c>
      <c r="Z446" s="24" t="n">
        <f aca="false">Summary!$C$5+SUM(W$2:W446)</f>
        <v>4091.92</v>
      </c>
      <c r="AA446" s="24" t="n">
        <f aca="false">MAX(AA445,Z446)</f>
        <v>5000</v>
      </c>
      <c r="AB446" s="24" t="n">
        <f aca="false">AA446-Z446</f>
        <v>908.08</v>
      </c>
      <c r="AC446" s="23" t="n">
        <f aca="false">IFERROR(AB446/AA446,0)</f>
        <v>0.181616</v>
      </c>
      <c r="AD446" s="22" t="s">
        <v>683</v>
      </c>
    </row>
    <row r="447" customFormat="false" ht="15" hidden="false" customHeight="false" outlineLevel="0" collapsed="false">
      <c r="A447" s="22" t="n">
        <v>446</v>
      </c>
      <c r="B447" s="22" t="s">
        <v>133</v>
      </c>
      <c r="C447" s="37" t="n">
        <v>45049.6912268519</v>
      </c>
      <c r="D447" s="22" t="s">
        <v>204</v>
      </c>
      <c r="E447" s="22" t="n">
        <v>16</v>
      </c>
      <c r="F447" s="22" t="s">
        <v>181</v>
      </c>
      <c r="G447" s="22" t="s">
        <v>235</v>
      </c>
      <c r="H447" s="22" t="n">
        <v>0.06</v>
      </c>
      <c r="I447" s="38" t="n">
        <v>2019.47</v>
      </c>
      <c r="J447" s="38" t="n">
        <v>2019.6</v>
      </c>
      <c r="K447" s="39" t="n">
        <f aca="false">IF(F447="BUY",J447-I447,I447-J447)</f>
        <v>0.129999999999882</v>
      </c>
      <c r="L447" s="38" t="n">
        <v>2013.47</v>
      </c>
      <c r="M447" s="39" t="n">
        <f aca="false">ABS(I447-L447)</f>
        <v>6</v>
      </c>
      <c r="N447" s="24" t="n">
        <f aca="false">M447*H447*Summary!$C$6</f>
        <v>36</v>
      </c>
      <c r="O447" s="37" t="n">
        <v>45049.7081597222</v>
      </c>
      <c r="P447" s="22" t="n">
        <f aca="false">ROUND((O447-C447)*86400,0)</f>
        <v>1463</v>
      </c>
      <c r="Q447" s="22" t="str">
        <f aca="false">IF(P447&lt;10,"a) &lt;10s",IF(P447&lt;60,"b) 10-60s",IF(P447&lt;600,"c) 1-10min","d) &gt;10min")))</f>
        <v>d) &gt;10min</v>
      </c>
      <c r="R447" s="38" t="n">
        <v>2013.47</v>
      </c>
      <c r="S447" s="38" t="n">
        <v>2013.45</v>
      </c>
      <c r="T447" s="22" t="s">
        <v>188</v>
      </c>
      <c r="U447" s="39" t="n">
        <f aca="false">IF(R447="","",IF(F447="BUY",R447-S447,S447-R447))</f>
        <v>0.0199999999999818</v>
      </c>
      <c r="V447" s="39" t="n">
        <f aca="false">IF(F447="BUY",S447-J447,J447-S447)</f>
        <v>-6.14999999999986</v>
      </c>
      <c r="W447" s="6" t="n">
        <v>-36.9</v>
      </c>
      <c r="X447" s="26" t="n">
        <f aca="false">IFERROR(W447/N447,0)</f>
        <v>-1.025</v>
      </c>
      <c r="Y447" s="22" t="str">
        <f aca="false">IF(W447&gt;0,"Win",IF(W447&lt;0,"Loss","Flat"))</f>
        <v>Loss</v>
      </c>
      <c r="Z447" s="24" t="n">
        <f aca="false">Summary!$C$5+SUM(W$2:W447)</f>
        <v>4055.02</v>
      </c>
      <c r="AA447" s="24" t="n">
        <f aca="false">MAX(AA446,Z447)</f>
        <v>5000</v>
      </c>
      <c r="AB447" s="24" t="n">
        <f aca="false">AA447-Z447</f>
        <v>944.98</v>
      </c>
      <c r="AC447" s="23" t="n">
        <f aca="false">IFERROR(AB447/AA447,0)</f>
        <v>0.188996</v>
      </c>
      <c r="AD447" s="22" t="s">
        <v>684</v>
      </c>
    </row>
    <row r="448" customFormat="false" ht="15" hidden="false" customHeight="false" outlineLevel="0" collapsed="false">
      <c r="A448" s="22" t="n">
        <v>447</v>
      </c>
      <c r="B448" s="22" t="s">
        <v>133</v>
      </c>
      <c r="C448" s="37" t="n">
        <v>45050.3810763889</v>
      </c>
      <c r="D448" s="22" t="s">
        <v>205</v>
      </c>
      <c r="E448" s="22" t="n">
        <v>9</v>
      </c>
      <c r="F448" s="22" t="s">
        <v>182</v>
      </c>
      <c r="G448" s="22" t="s">
        <v>241</v>
      </c>
      <c r="H448" s="22" t="n">
        <v>0.06</v>
      </c>
      <c r="I448" s="38" t="n">
        <v>2040.67</v>
      </c>
      <c r="J448" s="38" t="n">
        <v>2040.65</v>
      </c>
      <c r="K448" s="39" t="n">
        <f aca="false">IF(F448="BUY",J448-I448,I448-J448)</f>
        <v>0.0199999999999818</v>
      </c>
      <c r="L448" s="38" t="n">
        <v>2046.67</v>
      </c>
      <c r="M448" s="39" t="n">
        <f aca="false">ABS(I448-L448)</f>
        <v>6</v>
      </c>
      <c r="N448" s="24" t="n">
        <f aca="false">M448*H448*Summary!$C$6</f>
        <v>36</v>
      </c>
      <c r="O448" s="37" t="n">
        <v>45050.4108680556</v>
      </c>
      <c r="P448" s="22" t="n">
        <f aca="false">ROUND((O448-C448)*86400,0)</f>
        <v>2574</v>
      </c>
      <c r="Q448" s="22" t="str">
        <f aca="false">IF(P448&lt;10,"a) &lt;10s",IF(P448&lt;60,"b) 10-60s",IF(P448&lt;600,"c) 1-10min","d) &gt;10min")))</f>
        <v>d) &gt;10min</v>
      </c>
      <c r="R448" s="38" t="n">
        <v>2040.15</v>
      </c>
      <c r="S448" s="38" t="n">
        <v>2040.15</v>
      </c>
      <c r="T448" s="22" t="s">
        <v>189</v>
      </c>
      <c r="U448" s="39" t="n">
        <f aca="false">IF(R448="","",IF(F448="BUY",R448-S448,S448-R448))</f>
        <v>0</v>
      </c>
      <c r="V448" s="39" t="n">
        <f aca="false">IF(F448="BUY",S448-J448,J448-S448)</f>
        <v>0.5</v>
      </c>
      <c r="W448" s="6" t="n">
        <v>3</v>
      </c>
      <c r="X448" s="26" t="n">
        <f aca="false">IFERROR(W448/N448,0)</f>
        <v>0.0833333333333333</v>
      </c>
      <c r="Y448" s="22" t="str">
        <f aca="false">IF(W448&gt;0,"Win",IF(W448&lt;0,"Loss","Flat"))</f>
        <v>Win</v>
      </c>
      <c r="Z448" s="24" t="n">
        <f aca="false">Summary!$C$5+SUM(W$2:W448)</f>
        <v>4058.02</v>
      </c>
      <c r="AA448" s="24" t="n">
        <f aca="false">MAX(AA447,Z448)</f>
        <v>5000</v>
      </c>
      <c r="AB448" s="24" t="n">
        <f aca="false">AA448-Z448</f>
        <v>941.98</v>
      </c>
      <c r="AC448" s="23" t="n">
        <f aca="false">IFERROR(AB448/AA448,0)</f>
        <v>0.188396</v>
      </c>
      <c r="AD448" s="22" t="s">
        <v>685</v>
      </c>
    </row>
    <row r="449" customFormat="false" ht="15" hidden="false" customHeight="false" outlineLevel="0" collapsed="false">
      <c r="A449" s="22" t="n">
        <v>448</v>
      </c>
      <c r="B449" s="22" t="s">
        <v>133</v>
      </c>
      <c r="C449" s="37" t="n">
        <v>45051.3891666667</v>
      </c>
      <c r="D449" s="22" t="s">
        <v>206</v>
      </c>
      <c r="E449" s="22" t="n">
        <v>9</v>
      </c>
      <c r="F449" s="22" t="s">
        <v>182</v>
      </c>
      <c r="G449" s="22" t="s">
        <v>241</v>
      </c>
      <c r="H449" s="22" t="n">
        <v>0.06</v>
      </c>
      <c r="I449" s="38" t="n">
        <v>2045.5</v>
      </c>
      <c r="J449" s="38" t="n">
        <v>2045.49</v>
      </c>
      <c r="K449" s="39" t="n">
        <f aca="false">IF(F449="BUY",J449-I449,I449-J449)</f>
        <v>0.00999999999999091</v>
      </c>
      <c r="L449" s="38" t="n">
        <v>2051.5</v>
      </c>
      <c r="M449" s="39" t="n">
        <f aca="false">ABS(I449-L449)</f>
        <v>6</v>
      </c>
      <c r="N449" s="24" t="n">
        <f aca="false">M449*H449*Summary!$C$6</f>
        <v>36</v>
      </c>
      <c r="O449" s="37" t="n">
        <v>45051.6529166667</v>
      </c>
      <c r="P449" s="22" t="n">
        <f aca="false">ROUND((O449-C449)*86400,0)</f>
        <v>22788</v>
      </c>
      <c r="Q449" s="22" t="str">
        <f aca="false">IF(P449&lt;10,"a) &lt;10s",IF(P449&lt;60,"b) 10-60s",IF(P449&lt;600,"c) 1-10min","d) &gt;10min")))</f>
        <v>d) &gt;10min</v>
      </c>
      <c r="R449" s="38"/>
      <c r="S449" s="38" t="n">
        <v>2015.44</v>
      </c>
      <c r="T449" s="22" t="s">
        <v>187</v>
      </c>
      <c r="U449" s="39" t="str">
        <f aca="false">IF(R449="","",IF(F449="BUY",R449-S449,S449-R449))</f>
        <v/>
      </c>
      <c r="V449" s="39" t="n">
        <f aca="false">IF(F449="BUY",S449-J449,J449-S449)</f>
        <v>30.05</v>
      </c>
      <c r="W449" s="6" t="n">
        <v>180.3</v>
      </c>
      <c r="X449" s="26" t="n">
        <f aca="false">IFERROR(W449/N449,0)</f>
        <v>5.00833333333333</v>
      </c>
      <c r="Y449" s="22" t="str">
        <f aca="false">IF(W449&gt;0,"Win",IF(W449&lt;0,"Loss","Flat"))</f>
        <v>Win</v>
      </c>
      <c r="Z449" s="24" t="n">
        <f aca="false">Summary!$C$5+SUM(W$2:W449)</f>
        <v>4238.32</v>
      </c>
      <c r="AA449" s="24" t="n">
        <f aca="false">MAX(AA448,Z449)</f>
        <v>5000</v>
      </c>
      <c r="AB449" s="24" t="n">
        <f aca="false">AA449-Z449</f>
        <v>761.68</v>
      </c>
      <c r="AC449" s="23" t="n">
        <f aca="false">IFERROR(AB449/AA449,0)</f>
        <v>0.152336</v>
      </c>
      <c r="AD449" s="22" t="s">
        <v>686</v>
      </c>
    </row>
    <row r="450" customFormat="false" ht="15" hidden="false" customHeight="false" outlineLevel="0" collapsed="false">
      <c r="A450" s="22" t="n">
        <v>449</v>
      </c>
      <c r="B450" s="22" t="s">
        <v>133</v>
      </c>
      <c r="C450" s="37" t="n">
        <v>45054.4616435185</v>
      </c>
      <c r="D450" s="22" t="s">
        <v>202</v>
      </c>
      <c r="E450" s="22" t="n">
        <v>11</v>
      </c>
      <c r="F450" s="22" t="s">
        <v>182</v>
      </c>
      <c r="G450" s="22" t="s">
        <v>241</v>
      </c>
      <c r="H450" s="22" t="n">
        <v>0.07</v>
      </c>
      <c r="I450" s="38" t="n">
        <v>2020.01</v>
      </c>
      <c r="J450" s="38" t="n">
        <v>2019.98</v>
      </c>
      <c r="K450" s="39" t="n">
        <f aca="false">IF(F450="BUY",J450-I450,I450-J450)</f>
        <v>0.0299999999999727</v>
      </c>
      <c r="L450" s="38" t="n">
        <v>2026.01</v>
      </c>
      <c r="M450" s="39" t="n">
        <f aca="false">ABS(I450-L450)</f>
        <v>6</v>
      </c>
      <c r="N450" s="24" t="n">
        <f aca="false">M450*H450*Summary!$C$6</f>
        <v>42</v>
      </c>
      <c r="O450" s="37" t="n">
        <v>45054.6558912037</v>
      </c>
      <c r="P450" s="22" t="n">
        <f aca="false">ROUND((O450-C450)*86400,0)</f>
        <v>16783</v>
      </c>
      <c r="Q450" s="22" t="str">
        <f aca="false">IF(P450&lt;10,"a) &lt;10s",IF(P450&lt;60,"b) 10-60s",IF(P450&lt;600,"c) 1-10min","d) &gt;10min")))</f>
        <v>d) &gt;10min</v>
      </c>
      <c r="R450" s="38" t="n">
        <v>2026.01</v>
      </c>
      <c r="S450" s="38" t="n">
        <v>2026.01</v>
      </c>
      <c r="T450" s="22" t="s">
        <v>188</v>
      </c>
      <c r="U450" s="39" t="n">
        <f aca="false">IF(R450="","",IF(F450="BUY",R450-S450,S450-R450))</f>
        <v>0</v>
      </c>
      <c r="V450" s="39" t="n">
        <f aca="false">IF(F450="BUY",S450-J450,J450-S450)</f>
        <v>-6.02999999999997</v>
      </c>
      <c r="W450" s="6" t="n">
        <v>-42.21</v>
      </c>
      <c r="X450" s="26" t="n">
        <f aca="false">IFERROR(W450/N450,0)</f>
        <v>-1.005</v>
      </c>
      <c r="Y450" s="22" t="str">
        <f aca="false">IF(W450&gt;0,"Win",IF(W450&lt;0,"Loss","Flat"))</f>
        <v>Loss</v>
      </c>
      <c r="Z450" s="24" t="n">
        <f aca="false">Summary!$C$5+SUM(W$2:W450)</f>
        <v>4196.11</v>
      </c>
      <c r="AA450" s="24" t="n">
        <f aca="false">MAX(AA449,Z450)</f>
        <v>5000</v>
      </c>
      <c r="AB450" s="24" t="n">
        <f aca="false">AA450-Z450</f>
        <v>803.89</v>
      </c>
      <c r="AC450" s="23" t="n">
        <f aca="false">IFERROR(AB450/AA450,0)</f>
        <v>0.160778</v>
      </c>
      <c r="AD450" s="22" t="s">
        <v>687</v>
      </c>
    </row>
    <row r="451" customFormat="false" ht="15" hidden="false" customHeight="false" outlineLevel="0" collapsed="false">
      <c r="A451" s="22" t="n">
        <v>450</v>
      </c>
      <c r="B451" s="22" t="s">
        <v>133</v>
      </c>
      <c r="C451" s="37" t="n">
        <v>45055.4047685185</v>
      </c>
      <c r="D451" s="22" t="s">
        <v>203</v>
      </c>
      <c r="E451" s="22" t="n">
        <v>9</v>
      </c>
      <c r="F451" s="22" t="s">
        <v>182</v>
      </c>
      <c r="G451" s="22" t="s">
        <v>241</v>
      </c>
      <c r="H451" s="22" t="n">
        <v>0.06</v>
      </c>
      <c r="I451" s="38" t="n">
        <v>2024.52</v>
      </c>
      <c r="J451" s="38" t="n">
        <v>2024.52</v>
      </c>
      <c r="K451" s="39" t="n">
        <f aca="false">IF(F451="BUY",J451-I451,I451-J451)</f>
        <v>0</v>
      </c>
      <c r="L451" s="38" t="n">
        <v>2030.52</v>
      </c>
      <c r="M451" s="39" t="n">
        <f aca="false">ABS(I451-L451)</f>
        <v>6</v>
      </c>
      <c r="N451" s="24" t="n">
        <f aca="false">M451*H451*Summary!$C$6</f>
        <v>36</v>
      </c>
      <c r="O451" s="37" t="n">
        <v>45055.4465277778</v>
      </c>
      <c r="P451" s="22" t="n">
        <f aca="false">ROUND((O451-C451)*86400,0)</f>
        <v>3608</v>
      </c>
      <c r="Q451" s="22" t="str">
        <f aca="false">IF(P451&lt;10,"a) &lt;10s",IF(P451&lt;60,"b) 10-60s",IF(P451&lt;600,"c) 1-10min","d) &gt;10min")))</f>
        <v>d) &gt;10min</v>
      </c>
      <c r="R451" s="38" t="n">
        <v>2024.02</v>
      </c>
      <c r="S451" s="38" t="n">
        <v>2024.03</v>
      </c>
      <c r="T451" s="22" t="s">
        <v>189</v>
      </c>
      <c r="U451" s="39" t="n">
        <f aca="false">IF(R451="","",IF(F451="BUY",R451-S451,S451-R451))</f>
        <v>0.00999999999999091</v>
      </c>
      <c r="V451" s="39" t="n">
        <f aca="false">IF(F451="BUY",S451-J451,J451-S451)</f>
        <v>0.490000000000009</v>
      </c>
      <c r="W451" s="6" t="n">
        <v>2.94</v>
      </c>
      <c r="X451" s="26" t="n">
        <f aca="false">IFERROR(W451/N451,0)</f>
        <v>0.0816666666666667</v>
      </c>
      <c r="Y451" s="22" t="str">
        <f aca="false">IF(W451&gt;0,"Win",IF(W451&lt;0,"Loss","Flat"))</f>
        <v>Win</v>
      </c>
      <c r="Z451" s="24" t="n">
        <f aca="false">Summary!$C$5+SUM(W$2:W451)</f>
        <v>4199.05</v>
      </c>
      <c r="AA451" s="24" t="n">
        <f aca="false">MAX(AA450,Z451)</f>
        <v>5000</v>
      </c>
      <c r="AB451" s="24" t="n">
        <f aca="false">AA451-Z451</f>
        <v>800.95</v>
      </c>
      <c r="AC451" s="23" t="n">
        <f aca="false">IFERROR(AB451/AA451,0)</f>
        <v>0.16019</v>
      </c>
      <c r="AD451" s="22" t="s">
        <v>688</v>
      </c>
    </row>
    <row r="452" customFormat="false" ht="15" hidden="false" customHeight="false" outlineLevel="0" collapsed="false">
      <c r="A452" s="22" t="n">
        <v>451</v>
      </c>
      <c r="B452" s="22" t="s">
        <v>133</v>
      </c>
      <c r="C452" s="37" t="n">
        <v>45055.5467013889</v>
      </c>
      <c r="D452" s="22" t="s">
        <v>203</v>
      </c>
      <c r="E452" s="22" t="n">
        <v>13</v>
      </c>
      <c r="F452" s="22" t="s">
        <v>181</v>
      </c>
      <c r="G452" s="22" t="s">
        <v>243</v>
      </c>
      <c r="H452" s="22" t="n">
        <v>0.06</v>
      </c>
      <c r="I452" s="38" t="n">
        <v>2029.33</v>
      </c>
      <c r="J452" s="38" t="n">
        <v>2029.47</v>
      </c>
      <c r="K452" s="39" t="n">
        <f aca="false">IF(F452="BUY",J452-I452,I452-J452)</f>
        <v>0.1400000000001</v>
      </c>
      <c r="L452" s="38" t="n">
        <v>2023.33</v>
      </c>
      <c r="M452" s="39" t="n">
        <f aca="false">ABS(I452-L452)</f>
        <v>6</v>
      </c>
      <c r="N452" s="24" t="n">
        <f aca="false">M452*H452*Summary!$C$6</f>
        <v>36</v>
      </c>
      <c r="O452" s="37" t="n">
        <v>45055.6386111111</v>
      </c>
      <c r="P452" s="22" t="n">
        <f aca="false">ROUND((O452-C452)*86400,0)</f>
        <v>7941</v>
      </c>
      <c r="Q452" s="22" t="str">
        <f aca="false">IF(P452&lt;10,"a) &lt;10s",IF(P452&lt;60,"b) 10-60s",IF(P452&lt;600,"c) 1-10min","d) &gt;10min")))</f>
        <v>d) &gt;10min</v>
      </c>
      <c r="R452" s="38" t="n">
        <v>2029.97</v>
      </c>
      <c r="S452" s="38" t="n">
        <v>2029.94</v>
      </c>
      <c r="T452" s="22" t="s">
        <v>189</v>
      </c>
      <c r="U452" s="39" t="n">
        <f aca="false">IF(R452="","",IF(F452="BUY",R452-S452,S452-R452))</f>
        <v>0.0299999999999727</v>
      </c>
      <c r="V452" s="39" t="n">
        <f aca="false">IF(F452="BUY",S452-J452,J452-S452)</f>
        <v>0.470000000000027</v>
      </c>
      <c r="W452" s="6" t="n">
        <v>2.82</v>
      </c>
      <c r="X452" s="26" t="n">
        <f aca="false">IFERROR(W452/N452,0)</f>
        <v>0.0783333333333333</v>
      </c>
      <c r="Y452" s="22" t="str">
        <f aca="false">IF(W452&gt;0,"Win",IF(W452&lt;0,"Loss","Flat"))</f>
        <v>Win</v>
      </c>
      <c r="Z452" s="24" t="n">
        <f aca="false">Summary!$C$5+SUM(W$2:W452)</f>
        <v>4201.87</v>
      </c>
      <c r="AA452" s="24" t="n">
        <f aca="false">MAX(AA451,Z452)</f>
        <v>5000</v>
      </c>
      <c r="AB452" s="24" t="n">
        <f aca="false">AA452-Z452</f>
        <v>798.13</v>
      </c>
      <c r="AC452" s="23" t="n">
        <f aca="false">IFERROR(AB452/AA452,0)</f>
        <v>0.159626</v>
      </c>
      <c r="AD452" s="22" t="s">
        <v>689</v>
      </c>
    </row>
    <row r="453" customFormat="false" ht="15" hidden="false" customHeight="false" outlineLevel="0" collapsed="false">
      <c r="A453" s="22" t="n">
        <v>452</v>
      </c>
      <c r="B453" s="22" t="s">
        <v>133</v>
      </c>
      <c r="C453" s="37" t="n">
        <v>45056.1276157407</v>
      </c>
      <c r="D453" s="22" t="s">
        <v>204</v>
      </c>
      <c r="E453" s="22" t="n">
        <v>3</v>
      </c>
      <c r="F453" s="22" t="s">
        <v>181</v>
      </c>
      <c r="G453" s="22" t="s">
        <v>243</v>
      </c>
      <c r="H453" s="22" t="n">
        <v>0.07</v>
      </c>
      <c r="I453" s="38" t="n">
        <v>2037.49</v>
      </c>
      <c r="J453" s="38" t="n">
        <v>2037.57</v>
      </c>
      <c r="K453" s="39" t="n">
        <f aca="false">IF(F453="BUY",J453-I453,I453-J453)</f>
        <v>0.0799999999999272</v>
      </c>
      <c r="L453" s="38" t="n">
        <v>2031.49</v>
      </c>
      <c r="M453" s="39" t="n">
        <f aca="false">ABS(I453-L453)</f>
        <v>6</v>
      </c>
      <c r="N453" s="24" t="n">
        <f aca="false">M453*H453*Summary!$C$6</f>
        <v>42</v>
      </c>
      <c r="O453" s="37" t="n">
        <v>45056.2313310185</v>
      </c>
      <c r="P453" s="22" t="n">
        <f aca="false">ROUND((O453-C453)*86400,0)</f>
        <v>8961</v>
      </c>
      <c r="Q453" s="22" t="str">
        <f aca="false">IF(P453&lt;10,"a) &lt;10s",IF(P453&lt;60,"b) 10-60s",IF(P453&lt;600,"c) 1-10min","d) &gt;10min")))</f>
        <v>d) &gt;10min</v>
      </c>
      <c r="R453" s="38" t="n">
        <v>2031.49</v>
      </c>
      <c r="S453" s="38" t="n">
        <v>2031.49</v>
      </c>
      <c r="T453" s="22" t="s">
        <v>188</v>
      </c>
      <c r="U453" s="39" t="n">
        <f aca="false">IF(R453="","",IF(F453="BUY",R453-S453,S453-R453))</f>
        <v>0</v>
      </c>
      <c r="V453" s="39" t="n">
        <f aca="false">IF(F453="BUY",S453-J453,J453-S453)</f>
        <v>-6.07999999999993</v>
      </c>
      <c r="W453" s="6" t="n">
        <v>-42.56</v>
      </c>
      <c r="X453" s="26" t="n">
        <f aca="false">IFERROR(W453/N453,0)</f>
        <v>-1.01333333333333</v>
      </c>
      <c r="Y453" s="22" t="str">
        <f aca="false">IF(W453&gt;0,"Win",IF(W453&lt;0,"Loss","Flat"))</f>
        <v>Loss</v>
      </c>
      <c r="Z453" s="24" t="n">
        <f aca="false">Summary!$C$5+SUM(W$2:W453)</f>
        <v>4159.31</v>
      </c>
      <c r="AA453" s="24" t="n">
        <f aca="false">MAX(AA452,Z453)</f>
        <v>5000</v>
      </c>
      <c r="AB453" s="24" t="n">
        <f aca="false">AA453-Z453</f>
        <v>840.690000000001</v>
      </c>
      <c r="AC453" s="23" t="n">
        <f aca="false">IFERROR(AB453/AA453,0)</f>
        <v>0.168138</v>
      </c>
      <c r="AD453" s="22" t="s">
        <v>690</v>
      </c>
    </row>
    <row r="454" customFormat="false" ht="15" hidden="false" customHeight="false" outlineLevel="0" collapsed="false">
      <c r="A454" s="22" t="n">
        <v>453</v>
      </c>
      <c r="B454" s="22" t="s">
        <v>133</v>
      </c>
      <c r="C454" s="37" t="n">
        <v>45056.3909953704</v>
      </c>
      <c r="D454" s="22" t="s">
        <v>204</v>
      </c>
      <c r="E454" s="22" t="n">
        <v>9</v>
      </c>
      <c r="F454" s="22" t="s">
        <v>182</v>
      </c>
      <c r="G454" s="22" t="s">
        <v>241</v>
      </c>
      <c r="H454" s="22" t="n">
        <v>0.06</v>
      </c>
      <c r="I454" s="38" t="n">
        <v>2027.66</v>
      </c>
      <c r="J454" s="38" t="n">
        <v>2027.65</v>
      </c>
      <c r="K454" s="39" t="n">
        <f aca="false">IF(F454="BUY",J454-I454,I454-J454)</f>
        <v>0.00999999999999091</v>
      </c>
      <c r="L454" s="38" t="n">
        <v>2033.66</v>
      </c>
      <c r="M454" s="39" t="n">
        <f aca="false">ABS(I454-L454)</f>
        <v>6</v>
      </c>
      <c r="N454" s="24" t="n">
        <f aca="false">M454*H454*Summary!$C$6</f>
        <v>36</v>
      </c>
      <c r="O454" s="37" t="n">
        <v>45056.6433680556</v>
      </c>
      <c r="P454" s="22" t="n">
        <f aca="false">ROUND((O454-C454)*86400,0)</f>
        <v>21805</v>
      </c>
      <c r="Q454" s="22" t="str">
        <f aca="false">IF(P454&lt;10,"a) &lt;10s",IF(P454&lt;60,"b) 10-60s",IF(P454&lt;600,"c) 1-10min","d) &gt;10min")))</f>
        <v>d) &gt;10min</v>
      </c>
      <c r="R454" s="38" t="n">
        <v>2027.15</v>
      </c>
      <c r="S454" s="38" t="n">
        <v>2027.16</v>
      </c>
      <c r="T454" s="22" t="s">
        <v>189</v>
      </c>
      <c r="U454" s="39" t="n">
        <f aca="false">IF(R454="","",IF(F454="BUY",R454-S454,S454-R454))</f>
        <v>0.00999999999999091</v>
      </c>
      <c r="V454" s="39" t="n">
        <f aca="false">IF(F454="BUY",S454-J454,J454-S454)</f>
        <v>0.490000000000009</v>
      </c>
      <c r="W454" s="6" t="n">
        <v>2.94</v>
      </c>
      <c r="X454" s="26" t="n">
        <f aca="false">IFERROR(W454/N454,0)</f>
        <v>0.0816666666666667</v>
      </c>
      <c r="Y454" s="22" t="str">
        <f aca="false">IF(W454&gt;0,"Win",IF(W454&lt;0,"Loss","Flat"))</f>
        <v>Win</v>
      </c>
      <c r="Z454" s="24" t="n">
        <f aca="false">Summary!$C$5+SUM(W$2:W454)</f>
        <v>4162.25</v>
      </c>
      <c r="AA454" s="24" t="n">
        <f aca="false">MAX(AA453,Z454)</f>
        <v>5000</v>
      </c>
      <c r="AB454" s="24" t="n">
        <f aca="false">AA454-Z454</f>
        <v>837.75</v>
      </c>
      <c r="AC454" s="23" t="n">
        <f aca="false">IFERROR(AB454/AA454,0)</f>
        <v>0.16755</v>
      </c>
      <c r="AD454" s="22" t="s">
        <v>691</v>
      </c>
    </row>
    <row r="455" customFormat="false" ht="15" hidden="false" customHeight="false" outlineLevel="0" collapsed="false">
      <c r="A455" s="22" t="n">
        <v>454</v>
      </c>
      <c r="B455" s="22" t="s">
        <v>133</v>
      </c>
      <c r="C455" s="37" t="n">
        <v>45057.4008680556</v>
      </c>
      <c r="D455" s="22" t="s">
        <v>205</v>
      </c>
      <c r="E455" s="22" t="n">
        <v>9</v>
      </c>
      <c r="F455" s="22" t="s">
        <v>182</v>
      </c>
      <c r="G455" s="22" t="s">
        <v>241</v>
      </c>
      <c r="H455" s="22" t="n">
        <v>0.06</v>
      </c>
      <c r="I455" s="38" t="n">
        <v>2029.94</v>
      </c>
      <c r="J455" s="38" t="n">
        <v>2029.91</v>
      </c>
      <c r="K455" s="39" t="n">
        <f aca="false">IF(F455="BUY",J455-I455,I455-J455)</f>
        <v>0.0299999999999727</v>
      </c>
      <c r="L455" s="38" t="n">
        <v>2035.94</v>
      </c>
      <c r="M455" s="39" t="n">
        <f aca="false">ABS(I455-L455)</f>
        <v>6</v>
      </c>
      <c r="N455" s="24" t="n">
        <f aca="false">M455*H455*Summary!$C$6</f>
        <v>36</v>
      </c>
      <c r="O455" s="37" t="n">
        <v>45057.5785300926</v>
      </c>
      <c r="P455" s="22" t="n">
        <f aca="false">ROUND((O455-C455)*86400,0)</f>
        <v>15350</v>
      </c>
      <c r="Q455" s="22" t="str">
        <f aca="false">IF(P455&lt;10,"a) &lt;10s",IF(P455&lt;60,"b) 10-60s",IF(P455&lt;600,"c) 1-10min","d) &gt;10min")))</f>
        <v>d) &gt;10min</v>
      </c>
      <c r="R455" s="38" t="n">
        <v>2029.41</v>
      </c>
      <c r="S455" s="38" t="n">
        <v>2029.43</v>
      </c>
      <c r="T455" s="22" t="s">
        <v>189</v>
      </c>
      <c r="U455" s="39" t="n">
        <f aca="false">IF(R455="","",IF(F455="BUY",R455-S455,S455-R455))</f>
        <v>0.0199999999999818</v>
      </c>
      <c r="V455" s="39" t="n">
        <f aca="false">IF(F455="BUY",S455-J455,J455-S455)</f>
        <v>0.480000000000018</v>
      </c>
      <c r="W455" s="6" t="n">
        <v>2.88</v>
      </c>
      <c r="X455" s="26" t="n">
        <f aca="false">IFERROR(W455/N455,0)</f>
        <v>0.08</v>
      </c>
      <c r="Y455" s="22" t="str">
        <f aca="false">IF(W455&gt;0,"Win",IF(W455&lt;0,"Loss","Flat"))</f>
        <v>Win</v>
      </c>
      <c r="Z455" s="24" t="n">
        <f aca="false">Summary!$C$5+SUM(W$2:W455)</f>
        <v>4165.13</v>
      </c>
      <c r="AA455" s="24" t="n">
        <f aca="false">MAX(AA454,Z455)</f>
        <v>5000</v>
      </c>
      <c r="AB455" s="24" t="n">
        <f aca="false">AA455-Z455</f>
        <v>834.87</v>
      </c>
      <c r="AC455" s="23" t="n">
        <f aca="false">IFERROR(AB455/AA455,0)</f>
        <v>0.166974</v>
      </c>
      <c r="AD455" s="22" t="s">
        <v>692</v>
      </c>
    </row>
    <row r="456" customFormat="false" ht="15" hidden="false" customHeight="false" outlineLevel="0" collapsed="false">
      <c r="A456" s="22" t="n">
        <v>455</v>
      </c>
      <c r="B456" s="22" t="s">
        <v>133</v>
      </c>
      <c r="C456" s="37" t="n">
        <v>45057.6991898148</v>
      </c>
      <c r="D456" s="22" t="s">
        <v>205</v>
      </c>
      <c r="E456" s="22" t="n">
        <v>16</v>
      </c>
      <c r="F456" s="22" t="s">
        <v>182</v>
      </c>
      <c r="G456" s="22" t="s">
        <v>237</v>
      </c>
      <c r="H456" s="22" t="n">
        <v>0.06</v>
      </c>
      <c r="I456" s="38" t="n">
        <v>2021.43</v>
      </c>
      <c r="J456" s="38" t="n">
        <v>2020.78</v>
      </c>
      <c r="K456" s="39" t="n">
        <f aca="false">IF(F456="BUY",J456-I456,I456-J456)</f>
        <v>0.650000000000091</v>
      </c>
      <c r="L456" s="38" t="n">
        <v>2027.43</v>
      </c>
      <c r="M456" s="39" t="n">
        <f aca="false">ABS(I456-L456)</f>
        <v>6</v>
      </c>
      <c r="N456" s="24" t="n">
        <f aca="false">M456*H456*Summary!$C$6</f>
        <v>36</v>
      </c>
      <c r="O456" s="37" t="n">
        <v>45057.6996180556</v>
      </c>
      <c r="P456" s="22" t="n">
        <f aca="false">ROUND((O456-C456)*86400,0)</f>
        <v>37</v>
      </c>
      <c r="Q456" s="22" t="str">
        <f aca="false">IF(P456&lt;10,"a) &lt;10s",IF(P456&lt;60,"b) 10-60s",IF(P456&lt;600,"c) 1-10min","d) &gt;10min")))</f>
        <v>b) 10-60s</v>
      </c>
      <c r="R456" s="38" t="n">
        <v>2020.28</v>
      </c>
      <c r="S456" s="38" t="n">
        <v>2020.4</v>
      </c>
      <c r="T456" s="22" t="s">
        <v>189</v>
      </c>
      <c r="U456" s="39" t="n">
        <f aca="false">IF(R456="","",IF(F456="BUY",R456-S456,S456-R456))</f>
        <v>0.120000000000118</v>
      </c>
      <c r="V456" s="39" t="n">
        <f aca="false">IF(F456="BUY",S456-J456,J456-S456)</f>
        <v>0.379999999999882</v>
      </c>
      <c r="W456" s="6" t="n">
        <v>2.28</v>
      </c>
      <c r="X456" s="26" t="n">
        <f aca="false">IFERROR(W456/N456,0)</f>
        <v>0.0633333333333333</v>
      </c>
      <c r="Y456" s="22" t="str">
        <f aca="false">IF(W456&gt;0,"Win",IF(W456&lt;0,"Loss","Flat"))</f>
        <v>Win</v>
      </c>
      <c r="Z456" s="24" t="n">
        <f aca="false">Summary!$C$5+SUM(W$2:W456)</f>
        <v>4167.41</v>
      </c>
      <c r="AA456" s="24" t="n">
        <f aca="false">MAX(AA455,Z456)</f>
        <v>5000</v>
      </c>
      <c r="AB456" s="24" t="n">
        <f aca="false">AA456-Z456</f>
        <v>832.59</v>
      </c>
      <c r="AC456" s="23" t="n">
        <f aca="false">IFERROR(AB456/AA456,0)</f>
        <v>0.166518</v>
      </c>
      <c r="AD456" s="22" t="s">
        <v>693</v>
      </c>
    </row>
    <row r="457" customFormat="false" ht="15" hidden="false" customHeight="false" outlineLevel="0" collapsed="false">
      <c r="A457" s="22" t="n">
        <v>456</v>
      </c>
      <c r="B457" s="22" t="s">
        <v>133</v>
      </c>
      <c r="C457" s="37" t="n">
        <v>45058.1880902778</v>
      </c>
      <c r="D457" s="22" t="s">
        <v>206</v>
      </c>
      <c r="E457" s="22" t="n">
        <v>4</v>
      </c>
      <c r="F457" s="22" t="s">
        <v>182</v>
      </c>
      <c r="G457" s="22" t="s">
        <v>237</v>
      </c>
      <c r="H457" s="22" t="n">
        <v>0.06</v>
      </c>
      <c r="I457" s="38" t="n">
        <v>2011.04</v>
      </c>
      <c r="J457" s="38" t="n">
        <v>2011.02</v>
      </c>
      <c r="K457" s="39" t="n">
        <f aca="false">IF(F457="BUY",J457-I457,I457-J457)</f>
        <v>0.0199999999999818</v>
      </c>
      <c r="L457" s="38" t="n">
        <v>2017.04</v>
      </c>
      <c r="M457" s="39" t="n">
        <f aca="false">ABS(I457-L457)</f>
        <v>6</v>
      </c>
      <c r="N457" s="24" t="n">
        <f aca="false">M457*H457*Summary!$C$6</f>
        <v>36</v>
      </c>
      <c r="O457" s="37" t="n">
        <v>45058.2373958333</v>
      </c>
      <c r="P457" s="22" t="n">
        <f aca="false">ROUND((O457-C457)*86400,0)</f>
        <v>4260</v>
      </c>
      <c r="Q457" s="22" t="str">
        <f aca="false">IF(P457&lt;10,"a) &lt;10s",IF(P457&lt;60,"b) 10-60s",IF(P457&lt;600,"c) 1-10min","d) &gt;10min")))</f>
        <v>d) &gt;10min</v>
      </c>
      <c r="R457" s="38" t="n">
        <v>2010.52</v>
      </c>
      <c r="S457" s="38" t="n">
        <v>2010.55</v>
      </c>
      <c r="T457" s="22" t="s">
        <v>189</v>
      </c>
      <c r="U457" s="39" t="n">
        <f aca="false">IF(R457="","",IF(F457="BUY",R457-S457,S457-R457))</f>
        <v>0.0299999999999727</v>
      </c>
      <c r="V457" s="39" t="n">
        <f aca="false">IF(F457="BUY",S457-J457,J457-S457)</f>
        <v>0.470000000000027</v>
      </c>
      <c r="W457" s="6" t="n">
        <v>2.82</v>
      </c>
      <c r="X457" s="26" t="n">
        <f aca="false">IFERROR(W457/N457,0)</f>
        <v>0.0783333333333333</v>
      </c>
      <c r="Y457" s="22" t="str">
        <f aca="false">IF(W457&gt;0,"Win",IF(W457&lt;0,"Loss","Flat"))</f>
        <v>Win</v>
      </c>
      <c r="Z457" s="24" t="n">
        <f aca="false">Summary!$C$5+SUM(W$2:W457)</f>
        <v>4170.23</v>
      </c>
      <c r="AA457" s="24" t="n">
        <f aca="false">MAX(AA456,Z457)</f>
        <v>5000</v>
      </c>
      <c r="AB457" s="24" t="n">
        <f aca="false">AA457-Z457</f>
        <v>829.77</v>
      </c>
      <c r="AC457" s="23" t="n">
        <f aca="false">IFERROR(AB457/AA457,0)</f>
        <v>0.165954</v>
      </c>
      <c r="AD457" s="22" t="s">
        <v>694</v>
      </c>
    </row>
    <row r="458" customFormat="false" ht="15" hidden="false" customHeight="false" outlineLevel="0" collapsed="false">
      <c r="A458" s="22" t="n">
        <v>457</v>
      </c>
      <c r="B458" s="22" t="s">
        <v>133</v>
      </c>
      <c r="C458" s="37" t="n">
        <v>45058.3835069445</v>
      </c>
      <c r="D458" s="22" t="s">
        <v>206</v>
      </c>
      <c r="E458" s="22" t="n">
        <v>9</v>
      </c>
      <c r="F458" s="22" t="s">
        <v>182</v>
      </c>
      <c r="G458" s="22" t="s">
        <v>241</v>
      </c>
      <c r="H458" s="22" t="n">
        <v>0.06</v>
      </c>
      <c r="I458" s="38" t="n">
        <v>2008.27</v>
      </c>
      <c r="J458" s="38" t="n">
        <v>2008.25</v>
      </c>
      <c r="K458" s="39" t="n">
        <f aca="false">IF(F458="BUY",J458-I458,I458-J458)</f>
        <v>0.0199999999999818</v>
      </c>
      <c r="L458" s="38" t="n">
        <v>2014.27</v>
      </c>
      <c r="M458" s="39" t="n">
        <f aca="false">ABS(I458-L458)</f>
        <v>6</v>
      </c>
      <c r="N458" s="24" t="n">
        <f aca="false">M458*H458*Summary!$C$6</f>
        <v>36</v>
      </c>
      <c r="O458" s="37" t="n">
        <v>45058.3921296296</v>
      </c>
      <c r="P458" s="22" t="n">
        <f aca="false">ROUND((O458-C458)*86400,0)</f>
        <v>745</v>
      </c>
      <c r="Q458" s="22" t="str">
        <f aca="false">IF(P458&lt;10,"a) &lt;10s",IF(P458&lt;60,"b) 10-60s",IF(P458&lt;600,"c) 1-10min","d) &gt;10min")))</f>
        <v>d) &gt;10min</v>
      </c>
      <c r="R458" s="38" t="n">
        <v>2007.75</v>
      </c>
      <c r="S458" s="38" t="n">
        <v>2007.75</v>
      </c>
      <c r="T458" s="22" t="s">
        <v>189</v>
      </c>
      <c r="U458" s="39" t="n">
        <f aca="false">IF(R458="","",IF(F458="BUY",R458-S458,S458-R458))</f>
        <v>0</v>
      </c>
      <c r="V458" s="39" t="n">
        <f aca="false">IF(F458="BUY",S458-J458,J458-S458)</f>
        <v>0.5</v>
      </c>
      <c r="W458" s="6" t="n">
        <v>3</v>
      </c>
      <c r="X458" s="26" t="n">
        <f aca="false">IFERROR(W458/N458,0)</f>
        <v>0.0833333333333333</v>
      </c>
      <c r="Y458" s="22" t="str">
        <f aca="false">IF(W458&gt;0,"Win",IF(W458&lt;0,"Loss","Flat"))</f>
        <v>Win</v>
      </c>
      <c r="Z458" s="24" t="n">
        <f aca="false">Summary!$C$5+SUM(W$2:W458)</f>
        <v>4173.23</v>
      </c>
      <c r="AA458" s="24" t="n">
        <f aca="false">MAX(AA457,Z458)</f>
        <v>5000</v>
      </c>
      <c r="AB458" s="24" t="n">
        <f aca="false">AA458-Z458</f>
        <v>826.77</v>
      </c>
      <c r="AC458" s="23" t="n">
        <f aca="false">IFERROR(AB458/AA458,0)</f>
        <v>0.165354</v>
      </c>
      <c r="AD458" s="22" t="s">
        <v>695</v>
      </c>
    </row>
    <row r="459" customFormat="false" ht="15" hidden="false" customHeight="false" outlineLevel="0" collapsed="false">
      <c r="A459" s="22" t="n">
        <v>458</v>
      </c>
      <c r="B459" s="22" t="s">
        <v>133</v>
      </c>
      <c r="C459" s="37" t="n">
        <v>45061.4181018519</v>
      </c>
      <c r="D459" s="22" t="s">
        <v>202</v>
      </c>
      <c r="E459" s="22" t="n">
        <v>10</v>
      </c>
      <c r="F459" s="22" t="s">
        <v>181</v>
      </c>
      <c r="G459" s="22" t="s">
        <v>235</v>
      </c>
      <c r="H459" s="22" t="n">
        <v>0.06</v>
      </c>
      <c r="I459" s="38" t="n">
        <v>2019.14</v>
      </c>
      <c r="J459" s="38" t="n">
        <v>2019.25</v>
      </c>
      <c r="K459" s="39" t="n">
        <f aca="false">IF(F459="BUY",J459-I459,I459-J459)</f>
        <v>0.1099999999999</v>
      </c>
      <c r="L459" s="38" t="n">
        <v>2013.14</v>
      </c>
      <c r="M459" s="39" t="n">
        <f aca="false">ABS(I459-L459)</f>
        <v>6</v>
      </c>
      <c r="N459" s="24" t="n">
        <f aca="false">M459*H459*Summary!$C$6</f>
        <v>36</v>
      </c>
      <c r="O459" s="37" t="n">
        <v>45061.5846759259</v>
      </c>
      <c r="P459" s="22" t="n">
        <f aca="false">ROUND((O459-C459)*86400,0)</f>
        <v>14392</v>
      </c>
      <c r="Q459" s="22" t="str">
        <f aca="false">IF(P459&lt;10,"a) &lt;10s",IF(P459&lt;60,"b) 10-60s",IF(P459&lt;600,"c) 1-10min","d) &gt;10min")))</f>
        <v>d) &gt;10min</v>
      </c>
      <c r="R459" s="38" t="n">
        <v>2013.14</v>
      </c>
      <c r="S459" s="38" t="n">
        <v>2013.14</v>
      </c>
      <c r="T459" s="22" t="s">
        <v>188</v>
      </c>
      <c r="U459" s="39" t="n">
        <f aca="false">IF(R459="","",IF(F459="BUY",R459-S459,S459-R459))</f>
        <v>0</v>
      </c>
      <c r="V459" s="39" t="n">
        <f aca="false">IF(F459="BUY",S459-J459,J459-S459)</f>
        <v>-6.1099999999999</v>
      </c>
      <c r="W459" s="6" t="n">
        <v>-36.66</v>
      </c>
      <c r="X459" s="26" t="n">
        <f aca="false">IFERROR(W459/N459,0)</f>
        <v>-1.01833333333333</v>
      </c>
      <c r="Y459" s="22" t="str">
        <f aca="false">IF(W459&gt;0,"Win",IF(W459&lt;0,"Loss","Flat"))</f>
        <v>Loss</v>
      </c>
      <c r="Z459" s="24" t="n">
        <f aca="false">Summary!$C$5+SUM(W$2:W459)</f>
        <v>4136.57</v>
      </c>
      <c r="AA459" s="24" t="n">
        <f aca="false">MAX(AA458,Z459)</f>
        <v>5000</v>
      </c>
      <c r="AB459" s="24" t="n">
        <f aca="false">AA459-Z459</f>
        <v>863.43</v>
      </c>
      <c r="AC459" s="23" t="n">
        <f aca="false">IFERROR(AB459/AA459,0)</f>
        <v>0.172686</v>
      </c>
      <c r="AD459" s="22" t="s">
        <v>696</v>
      </c>
    </row>
    <row r="460" customFormat="false" ht="15" hidden="false" customHeight="false" outlineLevel="0" collapsed="false">
      <c r="A460" s="22" t="n">
        <v>459</v>
      </c>
      <c r="B460" s="22" t="s">
        <v>133</v>
      </c>
      <c r="C460" s="37" t="n">
        <v>45062.3752662037</v>
      </c>
      <c r="D460" s="22" t="s">
        <v>203</v>
      </c>
      <c r="E460" s="22" t="n">
        <v>9</v>
      </c>
      <c r="F460" s="22" t="s">
        <v>182</v>
      </c>
      <c r="G460" s="22" t="s">
        <v>241</v>
      </c>
      <c r="H460" s="22" t="n">
        <v>0.06</v>
      </c>
      <c r="I460" s="38" t="n">
        <v>2012.38</v>
      </c>
      <c r="J460" s="38" t="n">
        <v>2012.35</v>
      </c>
      <c r="K460" s="39" t="n">
        <f aca="false">IF(F460="BUY",J460-I460,I460-J460)</f>
        <v>0.0300000000002001</v>
      </c>
      <c r="L460" s="38" t="n">
        <v>2018.38</v>
      </c>
      <c r="M460" s="39" t="n">
        <f aca="false">ABS(I460-L460)</f>
        <v>6</v>
      </c>
      <c r="N460" s="24" t="n">
        <f aca="false">M460*H460*Summary!$C$6</f>
        <v>36</v>
      </c>
      <c r="O460" s="37" t="n">
        <v>45062.6542013889</v>
      </c>
      <c r="P460" s="22" t="n">
        <f aca="false">ROUND((O460-C460)*86400,0)</f>
        <v>24100</v>
      </c>
      <c r="Q460" s="22" t="str">
        <f aca="false">IF(P460&lt;10,"a) &lt;10s",IF(P460&lt;60,"b) 10-60s",IF(P460&lt;600,"c) 1-10min","d) &gt;10min")))</f>
        <v>d) &gt;10min</v>
      </c>
      <c r="R460" s="38" t="n">
        <v>2011.85</v>
      </c>
      <c r="S460" s="38" t="n">
        <v>2011.86</v>
      </c>
      <c r="T460" s="22" t="s">
        <v>189</v>
      </c>
      <c r="U460" s="39" t="n">
        <f aca="false">IF(R460="","",IF(F460="BUY",R460-S460,S460-R460))</f>
        <v>0.00999999999999091</v>
      </c>
      <c r="V460" s="39" t="n">
        <f aca="false">IF(F460="BUY",S460-J460,J460-S460)</f>
        <v>0.490000000000009</v>
      </c>
      <c r="W460" s="6" t="n">
        <v>2.94</v>
      </c>
      <c r="X460" s="26" t="n">
        <f aca="false">IFERROR(W460/N460,0)</f>
        <v>0.0816666666666667</v>
      </c>
      <c r="Y460" s="22" t="str">
        <f aca="false">IF(W460&gt;0,"Win",IF(W460&lt;0,"Loss","Flat"))</f>
        <v>Win</v>
      </c>
      <c r="Z460" s="24" t="n">
        <f aca="false">Summary!$C$5+SUM(W$2:W460)</f>
        <v>4139.51</v>
      </c>
      <c r="AA460" s="24" t="n">
        <f aca="false">MAX(AA459,Z460)</f>
        <v>5000</v>
      </c>
      <c r="AB460" s="24" t="n">
        <f aca="false">AA460-Z460</f>
        <v>860.49</v>
      </c>
      <c r="AC460" s="23" t="n">
        <f aca="false">IFERROR(AB460/AA460,0)</f>
        <v>0.172098</v>
      </c>
      <c r="AD460" s="22" t="s">
        <v>697</v>
      </c>
    </row>
    <row r="461" customFormat="false" ht="15" hidden="false" customHeight="false" outlineLevel="0" collapsed="false">
      <c r="A461" s="22" t="n">
        <v>460</v>
      </c>
      <c r="B461" s="22" t="s">
        <v>133</v>
      </c>
      <c r="C461" s="37" t="n">
        <v>45063.375</v>
      </c>
      <c r="D461" s="22" t="s">
        <v>204</v>
      </c>
      <c r="E461" s="22" t="n">
        <v>9</v>
      </c>
      <c r="F461" s="22" t="s">
        <v>182</v>
      </c>
      <c r="G461" s="22" t="s">
        <v>241</v>
      </c>
      <c r="H461" s="22" t="n">
        <v>0.06</v>
      </c>
      <c r="I461" s="38" t="n">
        <v>1987.68</v>
      </c>
      <c r="J461" s="38" t="n">
        <v>1987.68</v>
      </c>
      <c r="K461" s="39" t="n">
        <f aca="false">IF(F461="BUY",J461-I461,I461-J461)</f>
        <v>0</v>
      </c>
      <c r="L461" s="38" t="n">
        <v>1993.68</v>
      </c>
      <c r="M461" s="39" t="n">
        <f aca="false">ABS(I461-L461)</f>
        <v>6</v>
      </c>
      <c r="N461" s="24" t="n">
        <f aca="false">M461*H461*Summary!$C$6</f>
        <v>36</v>
      </c>
      <c r="O461" s="37" t="n">
        <v>45063.5555208333</v>
      </c>
      <c r="P461" s="22" t="n">
        <f aca="false">ROUND((O461-C461)*86400,0)</f>
        <v>15597</v>
      </c>
      <c r="Q461" s="22" t="str">
        <f aca="false">IF(P461&lt;10,"a) &lt;10s",IF(P461&lt;60,"b) 10-60s",IF(P461&lt;600,"c) 1-10min","d) &gt;10min")))</f>
        <v>d) &gt;10min</v>
      </c>
      <c r="R461" s="38" t="n">
        <v>1987.18</v>
      </c>
      <c r="S461" s="38" t="n">
        <v>1987.2</v>
      </c>
      <c r="T461" s="22" t="s">
        <v>189</v>
      </c>
      <c r="U461" s="39" t="n">
        <f aca="false">IF(R461="","",IF(F461="BUY",R461-S461,S461-R461))</f>
        <v>0.0199999999999818</v>
      </c>
      <c r="V461" s="39" t="n">
        <f aca="false">IF(F461="BUY",S461-J461,J461-S461)</f>
        <v>0.480000000000018</v>
      </c>
      <c r="W461" s="6" t="n">
        <v>2.88</v>
      </c>
      <c r="X461" s="26" t="n">
        <f aca="false">IFERROR(W461/N461,0)</f>
        <v>0.08</v>
      </c>
      <c r="Y461" s="22" t="str">
        <f aca="false">IF(W461&gt;0,"Win",IF(W461&lt;0,"Loss","Flat"))</f>
        <v>Win</v>
      </c>
      <c r="Z461" s="24" t="n">
        <f aca="false">Summary!$C$5+SUM(W$2:W461)</f>
        <v>4142.39</v>
      </c>
      <c r="AA461" s="24" t="n">
        <f aca="false">MAX(AA460,Z461)</f>
        <v>5000</v>
      </c>
      <c r="AB461" s="24" t="n">
        <f aca="false">AA461-Z461</f>
        <v>857.61</v>
      </c>
      <c r="AC461" s="23" t="n">
        <f aca="false">IFERROR(AB461/AA461,0)</f>
        <v>0.171522</v>
      </c>
      <c r="AD461" s="22" t="s">
        <v>698</v>
      </c>
    </row>
    <row r="462" customFormat="false" ht="15" hidden="false" customHeight="false" outlineLevel="0" collapsed="false">
      <c r="A462" s="22" t="n">
        <v>461</v>
      </c>
      <c r="B462" s="22" t="s">
        <v>133</v>
      </c>
      <c r="C462" s="37" t="n">
        <v>45064.4132060185</v>
      </c>
      <c r="D462" s="22" t="s">
        <v>205</v>
      </c>
      <c r="E462" s="22" t="n">
        <v>9</v>
      </c>
      <c r="F462" s="22" t="s">
        <v>182</v>
      </c>
      <c r="G462" s="22" t="s">
        <v>241</v>
      </c>
      <c r="H462" s="22" t="n">
        <v>0.06</v>
      </c>
      <c r="I462" s="38" t="n">
        <v>1977.44</v>
      </c>
      <c r="J462" s="38" t="n">
        <v>1977.39</v>
      </c>
      <c r="K462" s="39" t="n">
        <f aca="false">IF(F462="BUY",J462-I462,I462-J462)</f>
        <v>0.0499999999999545</v>
      </c>
      <c r="L462" s="38" t="n">
        <v>1983.44</v>
      </c>
      <c r="M462" s="39" t="n">
        <f aca="false">ABS(I462-L462)</f>
        <v>6</v>
      </c>
      <c r="N462" s="24" t="n">
        <f aca="false">M462*H462*Summary!$C$6</f>
        <v>36</v>
      </c>
      <c r="O462" s="37" t="n">
        <v>45064.5021643519</v>
      </c>
      <c r="P462" s="22" t="n">
        <f aca="false">ROUND((O462-C462)*86400,0)</f>
        <v>7686</v>
      </c>
      <c r="Q462" s="22" t="str">
        <f aca="false">IF(P462&lt;10,"a) &lt;10s",IF(P462&lt;60,"b) 10-60s",IF(P462&lt;600,"c) 1-10min","d) &gt;10min")))</f>
        <v>d) &gt;10min</v>
      </c>
      <c r="R462" s="38" t="n">
        <v>1976.89</v>
      </c>
      <c r="S462" s="38" t="n">
        <v>1976.89</v>
      </c>
      <c r="T462" s="22" t="s">
        <v>189</v>
      </c>
      <c r="U462" s="39" t="n">
        <f aca="false">IF(R462="","",IF(F462="BUY",R462-S462,S462-R462))</f>
        <v>0</v>
      </c>
      <c r="V462" s="39" t="n">
        <f aca="false">IF(F462="BUY",S462-J462,J462-S462)</f>
        <v>0.5</v>
      </c>
      <c r="W462" s="6" t="n">
        <v>3</v>
      </c>
      <c r="X462" s="26" t="n">
        <f aca="false">IFERROR(W462/N462,0)</f>
        <v>0.0833333333333333</v>
      </c>
      <c r="Y462" s="22" t="str">
        <f aca="false">IF(W462&gt;0,"Win",IF(W462&lt;0,"Loss","Flat"))</f>
        <v>Win</v>
      </c>
      <c r="Z462" s="24" t="n">
        <f aca="false">Summary!$C$5+SUM(W$2:W462)</f>
        <v>4145.39</v>
      </c>
      <c r="AA462" s="24" t="n">
        <f aca="false">MAX(AA461,Z462)</f>
        <v>5000</v>
      </c>
      <c r="AB462" s="24" t="n">
        <f aca="false">AA462-Z462</f>
        <v>854.61</v>
      </c>
      <c r="AC462" s="23" t="n">
        <f aca="false">IFERROR(AB462/AA462,0)</f>
        <v>0.170922</v>
      </c>
      <c r="AD462" s="22" t="s">
        <v>699</v>
      </c>
    </row>
    <row r="463" customFormat="false" ht="15" hidden="false" customHeight="false" outlineLevel="0" collapsed="false">
      <c r="A463" s="22" t="n">
        <v>462</v>
      </c>
      <c r="B463" s="22" t="s">
        <v>133</v>
      </c>
      <c r="C463" s="37" t="n">
        <v>45065.3805439815</v>
      </c>
      <c r="D463" s="22" t="s">
        <v>206</v>
      </c>
      <c r="E463" s="22" t="n">
        <v>9</v>
      </c>
      <c r="F463" s="22" t="s">
        <v>181</v>
      </c>
      <c r="G463" s="22" t="s">
        <v>235</v>
      </c>
      <c r="H463" s="22" t="n">
        <v>0.06</v>
      </c>
      <c r="I463" s="38" t="n">
        <v>1964</v>
      </c>
      <c r="J463" s="38" t="n">
        <v>1964</v>
      </c>
      <c r="K463" s="39" t="n">
        <f aca="false">IF(F463="BUY",J463-I463,I463-J463)</f>
        <v>0</v>
      </c>
      <c r="L463" s="38" t="n">
        <v>1958</v>
      </c>
      <c r="M463" s="39" t="n">
        <f aca="false">ABS(I463-L463)</f>
        <v>6</v>
      </c>
      <c r="N463" s="24" t="n">
        <f aca="false">M463*H463*Summary!$C$6</f>
        <v>36</v>
      </c>
      <c r="O463" s="37" t="n">
        <v>45065.4144791667</v>
      </c>
      <c r="P463" s="22" t="n">
        <f aca="false">ROUND((O463-C463)*86400,0)</f>
        <v>2932</v>
      </c>
      <c r="Q463" s="22" t="str">
        <f aca="false">IF(P463&lt;10,"a) &lt;10s",IF(P463&lt;60,"b) 10-60s",IF(P463&lt;600,"c) 1-10min","d) &gt;10min")))</f>
        <v>d) &gt;10min</v>
      </c>
      <c r="R463" s="38" t="n">
        <v>1964.5</v>
      </c>
      <c r="S463" s="38" t="n">
        <v>1964.44</v>
      </c>
      <c r="T463" s="22" t="s">
        <v>189</v>
      </c>
      <c r="U463" s="39" t="n">
        <f aca="false">IF(R463="","",IF(F463="BUY",R463-S463,S463-R463))</f>
        <v>0.0599999999999454</v>
      </c>
      <c r="V463" s="39" t="n">
        <f aca="false">IF(F463="BUY",S463-J463,J463-S463)</f>
        <v>0.440000000000055</v>
      </c>
      <c r="W463" s="6" t="n">
        <v>2.64</v>
      </c>
      <c r="X463" s="26" t="n">
        <f aca="false">IFERROR(W463/N463,0)</f>
        <v>0.0733333333333333</v>
      </c>
      <c r="Y463" s="22" t="str">
        <f aca="false">IF(W463&gt;0,"Win",IF(W463&lt;0,"Loss","Flat"))</f>
        <v>Win</v>
      </c>
      <c r="Z463" s="24" t="n">
        <f aca="false">Summary!$C$5+SUM(W$2:W463)</f>
        <v>4148.03</v>
      </c>
      <c r="AA463" s="24" t="n">
        <f aca="false">MAX(AA462,Z463)</f>
        <v>5000</v>
      </c>
      <c r="AB463" s="24" t="n">
        <f aca="false">AA463-Z463</f>
        <v>851.97</v>
      </c>
      <c r="AC463" s="23" t="n">
        <f aca="false">IFERROR(AB463/AA463,0)</f>
        <v>0.170394</v>
      </c>
      <c r="AD463" s="22" t="s">
        <v>700</v>
      </c>
    </row>
    <row r="464" customFormat="false" ht="15" hidden="false" customHeight="false" outlineLevel="0" collapsed="false">
      <c r="A464" s="22" t="n">
        <v>463</v>
      </c>
      <c r="B464" s="22" t="s">
        <v>133</v>
      </c>
      <c r="C464" s="37" t="n">
        <v>45068.3812615741</v>
      </c>
      <c r="D464" s="22" t="s">
        <v>202</v>
      </c>
      <c r="E464" s="22" t="n">
        <v>9</v>
      </c>
      <c r="F464" s="22" t="s">
        <v>182</v>
      </c>
      <c r="G464" s="22" t="s">
        <v>241</v>
      </c>
      <c r="H464" s="22" t="n">
        <v>0.06</v>
      </c>
      <c r="I464" s="38" t="n">
        <v>1972.27</v>
      </c>
      <c r="J464" s="38" t="n">
        <v>1972.26</v>
      </c>
      <c r="K464" s="39" t="n">
        <f aca="false">IF(F464="BUY",J464-I464,I464-J464)</f>
        <v>0.00999999999999091</v>
      </c>
      <c r="L464" s="38" t="n">
        <v>1978.27</v>
      </c>
      <c r="M464" s="39" t="n">
        <f aca="false">ABS(I464-L464)</f>
        <v>6</v>
      </c>
      <c r="N464" s="24" t="n">
        <f aca="false">M464*H464*Summary!$C$6</f>
        <v>36</v>
      </c>
      <c r="O464" s="37" t="n">
        <v>45068.4216782407</v>
      </c>
      <c r="P464" s="22" t="n">
        <f aca="false">ROUND((O464-C464)*86400,0)</f>
        <v>3492</v>
      </c>
      <c r="Q464" s="22" t="str">
        <f aca="false">IF(P464&lt;10,"a) &lt;10s",IF(P464&lt;60,"b) 10-60s",IF(P464&lt;600,"c) 1-10min","d) &gt;10min")))</f>
        <v>d) &gt;10min</v>
      </c>
      <c r="R464" s="38" t="n">
        <v>1978.27</v>
      </c>
      <c r="S464" s="38" t="n">
        <v>1978.29</v>
      </c>
      <c r="T464" s="22" t="s">
        <v>188</v>
      </c>
      <c r="U464" s="39" t="n">
        <f aca="false">IF(R464="","",IF(F464="BUY",R464-S464,S464-R464))</f>
        <v>0.0199999999999818</v>
      </c>
      <c r="V464" s="39" t="n">
        <f aca="false">IF(F464="BUY",S464-J464,J464-S464)</f>
        <v>-6.02999999999997</v>
      </c>
      <c r="W464" s="6" t="n">
        <v>-36.18</v>
      </c>
      <c r="X464" s="26" t="n">
        <f aca="false">IFERROR(W464/N464,0)</f>
        <v>-1.005</v>
      </c>
      <c r="Y464" s="22" t="str">
        <f aca="false">IF(W464&gt;0,"Win",IF(W464&lt;0,"Loss","Flat"))</f>
        <v>Loss</v>
      </c>
      <c r="Z464" s="24" t="n">
        <f aca="false">Summary!$C$5+SUM(W$2:W464)</f>
        <v>4111.85</v>
      </c>
      <c r="AA464" s="24" t="n">
        <f aca="false">MAX(AA463,Z464)</f>
        <v>5000</v>
      </c>
      <c r="AB464" s="24" t="n">
        <f aca="false">AA464-Z464</f>
        <v>888.15</v>
      </c>
      <c r="AC464" s="23" t="n">
        <f aca="false">IFERROR(AB464/AA464,0)</f>
        <v>0.17763</v>
      </c>
      <c r="AD464" s="22" t="s">
        <v>701</v>
      </c>
    </row>
    <row r="465" customFormat="false" ht="15" hidden="false" customHeight="false" outlineLevel="0" collapsed="false">
      <c r="A465" s="22" t="n">
        <v>464</v>
      </c>
      <c r="B465" s="22" t="s">
        <v>133</v>
      </c>
      <c r="C465" s="37" t="n">
        <v>45069.1650115741</v>
      </c>
      <c r="D465" s="22" t="s">
        <v>203</v>
      </c>
      <c r="E465" s="22" t="n">
        <v>3</v>
      </c>
      <c r="F465" s="22" t="s">
        <v>182</v>
      </c>
      <c r="G465" s="22" t="s">
        <v>237</v>
      </c>
      <c r="H465" s="22" t="n">
        <v>0.06</v>
      </c>
      <c r="I465" s="38" t="n">
        <v>1968.77</v>
      </c>
      <c r="J465" s="38" t="n">
        <v>1968.74</v>
      </c>
      <c r="K465" s="39" t="n">
        <f aca="false">IF(F465="BUY",J465-I465,I465-J465)</f>
        <v>0.0299999999999727</v>
      </c>
      <c r="L465" s="38" t="n">
        <v>1974.77</v>
      </c>
      <c r="M465" s="39" t="n">
        <f aca="false">ABS(I465-L465)</f>
        <v>6</v>
      </c>
      <c r="N465" s="24" t="n">
        <f aca="false">M465*H465*Summary!$C$6</f>
        <v>36</v>
      </c>
      <c r="O465" s="37" t="n">
        <v>45069.6865277778</v>
      </c>
      <c r="P465" s="22" t="n">
        <f aca="false">ROUND((O465-C465)*86400,0)</f>
        <v>45059</v>
      </c>
      <c r="Q465" s="22" t="str">
        <f aca="false">IF(P465&lt;10,"a) &lt;10s",IF(P465&lt;60,"b) 10-60s",IF(P465&lt;600,"c) 1-10min","d) &gt;10min")))</f>
        <v>d) &gt;10min</v>
      </c>
      <c r="R465" s="38" t="n">
        <v>1968.24</v>
      </c>
      <c r="S465" s="38" t="n">
        <v>1968.32</v>
      </c>
      <c r="T465" s="22" t="s">
        <v>189</v>
      </c>
      <c r="U465" s="39" t="n">
        <f aca="false">IF(R465="","",IF(F465="BUY",R465-S465,S465-R465))</f>
        <v>0.0799999999999272</v>
      </c>
      <c r="V465" s="39" t="n">
        <f aca="false">IF(F465="BUY",S465-J465,J465-S465)</f>
        <v>0.420000000000073</v>
      </c>
      <c r="W465" s="6" t="n">
        <v>2.52</v>
      </c>
      <c r="X465" s="26" t="n">
        <f aca="false">IFERROR(W465/N465,0)</f>
        <v>0.07</v>
      </c>
      <c r="Y465" s="22" t="str">
        <f aca="false">IF(W465&gt;0,"Win",IF(W465&lt;0,"Loss","Flat"))</f>
        <v>Win</v>
      </c>
      <c r="Z465" s="24" t="n">
        <f aca="false">Summary!$C$5+SUM(W$2:W465)</f>
        <v>4114.37</v>
      </c>
      <c r="AA465" s="24" t="n">
        <f aca="false">MAX(AA464,Z465)</f>
        <v>5000</v>
      </c>
      <c r="AB465" s="24" t="n">
        <f aca="false">AA465-Z465</f>
        <v>885.63</v>
      </c>
      <c r="AC465" s="23" t="n">
        <f aca="false">IFERROR(AB465/AA465,0)</f>
        <v>0.177126</v>
      </c>
      <c r="AD465" s="22" t="s">
        <v>702</v>
      </c>
    </row>
    <row r="466" customFormat="false" ht="15" hidden="false" customHeight="false" outlineLevel="0" collapsed="false">
      <c r="A466" s="22" t="n">
        <v>465</v>
      </c>
      <c r="B466" s="22" t="s">
        <v>133</v>
      </c>
      <c r="C466" s="37" t="n">
        <v>45070.0834490741</v>
      </c>
      <c r="D466" s="22" t="s">
        <v>204</v>
      </c>
      <c r="E466" s="22" t="n">
        <v>2</v>
      </c>
      <c r="F466" s="22" t="s">
        <v>181</v>
      </c>
      <c r="G466" s="22" t="s">
        <v>243</v>
      </c>
      <c r="H466" s="22" t="n">
        <v>0.06</v>
      </c>
      <c r="I466" s="38" t="n">
        <v>1977.55</v>
      </c>
      <c r="J466" s="38" t="n">
        <v>1977.57</v>
      </c>
      <c r="K466" s="39" t="n">
        <f aca="false">IF(F466="BUY",J466-I466,I466-J466)</f>
        <v>0.0199999999999818</v>
      </c>
      <c r="L466" s="38" t="n">
        <v>1971.55</v>
      </c>
      <c r="M466" s="39" t="n">
        <f aca="false">ABS(I466-L466)</f>
        <v>6</v>
      </c>
      <c r="N466" s="24" t="n">
        <f aca="false">M466*H466*Summary!$C$6</f>
        <v>36</v>
      </c>
      <c r="O466" s="37" t="n">
        <v>45070.3777777778</v>
      </c>
      <c r="P466" s="22" t="n">
        <f aca="false">ROUND((O466-C466)*86400,0)</f>
        <v>25430</v>
      </c>
      <c r="Q466" s="22" t="str">
        <f aca="false">IF(P466&lt;10,"a) &lt;10s",IF(P466&lt;60,"b) 10-60s",IF(P466&lt;600,"c) 1-10min","d) &gt;10min")))</f>
        <v>d) &gt;10min</v>
      </c>
      <c r="R466" s="38" t="n">
        <v>1978.07</v>
      </c>
      <c r="S466" s="38" t="n">
        <v>1978.06</v>
      </c>
      <c r="T466" s="22" t="s">
        <v>189</v>
      </c>
      <c r="U466" s="39" t="n">
        <f aca="false">IF(R466="","",IF(F466="BUY",R466-S466,S466-R466))</f>
        <v>0.00999999999999091</v>
      </c>
      <c r="V466" s="39" t="n">
        <f aca="false">IF(F466="BUY",S466-J466,J466-S466)</f>
        <v>0.490000000000009</v>
      </c>
      <c r="W466" s="6" t="n">
        <v>2.94</v>
      </c>
      <c r="X466" s="26" t="n">
        <f aca="false">IFERROR(W466/N466,0)</f>
        <v>0.0816666666666667</v>
      </c>
      <c r="Y466" s="22" t="str">
        <f aca="false">IF(W466&gt;0,"Win",IF(W466&lt;0,"Loss","Flat"))</f>
        <v>Win</v>
      </c>
      <c r="Z466" s="24" t="n">
        <f aca="false">Summary!$C$5+SUM(W$2:W466)</f>
        <v>4117.31</v>
      </c>
      <c r="AA466" s="24" t="n">
        <f aca="false">MAX(AA465,Z466)</f>
        <v>5000</v>
      </c>
      <c r="AB466" s="24" t="n">
        <f aca="false">AA466-Z466</f>
        <v>882.690000000001</v>
      </c>
      <c r="AC466" s="23" t="n">
        <f aca="false">IFERROR(AB466/AA466,0)</f>
        <v>0.176538</v>
      </c>
      <c r="AD466" s="22" t="s">
        <v>703</v>
      </c>
    </row>
    <row r="467" customFormat="false" ht="15" hidden="false" customHeight="false" outlineLevel="0" collapsed="false">
      <c r="A467" s="22" t="n">
        <v>466</v>
      </c>
      <c r="B467" s="22" t="s">
        <v>133</v>
      </c>
      <c r="C467" s="37" t="n">
        <v>45070.3839351852</v>
      </c>
      <c r="D467" s="22" t="s">
        <v>204</v>
      </c>
      <c r="E467" s="22" t="n">
        <v>9</v>
      </c>
      <c r="F467" s="22" t="s">
        <v>182</v>
      </c>
      <c r="G467" s="22" t="s">
        <v>241</v>
      </c>
      <c r="H467" s="22" t="n">
        <v>0.06</v>
      </c>
      <c r="I467" s="38" t="n">
        <v>1976.13</v>
      </c>
      <c r="J467" s="38" t="n">
        <v>1976.13</v>
      </c>
      <c r="K467" s="39" t="n">
        <f aca="false">IF(F467="BUY",J467-I467,I467-J467)</f>
        <v>0</v>
      </c>
      <c r="L467" s="38" t="n">
        <v>1982.13</v>
      </c>
      <c r="M467" s="39" t="n">
        <f aca="false">ABS(I467-L467)</f>
        <v>6</v>
      </c>
      <c r="N467" s="24" t="n">
        <f aca="false">M467*H467*Summary!$C$6</f>
        <v>36</v>
      </c>
      <c r="O467" s="37" t="n">
        <v>45070.4456134259</v>
      </c>
      <c r="P467" s="22" t="n">
        <f aca="false">ROUND((O467-C467)*86400,0)</f>
        <v>5329</v>
      </c>
      <c r="Q467" s="22" t="str">
        <f aca="false">IF(P467&lt;10,"a) &lt;10s",IF(P467&lt;60,"b) 10-60s",IF(P467&lt;600,"c) 1-10min","d) &gt;10min")))</f>
        <v>d) &gt;10min</v>
      </c>
      <c r="R467" s="38" t="n">
        <v>1975.63</v>
      </c>
      <c r="S467" s="38" t="n">
        <v>1975.68</v>
      </c>
      <c r="T467" s="22" t="s">
        <v>189</v>
      </c>
      <c r="U467" s="39" t="n">
        <f aca="false">IF(R467="","",IF(F467="BUY",R467-S467,S467-R467))</f>
        <v>0.0499999999999545</v>
      </c>
      <c r="V467" s="39" t="n">
        <f aca="false">IF(F467="BUY",S467-J467,J467-S467)</f>
        <v>0.450000000000046</v>
      </c>
      <c r="W467" s="6" t="n">
        <v>2.7</v>
      </c>
      <c r="X467" s="26" t="n">
        <f aca="false">IFERROR(W467/N467,0)</f>
        <v>0.075</v>
      </c>
      <c r="Y467" s="22" t="str">
        <f aca="false">IF(W467&gt;0,"Win",IF(W467&lt;0,"Loss","Flat"))</f>
        <v>Win</v>
      </c>
      <c r="Z467" s="24" t="n">
        <f aca="false">Summary!$C$5+SUM(W$2:W467)</f>
        <v>4120.01</v>
      </c>
      <c r="AA467" s="24" t="n">
        <f aca="false">MAX(AA466,Z467)</f>
        <v>5000</v>
      </c>
      <c r="AB467" s="24" t="n">
        <f aca="false">AA467-Z467</f>
        <v>879.99</v>
      </c>
      <c r="AC467" s="23" t="n">
        <f aca="false">IFERROR(AB467/AA467,0)</f>
        <v>0.175998</v>
      </c>
      <c r="AD467" s="22" t="s">
        <v>704</v>
      </c>
    </row>
    <row r="468" customFormat="false" ht="15" hidden="false" customHeight="false" outlineLevel="0" collapsed="false">
      <c r="A468" s="22" t="n">
        <v>467</v>
      </c>
      <c r="B468" s="22" t="s">
        <v>133</v>
      </c>
      <c r="C468" s="37" t="n">
        <v>45071.3800810185</v>
      </c>
      <c r="D468" s="22" t="s">
        <v>205</v>
      </c>
      <c r="E468" s="22" t="n">
        <v>9</v>
      </c>
      <c r="F468" s="22" t="s">
        <v>182</v>
      </c>
      <c r="G468" s="22" t="s">
        <v>241</v>
      </c>
      <c r="H468" s="22" t="n">
        <v>0.06</v>
      </c>
      <c r="I468" s="38" t="n">
        <v>1954.84</v>
      </c>
      <c r="J468" s="38" t="n">
        <v>1954.84</v>
      </c>
      <c r="K468" s="39" t="n">
        <f aca="false">IF(F468="BUY",J468-I468,I468-J468)</f>
        <v>0</v>
      </c>
      <c r="L468" s="38" t="n">
        <v>1960.84</v>
      </c>
      <c r="M468" s="39" t="n">
        <f aca="false">ABS(I468-L468)</f>
        <v>6</v>
      </c>
      <c r="N468" s="24" t="n">
        <f aca="false">M468*H468*Summary!$C$6</f>
        <v>36</v>
      </c>
      <c r="O468" s="37" t="n">
        <v>45071.4369907407</v>
      </c>
      <c r="P468" s="22" t="n">
        <f aca="false">ROUND((O468-C468)*86400,0)</f>
        <v>4917</v>
      </c>
      <c r="Q468" s="22" t="str">
        <f aca="false">IF(P468&lt;10,"a) &lt;10s",IF(P468&lt;60,"b) 10-60s",IF(P468&lt;600,"c) 1-10min","d) &gt;10min")))</f>
        <v>d) &gt;10min</v>
      </c>
      <c r="R468" s="38" t="n">
        <v>1960.84</v>
      </c>
      <c r="S468" s="38" t="n">
        <v>1960.86</v>
      </c>
      <c r="T468" s="22" t="s">
        <v>188</v>
      </c>
      <c r="U468" s="39" t="n">
        <f aca="false">IF(R468="","",IF(F468="BUY",R468-S468,S468-R468))</f>
        <v>0.0199999999999818</v>
      </c>
      <c r="V468" s="39" t="n">
        <f aca="false">IF(F468="BUY",S468-J468,J468-S468)</f>
        <v>-6.01999999999998</v>
      </c>
      <c r="W468" s="6" t="n">
        <v>-36.12</v>
      </c>
      <c r="X468" s="26" t="n">
        <f aca="false">IFERROR(W468/N468,0)</f>
        <v>-1.00333333333333</v>
      </c>
      <c r="Y468" s="22" t="str">
        <f aca="false">IF(W468&gt;0,"Win",IF(W468&lt;0,"Loss","Flat"))</f>
        <v>Loss</v>
      </c>
      <c r="Z468" s="24" t="n">
        <f aca="false">Summary!$C$5+SUM(W$2:W468)</f>
        <v>4083.89</v>
      </c>
      <c r="AA468" s="24" t="n">
        <f aca="false">MAX(AA467,Z468)</f>
        <v>5000</v>
      </c>
      <c r="AB468" s="24" t="n">
        <f aca="false">AA468-Z468</f>
        <v>916.11</v>
      </c>
      <c r="AC468" s="23" t="n">
        <f aca="false">IFERROR(AB468/AA468,0)</f>
        <v>0.183222</v>
      </c>
      <c r="AD468" s="22" t="s">
        <v>705</v>
      </c>
    </row>
    <row r="469" customFormat="false" ht="15" hidden="false" customHeight="false" outlineLevel="0" collapsed="false">
      <c r="A469" s="22" t="n">
        <v>468</v>
      </c>
      <c r="B469" s="22" t="s">
        <v>133</v>
      </c>
      <c r="C469" s="37" t="n">
        <v>45072.1580439815</v>
      </c>
      <c r="D469" s="22" t="s">
        <v>206</v>
      </c>
      <c r="E469" s="22" t="n">
        <v>3</v>
      </c>
      <c r="F469" s="22" t="s">
        <v>182</v>
      </c>
      <c r="G469" s="22" t="s">
        <v>237</v>
      </c>
      <c r="H469" s="22" t="n">
        <v>0.06</v>
      </c>
      <c r="I469" s="38" t="n">
        <v>1938.66</v>
      </c>
      <c r="J469" s="38" t="n">
        <v>1938.65</v>
      </c>
      <c r="K469" s="39" t="n">
        <f aca="false">IF(F469="BUY",J469-I469,I469-J469)</f>
        <v>0.00999999999999091</v>
      </c>
      <c r="L469" s="38" t="n">
        <v>1944.66</v>
      </c>
      <c r="M469" s="39" t="n">
        <f aca="false">ABS(I469-L469)</f>
        <v>6</v>
      </c>
      <c r="N469" s="24" t="n">
        <f aca="false">M469*H469*Summary!$C$6</f>
        <v>36</v>
      </c>
      <c r="O469" s="37" t="n">
        <v>45072.1894328704</v>
      </c>
      <c r="P469" s="22" t="n">
        <f aca="false">ROUND((O469-C469)*86400,0)</f>
        <v>2712</v>
      </c>
      <c r="Q469" s="22" t="str">
        <f aca="false">IF(P469&lt;10,"a) &lt;10s",IF(P469&lt;60,"b) 10-60s",IF(P469&lt;600,"c) 1-10min","d) &gt;10min")))</f>
        <v>d) &gt;10min</v>
      </c>
      <c r="R469" s="38" t="n">
        <v>1944.66</v>
      </c>
      <c r="S469" s="38" t="n">
        <v>1944.66</v>
      </c>
      <c r="T469" s="22" t="s">
        <v>188</v>
      </c>
      <c r="U469" s="39" t="n">
        <f aca="false">IF(R469="","",IF(F469="BUY",R469-S469,S469-R469))</f>
        <v>0</v>
      </c>
      <c r="V469" s="39" t="n">
        <f aca="false">IF(F469="BUY",S469-J469,J469-S469)</f>
        <v>-6.00999999999999</v>
      </c>
      <c r="W469" s="6" t="n">
        <v>-36.06</v>
      </c>
      <c r="X469" s="26" t="n">
        <f aca="false">IFERROR(W469/N469,0)</f>
        <v>-1.00166666666667</v>
      </c>
      <c r="Y469" s="22" t="str">
        <f aca="false">IF(W469&gt;0,"Win",IF(W469&lt;0,"Loss","Flat"))</f>
        <v>Loss</v>
      </c>
      <c r="Z469" s="24" t="n">
        <f aca="false">Summary!$C$5+SUM(W$2:W469)</f>
        <v>4047.83</v>
      </c>
      <c r="AA469" s="24" t="n">
        <f aca="false">MAX(AA468,Z469)</f>
        <v>5000</v>
      </c>
      <c r="AB469" s="24" t="n">
        <f aca="false">AA469-Z469</f>
        <v>952.17</v>
      </c>
      <c r="AC469" s="23" t="n">
        <f aca="false">IFERROR(AB469/AA469,0)</f>
        <v>0.190434</v>
      </c>
      <c r="AD469" s="22" t="s">
        <v>706</v>
      </c>
    </row>
    <row r="470" customFormat="false" ht="15" hidden="false" customHeight="false" outlineLevel="0" collapsed="false">
      <c r="A470" s="22" t="n">
        <v>469</v>
      </c>
      <c r="B470" s="22" t="s">
        <v>133</v>
      </c>
      <c r="C470" s="37" t="n">
        <v>45072.3871875</v>
      </c>
      <c r="D470" s="22" t="s">
        <v>206</v>
      </c>
      <c r="E470" s="22" t="n">
        <v>9</v>
      </c>
      <c r="F470" s="22" t="s">
        <v>182</v>
      </c>
      <c r="G470" s="22" t="s">
        <v>241</v>
      </c>
      <c r="H470" s="22" t="n">
        <v>0.06</v>
      </c>
      <c r="I470" s="38" t="n">
        <v>1946.96</v>
      </c>
      <c r="J470" s="38" t="n">
        <v>1946.96</v>
      </c>
      <c r="K470" s="39" t="n">
        <f aca="false">IF(F470="BUY",J470-I470,I470-J470)</f>
        <v>0</v>
      </c>
      <c r="L470" s="38" t="n">
        <v>1952.96</v>
      </c>
      <c r="M470" s="39" t="n">
        <f aca="false">ABS(I470-L470)</f>
        <v>6</v>
      </c>
      <c r="N470" s="24" t="n">
        <f aca="false">M470*H470*Summary!$C$6</f>
        <v>36</v>
      </c>
      <c r="O470" s="37" t="n">
        <v>45072.4394560185</v>
      </c>
      <c r="P470" s="22" t="n">
        <f aca="false">ROUND((O470-C470)*86400,0)</f>
        <v>4516</v>
      </c>
      <c r="Q470" s="22" t="str">
        <f aca="false">IF(P470&lt;10,"a) &lt;10s",IF(P470&lt;60,"b) 10-60s",IF(P470&lt;600,"c) 1-10min","d) &gt;10min")))</f>
        <v>d) &gt;10min</v>
      </c>
      <c r="R470" s="38" t="n">
        <v>1952.96</v>
      </c>
      <c r="S470" s="38" t="n">
        <v>1952.97</v>
      </c>
      <c r="T470" s="22" t="s">
        <v>188</v>
      </c>
      <c r="U470" s="39" t="n">
        <f aca="false">IF(R470="","",IF(F470="BUY",R470-S470,S470-R470))</f>
        <v>0.00999999999999091</v>
      </c>
      <c r="V470" s="39" t="n">
        <f aca="false">IF(F470="BUY",S470-J470,J470-S470)</f>
        <v>-6.00999999999999</v>
      </c>
      <c r="W470" s="6" t="n">
        <v>-36.06</v>
      </c>
      <c r="X470" s="26" t="n">
        <f aca="false">IFERROR(W470/N470,0)</f>
        <v>-1.00166666666667</v>
      </c>
      <c r="Y470" s="22" t="str">
        <f aca="false">IF(W470&gt;0,"Win",IF(W470&lt;0,"Loss","Flat"))</f>
        <v>Loss</v>
      </c>
      <c r="Z470" s="24" t="n">
        <f aca="false">Summary!$C$5+SUM(W$2:W470)</f>
        <v>4011.77</v>
      </c>
      <c r="AA470" s="24" t="n">
        <f aca="false">MAX(AA469,Z470)</f>
        <v>5000</v>
      </c>
      <c r="AB470" s="24" t="n">
        <f aca="false">AA470-Z470</f>
        <v>988.23</v>
      </c>
      <c r="AC470" s="23" t="n">
        <f aca="false">IFERROR(AB470/AA470,0)</f>
        <v>0.197646</v>
      </c>
      <c r="AD470" s="22" t="s">
        <v>707</v>
      </c>
    </row>
    <row r="471" customFormat="false" ht="15" hidden="false" customHeight="false" outlineLevel="0" collapsed="false">
      <c r="A471" s="22" t="n">
        <v>470</v>
      </c>
      <c r="B471" s="22" t="s">
        <v>133</v>
      </c>
      <c r="C471" s="37" t="n">
        <v>45075.4243287037</v>
      </c>
      <c r="D471" s="22" t="s">
        <v>202</v>
      </c>
      <c r="E471" s="22" t="n">
        <v>10</v>
      </c>
      <c r="F471" s="22" t="s">
        <v>182</v>
      </c>
      <c r="G471" s="22" t="s">
        <v>241</v>
      </c>
      <c r="H471" s="22" t="n">
        <v>0.06</v>
      </c>
      <c r="I471" s="38" t="n">
        <v>1945</v>
      </c>
      <c r="J471" s="38" t="n">
        <v>1944.95</v>
      </c>
      <c r="K471" s="39" t="n">
        <f aca="false">IF(F471="BUY",J471-I471,I471-J471)</f>
        <v>0.0499999999999545</v>
      </c>
      <c r="L471" s="38" t="n">
        <v>1951</v>
      </c>
      <c r="M471" s="39" t="n">
        <f aca="false">ABS(I471-L471)</f>
        <v>6</v>
      </c>
      <c r="N471" s="24" t="n">
        <f aca="false">M471*H471*Summary!$C$6</f>
        <v>36</v>
      </c>
      <c r="O471" s="37" t="n">
        <v>45075.4892592593</v>
      </c>
      <c r="P471" s="22" t="n">
        <f aca="false">ROUND((O471-C471)*86400,0)</f>
        <v>5610</v>
      </c>
      <c r="Q471" s="22" t="str">
        <f aca="false">IF(P471&lt;10,"a) &lt;10s",IF(P471&lt;60,"b) 10-60s",IF(P471&lt;600,"c) 1-10min","d) &gt;10min")))</f>
        <v>d) &gt;10min</v>
      </c>
      <c r="R471" s="38" t="n">
        <v>1944.45</v>
      </c>
      <c r="S471" s="38" t="n">
        <v>1944.52</v>
      </c>
      <c r="T471" s="22" t="s">
        <v>189</v>
      </c>
      <c r="U471" s="39" t="n">
        <f aca="false">IF(R471="","",IF(F471="BUY",R471-S471,S471-R471))</f>
        <v>0.0699999999999363</v>
      </c>
      <c r="V471" s="39" t="n">
        <f aca="false">IF(F471="BUY",S471-J471,J471-S471)</f>
        <v>0.430000000000064</v>
      </c>
      <c r="W471" s="6" t="n">
        <v>2.58</v>
      </c>
      <c r="X471" s="26" t="n">
        <f aca="false">IFERROR(W471/N471,0)</f>
        <v>0.0716666666666667</v>
      </c>
      <c r="Y471" s="22" t="str">
        <f aca="false">IF(W471&gt;0,"Win",IF(W471&lt;0,"Loss","Flat"))</f>
        <v>Win</v>
      </c>
      <c r="Z471" s="24" t="n">
        <f aca="false">Summary!$C$5+SUM(W$2:W471)</f>
        <v>4014.35</v>
      </c>
      <c r="AA471" s="24" t="n">
        <f aca="false">MAX(AA470,Z471)</f>
        <v>5000</v>
      </c>
      <c r="AB471" s="24" t="n">
        <f aca="false">AA471-Z471</f>
        <v>985.65</v>
      </c>
      <c r="AC471" s="23" t="n">
        <f aca="false">IFERROR(AB471/AA471,0)</f>
        <v>0.19713</v>
      </c>
      <c r="AD471" s="22" t="s">
        <v>708</v>
      </c>
    </row>
    <row r="472" customFormat="false" ht="15" hidden="false" customHeight="false" outlineLevel="0" collapsed="false">
      <c r="A472" s="22" t="n">
        <v>471</v>
      </c>
      <c r="B472" s="22" t="s">
        <v>133</v>
      </c>
      <c r="C472" s="37" t="n">
        <v>45076.2871296296</v>
      </c>
      <c r="D472" s="22" t="s">
        <v>203</v>
      </c>
      <c r="E472" s="22" t="n">
        <v>6</v>
      </c>
      <c r="F472" s="22" t="s">
        <v>182</v>
      </c>
      <c r="G472" s="22" t="s">
        <v>237</v>
      </c>
      <c r="H472" s="22" t="n">
        <v>0.06</v>
      </c>
      <c r="I472" s="38" t="n">
        <v>1940.15</v>
      </c>
      <c r="J472" s="38" t="n">
        <v>1940.06</v>
      </c>
      <c r="K472" s="39" t="n">
        <f aca="false">IF(F472="BUY",J472-I472,I472-J472)</f>
        <v>0.0900000000001455</v>
      </c>
      <c r="L472" s="38" t="n">
        <v>1946.15</v>
      </c>
      <c r="M472" s="39" t="n">
        <f aca="false">ABS(I472-L472)</f>
        <v>6</v>
      </c>
      <c r="N472" s="24" t="n">
        <f aca="false">M472*H472*Summary!$C$6</f>
        <v>36</v>
      </c>
      <c r="O472" s="37" t="n">
        <v>45076.4533217593</v>
      </c>
      <c r="P472" s="22" t="n">
        <f aca="false">ROUND((O472-C472)*86400,0)</f>
        <v>14359</v>
      </c>
      <c r="Q472" s="22" t="str">
        <f aca="false">IF(P472&lt;10,"a) &lt;10s",IF(P472&lt;60,"b) 10-60s",IF(P472&lt;600,"c) 1-10min","d) &gt;10min")))</f>
        <v>d) &gt;10min</v>
      </c>
      <c r="R472" s="38" t="n">
        <v>1939.56</v>
      </c>
      <c r="S472" s="38" t="n">
        <v>1939.56</v>
      </c>
      <c r="T472" s="22" t="s">
        <v>189</v>
      </c>
      <c r="U472" s="39" t="n">
        <f aca="false">IF(R472="","",IF(F472="BUY",R472-S472,S472-R472))</f>
        <v>0</v>
      </c>
      <c r="V472" s="39" t="n">
        <f aca="false">IF(F472="BUY",S472-J472,J472-S472)</f>
        <v>0.5</v>
      </c>
      <c r="W472" s="6" t="n">
        <v>3</v>
      </c>
      <c r="X472" s="26" t="n">
        <f aca="false">IFERROR(W472/N472,0)</f>
        <v>0.0833333333333333</v>
      </c>
      <c r="Y472" s="22" t="str">
        <f aca="false">IF(W472&gt;0,"Win",IF(W472&lt;0,"Loss","Flat"))</f>
        <v>Win</v>
      </c>
      <c r="Z472" s="24" t="n">
        <f aca="false">Summary!$C$5+SUM(W$2:W472)</f>
        <v>4017.35</v>
      </c>
      <c r="AA472" s="24" t="n">
        <f aca="false">MAX(AA471,Z472)</f>
        <v>5000</v>
      </c>
      <c r="AB472" s="24" t="n">
        <f aca="false">AA472-Z472</f>
        <v>982.65</v>
      </c>
      <c r="AC472" s="23" t="n">
        <f aca="false">IFERROR(AB472/AA472,0)</f>
        <v>0.19653</v>
      </c>
      <c r="AD472" s="22" t="s">
        <v>709</v>
      </c>
    </row>
    <row r="473" customFormat="false" ht="15" hidden="false" customHeight="false" outlineLevel="0" collapsed="false">
      <c r="A473" s="22" t="n">
        <v>472</v>
      </c>
      <c r="B473" s="22" t="s">
        <v>133</v>
      </c>
      <c r="C473" s="37" t="n">
        <v>45076.4564930556</v>
      </c>
      <c r="D473" s="22" t="s">
        <v>203</v>
      </c>
      <c r="E473" s="22" t="n">
        <v>10</v>
      </c>
      <c r="F473" s="22" t="s">
        <v>181</v>
      </c>
      <c r="G473" s="22" t="s">
        <v>235</v>
      </c>
      <c r="H473" s="22" t="n">
        <v>0.06</v>
      </c>
      <c r="I473" s="38" t="n">
        <v>1940.82</v>
      </c>
      <c r="J473" s="38" t="n">
        <v>1940.85</v>
      </c>
      <c r="K473" s="39" t="n">
        <f aca="false">IF(F473="BUY",J473-I473,I473-J473)</f>
        <v>0.0299999999999727</v>
      </c>
      <c r="L473" s="38" t="n">
        <v>1934.82</v>
      </c>
      <c r="M473" s="39" t="n">
        <f aca="false">ABS(I473-L473)</f>
        <v>6</v>
      </c>
      <c r="N473" s="24" t="n">
        <f aca="false">M473*H473*Summary!$C$6</f>
        <v>36</v>
      </c>
      <c r="O473" s="37" t="n">
        <v>45076.9270833333</v>
      </c>
      <c r="P473" s="22" t="n">
        <f aca="false">ROUND((O473-C473)*86400,0)</f>
        <v>40659</v>
      </c>
      <c r="Q473" s="22" t="str">
        <f aca="false">IF(P473&lt;10,"a) &lt;10s",IF(P473&lt;60,"b) 10-60s",IF(P473&lt;600,"c) 1-10min","d) &gt;10min")))</f>
        <v>d) &gt;10min</v>
      </c>
      <c r="R473" s="38"/>
      <c r="S473" s="38" t="n">
        <v>1958.77</v>
      </c>
      <c r="T473" s="22" t="s">
        <v>191</v>
      </c>
      <c r="U473" s="39" t="str">
        <f aca="false">IF(R473="","",IF(F473="BUY",R473-S473,S473-R473))</f>
        <v/>
      </c>
      <c r="V473" s="39" t="n">
        <f aca="false">IF(F473="BUY",S473-J473,J473-S473)</f>
        <v>17.9200000000001</v>
      </c>
      <c r="W473" s="6" t="n">
        <v>107.52</v>
      </c>
      <c r="X473" s="26" t="n">
        <f aca="false">IFERROR(W473/N473,0)</f>
        <v>2.98666666666667</v>
      </c>
      <c r="Y473" s="22" t="str">
        <f aca="false">IF(W473&gt;0,"Win",IF(W473&lt;0,"Loss","Flat"))</f>
        <v>Win</v>
      </c>
      <c r="Z473" s="24" t="n">
        <f aca="false">Summary!$C$5+SUM(W$2:W473)</f>
        <v>4124.87</v>
      </c>
      <c r="AA473" s="24" t="n">
        <f aca="false">MAX(AA472,Z473)</f>
        <v>5000</v>
      </c>
      <c r="AB473" s="24" t="n">
        <f aca="false">AA473-Z473</f>
        <v>875.13</v>
      </c>
      <c r="AC473" s="23" t="n">
        <f aca="false">IFERROR(AB473/AA473,0)</f>
        <v>0.175026</v>
      </c>
      <c r="AD473" s="22" t="s">
        <v>710</v>
      </c>
    </row>
    <row r="474" customFormat="false" ht="15" hidden="false" customHeight="false" outlineLevel="0" collapsed="false">
      <c r="A474" s="22" t="n">
        <v>473</v>
      </c>
      <c r="B474" s="22" t="s">
        <v>133</v>
      </c>
      <c r="C474" s="37" t="n">
        <v>45077.3700347222</v>
      </c>
      <c r="D474" s="22" t="s">
        <v>204</v>
      </c>
      <c r="E474" s="22" t="n">
        <v>8</v>
      </c>
      <c r="F474" s="22" t="s">
        <v>181</v>
      </c>
      <c r="G474" s="22" t="s">
        <v>243</v>
      </c>
      <c r="H474" s="22" t="n">
        <v>0.06</v>
      </c>
      <c r="I474" s="38" t="n">
        <v>1963.38</v>
      </c>
      <c r="J474" s="38" t="n">
        <v>1963.38</v>
      </c>
      <c r="K474" s="39" t="n">
        <f aca="false">IF(F474="BUY",J474-I474,I474-J474)</f>
        <v>0</v>
      </c>
      <c r="L474" s="38" t="n">
        <v>1957.38</v>
      </c>
      <c r="M474" s="39" t="n">
        <f aca="false">ABS(I474-L474)</f>
        <v>6</v>
      </c>
      <c r="N474" s="24" t="n">
        <f aca="false">M474*H474*Summary!$C$6</f>
        <v>36</v>
      </c>
      <c r="O474" s="37" t="n">
        <v>45077.4291203704</v>
      </c>
      <c r="P474" s="22" t="n">
        <f aca="false">ROUND((O474-C474)*86400,0)</f>
        <v>5105</v>
      </c>
      <c r="Q474" s="22" t="str">
        <f aca="false">IF(P474&lt;10,"a) &lt;10s",IF(P474&lt;60,"b) 10-60s",IF(P474&lt;600,"c) 1-10min","d) &gt;10min")))</f>
        <v>d) &gt;10min</v>
      </c>
      <c r="R474" s="38" t="n">
        <v>1957.38</v>
      </c>
      <c r="S474" s="38" t="n">
        <v>1957.37</v>
      </c>
      <c r="T474" s="22" t="s">
        <v>188</v>
      </c>
      <c r="U474" s="39" t="n">
        <f aca="false">IF(R474="","",IF(F474="BUY",R474-S474,S474-R474))</f>
        <v>0.0100000000002183</v>
      </c>
      <c r="V474" s="39" t="n">
        <f aca="false">IF(F474="BUY",S474-J474,J474-S474)</f>
        <v>-6.01000000000022</v>
      </c>
      <c r="W474" s="6" t="n">
        <v>-36.06</v>
      </c>
      <c r="X474" s="26" t="n">
        <f aca="false">IFERROR(W474/N474,0)</f>
        <v>-1.00166666666667</v>
      </c>
      <c r="Y474" s="22" t="str">
        <f aca="false">IF(W474&gt;0,"Win",IF(W474&lt;0,"Loss","Flat"))</f>
        <v>Loss</v>
      </c>
      <c r="Z474" s="24" t="n">
        <f aca="false">Summary!$C$5+SUM(W$2:W474)</f>
        <v>4088.81</v>
      </c>
      <c r="AA474" s="24" t="n">
        <f aca="false">MAX(AA473,Z474)</f>
        <v>5000</v>
      </c>
      <c r="AB474" s="24" t="n">
        <f aca="false">AA474-Z474</f>
        <v>911.19</v>
      </c>
      <c r="AC474" s="23" t="n">
        <f aca="false">IFERROR(AB474/AA474,0)</f>
        <v>0.182238</v>
      </c>
      <c r="AD474" s="22" t="s">
        <v>711</v>
      </c>
    </row>
    <row r="475" customFormat="false" ht="15" hidden="false" customHeight="false" outlineLevel="0" collapsed="false">
      <c r="A475" s="22" t="n">
        <v>474</v>
      </c>
      <c r="B475" s="22" t="s">
        <v>133</v>
      </c>
      <c r="C475" s="37" t="n">
        <v>45077.6909837963</v>
      </c>
      <c r="D475" s="22" t="s">
        <v>204</v>
      </c>
      <c r="E475" s="22" t="n">
        <v>16</v>
      </c>
      <c r="F475" s="22" t="s">
        <v>181</v>
      </c>
      <c r="G475" s="22" t="s">
        <v>235</v>
      </c>
      <c r="H475" s="22" t="n">
        <v>0.06</v>
      </c>
      <c r="I475" s="38" t="n">
        <v>1965.29</v>
      </c>
      <c r="J475" s="38" t="n">
        <v>1965.3</v>
      </c>
      <c r="K475" s="39" t="n">
        <f aca="false">IF(F475="BUY",J475-I475,I475-J475)</f>
        <v>0.00999999999999091</v>
      </c>
      <c r="L475" s="38" t="n">
        <v>1959.29</v>
      </c>
      <c r="M475" s="39" t="n">
        <f aca="false">ABS(I475-L475)</f>
        <v>6</v>
      </c>
      <c r="N475" s="24" t="n">
        <f aca="false">M475*H475*Summary!$C$6</f>
        <v>36</v>
      </c>
      <c r="O475" s="37" t="n">
        <v>45077.7083449074</v>
      </c>
      <c r="P475" s="22" t="n">
        <f aca="false">ROUND((O475-C475)*86400,0)</f>
        <v>1500</v>
      </c>
      <c r="Q475" s="22" t="str">
        <f aca="false">IF(P475&lt;10,"a) &lt;10s",IF(P475&lt;60,"b) 10-60s",IF(P475&lt;600,"c) 1-10min","d) &gt;10min")))</f>
        <v>d) &gt;10min</v>
      </c>
      <c r="R475" s="38" t="n">
        <v>1965.8</v>
      </c>
      <c r="S475" s="38" t="n">
        <v>1962.32</v>
      </c>
      <c r="T475" s="22" t="s">
        <v>189</v>
      </c>
      <c r="U475" s="39" t="n">
        <f aca="false">IF(R475="","",IF(F475="BUY",R475-S475,S475-R475))</f>
        <v>3.48000000000002</v>
      </c>
      <c r="V475" s="39" t="n">
        <f aca="false">IF(F475="BUY",S475-J475,J475-S475)</f>
        <v>-2.98000000000002</v>
      </c>
      <c r="W475" s="6" t="n">
        <v>-17.88</v>
      </c>
      <c r="X475" s="26" t="n">
        <f aca="false">IFERROR(W475/N475,0)</f>
        <v>-0.496666666666667</v>
      </c>
      <c r="Y475" s="22" t="str">
        <f aca="false">IF(W475&gt;0,"Win",IF(W475&lt;0,"Loss","Flat"))</f>
        <v>Loss</v>
      </c>
      <c r="Z475" s="24" t="n">
        <f aca="false">Summary!$C$5+SUM(W$2:W475)</f>
        <v>4070.93</v>
      </c>
      <c r="AA475" s="24" t="n">
        <f aca="false">MAX(AA474,Z475)</f>
        <v>5000</v>
      </c>
      <c r="AB475" s="24" t="n">
        <f aca="false">AA475-Z475</f>
        <v>929.07</v>
      </c>
      <c r="AC475" s="23" t="n">
        <f aca="false">IFERROR(AB475/AA475,0)</f>
        <v>0.185814</v>
      </c>
      <c r="AD475" s="22" t="s">
        <v>712</v>
      </c>
    </row>
    <row r="476" customFormat="false" ht="15" hidden="false" customHeight="false" outlineLevel="0" collapsed="false">
      <c r="A476" s="22" t="n">
        <v>475</v>
      </c>
      <c r="B476" s="22" t="s">
        <v>134</v>
      </c>
      <c r="C476" s="37" t="n">
        <v>45078.3757175926</v>
      </c>
      <c r="D476" s="22" t="s">
        <v>205</v>
      </c>
      <c r="E476" s="22" t="n">
        <v>9</v>
      </c>
      <c r="F476" s="22" t="s">
        <v>182</v>
      </c>
      <c r="G476" s="22" t="s">
        <v>241</v>
      </c>
      <c r="H476" s="22" t="n">
        <v>0.06</v>
      </c>
      <c r="I476" s="38" t="n">
        <v>1962.41</v>
      </c>
      <c r="J476" s="38" t="n">
        <v>1962.4</v>
      </c>
      <c r="K476" s="39" t="n">
        <f aca="false">IF(F476="BUY",J476-I476,I476-J476)</f>
        <v>0.00999999999999091</v>
      </c>
      <c r="L476" s="38" t="n">
        <v>1968.41</v>
      </c>
      <c r="M476" s="39" t="n">
        <f aca="false">ABS(I476-L476)</f>
        <v>6</v>
      </c>
      <c r="N476" s="24" t="n">
        <f aca="false">M476*H476*Summary!$C$6</f>
        <v>36</v>
      </c>
      <c r="O476" s="37" t="n">
        <v>45078.5555555556</v>
      </c>
      <c r="P476" s="22" t="n">
        <f aca="false">ROUND((O476-C476)*86400,0)</f>
        <v>15538</v>
      </c>
      <c r="Q476" s="22" t="str">
        <f aca="false">IF(P476&lt;10,"a) &lt;10s",IF(P476&lt;60,"b) 10-60s",IF(P476&lt;600,"c) 1-10min","d) &gt;10min")))</f>
        <v>d) &gt;10min</v>
      </c>
      <c r="R476" s="38" t="n">
        <v>1961.9</v>
      </c>
      <c r="S476" s="38" t="n">
        <v>1961.91</v>
      </c>
      <c r="T476" s="22" t="s">
        <v>189</v>
      </c>
      <c r="U476" s="39" t="n">
        <f aca="false">IF(R476="","",IF(F476="BUY",R476-S476,S476-R476))</f>
        <v>0.00999999999999091</v>
      </c>
      <c r="V476" s="39" t="n">
        <f aca="false">IF(F476="BUY",S476-J476,J476-S476)</f>
        <v>0.490000000000009</v>
      </c>
      <c r="W476" s="6" t="n">
        <v>2.94</v>
      </c>
      <c r="X476" s="26" t="n">
        <f aca="false">IFERROR(W476/N476,0)</f>
        <v>0.0816666666666667</v>
      </c>
      <c r="Y476" s="22" t="str">
        <f aca="false">IF(W476&gt;0,"Win",IF(W476&lt;0,"Loss","Flat"))</f>
        <v>Win</v>
      </c>
      <c r="Z476" s="24" t="n">
        <f aca="false">Summary!$C$5+SUM(W$2:W476)</f>
        <v>4073.87</v>
      </c>
      <c r="AA476" s="24" t="n">
        <f aca="false">MAX(AA475,Z476)</f>
        <v>5000</v>
      </c>
      <c r="AB476" s="24" t="n">
        <f aca="false">AA476-Z476</f>
        <v>926.13</v>
      </c>
      <c r="AC476" s="23" t="n">
        <f aca="false">IFERROR(AB476/AA476,0)</f>
        <v>0.185226</v>
      </c>
      <c r="AD476" s="22" t="s">
        <v>713</v>
      </c>
    </row>
    <row r="477" customFormat="false" ht="15" hidden="false" customHeight="false" outlineLevel="0" collapsed="false">
      <c r="A477" s="22" t="n">
        <v>476</v>
      </c>
      <c r="B477" s="22" t="s">
        <v>134</v>
      </c>
      <c r="C477" s="37" t="n">
        <v>45078.7050578704</v>
      </c>
      <c r="D477" s="22" t="s">
        <v>205</v>
      </c>
      <c r="E477" s="22" t="n">
        <v>16</v>
      </c>
      <c r="F477" s="22" t="s">
        <v>181</v>
      </c>
      <c r="G477" s="22" t="s">
        <v>243</v>
      </c>
      <c r="H477" s="22" t="n">
        <v>0.06</v>
      </c>
      <c r="I477" s="38" t="n">
        <v>1974.63</v>
      </c>
      <c r="J477" s="38" t="n">
        <v>1974.64</v>
      </c>
      <c r="K477" s="39" t="n">
        <f aca="false">IF(F477="BUY",J477-I477,I477-J477)</f>
        <v>0.00999999999999091</v>
      </c>
      <c r="L477" s="38" t="n">
        <v>1968.63</v>
      </c>
      <c r="M477" s="39" t="n">
        <f aca="false">ABS(I477-L477)</f>
        <v>6</v>
      </c>
      <c r="N477" s="24" t="n">
        <f aca="false">M477*H477*Summary!$C$6</f>
        <v>36</v>
      </c>
      <c r="O477" s="37" t="n">
        <v>45078.7092476852</v>
      </c>
      <c r="P477" s="22" t="n">
        <f aca="false">ROUND((O477-C477)*86400,0)</f>
        <v>362</v>
      </c>
      <c r="Q477" s="22" t="str">
        <f aca="false">IF(P477&lt;10,"a) &lt;10s",IF(P477&lt;60,"b) 10-60s",IF(P477&lt;600,"c) 1-10min","d) &gt;10min")))</f>
        <v>c) 1-10min</v>
      </c>
      <c r="R477" s="38" t="n">
        <v>1975.14</v>
      </c>
      <c r="S477" s="38" t="n">
        <v>1975.14</v>
      </c>
      <c r="T477" s="22" t="s">
        <v>189</v>
      </c>
      <c r="U477" s="39" t="n">
        <f aca="false">IF(R477="","",IF(F477="BUY",R477-S477,S477-R477))</f>
        <v>0</v>
      </c>
      <c r="V477" s="39" t="n">
        <f aca="false">IF(F477="BUY",S477-J477,J477-S477)</f>
        <v>0.5</v>
      </c>
      <c r="W477" s="6" t="n">
        <v>3</v>
      </c>
      <c r="X477" s="26" t="n">
        <f aca="false">IFERROR(W477/N477,0)</f>
        <v>0.0833333333333333</v>
      </c>
      <c r="Y477" s="22" t="str">
        <f aca="false">IF(W477&gt;0,"Win",IF(W477&lt;0,"Loss","Flat"))</f>
        <v>Win</v>
      </c>
      <c r="Z477" s="24" t="n">
        <f aca="false">Summary!$C$5+SUM(W$2:W477)</f>
        <v>4076.87</v>
      </c>
      <c r="AA477" s="24" t="n">
        <f aca="false">MAX(AA476,Z477)</f>
        <v>5000</v>
      </c>
      <c r="AB477" s="24" t="n">
        <f aca="false">AA477-Z477</f>
        <v>923.13</v>
      </c>
      <c r="AC477" s="23" t="n">
        <f aca="false">IFERROR(AB477/AA477,0)</f>
        <v>0.184626</v>
      </c>
      <c r="AD477" s="22" t="s">
        <v>714</v>
      </c>
    </row>
    <row r="478" customFormat="false" ht="15" hidden="false" customHeight="false" outlineLevel="0" collapsed="false">
      <c r="A478" s="22" t="n">
        <v>477</v>
      </c>
      <c r="B478" s="22" t="s">
        <v>134</v>
      </c>
      <c r="C478" s="37" t="n">
        <v>45079.2652199074</v>
      </c>
      <c r="D478" s="22" t="s">
        <v>206</v>
      </c>
      <c r="E478" s="22" t="n">
        <v>6</v>
      </c>
      <c r="F478" s="22" t="s">
        <v>181</v>
      </c>
      <c r="G478" s="22" t="s">
        <v>243</v>
      </c>
      <c r="H478" s="22" t="n">
        <v>0.06</v>
      </c>
      <c r="I478" s="38" t="n">
        <v>1983.02</v>
      </c>
      <c r="J478" s="38" t="n">
        <v>1983.08</v>
      </c>
      <c r="K478" s="39" t="n">
        <f aca="false">IF(F478="BUY",J478-I478,I478-J478)</f>
        <v>0.0599999999999454</v>
      </c>
      <c r="L478" s="38" t="n">
        <v>1977.02</v>
      </c>
      <c r="M478" s="39" t="n">
        <f aca="false">ABS(I478-L478)</f>
        <v>6</v>
      </c>
      <c r="N478" s="24" t="n">
        <f aca="false">M478*H478*Summary!$C$6</f>
        <v>36</v>
      </c>
      <c r="O478" s="37" t="n">
        <v>45079.3975347222</v>
      </c>
      <c r="P478" s="22" t="n">
        <f aca="false">ROUND((O478-C478)*86400,0)</f>
        <v>11432</v>
      </c>
      <c r="Q478" s="22" t="str">
        <f aca="false">IF(P478&lt;10,"a) &lt;10s",IF(P478&lt;60,"b) 10-60s",IF(P478&lt;600,"c) 1-10min","d) &gt;10min")))</f>
        <v>d) &gt;10min</v>
      </c>
      <c r="R478" s="38" t="n">
        <v>1977.02</v>
      </c>
      <c r="S478" s="38" t="n">
        <v>1977.02</v>
      </c>
      <c r="T478" s="22" t="s">
        <v>188</v>
      </c>
      <c r="U478" s="39" t="n">
        <f aca="false">IF(R478="","",IF(F478="BUY",R478-S478,S478-R478))</f>
        <v>0</v>
      </c>
      <c r="V478" s="39" t="n">
        <f aca="false">IF(F478="BUY",S478-J478,J478-S478)</f>
        <v>-6.05999999999995</v>
      </c>
      <c r="W478" s="6" t="n">
        <v>-36.36</v>
      </c>
      <c r="X478" s="26" t="n">
        <f aca="false">IFERROR(W478/N478,0)</f>
        <v>-1.01</v>
      </c>
      <c r="Y478" s="22" t="str">
        <f aca="false">IF(W478&gt;0,"Win",IF(W478&lt;0,"Loss","Flat"))</f>
        <v>Loss</v>
      </c>
      <c r="Z478" s="24" t="n">
        <f aca="false">Summary!$C$5+SUM(W$2:W478)</f>
        <v>4040.51</v>
      </c>
      <c r="AA478" s="24" t="n">
        <f aca="false">MAX(AA477,Z478)</f>
        <v>5000</v>
      </c>
      <c r="AB478" s="24" t="n">
        <f aca="false">AA478-Z478</f>
        <v>959.49</v>
      </c>
      <c r="AC478" s="23" t="n">
        <f aca="false">IFERROR(AB478/AA478,0)</f>
        <v>0.191898</v>
      </c>
      <c r="AD478" s="22" t="s">
        <v>715</v>
      </c>
    </row>
    <row r="479" customFormat="false" ht="15" hidden="false" customHeight="false" outlineLevel="0" collapsed="false">
      <c r="A479" s="22" t="n">
        <v>478</v>
      </c>
      <c r="B479" s="22" t="s">
        <v>134</v>
      </c>
      <c r="C479" s="37" t="n">
        <v>45082.3865856482</v>
      </c>
      <c r="D479" s="22" t="s">
        <v>202</v>
      </c>
      <c r="E479" s="22" t="n">
        <v>9</v>
      </c>
      <c r="F479" s="22" t="s">
        <v>182</v>
      </c>
      <c r="G479" s="22" t="s">
        <v>241</v>
      </c>
      <c r="H479" s="22" t="n">
        <v>0.06</v>
      </c>
      <c r="I479" s="38" t="n">
        <v>1942.85</v>
      </c>
      <c r="J479" s="38" t="n">
        <v>1942.8</v>
      </c>
      <c r="K479" s="39" t="n">
        <f aca="false">IF(F479="BUY",J479-I479,I479-J479)</f>
        <v>0.0499999999999545</v>
      </c>
      <c r="L479" s="38" t="n">
        <v>1948.85</v>
      </c>
      <c r="M479" s="39" t="n">
        <f aca="false">ABS(I479-L479)</f>
        <v>6</v>
      </c>
      <c r="N479" s="24" t="n">
        <f aca="false">M479*H479*Summary!$C$6</f>
        <v>36</v>
      </c>
      <c r="O479" s="37" t="n">
        <v>45082.4664467593</v>
      </c>
      <c r="P479" s="22" t="n">
        <f aca="false">ROUND((O479-C479)*86400,0)</f>
        <v>6900</v>
      </c>
      <c r="Q479" s="22" t="str">
        <f aca="false">IF(P479&lt;10,"a) &lt;10s",IF(P479&lt;60,"b) 10-60s",IF(P479&lt;600,"c) 1-10min","d) &gt;10min")))</f>
        <v>d) &gt;10min</v>
      </c>
      <c r="R479" s="38" t="n">
        <v>1942.3</v>
      </c>
      <c r="S479" s="38" t="n">
        <v>1942.36</v>
      </c>
      <c r="T479" s="22" t="s">
        <v>189</v>
      </c>
      <c r="U479" s="39" t="n">
        <f aca="false">IF(R479="","",IF(F479="BUY",R479-S479,S479-R479))</f>
        <v>0.0599999999999454</v>
      </c>
      <c r="V479" s="39" t="n">
        <f aca="false">IF(F479="BUY",S479-J479,J479-S479)</f>
        <v>0.440000000000055</v>
      </c>
      <c r="W479" s="6" t="n">
        <v>2.64</v>
      </c>
      <c r="X479" s="26" t="n">
        <f aca="false">IFERROR(W479/N479,0)</f>
        <v>0.0733333333333333</v>
      </c>
      <c r="Y479" s="22" t="str">
        <f aca="false">IF(W479&gt;0,"Win",IF(W479&lt;0,"Loss","Flat"))</f>
        <v>Win</v>
      </c>
      <c r="Z479" s="24" t="n">
        <f aca="false">Summary!$C$5+SUM(W$2:W479)</f>
        <v>4043.15</v>
      </c>
      <c r="AA479" s="24" t="n">
        <f aca="false">MAX(AA478,Z479)</f>
        <v>5000</v>
      </c>
      <c r="AB479" s="24" t="n">
        <f aca="false">AA479-Z479</f>
        <v>956.85</v>
      </c>
      <c r="AC479" s="23" t="n">
        <f aca="false">IFERROR(AB479/AA479,0)</f>
        <v>0.19137</v>
      </c>
      <c r="AD479" s="22" t="s">
        <v>716</v>
      </c>
    </row>
    <row r="480" customFormat="false" ht="15" hidden="false" customHeight="false" outlineLevel="0" collapsed="false">
      <c r="A480" s="22" t="n">
        <v>479</v>
      </c>
      <c r="B480" s="22" t="s">
        <v>134</v>
      </c>
      <c r="C480" s="37" t="n">
        <v>45083.2169560185</v>
      </c>
      <c r="D480" s="22" t="s">
        <v>203</v>
      </c>
      <c r="E480" s="22" t="n">
        <v>5</v>
      </c>
      <c r="F480" s="22" t="s">
        <v>181</v>
      </c>
      <c r="G480" s="22" t="s">
        <v>243</v>
      </c>
      <c r="H480" s="22" t="n">
        <v>0.06</v>
      </c>
      <c r="I480" s="38" t="n">
        <v>1963.96</v>
      </c>
      <c r="J480" s="38" t="n">
        <v>1963.96</v>
      </c>
      <c r="K480" s="39" t="n">
        <f aca="false">IF(F480="BUY",J480-I480,I480-J480)</f>
        <v>0</v>
      </c>
      <c r="L480" s="38" t="n">
        <v>1957.96</v>
      </c>
      <c r="M480" s="39" t="n">
        <f aca="false">ABS(I480-L480)</f>
        <v>6</v>
      </c>
      <c r="N480" s="24" t="n">
        <f aca="false">M480*H480*Summary!$C$6</f>
        <v>36</v>
      </c>
      <c r="O480" s="37" t="n">
        <v>45083.367662037</v>
      </c>
      <c r="P480" s="22" t="n">
        <f aca="false">ROUND((O480-C480)*86400,0)</f>
        <v>13021</v>
      </c>
      <c r="Q480" s="22" t="str">
        <f aca="false">IF(P480&lt;10,"a) &lt;10s",IF(P480&lt;60,"b) 10-60s",IF(P480&lt;600,"c) 1-10min","d) &gt;10min")))</f>
        <v>d) &gt;10min</v>
      </c>
      <c r="R480" s="38" t="n">
        <v>1957.96</v>
      </c>
      <c r="S480" s="38" t="n">
        <v>1957.95</v>
      </c>
      <c r="T480" s="22" t="s">
        <v>188</v>
      </c>
      <c r="U480" s="39" t="n">
        <f aca="false">IF(R480="","",IF(F480="BUY",R480-S480,S480-R480))</f>
        <v>0.00999999999999091</v>
      </c>
      <c r="V480" s="39" t="n">
        <f aca="false">IF(F480="BUY",S480-J480,J480-S480)</f>
        <v>-6.00999999999999</v>
      </c>
      <c r="W480" s="6" t="n">
        <v>-36.06</v>
      </c>
      <c r="X480" s="26" t="n">
        <f aca="false">IFERROR(W480/N480,0)</f>
        <v>-1.00166666666667</v>
      </c>
      <c r="Y480" s="22" t="str">
        <f aca="false">IF(W480&gt;0,"Win",IF(W480&lt;0,"Loss","Flat"))</f>
        <v>Loss</v>
      </c>
      <c r="Z480" s="24" t="n">
        <f aca="false">Summary!$C$5+SUM(W$2:W480)</f>
        <v>4007.09</v>
      </c>
      <c r="AA480" s="24" t="n">
        <f aca="false">MAX(AA479,Z480)</f>
        <v>5000</v>
      </c>
      <c r="AB480" s="24" t="n">
        <f aca="false">AA480-Z480</f>
        <v>992.91</v>
      </c>
      <c r="AC480" s="23" t="n">
        <f aca="false">IFERROR(AB480/AA480,0)</f>
        <v>0.198582</v>
      </c>
      <c r="AD480" s="22" t="s">
        <v>717</v>
      </c>
    </row>
    <row r="481" customFormat="false" ht="15" hidden="false" customHeight="false" outlineLevel="0" collapsed="false">
      <c r="A481" s="22" t="n">
        <v>480</v>
      </c>
      <c r="B481" s="22" t="s">
        <v>134</v>
      </c>
      <c r="C481" s="37" t="n">
        <v>45083.375</v>
      </c>
      <c r="D481" s="22" t="s">
        <v>203</v>
      </c>
      <c r="E481" s="22" t="n">
        <v>9</v>
      </c>
      <c r="F481" s="22" t="s">
        <v>182</v>
      </c>
      <c r="G481" s="22" t="s">
        <v>241</v>
      </c>
      <c r="H481" s="22" t="n">
        <v>0.06</v>
      </c>
      <c r="I481" s="38" t="n">
        <v>1957.74</v>
      </c>
      <c r="J481" s="38" t="n">
        <v>1957.74</v>
      </c>
      <c r="K481" s="39" t="n">
        <f aca="false">IF(F481="BUY",J481-I481,I481-J481)</f>
        <v>0</v>
      </c>
      <c r="L481" s="38" t="n">
        <v>1963.74</v>
      </c>
      <c r="M481" s="39" t="n">
        <f aca="false">ABS(I481-L481)</f>
        <v>6</v>
      </c>
      <c r="N481" s="24" t="n">
        <f aca="false">M481*H481*Summary!$C$6</f>
        <v>36</v>
      </c>
      <c r="O481" s="37" t="n">
        <v>45083.5632407407</v>
      </c>
      <c r="P481" s="22" t="n">
        <f aca="false">ROUND((O481-C481)*86400,0)</f>
        <v>16264</v>
      </c>
      <c r="Q481" s="22" t="str">
        <f aca="false">IF(P481&lt;10,"a) &lt;10s",IF(P481&lt;60,"b) 10-60s",IF(P481&lt;600,"c) 1-10min","d) &gt;10min")))</f>
        <v>d) &gt;10min</v>
      </c>
      <c r="R481" s="38" t="n">
        <v>1963.74</v>
      </c>
      <c r="S481" s="38" t="n">
        <v>1963.75</v>
      </c>
      <c r="T481" s="22" t="s">
        <v>188</v>
      </c>
      <c r="U481" s="39" t="n">
        <f aca="false">IF(R481="","",IF(F481="BUY",R481-S481,S481-R481))</f>
        <v>0.00999999999999091</v>
      </c>
      <c r="V481" s="39" t="n">
        <f aca="false">IF(F481="BUY",S481-J481,J481-S481)</f>
        <v>-6.00999999999999</v>
      </c>
      <c r="W481" s="6" t="n">
        <v>-36.06</v>
      </c>
      <c r="X481" s="26" t="n">
        <f aca="false">IFERROR(W481/N481,0)</f>
        <v>-1.00166666666667</v>
      </c>
      <c r="Y481" s="22" t="str">
        <f aca="false">IF(W481&gt;0,"Win",IF(W481&lt;0,"Loss","Flat"))</f>
        <v>Loss</v>
      </c>
      <c r="Z481" s="24" t="n">
        <f aca="false">Summary!$C$5+SUM(W$2:W481)</f>
        <v>3971.03</v>
      </c>
      <c r="AA481" s="24" t="n">
        <f aca="false">MAX(AA480,Z481)</f>
        <v>5000</v>
      </c>
      <c r="AB481" s="24" t="n">
        <f aca="false">AA481-Z481</f>
        <v>1028.97</v>
      </c>
      <c r="AC481" s="23" t="n">
        <f aca="false">IFERROR(AB481/AA481,0)</f>
        <v>0.205794</v>
      </c>
      <c r="AD481" s="22" t="s">
        <v>718</v>
      </c>
    </row>
    <row r="482" customFormat="false" ht="15" hidden="false" customHeight="false" outlineLevel="0" collapsed="false">
      <c r="A482" s="22" t="n">
        <v>481</v>
      </c>
      <c r="B482" s="22" t="s">
        <v>134</v>
      </c>
      <c r="C482" s="37" t="n">
        <v>45084.1736111111</v>
      </c>
      <c r="D482" s="22" t="s">
        <v>204</v>
      </c>
      <c r="E482" s="22" t="n">
        <v>4</v>
      </c>
      <c r="F482" s="22" t="s">
        <v>181</v>
      </c>
      <c r="G482" s="22" t="s">
        <v>243</v>
      </c>
      <c r="H482" s="22" t="n">
        <v>0.06</v>
      </c>
      <c r="I482" s="38" t="n">
        <v>1966.24</v>
      </c>
      <c r="J482" s="38" t="n">
        <v>1966.24</v>
      </c>
      <c r="K482" s="39" t="n">
        <f aca="false">IF(F482="BUY",J482-I482,I482-J482)</f>
        <v>0</v>
      </c>
      <c r="L482" s="38" t="n">
        <v>1960.24</v>
      </c>
      <c r="M482" s="39" t="n">
        <f aca="false">ABS(I482-L482)</f>
        <v>6</v>
      </c>
      <c r="N482" s="24" t="n">
        <f aca="false">M482*H482*Summary!$C$6</f>
        <v>36</v>
      </c>
      <c r="O482" s="37" t="n">
        <v>45084.3920023148</v>
      </c>
      <c r="P482" s="22" t="n">
        <f aca="false">ROUND((O482-C482)*86400,0)</f>
        <v>18869</v>
      </c>
      <c r="Q482" s="22" t="str">
        <f aca="false">IF(P482&lt;10,"a) &lt;10s",IF(P482&lt;60,"b) 10-60s",IF(P482&lt;600,"c) 1-10min","d) &gt;10min")))</f>
        <v>d) &gt;10min</v>
      </c>
      <c r="R482" s="38" t="n">
        <v>1960.24</v>
      </c>
      <c r="S482" s="38" t="n">
        <v>1960.24</v>
      </c>
      <c r="T482" s="22" t="s">
        <v>188</v>
      </c>
      <c r="U482" s="39" t="n">
        <f aca="false">IF(R482="","",IF(F482="BUY",R482-S482,S482-R482))</f>
        <v>0</v>
      </c>
      <c r="V482" s="39" t="n">
        <f aca="false">IF(F482="BUY",S482-J482,J482-S482)</f>
        <v>-6</v>
      </c>
      <c r="W482" s="6" t="n">
        <v>-36</v>
      </c>
      <c r="X482" s="26" t="n">
        <f aca="false">IFERROR(W482/N482,0)</f>
        <v>-1</v>
      </c>
      <c r="Y482" s="22" t="str">
        <f aca="false">IF(W482&gt;0,"Win",IF(W482&lt;0,"Loss","Flat"))</f>
        <v>Loss</v>
      </c>
      <c r="Z482" s="24" t="n">
        <f aca="false">Summary!$C$5+SUM(W$2:W482)</f>
        <v>3935.03</v>
      </c>
      <c r="AA482" s="24" t="n">
        <f aca="false">MAX(AA481,Z482)</f>
        <v>5000</v>
      </c>
      <c r="AB482" s="24" t="n">
        <f aca="false">AA482-Z482</f>
        <v>1064.97</v>
      </c>
      <c r="AC482" s="23" t="n">
        <f aca="false">IFERROR(AB482/AA482,0)</f>
        <v>0.212994</v>
      </c>
      <c r="AD482" s="22" t="s">
        <v>719</v>
      </c>
    </row>
    <row r="483" customFormat="false" ht="15" hidden="false" customHeight="false" outlineLevel="0" collapsed="false">
      <c r="A483" s="22" t="n">
        <v>482</v>
      </c>
      <c r="B483" s="22" t="s">
        <v>134</v>
      </c>
      <c r="C483" s="37" t="n">
        <v>45084.5416782407</v>
      </c>
      <c r="D483" s="22" t="s">
        <v>204</v>
      </c>
      <c r="E483" s="22" t="n">
        <v>13</v>
      </c>
      <c r="F483" s="22" t="s">
        <v>181</v>
      </c>
      <c r="G483" s="22" t="s">
        <v>235</v>
      </c>
      <c r="H483" s="22" t="n">
        <v>0.06</v>
      </c>
      <c r="I483" s="38" t="n">
        <v>1964.87</v>
      </c>
      <c r="J483" s="38" t="n">
        <v>1964.88</v>
      </c>
      <c r="K483" s="39" t="n">
        <f aca="false">IF(F483="BUY",J483-I483,I483-J483)</f>
        <v>0.0100000000002183</v>
      </c>
      <c r="L483" s="38" t="n">
        <v>1958.87</v>
      </c>
      <c r="M483" s="39" t="n">
        <f aca="false">ABS(I483-L483)</f>
        <v>6</v>
      </c>
      <c r="N483" s="24" t="n">
        <f aca="false">M483*H483*Summary!$C$6</f>
        <v>36</v>
      </c>
      <c r="O483" s="37" t="n">
        <v>45084.6402662037</v>
      </c>
      <c r="P483" s="22" t="n">
        <f aca="false">ROUND((O483-C483)*86400,0)</f>
        <v>8518</v>
      </c>
      <c r="Q483" s="22" t="str">
        <f aca="false">IF(P483&lt;10,"a) &lt;10s",IF(P483&lt;60,"b) 10-60s",IF(P483&lt;600,"c) 1-10min","d) &gt;10min")))</f>
        <v>d) &gt;10min</v>
      </c>
      <c r="R483" s="38" t="n">
        <v>1958.87</v>
      </c>
      <c r="S483" s="38" t="n">
        <v>1958.86</v>
      </c>
      <c r="T483" s="22" t="s">
        <v>188</v>
      </c>
      <c r="U483" s="39" t="n">
        <f aca="false">IF(R483="","",IF(F483="BUY",R483-S483,S483-R483))</f>
        <v>0.00999999999999091</v>
      </c>
      <c r="V483" s="39" t="n">
        <f aca="false">IF(F483="BUY",S483-J483,J483-S483)</f>
        <v>-6.02000000000021</v>
      </c>
      <c r="W483" s="6" t="n">
        <v>-36.12</v>
      </c>
      <c r="X483" s="26" t="n">
        <f aca="false">IFERROR(W483/N483,0)</f>
        <v>-1.00333333333333</v>
      </c>
      <c r="Y483" s="22" t="str">
        <f aca="false">IF(W483&gt;0,"Win",IF(W483&lt;0,"Loss","Flat"))</f>
        <v>Loss</v>
      </c>
      <c r="Z483" s="24" t="n">
        <f aca="false">Summary!$C$5+SUM(W$2:W483)</f>
        <v>3898.91</v>
      </c>
      <c r="AA483" s="24" t="n">
        <f aca="false">MAX(AA482,Z483)</f>
        <v>5000</v>
      </c>
      <c r="AB483" s="24" t="n">
        <f aca="false">AA483-Z483</f>
        <v>1101.09</v>
      </c>
      <c r="AC483" s="23" t="n">
        <f aca="false">IFERROR(AB483/AA483,0)</f>
        <v>0.220218</v>
      </c>
      <c r="AD483" s="22" t="s">
        <v>720</v>
      </c>
    </row>
    <row r="484" customFormat="false" ht="15" hidden="false" customHeight="false" outlineLevel="0" collapsed="false">
      <c r="A484" s="22" t="n">
        <v>483</v>
      </c>
      <c r="B484" s="22" t="s">
        <v>134</v>
      </c>
      <c r="C484" s="37" t="n">
        <v>45085.3751157407</v>
      </c>
      <c r="D484" s="22" t="s">
        <v>205</v>
      </c>
      <c r="E484" s="22" t="n">
        <v>9</v>
      </c>
      <c r="F484" s="22" t="s">
        <v>182</v>
      </c>
      <c r="G484" s="22" t="s">
        <v>241</v>
      </c>
      <c r="H484" s="22" t="n">
        <v>0.06</v>
      </c>
      <c r="I484" s="38" t="n">
        <v>1945.61</v>
      </c>
      <c r="J484" s="38" t="n">
        <v>1945.54</v>
      </c>
      <c r="K484" s="39" t="n">
        <f aca="false">IF(F484="BUY",J484-I484,I484-J484)</f>
        <v>0.0699999999999363</v>
      </c>
      <c r="L484" s="38" t="n">
        <v>1951.61</v>
      </c>
      <c r="M484" s="39" t="n">
        <f aca="false">ABS(I484-L484)</f>
        <v>6</v>
      </c>
      <c r="N484" s="24" t="n">
        <f aca="false">M484*H484*Summary!$C$6</f>
        <v>36</v>
      </c>
      <c r="O484" s="37" t="n">
        <v>45085.3987384259</v>
      </c>
      <c r="P484" s="22" t="n">
        <f aca="false">ROUND((O484-C484)*86400,0)</f>
        <v>2041</v>
      </c>
      <c r="Q484" s="22" t="str">
        <f aca="false">IF(P484&lt;10,"a) &lt;10s",IF(P484&lt;60,"b) 10-60s",IF(P484&lt;600,"c) 1-10min","d) &gt;10min")))</f>
        <v>d) &gt;10min</v>
      </c>
      <c r="R484" s="38" t="n">
        <v>1945.04</v>
      </c>
      <c r="S484" s="38" t="n">
        <v>1945.04</v>
      </c>
      <c r="T484" s="22" t="s">
        <v>189</v>
      </c>
      <c r="U484" s="39" t="n">
        <f aca="false">IF(R484="","",IF(F484="BUY",R484-S484,S484-R484))</f>
        <v>0</v>
      </c>
      <c r="V484" s="39" t="n">
        <f aca="false">IF(F484="BUY",S484-J484,J484-S484)</f>
        <v>0.5</v>
      </c>
      <c r="W484" s="6" t="n">
        <v>3</v>
      </c>
      <c r="X484" s="26" t="n">
        <f aca="false">IFERROR(W484/N484,0)</f>
        <v>0.0833333333333333</v>
      </c>
      <c r="Y484" s="22" t="str">
        <f aca="false">IF(W484&gt;0,"Win",IF(W484&lt;0,"Loss","Flat"))</f>
        <v>Win</v>
      </c>
      <c r="Z484" s="24" t="n">
        <f aca="false">Summary!$C$5+SUM(W$2:W484)</f>
        <v>3901.91</v>
      </c>
      <c r="AA484" s="24" t="n">
        <f aca="false">MAX(AA483,Z484)</f>
        <v>5000</v>
      </c>
      <c r="AB484" s="24" t="n">
        <f aca="false">AA484-Z484</f>
        <v>1098.09</v>
      </c>
      <c r="AC484" s="23" t="n">
        <f aca="false">IFERROR(AB484/AA484,0)</f>
        <v>0.219618</v>
      </c>
      <c r="AD484" s="22" t="s">
        <v>721</v>
      </c>
    </row>
    <row r="485" customFormat="false" ht="15" hidden="false" customHeight="false" outlineLevel="0" collapsed="false">
      <c r="A485" s="22" t="n">
        <v>484</v>
      </c>
      <c r="B485" s="22" t="s">
        <v>134</v>
      </c>
      <c r="C485" s="37" t="n">
        <v>45085.7306018519</v>
      </c>
      <c r="D485" s="22" t="s">
        <v>205</v>
      </c>
      <c r="E485" s="22" t="n">
        <v>17</v>
      </c>
      <c r="F485" s="22" t="s">
        <v>181</v>
      </c>
      <c r="G485" s="22" t="s">
        <v>243</v>
      </c>
      <c r="H485" s="22" t="n">
        <v>0.06</v>
      </c>
      <c r="I485" s="38" t="n">
        <v>1970.09</v>
      </c>
      <c r="J485" s="38" t="n">
        <v>1970.11</v>
      </c>
      <c r="K485" s="39" t="n">
        <f aca="false">IF(F485="BUY",J485-I485,I485-J485)</f>
        <v>0.0199999999999818</v>
      </c>
      <c r="L485" s="38" t="n">
        <v>1964.09</v>
      </c>
      <c r="M485" s="39" t="n">
        <f aca="false">ABS(I485-L485)</f>
        <v>6</v>
      </c>
      <c r="N485" s="24" t="n">
        <f aca="false">M485*H485*Summary!$C$6</f>
        <v>36</v>
      </c>
      <c r="O485" s="37" t="n">
        <v>45085.8412731482</v>
      </c>
      <c r="P485" s="22" t="n">
        <f aca="false">ROUND((O485-C485)*86400,0)</f>
        <v>9562</v>
      </c>
      <c r="Q485" s="22" t="str">
        <f aca="false">IF(P485&lt;10,"a) &lt;10s",IF(P485&lt;60,"b) 10-60s",IF(P485&lt;600,"c) 1-10min","d) &gt;10min")))</f>
        <v>d) &gt;10min</v>
      </c>
      <c r="R485" s="38" t="n">
        <v>1964.09</v>
      </c>
      <c r="S485" s="38" t="n">
        <v>1964.07</v>
      </c>
      <c r="T485" s="22" t="s">
        <v>188</v>
      </c>
      <c r="U485" s="39" t="n">
        <f aca="false">IF(R485="","",IF(F485="BUY",R485-S485,S485-R485))</f>
        <v>0.0199999999999818</v>
      </c>
      <c r="V485" s="39" t="n">
        <f aca="false">IF(F485="BUY",S485-J485,J485-S485)</f>
        <v>-6.03999999999996</v>
      </c>
      <c r="W485" s="6" t="n">
        <v>-36.24</v>
      </c>
      <c r="X485" s="26" t="n">
        <f aca="false">IFERROR(W485/N485,0)</f>
        <v>-1.00666666666667</v>
      </c>
      <c r="Y485" s="22" t="str">
        <f aca="false">IF(W485&gt;0,"Win",IF(W485&lt;0,"Loss","Flat"))</f>
        <v>Loss</v>
      </c>
      <c r="Z485" s="24" t="n">
        <f aca="false">Summary!$C$5+SUM(W$2:W485)</f>
        <v>3865.67</v>
      </c>
      <c r="AA485" s="24" t="n">
        <f aca="false">MAX(AA484,Z485)</f>
        <v>5000</v>
      </c>
      <c r="AB485" s="24" t="n">
        <f aca="false">AA485-Z485</f>
        <v>1134.33</v>
      </c>
      <c r="AC485" s="23" t="n">
        <f aca="false">IFERROR(AB485/AA485,0)</f>
        <v>0.226866</v>
      </c>
      <c r="AD485" s="22" t="s">
        <v>722</v>
      </c>
    </row>
    <row r="486" customFormat="false" ht="15" hidden="false" customHeight="false" outlineLevel="0" collapsed="false">
      <c r="A486" s="22" t="n">
        <v>485</v>
      </c>
      <c r="B486" s="22" t="s">
        <v>134</v>
      </c>
      <c r="C486" s="37" t="n">
        <v>45086.3784837963</v>
      </c>
      <c r="D486" s="22" t="s">
        <v>206</v>
      </c>
      <c r="E486" s="22" t="n">
        <v>9</v>
      </c>
      <c r="F486" s="22" t="s">
        <v>181</v>
      </c>
      <c r="G486" s="22" t="s">
        <v>235</v>
      </c>
      <c r="H486" s="22" t="n">
        <v>0.06</v>
      </c>
      <c r="I486" s="38" t="n">
        <v>1965.32</v>
      </c>
      <c r="J486" s="38" t="n">
        <v>1965.33</v>
      </c>
      <c r="K486" s="39" t="n">
        <f aca="false">IF(F486="BUY",J486-I486,I486-J486)</f>
        <v>0.00999999999999091</v>
      </c>
      <c r="L486" s="38" t="n">
        <v>1959.32</v>
      </c>
      <c r="M486" s="39" t="n">
        <f aca="false">ABS(I486-L486)</f>
        <v>6</v>
      </c>
      <c r="N486" s="24" t="n">
        <f aca="false">M486*H486*Summary!$C$6</f>
        <v>36</v>
      </c>
      <c r="O486" s="37" t="n">
        <v>45086.6519097222</v>
      </c>
      <c r="P486" s="22" t="n">
        <f aca="false">ROUND((O486-C486)*86400,0)</f>
        <v>23624</v>
      </c>
      <c r="Q486" s="22" t="str">
        <f aca="false">IF(P486&lt;10,"a) &lt;10s",IF(P486&lt;60,"b) 10-60s",IF(P486&lt;600,"c) 1-10min","d) &gt;10min")))</f>
        <v>d) &gt;10min</v>
      </c>
      <c r="R486" s="38" t="n">
        <v>1965.83</v>
      </c>
      <c r="S486" s="38" t="n">
        <v>1965.8</v>
      </c>
      <c r="T486" s="22" t="s">
        <v>189</v>
      </c>
      <c r="U486" s="39" t="n">
        <f aca="false">IF(R486="","",IF(F486="BUY",R486-S486,S486-R486))</f>
        <v>0.0299999999999727</v>
      </c>
      <c r="V486" s="39" t="n">
        <f aca="false">IF(F486="BUY",S486-J486,J486-S486)</f>
        <v>0.470000000000027</v>
      </c>
      <c r="W486" s="6" t="n">
        <v>2.82</v>
      </c>
      <c r="X486" s="26" t="n">
        <f aca="false">IFERROR(W486/N486,0)</f>
        <v>0.0783333333333333</v>
      </c>
      <c r="Y486" s="22" t="str">
        <f aca="false">IF(W486&gt;0,"Win",IF(W486&lt;0,"Loss","Flat"))</f>
        <v>Win</v>
      </c>
      <c r="Z486" s="24" t="n">
        <f aca="false">Summary!$C$5+SUM(W$2:W486)</f>
        <v>3868.49</v>
      </c>
      <c r="AA486" s="24" t="n">
        <f aca="false">MAX(AA485,Z486)</f>
        <v>5000</v>
      </c>
      <c r="AB486" s="24" t="n">
        <f aca="false">AA486-Z486</f>
        <v>1131.51</v>
      </c>
      <c r="AC486" s="23" t="n">
        <f aca="false">IFERROR(AB486/AA486,0)</f>
        <v>0.226302</v>
      </c>
      <c r="AD486" s="22" t="s">
        <v>723</v>
      </c>
    </row>
    <row r="487" customFormat="false" ht="15" hidden="false" customHeight="false" outlineLevel="0" collapsed="false">
      <c r="A487" s="22" t="n">
        <v>486</v>
      </c>
      <c r="B487" s="22" t="s">
        <v>134</v>
      </c>
      <c r="C487" s="37" t="n">
        <v>45089.1872916667</v>
      </c>
      <c r="D487" s="22" t="s">
        <v>202</v>
      </c>
      <c r="E487" s="22" t="n">
        <v>4</v>
      </c>
      <c r="F487" s="22" t="s">
        <v>182</v>
      </c>
      <c r="G487" s="22" t="s">
        <v>237</v>
      </c>
      <c r="H487" s="22" t="n">
        <v>0.06</v>
      </c>
      <c r="I487" s="38" t="n">
        <v>1956.48</v>
      </c>
      <c r="J487" s="38" t="n">
        <v>1956.45</v>
      </c>
      <c r="K487" s="39" t="n">
        <f aca="false">IF(F487="BUY",J487-I487,I487-J487)</f>
        <v>0.0299999999999727</v>
      </c>
      <c r="L487" s="38" t="n">
        <v>1962.48</v>
      </c>
      <c r="M487" s="39" t="n">
        <f aca="false">ABS(I487-L487)</f>
        <v>6</v>
      </c>
      <c r="N487" s="24" t="n">
        <f aca="false">M487*H487*Summary!$C$6</f>
        <v>36</v>
      </c>
      <c r="O487" s="37" t="n">
        <v>45089.4602083333</v>
      </c>
      <c r="P487" s="22" t="n">
        <f aca="false">ROUND((O487-C487)*86400,0)</f>
        <v>23580</v>
      </c>
      <c r="Q487" s="22" t="str">
        <f aca="false">IF(P487&lt;10,"a) &lt;10s",IF(P487&lt;60,"b) 10-60s",IF(P487&lt;600,"c) 1-10min","d) &gt;10min")))</f>
        <v>d) &gt;10min</v>
      </c>
      <c r="R487" s="38" t="n">
        <v>1962.48</v>
      </c>
      <c r="S487" s="38" t="n">
        <v>1962.48</v>
      </c>
      <c r="T487" s="22" t="s">
        <v>188</v>
      </c>
      <c r="U487" s="39" t="n">
        <f aca="false">IF(R487="","",IF(F487="BUY",R487-S487,S487-R487))</f>
        <v>0</v>
      </c>
      <c r="V487" s="39" t="n">
        <f aca="false">IF(F487="BUY",S487-J487,J487-S487)</f>
        <v>-6.02999999999997</v>
      </c>
      <c r="W487" s="6" t="n">
        <v>-36.18</v>
      </c>
      <c r="X487" s="26" t="n">
        <f aca="false">IFERROR(W487/N487,0)</f>
        <v>-1.005</v>
      </c>
      <c r="Y487" s="22" t="str">
        <f aca="false">IF(W487&gt;0,"Win",IF(W487&lt;0,"Loss","Flat"))</f>
        <v>Loss</v>
      </c>
      <c r="Z487" s="24" t="n">
        <f aca="false">Summary!$C$5+SUM(W$2:W487)</f>
        <v>3832.31</v>
      </c>
      <c r="AA487" s="24" t="n">
        <f aca="false">MAX(AA486,Z487)</f>
        <v>5000</v>
      </c>
      <c r="AB487" s="24" t="n">
        <f aca="false">AA487-Z487</f>
        <v>1167.69</v>
      </c>
      <c r="AC487" s="23" t="n">
        <f aca="false">IFERROR(AB487/AA487,0)</f>
        <v>0.233538</v>
      </c>
      <c r="AD487" s="22" t="s">
        <v>724</v>
      </c>
    </row>
    <row r="488" customFormat="false" ht="15" hidden="false" customHeight="false" outlineLevel="0" collapsed="false">
      <c r="A488" s="22" t="n">
        <v>487</v>
      </c>
      <c r="B488" s="22" t="s">
        <v>134</v>
      </c>
      <c r="C488" s="37" t="n">
        <v>45089.6878703704</v>
      </c>
      <c r="D488" s="22" t="s">
        <v>202</v>
      </c>
      <c r="E488" s="22" t="n">
        <v>16</v>
      </c>
      <c r="F488" s="22" t="s">
        <v>182</v>
      </c>
      <c r="G488" s="22" t="s">
        <v>241</v>
      </c>
      <c r="H488" s="22" t="n">
        <v>0.06</v>
      </c>
      <c r="I488" s="38" t="n">
        <v>1956.51</v>
      </c>
      <c r="J488" s="38" t="n">
        <v>1956.47</v>
      </c>
      <c r="K488" s="39" t="n">
        <f aca="false">IF(F488="BUY",J488-I488,I488-J488)</f>
        <v>0.0399999999999636</v>
      </c>
      <c r="L488" s="38" t="n">
        <v>1962.51</v>
      </c>
      <c r="M488" s="39" t="n">
        <f aca="false">ABS(I488-L488)</f>
        <v>6</v>
      </c>
      <c r="N488" s="24" t="n">
        <f aca="false">M488*H488*Summary!$C$6</f>
        <v>36</v>
      </c>
      <c r="O488" s="37" t="n">
        <v>45089.7564351852</v>
      </c>
      <c r="P488" s="22" t="n">
        <f aca="false">ROUND((O488-C488)*86400,0)</f>
        <v>5924</v>
      </c>
      <c r="Q488" s="22" t="str">
        <f aca="false">IF(P488&lt;10,"a) &lt;10s",IF(P488&lt;60,"b) 10-60s",IF(P488&lt;600,"c) 1-10min","d) &gt;10min")))</f>
        <v>d) &gt;10min</v>
      </c>
      <c r="R488" s="38" t="n">
        <v>1955.97</v>
      </c>
      <c r="S488" s="38" t="n">
        <v>1956.06</v>
      </c>
      <c r="T488" s="22" t="s">
        <v>189</v>
      </c>
      <c r="U488" s="39" t="n">
        <f aca="false">IF(R488="","",IF(F488="BUY",R488-S488,S488-R488))</f>
        <v>0.0899999999999182</v>
      </c>
      <c r="V488" s="39" t="n">
        <f aca="false">IF(F488="BUY",S488-J488,J488-S488)</f>
        <v>0.410000000000082</v>
      </c>
      <c r="W488" s="6" t="n">
        <v>2.46</v>
      </c>
      <c r="X488" s="26" t="n">
        <f aca="false">IFERROR(W488/N488,0)</f>
        <v>0.0683333333333333</v>
      </c>
      <c r="Y488" s="22" t="str">
        <f aca="false">IF(W488&gt;0,"Win",IF(W488&lt;0,"Loss","Flat"))</f>
        <v>Win</v>
      </c>
      <c r="Z488" s="24" t="n">
        <f aca="false">Summary!$C$5+SUM(W$2:W488)</f>
        <v>3834.77</v>
      </c>
      <c r="AA488" s="24" t="n">
        <f aca="false">MAX(AA487,Z488)</f>
        <v>5000</v>
      </c>
      <c r="AB488" s="24" t="n">
        <f aca="false">AA488-Z488</f>
        <v>1165.23</v>
      </c>
      <c r="AC488" s="23" t="n">
        <f aca="false">IFERROR(AB488/AA488,0)</f>
        <v>0.233046</v>
      </c>
      <c r="AD488" s="22" t="s">
        <v>725</v>
      </c>
    </row>
    <row r="489" customFormat="false" ht="15" hidden="false" customHeight="false" outlineLevel="0" collapsed="false">
      <c r="A489" s="22" t="n">
        <v>488</v>
      </c>
      <c r="B489" s="22" t="s">
        <v>134</v>
      </c>
      <c r="C489" s="37" t="n">
        <v>45090.3897337963</v>
      </c>
      <c r="D489" s="22" t="s">
        <v>203</v>
      </c>
      <c r="E489" s="22" t="n">
        <v>9</v>
      </c>
      <c r="F489" s="22" t="s">
        <v>181</v>
      </c>
      <c r="G489" s="22" t="s">
        <v>235</v>
      </c>
      <c r="H489" s="22" t="n">
        <v>0.06</v>
      </c>
      <c r="I489" s="38" t="n">
        <v>1962.03</v>
      </c>
      <c r="J489" s="38" t="n">
        <v>1962.08</v>
      </c>
      <c r="K489" s="39" t="n">
        <f aca="false">IF(F489="BUY",J489-I489,I489-J489)</f>
        <v>0.0499999999999545</v>
      </c>
      <c r="L489" s="38" t="n">
        <v>1956.03</v>
      </c>
      <c r="M489" s="39" t="n">
        <f aca="false">ABS(I489-L489)</f>
        <v>6</v>
      </c>
      <c r="N489" s="24" t="n">
        <f aca="false">M489*H489*Summary!$C$6</f>
        <v>36</v>
      </c>
      <c r="O489" s="37" t="n">
        <v>45090.4483912037</v>
      </c>
      <c r="P489" s="22" t="n">
        <f aca="false">ROUND((O489-C489)*86400,0)</f>
        <v>5068</v>
      </c>
      <c r="Q489" s="22" t="str">
        <f aca="false">IF(P489&lt;10,"a) &lt;10s",IF(P489&lt;60,"b) 10-60s",IF(P489&lt;600,"c) 1-10min","d) &gt;10min")))</f>
        <v>d) &gt;10min</v>
      </c>
      <c r="R489" s="38" t="n">
        <v>1962.58</v>
      </c>
      <c r="S489" s="38" t="n">
        <v>1962.58</v>
      </c>
      <c r="T489" s="22" t="s">
        <v>189</v>
      </c>
      <c r="U489" s="39" t="n">
        <f aca="false">IF(R489="","",IF(F489="BUY",R489-S489,S489-R489))</f>
        <v>0</v>
      </c>
      <c r="V489" s="39" t="n">
        <f aca="false">IF(F489="BUY",S489-J489,J489-S489)</f>
        <v>0.5</v>
      </c>
      <c r="W489" s="6" t="n">
        <v>3</v>
      </c>
      <c r="X489" s="26" t="n">
        <f aca="false">IFERROR(W489/N489,0)</f>
        <v>0.0833333333333333</v>
      </c>
      <c r="Y489" s="22" t="str">
        <f aca="false">IF(W489&gt;0,"Win",IF(W489&lt;0,"Loss","Flat"))</f>
        <v>Win</v>
      </c>
      <c r="Z489" s="24" t="n">
        <f aca="false">Summary!$C$5+SUM(W$2:W489)</f>
        <v>3837.77</v>
      </c>
      <c r="AA489" s="24" t="n">
        <f aca="false">MAX(AA488,Z489)</f>
        <v>5000</v>
      </c>
      <c r="AB489" s="24" t="n">
        <f aca="false">AA489-Z489</f>
        <v>1162.23</v>
      </c>
      <c r="AC489" s="23" t="n">
        <f aca="false">IFERROR(AB489/AA489,0)</f>
        <v>0.232446</v>
      </c>
      <c r="AD489" s="22" t="s">
        <v>726</v>
      </c>
    </row>
    <row r="490" customFormat="false" ht="15" hidden="false" customHeight="false" outlineLevel="0" collapsed="false">
      <c r="A490" s="22" t="n">
        <v>489</v>
      </c>
      <c r="B490" s="22" t="s">
        <v>134</v>
      </c>
      <c r="C490" s="37" t="n">
        <v>45090.6459837963</v>
      </c>
      <c r="D490" s="22" t="s">
        <v>203</v>
      </c>
      <c r="E490" s="22" t="n">
        <v>15</v>
      </c>
      <c r="F490" s="22" t="s">
        <v>181</v>
      </c>
      <c r="G490" s="22" t="s">
        <v>243</v>
      </c>
      <c r="H490" s="22" t="n">
        <v>0.06</v>
      </c>
      <c r="I490" s="38" t="n">
        <v>1966.87</v>
      </c>
      <c r="J490" s="38" t="n">
        <v>1966.87</v>
      </c>
      <c r="K490" s="39" t="n">
        <f aca="false">IF(F490="BUY",J490-I490,I490-J490)</f>
        <v>0</v>
      </c>
      <c r="L490" s="38" t="n">
        <v>1960.87</v>
      </c>
      <c r="M490" s="39" t="n">
        <f aca="false">ABS(I490-L490)</f>
        <v>6</v>
      </c>
      <c r="N490" s="24" t="n">
        <f aca="false">M490*H490*Summary!$C$6</f>
        <v>36</v>
      </c>
      <c r="O490" s="37" t="n">
        <v>45090.646412037</v>
      </c>
      <c r="P490" s="22" t="n">
        <f aca="false">ROUND((O490-C490)*86400,0)</f>
        <v>37</v>
      </c>
      <c r="Q490" s="22" t="str">
        <f aca="false">IF(P490&lt;10,"a) &lt;10s",IF(P490&lt;60,"b) 10-60s",IF(P490&lt;600,"c) 1-10min","d) &gt;10min")))</f>
        <v>b) 10-60s</v>
      </c>
      <c r="R490" s="38" t="n">
        <v>1967.37</v>
      </c>
      <c r="S490" s="38" t="n">
        <v>1967.02</v>
      </c>
      <c r="T490" s="22" t="s">
        <v>189</v>
      </c>
      <c r="U490" s="39" t="n">
        <f aca="false">IF(R490="","",IF(F490="BUY",R490-S490,S490-R490))</f>
        <v>0.349999999999909</v>
      </c>
      <c r="V490" s="39" t="n">
        <f aca="false">IF(F490="BUY",S490-J490,J490-S490)</f>
        <v>0.150000000000091</v>
      </c>
      <c r="W490" s="6" t="n">
        <v>0.9</v>
      </c>
      <c r="X490" s="26" t="n">
        <f aca="false">IFERROR(W490/N490,0)</f>
        <v>0.025</v>
      </c>
      <c r="Y490" s="22" t="str">
        <f aca="false">IF(W490&gt;0,"Win",IF(W490&lt;0,"Loss","Flat"))</f>
        <v>Win</v>
      </c>
      <c r="Z490" s="24" t="n">
        <f aca="false">Summary!$C$5+SUM(W$2:W490)</f>
        <v>3838.67</v>
      </c>
      <c r="AA490" s="24" t="n">
        <f aca="false">MAX(AA489,Z490)</f>
        <v>5000</v>
      </c>
      <c r="AB490" s="24" t="n">
        <f aca="false">AA490-Z490</f>
        <v>1161.33</v>
      </c>
      <c r="AC490" s="23" t="n">
        <f aca="false">IFERROR(AB490/AA490,0)</f>
        <v>0.232266</v>
      </c>
      <c r="AD490" s="22" t="s">
        <v>727</v>
      </c>
    </row>
    <row r="491" customFormat="false" ht="15" hidden="false" customHeight="false" outlineLevel="0" collapsed="false">
      <c r="A491" s="22" t="n">
        <v>490</v>
      </c>
      <c r="B491" s="22" t="s">
        <v>134</v>
      </c>
      <c r="C491" s="37" t="n">
        <v>45091.3750115741</v>
      </c>
      <c r="D491" s="22" t="s">
        <v>204</v>
      </c>
      <c r="E491" s="22" t="n">
        <v>9</v>
      </c>
      <c r="F491" s="22" t="s">
        <v>182</v>
      </c>
      <c r="G491" s="22" t="s">
        <v>241</v>
      </c>
      <c r="H491" s="22" t="n">
        <v>0.06</v>
      </c>
      <c r="I491" s="38" t="n">
        <v>1946.03</v>
      </c>
      <c r="J491" s="38" t="n">
        <v>1946.03</v>
      </c>
      <c r="K491" s="39" t="n">
        <f aca="false">IF(F491="BUY",J491-I491,I491-J491)</f>
        <v>0</v>
      </c>
      <c r="L491" s="38" t="n">
        <v>1952.03</v>
      </c>
      <c r="M491" s="39" t="n">
        <f aca="false">ABS(I491-L491)</f>
        <v>6</v>
      </c>
      <c r="N491" s="24" t="n">
        <f aca="false">M491*H491*Summary!$C$6</f>
        <v>36</v>
      </c>
      <c r="O491" s="37" t="n">
        <v>45091.5077662037</v>
      </c>
      <c r="P491" s="22" t="n">
        <f aca="false">ROUND((O491-C491)*86400,0)</f>
        <v>11470</v>
      </c>
      <c r="Q491" s="22" t="str">
        <f aca="false">IF(P491&lt;10,"a) &lt;10s",IF(P491&lt;60,"b) 10-60s",IF(P491&lt;600,"c) 1-10min","d) &gt;10min")))</f>
        <v>d) &gt;10min</v>
      </c>
      <c r="R491" s="38" t="n">
        <v>1952.03</v>
      </c>
      <c r="S491" s="38" t="n">
        <v>1952.04</v>
      </c>
      <c r="T491" s="22" t="s">
        <v>188</v>
      </c>
      <c r="U491" s="39" t="n">
        <f aca="false">IF(R491="","",IF(F491="BUY",R491-S491,S491-R491))</f>
        <v>0.00999999999999091</v>
      </c>
      <c r="V491" s="39" t="n">
        <f aca="false">IF(F491="BUY",S491-J491,J491-S491)</f>
        <v>-6.00999999999999</v>
      </c>
      <c r="W491" s="6" t="n">
        <v>-36.06</v>
      </c>
      <c r="X491" s="26" t="n">
        <f aca="false">IFERROR(W491/N491,0)</f>
        <v>-1.00166666666667</v>
      </c>
      <c r="Y491" s="22" t="str">
        <f aca="false">IF(W491&gt;0,"Win",IF(W491&lt;0,"Loss","Flat"))</f>
        <v>Loss</v>
      </c>
      <c r="Z491" s="24" t="n">
        <f aca="false">Summary!$C$5+SUM(W$2:W491)</f>
        <v>3802.61</v>
      </c>
      <c r="AA491" s="24" t="n">
        <f aca="false">MAX(AA490,Z491)</f>
        <v>5000</v>
      </c>
      <c r="AB491" s="24" t="n">
        <f aca="false">AA491-Z491</f>
        <v>1197.39</v>
      </c>
      <c r="AC491" s="23" t="n">
        <f aca="false">IFERROR(AB491/AA491,0)</f>
        <v>0.239478</v>
      </c>
      <c r="AD491" s="22" t="s">
        <v>728</v>
      </c>
    </row>
    <row r="492" customFormat="false" ht="15" hidden="false" customHeight="false" outlineLevel="0" collapsed="false">
      <c r="A492" s="22" t="n">
        <v>491</v>
      </c>
      <c r="B492" s="22" t="s">
        <v>134</v>
      </c>
      <c r="C492" s="37" t="n">
        <v>45091.8797685185</v>
      </c>
      <c r="D492" s="22" t="s">
        <v>204</v>
      </c>
      <c r="E492" s="22" t="n">
        <v>21</v>
      </c>
      <c r="F492" s="22" t="s">
        <v>182</v>
      </c>
      <c r="G492" s="22" t="s">
        <v>237</v>
      </c>
      <c r="H492" s="22" t="n">
        <v>0.06</v>
      </c>
      <c r="I492" s="38" t="n">
        <v>1939.94</v>
      </c>
      <c r="J492" s="38" t="n">
        <v>1939.9</v>
      </c>
      <c r="K492" s="39" t="n">
        <f aca="false">IF(F492="BUY",J492-I492,I492-J492)</f>
        <v>0.0399999999999636</v>
      </c>
      <c r="L492" s="38" t="n">
        <v>1945.94</v>
      </c>
      <c r="M492" s="39" t="n">
        <f aca="false">ABS(I492-L492)</f>
        <v>6</v>
      </c>
      <c r="N492" s="24" t="n">
        <f aca="false">M492*H492*Summary!$C$6</f>
        <v>36</v>
      </c>
      <c r="O492" s="37" t="n">
        <v>45091.8823958333</v>
      </c>
      <c r="P492" s="22" t="n">
        <f aca="false">ROUND((O492-C492)*86400,0)</f>
        <v>227</v>
      </c>
      <c r="Q492" s="22" t="str">
        <f aca="false">IF(P492&lt;10,"a) &lt;10s",IF(P492&lt;60,"b) 10-60s",IF(P492&lt;600,"c) 1-10min","d) &gt;10min")))</f>
        <v>c) 1-10min</v>
      </c>
      <c r="R492" s="38" t="n">
        <v>1945.94</v>
      </c>
      <c r="S492" s="38" t="n">
        <v>1946.03</v>
      </c>
      <c r="T492" s="22" t="s">
        <v>188</v>
      </c>
      <c r="U492" s="39" t="n">
        <f aca="false">IF(R492="","",IF(F492="BUY",R492-S492,S492-R492))</f>
        <v>0.0899999999999182</v>
      </c>
      <c r="V492" s="39" t="n">
        <f aca="false">IF(F492="BUY",S492-J492,J492-S492)</f>
        <v>-6.12999999999988</v>
      </c>
      <c r="W492" s="6" t="n">
        <v>-36.78</v>
      </c>
      <c r="X492" s="26" t="n">
        <f aca="false">IFERROR(W492/N492,0)</f>
        <v>-1.02166666666667</v>
      </c>
      <c r="Y492" s="22" t="str">
        <f aca="false">IF(W492&gt;0,"Win",IF(W492&lt;0,"Loss","Flat"))</f>
        <v>Loss</v>
      </c>
      <c r="Z492" s="24" t="n">
        <f aca="false">Summary!$C$5+SUM(W$2:W492)</f>
        <v>3765.83</v>
      </c>
      <c r="AA492" s="24" t="n">
        <f aca="false">MAX(AA491,Z492)</f>
        <v>5000</v>
      </c>
      <c r="AB492" s="24" t="n">
        <f aca="false">AA492-Z492</f>
        <v>1234.17</v>
      </c>
      <c r="AC492" s="23" t="n">
        <f aca="false">IFERROR(AB492/AA492,0)</f>
        <v>0.246834</v>
      </c>
      <c r="AD492" s="22" t="s">
        <v>729</v>
      </c>
    </row>
    <row r="493" customFormat="false" ht="15" hidden="false" customHeight="false" outlineLevel="0" collapsed="false">
      <c r="A493" s="22" t="n">
        <v>492</v>
      </c>
      <c r="B493" s="22" t="s">
        <v>134</v>
      </c>
      <c r="C493" s="37" t="n">
        <v>45092.1584953704</v>
      </c>
      <c r="D493" s="22" t="s">
        <v>205</v>
      </c>
      <c r="E493" s="22" t="n">
        <v>3</v>
      </c>
      <c r="F493" s="22" t="s">
        <v>182</v>
      </c>
      <c r="G493" s="22" t="s">
        <v>237</v>
      </c>
      <c r="H493" s="22" t="n">
        <v>0.06</v>
      </c>
      <c r="I493" s="38" t="n">
        <v>1939.5</v>
      </c>
      <c r="J493" s="38" t="n">
        <v>1939.5</v>
      </c>
      <c r="K493" s="39" t="n">
        <f aca="false">IF(F493="BUY",J493-I493,I493-J493)</f>
        <v>0</v>
      </c>
      <c r="L493" s="38" t="n">
        <v>1945.5</v>
      </c>
      <c r="M493" s="39" t="n">
        <f aca="false">ABS(I493-L493)</f>
        <v>6</v>
      </c>
      <c r="N493" s="24" t="n">
        <f aca="false">M493*H493*Summary!$C$6</f>
        <v>36</v>
      </c>
      <c r="O493" s="37" t="n">
        <v>45092.1625694444</v>
      </c>
      <c r="P493" s="22" t="n">
        <f aca="false">ROUND((O493-C493)*86400,0)</f>
        <v>352</v>
      </c>
      <c r="Q493" s="22" t="str">
        <f aca="false">IF(P493&lt;10,"a) &lt;10s",IF(P493&lt;60,"b) 10-60s",IF(P493&lt;600,"c) 1-10min","d) &gt;10min")))</f>
        <v>c) 1-10min</v>
      </c>
      <c r="R493" s="38" t="n">
        <v>1939</v>
      </c>
      <c r="S493" s="38" t="n">
        <v>1939.02</v>
      </c>
      <c r="T493" s="22" t="s">
        <v>189</v>
      </c>
      <c r="U493" s="39" t="n">
        <f aca="false">IF(R493="","",IF(F493="BUY",R493-S493,S493-R493))</f>
        <v>0.0199999999999818</v>
      </c>
      <c r="V493" s="39" t="n">
        <f aca="false">IF(F493="BUY",S493-J493,J493-S493)</f>
        <v>0.480000000000018</v>
      </c>
      <c r="W493" s="6" t="n">
        <v>2.88</v>
      </c>
      <c r="X493" s="26" t="n">
        <f aca="false">IFERROR(W493/N493,0)</f>
        <v>0.08</v>
      </c>
      <c r="Y493" s="22" t="str">
        <f aca="false">IF(W493&gt;0,"Win",IF(W493&lt;0,"Loss","Flat"))</f>
        <v>Win</v>
      </c>
      <c r="Z493" s="24" t="n">
        <f aca="false">Summary!$C$5+SUM(W$2:W493)</f>
        <v>3768.71</v>
      </c>
      <c r="AA493" s="24" t="n">
        <f aca="false">MAX(AA492,Z493)</f>
        <v>5000</v>
      </c>
      <c r="AB493" s="24" t="n">
        <f aca="false">AA493-Z493</f>
        <v>1231.29</v>
      </c>
      <c r="AC493" s="23" t="n">
        <f aca="false">IFERROR(AB493/AA493,0)</f>
        <v>0.246258</v>
      </c>
      <c r="AD493" s="22" t="s">
        <v>730</v>
      </c>
    </row>
    <row r="494" customFormat="false" ht="15" hidden="false" customHeight="false" outlineLevel="0" collapsed="false">
      <c r="A494" s="22" t="n">
        <v>493</v>
      </c>
      <c r="B494" s="22" t="s">
        <v>134</v>
      </c>
      <c r="C494" s="37" t="n">
        <v>45092.4177314815</v>
      </c>
      <c r="D494" s="22" t="s">
        <v>205</v>
      </c>
      <c r="E494" s="22" t="n">
        <v>10</v>
      </c>
      <c r="F494" s="22" t="s">
        <v>182</v>
      </c>
      <c r="G494" s="22" t="s">
        <v>241</v>
      </c>
      <c r="H494" s="22" t="n">
        <v>0.06</v>
      </c>
      <c r="I494" s="38" t="n">
        <v>1930.65</v>
      </c>
      <c r="J494" s="38" t="n">
        <v>1930.64</v>
      </c>
      <c r="K494" s="39" t="n">
        <f aca="false">IF(F494="BUY",J494-I494,I494-J494)</f>
        <v>0.00999999999999091</v>
      </c>
      <c r="L494" s="38" t="n">
        <v>1936.65</v>
      </c>
      <c r="M494" s="39" t="n">
        <f aca="false">ABS(I494-L494)</f>
        <v>6</v>
      </c>
      <c r="N494" s="24" t="n">
        <f aca="false">M494*H494*Summary!$C$6</f>
        <v>36</v>
      </c>
      <c r="O494" s="37" t="n">
        <v>45092.5458217593</v>
      </c>
      <c r="P494" s="22" t="n">
        <f aca="false">ROUND((O494-C494)*86400,0)</f>
        <v>11067</v>
      </c>
      <c r="Q494" s="22" t="str">
        <f aca="false">IF(P494&lt;10,"a) &lt;10s",IF(P494&lt;60,"b) 10-60s",IF(P494&lt;600,"c) 1-10min","d) &gt;10min")))</f>
        <v>d) &gt;10min</v>
      </c>
      <c r="R494" s="38" t="n">
        <v>1936.65</v>
      </c>
      <c r="S494" s="38" t="n">
        <v>1936.66</v>
      </c>
      <c r="T494" s="22" t="s">
        <v>188</v>
      </c>
      <c r="U494" s="39" t="n">
        <f aca="false">IF(R494="","",IF(F494="BUY",R494-S494,S494-R494))</f>
        <v>0.00999999999999091</v>
      </c>
      <c r="V494" s="39" t="n">
        <f aca="false">IF(F494="BUY",S494-J494,J494-S494)</f>
        <v>-6.01999999999998</v>
      </c>
      <c r="W494" s="6" t="n">
        <v>-36.12</v>
      </c>
      <c r="X494" s="26" t="n">
        <f aca="false">IFERROR(W494/N494,0)</f>
        <v>-1.00333333333333</v>
      </c>
      <c r="Y494" s="22" t="str">
        <f aca="false">IF(W494&gt;0,"Win",IF(W494&lt;0,"Loss","Flat"))</f>
        <v>Loss</v>
      </c>
      <c r="Z494" s="24" t="n">
        <f aca="false">Summary!$C$5+SUM(W$2:W494)</f>
        <v>3732.59</v>
      </c>
      <c r="AA494" s="24" t="n">
        <f aca="false">MAX(AA493,Z494)</f>
        <v>5000</v>
      </c>
      <c r="AB494" s="24" t="n">
        <f aca="false">AA494-Z494</f>
        <v>1267.41</v>
      </c>
      <c r="AC494" s="23" t="n">
        <f aca="false">IFERROR(AB494/AA494,0)</f>
        <v>0.253482</v>
      </c>
      <c r="AD494" s="22" t="s">
        <v>731</v>
      </c>
    </row>
    <row r="495" customFormat="false" ht="15" hidden="false" customHeight="false" outlineLevel="0" collapsed="false">
      <c r="A495" s="22" t="n">
        <v>494</v>
      </c>
      <c r="B495" s="22" t="s">
        <v>134</v>
      </c>
      <c r="C495" s="37" t="n">
        <v>45093.1955902778</v>
      </c>
      <c r="D495" s="22" t="s">
        <v>206</v>
      </c>
      <c r="E495" s="22" t="n">
        <v>4</v>
      </c>
      <c r="F495" s="22" t="s">
        <v>181</v>
      </c>
      <c r="G495" s="22" t="s">
        <v>243</v>
      </c>
      <c r="H495" s="22" t="n">
        <v>0.06</v>
      </c>
      <c r="I495" s="38" t="n">
        <v>1960.13</v>
      </c>
      <c r="J495" s="38" t="n">
        <v>1960.13</v>
      </c>
      <c r="K495" s="39" t="n">
        <f aca="false">IF(F495="BUY",J495-I495,I495-J495)</f>
        <v>0</v>
      </c>
      <c r="L495" s="38" t="n">
        <v>1954.13</v>
      </c>
      <c r="M495" s="39" t="n">
        <f aca="false">ABS(I495-L495)</f>
        <v>6</v>
      </c>
      <c r="N495" s="24" t="n">
        <f aca="false">M495*H495*Summary!$C$6</f>
        <v>36</v>
      </c>
      <c r="O495" s="37" t="n">
        <v>45093.4102199074</v>
      </c>
      <c r="P495" s="22" t="n">
        <f aca="false">ROUND((O495-C495)*86400,0)</f>
        <v>18544</v>
      </c>
      <c r="Q495" s="22" t="str">
        <f aca="false">IF(P495&lt;10,"a) &lt;10s",IF(P495&lt;60,"b) 10-60s",IF(P495&lt;600,"c) 1-10min","d) &gt;10min")))</f>
        <v>d) &gt;10min</v>
      </c>
      <c r="R495" s="38" t="n">
        <v>1960.63</v>
      </c>
      <c r="S495" s="38" t="n">
        <v>1960.59</v>
      </c>
      <c r="T495" s="22" t="s">
        <v>189</v>
      </c>
      <c r="U495" s="39" t="n">
        <f aca="false">IF(R495="","",IF(F495="BUY",R495-S495,S495-R495))</f>
        <v>0.040000000000191</v>
      </c>
      <c r="V495" s="39" t="n">
        <f aca="false">IF(F495="BUY",S495-J495,J495-S495)</f>
        <v>0.459999999999809</v>
      </c>
      <c r="W495" s="6" t="n">
        <v>2.76</v>
      </c>
      <c r="X495" s="26" t="n">
        <f aca="false">IFERROR(W495/N495,0)</f>
        <v>0.0766666666666667</v>
      </c>
      <c r="Y495" s="22" t="str">
        <f aca="false">IF(W495&gt;0,"Win",IF(W495&lt;0,"Loss","Flat"))</f>
        <v>Win</v>
      </c>
      <c r="Z495" s="24" t="n">
        <f aca="false">Summary!$C$5+SUM(W$2:W495)</f>
        <v>3735.35</v>
      </c>
      <c r="AA495" s="24" t="n">
        <f aca="false">MAX(AA494,Z495)</f>
        <v>5000</v>
      </c>
      <c r="AB495" s="24" t="n">
        <f aca="false">AA495-Z495</f>
        <v>1264.65</v>
      </c>
      <c r="AC495" s="23" t="n">
        <f aca="false">IFERROR(AB495/AA495,0)</f>
        <v>0.25293</v>
      </c>
      <c r="AD495" s="22" t="s">
        <v>732</v>
      </c>
    </row>
    <row r="496" customFormat="false" ht="15" hidden="false" customHeight="false" outlineLevel="0" collapsed="false">
      <c r="A496" s="22" t="n">
        <v>495</v>
      </c>
      <c r="B496" s="22" t="s">
        <v>134</v>
      </c>
      <c r="C496" s="37" t="n">
        <v>45093.7287847222</v>
      </c>
      <c r="D496" s="22" t="s">
        <v>206</v>
      </c>
      <c r="E496" s="22" t="n">
        <v>17</v>
      </c>
      <c r="F496" s="22" t="s">
        <v>182</v>
      </c>
      <c r="G496" s="22" t="s">
        <v>241</v>
      </c>
      <c r="H496" s="22" t="n">
        <v>0.06</v>
      </c>
      <c r="I496" s="38" t="n">
        <v>1954.55</v>
      </c>
      <c r="J496" s="38" t="n">
        <v>1954.54</v>
      </c>
      <c r="K496" s="39" t="n">
        <f aca="false">IF(F496="BUY",J496-I496,I496-J496)</f>
        <v>0.00999999999999091</v>
      </c>
      <c r="L496" s="38" t="n">
        <v>1960.55</v>
      </c>
      <c r="M496" s="39" t="n">
        <f aca="false">ABS(I496-L496)</f>
        <v>6</v>
      </c>
      <c r="N496" s="24" t="n">
        <f aca="false">M496*H496*Summary!$C$6</f>
        <v>36</v>
      </c>
      <c r="O496" s="37" t="n">
        <v>45093.7372916667</v>
      </c>
      <c r="P496" s="22" t="n">
        <f aca="false">ROUND((O496-C496)*86400,0)</f>
        <v>735</v>
      </c>
      <c r="Q496" s="22" t="str">
        <f aca="false">IF(P496&lt;10,"a) &lt;10s",IF(P496&lt;60,"b) 10-60s",IF(P496&lt;600,"c) 1-10min","d) &gt;10min")))</f>
        <v>d) &gt;10min</v>
      </c>
      <c r="R496" s="38" t="n">
        <v>1960.55</v>
      </c>
      <c r="S496" s="38" t="n">
        <v>1960.55</v>
      </c>
      <c r="T496" s="22" t="s">
        <v>188</v>
      </c>
      <c r="U496" s="39" t="n">
        <f aca="false">IF(R496="","",IF(F496="BUY",R496-S496,S496-R496))</f>
        <v>0</v>
      </c>
      <c r="V496" s="39" t="n">
        <f aca="false">IF(F496="BUY",S496-J496,J496-S496)</f>
        <v>-6.00999999999999</v>
      </c>
      <c r="W496" s="6" t="n">
        <v>-36.06</v>
      </c>
      <c r="X496" s="26" t="n">
        <f aca="false">IFERROR(W496/N496,0)</f>
        <v>-1.00166666666667</v>
      </c>
      <c r="Y496" s="22" t="str">
        <f aca="false">IF(W496&gt;0,"Win",IF(W496&lt;0,"Loss","Flat"))</f>
        <v>Loss</v>
      </c>
      <c r="Z496" s="24" t="n">
        <f aca="false">Summary!$C$5+SUM(W$2:W496)</f>
        <v>3699.29</v>
      </c>
      <c r="AA496" s="24" t="n">
        <f aca="false">MAX(AA495,Z496)</f>
        <v>5000</v>
      </c>
      <c r="AB496" s="24" t="n">
        <f aca="false">AA496-Z496</f>
        <v>1300.71</v>
      </c>
      <c r="AC496" s="23" t="n">
        <f aca="false">IFERROR(AB496/AA496,0)</f>
        <v>0.260142</v>
      </c>
      <c r="AD496" s="22" t="s">
        <v>733</v>
      </c>
    </row>
    <row r="497" customFormat="false" ht="15" hidden="false" customHeight="false" outlineLevel="0" collapsed="false">
      <c r="A497" s="22" t="n">
        <v>496</v>
      </c>
      <c r="B497" s="22" t="s">
        <v>134</v>
      </c>
      <c r="C497" s="37" t="n">
        <v>45096.3786111111</v>
      </c>
      <c r="D497" s="22" t="s">
        <v>202</v>
      </c>
      <c r="E497" s="22" t="n">
        <v>9</v>
      </c>
      <c r="F497" s="22" t="s">
        <v>182</v>
      </c>
      <c r="G497" s="22" t="s">
        <v>241</v>
      </c>
      <c r="H497" s="22" t="n">
        <v>0.06</v>
      </c>
      <c r="I497" s="38" t="n">
        <v>1954.05</v>
      </c>
      <c r="J497" s="38" t="n">
        <v>1953.94</v>
      </c>
      <c r="K497" s="39" t="n">
        <f aca="false">IF(F497="BUY",J497-I497,I497-J497)</f>
        <v>0.1099999999999</v>
      </c>
      <c r="L497" s="38" t="n">
        <v>1960.05</v>
      </c>
      <c r="M497" s="39" t="n">
        <f aca="false">ABS(I497-L497)</f>
        <v>6</v>
      </c>
      <c r="N497" s="24" t="n">
        <f aca="false">M497*H497*Summary!$C$6</f>
        <v>36</v>
      </c>
      <c r="O497" s="37" t="n">
        <v>45096.7054282407</v>
      </c>
      <c r="P497" s="22" t="n">
        <f aca="false">ROUND((O497-C497)*86400,0)</f>
        <v>28237</v>
      </c>
      <c r="Q497" s="22" t="str">
        <f aca="false">IF(P497&lt;10,"a) &lt;10s",IF(P497&lt;60,"b) 10-60s",IF(P497&lt;600,"c) 1-10min","d) &gt;10min")))</f>
        <v>d) &gt;10min</v>
      </c>
      <c r="R497" s="38" t="n">
        <v>1953.44</v>
      </c>
      <c r="S497" s="38" t="n">
        <v>1953.45</v>
      </c>
      <c r="T497" s="22" t="s">
        <v>189</v>
      </c>
      <c r="U497" s="39" t="n">
        <f aca="false">IF(R497="","",IF(F497="BUY",R497-S497,S497-R497))</f>
        <v>0.00999999999999091</v>
      </c>
      <c r="V497" s="39" t="n">
        <f aca="false">IF(F497="BUY",S497-J497,J497-S497)</f>
        <v>0.490000000000009</v>
      </c>
      <c r="W497" s="6" t="n">
        <v>2.94</v>
      </c>
      <c r="X497" s="26" t="n">
        <f aca="false">IFERROR(W497/N497,0)</f>
        <v>0.0816666666666667</v>
      </c>
      <c r="Y497" s="22" t="str">
        <f aca="false">IF(W497&gt;0,"Win",IF(W497&lt;0,"Loss","Flat"))</f>
        <v>Win</v>
      </c>
      <c r="Z497" s="24" t="n">
        <f aca="false">Summary!$C$5+SUM(W$2:W497)</f>
        <v>3702.23</v>
      </c>
      <c r="AA497" s="24" t="n">
        <f aca="false">MAX(AA496,Z497)</f>
        <v>5000</v>
      </c>
      <c r="AB497" s="24" t="n">
        <f aca="false">AA497-Z497</f>
        <v>1297.77</v>
      </c>
      <c r="AC497" s="23" t="n">
        <f aca="false">IFERROR(AB497/AA497,0)</f>
        <v>0.259554</v>
      </c>
      <c r="AD497" s="22" t="s">
        <v>734</v>
      </c>
    </row>
    <row r="498" customFormat="false" ht="15" hidden="false" customHeight="false" outlineLevel="0" collapsed="false">
      <c r="A498" s="22" t="n">
        <v>497</v>
      </c>
      <c r="B498" s="22" t="s">
        <v>134</v>
      </c>
      <c r="C498" s="37" t="n">
        <v>45097.1969097222</v>
      </c>
      <c r="D498" s="22" t="s">
        <v>203</v>
      </c>
      <c r="E498" s="22" t="n">
        <v>4</v>
      </c>
      <c r="F498" s="22" t="s">
        <v>182</v>
      </c>
      <c r="G498" s="22" t="s">
        <v>237</v>
      </c>
      <c r="H498" s="22" t="n">
        <v>0.06</v>
      </c>
      <c r="I498" s="38" t="n">
        <v>1947.69</v>
      </c>
      <c r="J498" s="38" t="n">
        <v>1947.68</v>
      </c>
      <c r="K498" s="39" t="n">
        <f aca="false">IF(F498="BUY",J498-I498,I498-J498)</f>
        <v>0.00999999999999091</v>
      </c>
      <c r="L498" s="38" t="n">
        <v>1953.69</v>
      </c>
      <c r="M498" s="39" t="n">
        <f aca="false">ABS(I498-L498)</f>
        <v>6</v>
      </c>
      <c r="N498" s="24" t="n">
        <f aca="false">M498*H498*Summary!$C$6</f>
        <v>36</v>
      </c>
      <c r="O498" s="37" t="n">
        <v>45097.207037037</v>
      </c>
      <c r="P498" s="22" t="n">
        <f aca="false">ROUND((O498-C498)*86400,0)</f>
        <v>875</v>
      </c>
      <c r="Q498" s="22" t="str">
        <f aca="false">IF(P498&lt;10,"a) &lt;10s",IF(P498&lt;60,"b) 10-60s",IF(P498&lt;600,"c) 1-10min","d) &gt;10min")))</f>
        <v>d) &gt;10min</v>
      </c>
      <c r="R498" s="38" t="n">
        <v>1947.18</v>
      </c>
      <c r="S498" s="38" t="n">
        <v>1947.26</v>
      </c>
      <c r="T498" s="22" t="s">
        <v>189</v>
      </c>
      <c r="U498" s="39" t="n">
        <f aca="false">IF(R498="","",IF(F498="BUY",R498-S498,S498-R498))</f>
        <v>0.0799999999999272</v>
      </c>
      <c r="V498" s="39" t="n">
        <f aca="false">IF(F498="BUY",S498-J498,J498-S498)</f>
        <v>0.420000000000073</v>
      </c>
      <c r="W498" s="6" t="n">
        <v>2.52</v>
      </c>
      <c r="X498" s="26" t="n">
        <f aca="false">IFERROR(W498/N498,0)</f>
        <v>0.07</v>
      </c>
      <c r="Y498" s="22" t="str">
        <f aca="false">IF(W498&gt;0,"Win",IF(W498&lt;0,"Loss","Flat"))</f>
        <v>Win</v>
      </c>
      <c r="Z498" s="24" t="n">
        <f aca="false">Summary!$C$5+SUM(W$2:W498)</f>
        <v>3704.75</v>
      </c>
      <c r="AA498" s="24" t="n">
        <f aca="false">MAX(AA497,Z498)</f>
        <v>5000</v>
      </c>
      <c r="AB498" s="24" t="n">
        <f aca="false">AA498-Z498</f>
        <v>1295.25</v>
      </c>
      <c r="AC498" s="23" t="n">
        <f aca="false">IFERROR(AB498/AA498,0)</f>
        <v>0.25905</v>
      </c>
      <c r="AD498" s="22" t="s">
        <v>735</v>
      </c>
    </row>
    <row r="499" customFormat="false" ht="15" hidden="false" customHeight="false" outlineLevel="0" collapsed="false">
      <c r="A499" s="22" t="n">
        <v>498</v>
      </c>
      <c r="B499" s="22" t="s">
        <v>134</v>
      </c>
      <c r="C499" s="37" t="n">
        <v>45097.3879513889</v>
      </c>
      <c r="D499" s="22" t="s">
        <v>203</v>
      </c>
      <c r="E499" s="22" t="n">
        <v>9</v>
      </c>
      <c r="F499" s="22" t="s">
        <v>181</v>
      </c>
      <c r="G499" s="22" t="s">
        <v>235</v>
      </c>
      <c r="H499" s="22" t="n">
        <v>0.06</v>
      </c>
      <c r="I499" s="38" t="n">
        <v>1951.22</v>
      </c>
      <c r="J499" s="38" t="n">
        <v>1951.23</v>
      </c>
      <c r="K499" s="39" t="n">
        <f aca="false">IF(F499="BUY",J499-I499,I499-J499)</f>
        <v>0.00999999999999091</v>
      </c>
      <c r="L499" s="38" t="n">
        <v>1945.22</v>
      </c>
      <c r="M499" s="39" t="n">
        <f aca="false">ABS(I499-L499)</f>
        <v>6</v>
      </c>
      <c r="N499" s="24" t="n">
        <f aca="false">M499*H499*Summary!$C$6</f>
        <v>36</v>
      </c>
      <c r="O499" s="37" t="n">
        <v>45097.4153472222</v>
      </c>
      <c r="P499" s="22" t="n">
        <f aca="false">ROUND((O499-C499)*86400,0)</f>
        <v>2367</v>
      </c>
      <c r="Q499" s="22" t="str">
        <f aca="false">IF(P499&lt;10,"a) &lt;10s",IF(P499&lt;60,"b) 10-60s",IF(P499&lt;600,"c) 1-10min","d) &gt;10min")))</f>
        <v>d) &gt;10min</v>
      </c>
      <c r="R499" s="38" t="n">
        <v>1951.73</v>
      </c>
      <c r="S499" s="38" t="n">
        <v>1951.73</v>
      </c>
      <c r="T499" s="22" t="s">
        <v>189</v>
      </c>
      <c r="U499" s="39" t="n">
        <f aca="false">IF(R499="","",IF(F499="BUY",R499-S499,S499-R499))</f>
        <v>0</v>
      </c>
      <c r="V499" s="39" t="n">
        <f aca="false">IF(F499="BUY",S499-J499,J499-S499)</f>
        <v>0.5</v>
      </c>
      <c r="W499" s="6" t="n">
        <v>3</v>
      </c>
      <c r="X499" s="26" t="n">
        <f aca="false">IFERROR(W499/N499,0)</f>
        <v>0.0833333333333333</v>
      </c>
      <c r="Y499" s="22" t="str">
        <f aca="false">IF(W499&gt;0,"Win",IF(W499&lt;0,"Loss","Flat"))</f>
        <v>Win</v>
      </c>
      <c r="Z499" s="24" t="n">
        <f aca="false">Summary!$C$5+SUM(W$2:W499)</f>
        <v>3707.75</v>
      </c>
      <c r="AA499" s="24" t="n">
        <f aca="false">MAX(AA498,Z499)</f>
        <v>5000</v>
      </c>
      <c r="AB499" s="24" t="n">
        <f aca="false">AA499-Z499</f>
        <v>1292.25</v>
      </c>
      <c r="AC499" s="23" t="n">
        <f aca="false">IFERROR(AB499/AA499,0)</f>
        <v>0.25845</v>
      </c>
      <c r="AD499" s="22" t="s">
        <v>736</v>
      </c>
    </row>
    <row r="500" customFormat="false" ht="15" hidden="false" customHeight="false" outlineLevel="0" collapsed="false">
      <c r="A500" s="22" t="n">
        <v>499</v>
      </c>
      <c r="B500" s="22" t="s">
        <v>134</v>
      </c>
      <c r="C500" s="37" t="n">
        <v>45098.3755092593</v>
      </c>
      <c r="D500" s="22" t="s">
        <v>204</v>
      </c>
      <c r="E500" s="22" t="n">
        <v>9</v>
      </c>
      <c r="F500" s="22" t="s">
        <v>182</v>
      </c>
      <c r="G500" s="22" t="s">
        <v>241</v>
      </c>
      <c r="H500" s="22" t="n">
        <v>0.06</v>
      </c>
      <c r="I500" s="38" t="n">
        <v>1934.08</v>
      </c>
      <c r="J500" s="38" t="n">
        <v>1934.07</v>
      </c>
      <c r="K500" s="39" t="n">
        <f aca="false">IF(F500="BUY",J500-I500,I500-J500)</f>
        <v>0.00999999999999091</v>
      </c>
      <c r="L500" s="38" t="n">
        <v>1940.08</v>
      </c>
      <c r="M500" s="39" t="n">
        <f aca="false">ABS(I500-L500)</f>
        <v>6</v>
      </c>
      <c r="N500" s="24" t="n">
        <f aca="false">M500*H500*Summary!$C$6</f>
        <v>36</v>
      </c>
      <c r="O500" s="37" t="n">
        <v>45098.3877314815</v>
      </c>
      <c r="P500" s="22" t="n">
        <f aca="false">ROUND((O500-C500)*86400,0)</f>
        <v>1056</v>
      </c>
      <c r="Q500" s="22" t="str">
        <f aca="false">IF(P500&lt;10,"a) &lt;10s",IF(P500&lt;60,"b) 10-60s",IF(P500&lt;600,"c) 1-10min","d) &gt;10min")))</f>
        <v>d) &gt;10min</v>
      </c>
      <c r="R500" s="38" t="n">
        <v>1933.57</v>
      </c>
      <c r="S500" s="38" t="n">
        <v>1933.63</v>
      </c>
      <c r="T500" s="22" t="s">
        <v>189</v>
      </c>
      <c r="U500" s="39" t="n">
        <f aca="false">IF(R500="","",IF(F500="BUY",R500-S500,S500-R500))</f>
        <v>0.0600000000001728</v>
      </c>
      <c r="V500" s="39" t="n">
        <f aca="false">IF(F500="BUY",S500-J500,J500-S500)</f>
        <v>0.439999999999827</v>
      </c>
      <c r="W500" s="6" t="n">
        <v>2.64</v>
      </c>
      <c r="X500" s="26" t="n">
        <f aca="false">IFERROR(W500/N500,0)</f>
        <v>0.0733333333333333</v>
      </c>
      <c r="Y500" s="22" t="str">
        <f aca="false">IF(W500&gt;0,"Win",IF(W500&lt;0,"Loss","Flat"))</f>
        <v>Win</v>
      </c>
      <c r="Z500" s="24" t="n">
        <f aca="false">Summary!$C$5+SUM(W$2:W500)</f>
        <v>3710.39</v>
      </c>
      <c r="AA500" s="24" t="n">
        <f aca="false">MAX(AA499,Z500)</f>
        <v>5000</v>
      </c>
      <c r="AB500" s="24" t="n">
        <f aca="false">AA500-Z500</f>
        <v>1289.61</v>
      </c>
      <c r="AC500" s="23" t="n">
        <f aca="false">IFERROR(AB500/AA500,0)</f>
        <v>0.257922</v>
      </c>
      <c r="AD500" s="22" t="s">
        <v>737</v>
      </c>
    </row>
    <row r="501" customFormat="false" ht="15" hidden="false" customHeight="false" outlineLevel="0" collapsed="false">
      <c r="A501" s="22" t="n">
        <v>500</v>
      </c>
      <c r="B501" s="22" t="s">
        <v>134</v>
      </c>
      <c r="C501" s="37" t="n">
        <v>45098.6400347222</v>
      </c>
      <c r="D501" s="22" t="s">
        <v>204</v>
      </c>
      <c r="E501" s="22" t="n">
        <v>15</v>
      </c>
      <c r="F501" s="22" t="s">
        <v>182</v>
      </c>
      <c r="G501" s="22" t="s">
        <v>237</v>
      </c>
      <c r="H501" s="22" t="n">
        <v>0.06</v>
      </c>
      <c r="I501" s="38" t="n">
        <v>1929.71</v>
      </c>
      <c r="J501" s="38" t="n">
        <v>1929.66</v>
      </c>
      <c r="K501" s="39" t="n">
        <f aca="false">IF(F501="BUY",J501-I501,I501-J501)</f>
        <v>0.0499999999999545</v>
      </c>
      <c r="L501" s="38" t="n">
        <v>1935.71</v>
      </c>
      <c r="M501" s="39" t="n">
        <f aca="false">ABS(I501-L501)</f>
        <v>6</v>
      </c>
      <c r="N501" s="24" t="n">
        <f aca="false">M501*H501*Summary!$C$6</f>
        <v>36</v>
      </c>
      <c r="O501" s="37" t="n">
        <v>45098.6456365741</v>
      </c>
      <c r="P501" s="22" t="n">
        <f aca="false">ROUND((O501-C501)*86400,0)</f>
        <v>484</v>
      </c>
      <c r="Q501" s="22" t="str">
        <f aca="false">IF(P501&lt;10,"a) &lt;10s",IF(P501&lt;60,"b) 10-60s",IF(P501&lt;600,"c) 1-10min","d) &gt;10min")))</f>
        <v>c) 1-10min</v>
      </c>
      <c r="R501" s="38" t="n">
        <v>1929.16</v>
      </c>
      <c r="S501" s="38" t="n">
        <v>1929.19</v>
      </c>
      <c r="T501" s="22" t="s">
        <v>189</v>
      </c>
      <c r="U501" s="39" t="n">
        <f aca="false">IF(R501="","",IF(F501="BUY",R501-S501,S501-R501))</f>
        <v>0.0299999999999727</v>
      </c>
      <c r="V501" s="39" t="n">
        <f aca="false">IF(F501="BUY",S501-J501,J501-S501)</f>
        <v>0.470000000000027</v>
      </c>
      <c r="W501" s="6" t="n">
        <v>2.82</v>
      </c>
      <c r="X501" s="26" t="n">
        <f aca="false">IFERROR(W501/N501,0)</f>
        <v>0.0783333333333333</v>
      </c>
      <c r="Y501" s="22" t="str">
        <f aca="false">IF(W501&gt;0,"Win",IF(W501&lt;0,"Loss","Flat"))</f>
        <v>Win</v>
      </c>
      <c r="Z501" s="24" t="n">
        <f aca="false">Summary!$C$5+SUM(W$2:W501)</f>
        <v>3713.21</v>
      </c>
      <c r="AA501" s="24" t="n">
        <f aca="false">MAX(AA500,Z501)</f>
        <v>5000</v>
      </c>
      <c r="AB501" s="24" t="n">
        <f aca="false">AA501-Z501</f>
        <v>1286.79</v>
      </c>
      <c r="AC501" s="23" t="n">
        <f aca="false">IFERROR(AB501/AA501,0)</f>
        <v>0.257358</v>
      </c>
      <c r="AD501" s="22" t="s">
        <v>738</v>
      </c>
    </row>
    <row r="502" customFormat="false" ht="15" hidden="false" customHeight="false" outlineLevel="0" collapsed="false">
      <c r="A502" s="22" t="n">
        <v>501</v>
      </c>
      <c r="B502" s="22" t="s">
        <v>134</v>
      </c>
      <c r="C502" s="37" t="n">
        <v>45099.4157523148</v>
      </c>
      <c r="D502" s="22" t="s">
        <v>205</v>
      </c>
      <c r="E502" s="22" t="n">
        <v>9</v>
      </c>
      <c r="F502" s="22" t="s">
        <v>182</v>
      </c>
      <c r="G502" s="22" t="s">
        <v>241</v>
      </c>
      <c r="H502" s="22" t="n">
        <v>0.06</v>
      </c>
      <c r="I502" s="38" t="n">
        <v>1927.89</v>
      </c>
      <c r="J502" s="38" t="n">
        <v>1927.87</v>
      </c>
      <c r="K502" s="39" t="n">
        <f aca="false">IF(F502="BUY",J502-I502,I502-J502)</f>
        <v>0.0200000000002092</v>
      </c>
      <c r="L502" s="38" t="n">
        <v>1933.89</v>
      </c>
      <c r="M502" s="39" t="n">
        <f aca="false">ABS(I502-L502)</f>
        <v>6</v>
      </c>
      <c r="N502" s="24" t="n">
        <f aca="false">M502*H502*Summary!$C$6</f>
        <v>36</v>
      </c>
      <c r="O502" s="37" t="n">
        <v>45099.4960416667</v>
      </c>
      <c r="P502" s="22" t="n">
        <f aca="false">ROUND((O502-C502)*86400,0)</f>
        <v>6937</v>
      </c>
      <c r="Q502" s="22" t="str">
        <f aca="false">IF(P502&lt;10,"a) &lt;10s",IF(P502&lt;60,"b) 10-60s",IF(P502&lt;600,"c) 1-10min","d) &gt;10min")))</f>
        <v>d) &gt;10min</v>
      </c>
      <c r="R502" s="38" t="n">
        <v>1927.37</v>
      </c>
      <c r="S502" s="38" t="n">
        <v>1927.4</v>
      </c>
      <c r="T502" s="22" t="s">
        <v>189</v>
      </c>
      <c r="U502" s="39" t="n">
        <f aca="false">IF(R502="","",IF(F502="BUY",R502-S502,S502-R502))</f>
        <v>0.0300000000002001</v>
      </c>
      <c r="V502" s="39" t="n">
        <f aca="false">IF(F502="BUY",S502-J502,J502-S502)</f>
        <v>0.4699999999998</v>
      </c>
      <c r="W502" s="6" t="n">
        <v>2.82</v>
      </c>
      <c r="X502" s="26" t="n">
        <f aca="false">IFERROR(W502/N502,0)</f>
        <v>0.0783333333333333</v>
      </c>
      <c r="Y502" s="22" t="str">
        <f aca="false">IF(W502&gt;0,"Win",IF(W502&lt;0,"Loss","Flat"))</f>
        <v>Win</v>
      </c>
      <c r="Z502" s="24" t="n">
        <f aca="false">Summary!$C$5+SUM(W$2:W502)</f>
        <v>3716.03</v>
      </c>
      <c r="AA502" s="24" t="n">
        <f aca="false">MAX(AA501,Z502)</f>
        <v>5000</v>
      </c>
      <c r="AB502" s="24" t="n">
        <f aca="false">AA502-Z502</f>
        <v>1283.97</v>
      </c>
      <c r="AC502" s="23" t="n">
        <f aca="false">IFERROR(AB502/AA502,0)</f>
        <v>0.256794</v>
      </c>
      <c r="AD502" s="22" t="s">
        <v>739</v>
      </c>
    </row>
    <row r="503" customFormat="false" ht="15" hidden="false" customHeight="false" outlineLevel="0" collapsed="false">
      <c r="A503" s="22" t="n">
        <v>502</v>
      </c>
      <c r="B503" s="22" t="s">
        <v>134</v>
      </c>
      <c r="C503" s="37" t="n">
        <v>45099.6744328704</v>
      </c>
      <c r="D503" s="22" t="s">
        <v>205</v>
      </c>
      <c r="E503" s="22" t="n">
        <v>16</v>
      </c>
      <c r="F503" s="22" t="s">
        <v>182</v>
      </c>
      <c r="G503" s="22" t="s">
        <v>237</v>
      </c>
      <c r="H503" s="22" t="n">
        <v>0.06</v>
      </c>
      <c r="I503" s="38" t="n">
        <v>1919.08</v>
      </c>
      <c r="J503" s="38" t="n">
        <v>1919.05</v>
      </c>
      <c r="K503" s="39" t="n">
        <f aca="false">IF(F503="BUY",J503-I503,I503-J503)</f>
        <v>0.0299999999999727</v>
      </c>
      <c r="L503" s="38" t="n">
        <v>1925.08</v>
      </c>
      <c r="M503" s="39" t="n">
        <f aca="false">ABS(I503-L503)</f>
        <v>6</v>
      </c>
      <c r="N503" s="24" t="n">
        <f aca="false">M503*H503*Summary!$C$6</f>
        <v>36</v>
      </c>
      <c r="O503" s="37" t="n">
        <v>45099.698287037</v>
      </c>
      <c r="P503" s="22" t="n">
        <f aca="false">ROUND((O503-C503)*86400,0)</f>
        <v>2061</v>
      </c>
      <c r="Q503" s="22" t="str">
        <f aca="false">IF(P503&lt;10,"a) &lt;10s",IF(P503&lt;60,"b) 10-60s",IF(P503&lt;600,"c) 1-10min","d) &gt;10min")))</f>
        <v>d) &gt;10min</v>
      </c>
      <c r="R503" s="38" t="n">
        <v>1925.08</v>
      </c>
      <c r="S503" s="38" t="n">
        <v>1925.08</v>
      </c>
      <c r="T503" s="22" t="s">
        <v>188</v>
      </c>
      <c r="U503" s="39" t="n">
        <f aca="false">IF(R503="","",IF(F503="BUY",R503-S503,S503-R503))</f>
        <v>0</v>
      </c>
      <c r="V503" s="39" t="n">
        <f aca="false">IF(F503="BUY",S503-J503,J503-S503)</f>
        <v>-6.02999999999997</v>
      </c>
      <c r="W503" s="6" t="n">
        <v>-36.18</v>
      </c>
      <c r="X503" s="26" t="n">
        <f aca="false">IFERROR(W503/N503,0)</f>
        <v>-1.005</v>
      </c>
      <c r="Y503" s="22" t="str">
        <f aca="false">IF(W503&gt;0,"Win",IF(W503&lt;0,"Loss","Flat"))</f>
        <v>Loss</v>
      </c>
      <c r="Z503" s="24" t="n">
        <f aca="false">Summary!$C$5+SUM(W$2:W503)</f>
        <v>3679.85</v>
      </c>
      <c r="AA503" s="24" t="n">
        <f aca="false">MAX(AA502,Z503)</f>
        <v>5000</v>
      </c>
      <c r="AB503" s="24" t="n">
        <f aca="false">AA503-Z503</f>
        <v>1320.15</v>
      </c>
      <c r="AC503" s="23" t="n">
        <f aca="false">IFERROR(AB503/AA503,0)</f>
        <v>0.26403</v>
      </c>
      <c r="AD503" s="22" t="s">
        <v>740</v>
      </c>
    </row>
    <row r="504" customFormat="false" ht="15" hidden="false" customHeight="false" outlineLevel="0" collapsed="false">
      <c r="A504" s="22" t="n">
        <v>503</v>
      </c>
      <c r="B504" s="22" t="s">
        <v>134</v>
      </c>
      <c r="C504" s="37" t="n">
        <v>45100.2003935185</v>
      </c>
      <c r="D504" s="22" t="s">
        <v>206</v>
      </c>
      <c r="E504" s="22" t="n">
        <v>4</v>
      </c>
      <c r="F504" s="22" t="s">
        <v>182</v>
      </c>
      <c r="G504" s="22" t="s">
        <v>237</v>
      </c>
      <c r="H504" s="22" t="n">
        <v>0.06</v>
      </c>
      <c r="I504" s="38" t="n">
        <v>1912.22</v>
      </c>
      <c r="J504" s="38" t="n">
        <v>1912.2</v>
      </c>
      <c r="K504" s="39" t="n">
        <f aca="false">IF(F504="BUY",J504-I504,I504-J504)</f>
        <v>0.0199999999999818</v>
      </c>
      <c r="L504" s="38" t="n">
        <v>1918.22</v>
      </c>
      <c r="M504" s="39" t="n">
        <f aca="false">ABS(I504-L504)</f>
        <v>6</v>
      </c>
      <c r="N504" s="24" t="n">
        <f aca="false">M504*H504*Summary!$C$6</f>
        <v>36</v>
      </c>
      <c r="O504" s="37" t="n">
        <v>45100.3395138889</v>
      </c>
      <c r="P504" s="22" t="n">
        <f aca="false">ROUND((O504-C504)*86400,0)</f>
        <v>12020</v>
      </c>
      <c r="Q504" s="22" t="str">
        <f aca="false">IF(P504&lt;10,"a) &lt;10s",IF(P504&lt;60,"b) 10-60s",IF(P504&lt;600,"c) 1-10min","d) &gt;10min")))</f>
        <v>d) &gt;10min</v>
      </c>
      <c r="R504" s="38" t="n">
        <v>1918.22</v>
      </c>
      <c r="S504" s="38" t="n">
        <v>1918.23</v>
      </c>
      <c r="T504" s="22" t="s">
        <v>188</v>
      </c>
      <c r="U504" s="39" t="n">
        <f aca="false">IF(R504="","",IF(F504="BUY",R504-S504,S504-R504))</f>
        <v>0.00999999999999091</v>
      </c>
      <c r="V504" s="39" t="n">
        <f aca="false">IF(F504="BUY",S504-J504,J504-S504)</f>
        <v>-6.02999999999997</v>
      </c>
      <c r="W504" s="6" t="n">
        <v>-36.18</v>
      </c>
      <c r="X504" s="26" t="n">
        <f aca="false">IFERROR(W504/N504,0)</f>
        <v>-1.005</v>
      </c>
      <c r="Y504" s="22" t="str">
        <f aca="false">IF(W504&gt;0,"Win",IF(W504&lt;0,"Loss","Flat"))</f>
        <v>Loss</v>
      </c>
      <c r="Z504" s="24" t="n">
        <f aca="false">Summary!$C$5+SUM(W$2:W504)</f>
        <v>3643.67</v>
      </c>
      <c r="AA504" s="24" t="n">
        <f aca="false">MAX(AA503,Z504)</f>
        <v>5000</v>
      </c>
      <c r="AB504" s="24" t="n">
        <f aca="false">AA504-Z504</f>
        <v>1356.33</v>
      </c>
      <c r="AC504" s="23" t="n">
        <f aca="false">IFERROR(AB504/AA504,0)</f>
        <v>0.271266</v>
      </c>
      <c r="AD504" s="22" t="s">
        <v>741</v>
      </c>
    </row>
    <row r="505" customFormat="false" ht="15" hidden="false" customHeight="false" outlineLevel="0" collapsed="false">
      <c r="A505" s="22" t="n">
        <v>504</v>
      </c>
      <c r="B505" s="22" t="s">
        <v>134</v>
      </c>
      <c r="C505" s="37" t="n">
        <v>45100.4379282407</v>
      </c>
      <c r="D505" s="22" t="s">
        <v>206</v>
      </c>
      <c r="E505" s="22" t="n">
        <v>10</v>
      </c>
      <c r="F505" s="22" t="s">
        <v>181</v>
      </c>
      <c r="G505" s="22" t="s">
        <v>235</v>
      </c>
      <c r="H505" s="22" t="n">
        <v>0.06</v>
      </c>
      <c r="I505" s="38" t="n">
        <v>1917.91</v>
      </c>
      <c r="J505" s="38" t="n">
        <v>1917.96</v>
      </c>
      <c r="K505" s="39" t="n">
        <f aca="false">IF(F505="BUY",J505-I505,I505-J505)</f>
        <v>0.0499999999999545</v>
      </c>
      <c r="L505" s="38" t="n">
        <v>1911.91</v>
      </c>
      <c r="M505" s="39" t="n">
        <f aca="false">ABS(I505-L505)</f>
        <v>6</v>
      </c>
      <c r="N505" s="24" t="n">
        <f aca="false">M505*H505*Summary!$C$6</f>
        <v>36</v>
      </c>
      <c r="O505" s="37" t="n">
        <v>45100.4955787037</v>
      </c>
      <c r="P505" s="22" t="n">
        <f aca="false">ROUND((O505-C505)*86400,0)</f>
        <v>4981</v>
      </c>
      <c r="Q505" s="22" t="str">
        <f aca="false">IF(P505&lt;10,"a) &lt;10s",IF(P505&lt;60,"b) 10-60s",IF(P505&lt;600,"c) 1-10min","d) &gt;10min")))</f>
        <v>d) &gt;10min</v>
      </c>
      <c r="R505" s="38" t="n">
        <v>1918.46</v>
      </c>
      <c r="S505" s="38" t="n">
        <v>1918.46</v>
      </c>
      <c r="T505" s="22" t="s">
        <v>189</v>
      </c>
      <c r="U505" s="39" t="n">
        <f aca="false">IF(R505="","",IF(F505="BUY",R505-S505,S505-R505))</f>
        <v>0</v>
      </c>
      <c r="V505" s="39" t="n">
        <f aca="false">IF(F505="BUY",S505-J505,J505-S505)</f>
        <v>0.5</v>
      </c>
      <c r="W505" s="6" t="n">
        <v>3</v>
      </c>
      <c r="X505" s="26" t="n">
        <f aca="false">IFERROR(W505/N505,0)</f>
        <v>0.0833333333333333</v>
      </c>
      <c r="Y505" s="22" t="str">
        <f aca="false">IF(W505&gt;0,"Win",IF(W505&lt;0,"Loss","Flat"))</f>
        <v>Win</v>
      </c>
      <c r="Z505" s="24" t="n">
        <f aca="false">Summary!$C$5+SUM(W$2:W505)</f>
        <v>3646.67</v>
      </c>
      <c r="AA505" s="24" t="n">
        <f aca="false">MAX(AA504,Z505)</f>
        <v>5000</v>
      </c>
      <c r="AB505" s="24" t="n">
        <f aca="false">AA505-Z505</f>
        <v>1353.33</v>
      </c>
      <c r="AC505" s="23" t="n">
        <f aca="false">IFERROR(AB505/AA505,0)</f>
        <v>0.270666</v>
      </c>
      <c r="AD505" s="22" t="s">
        <v>742</v>
      </c>
    </row>
    <row r="506" customFormat="false" ht="15" hidden="false" customHeight="false" outlineLevel="0" collapsed="false">
      <c r="A506" s="22" t="n">
        <v>505</v>
      </c>
      <c r="B506" s="22" t="s">
        <v>134</v>
      </c>
      <c r="C506" s="37" t="n">
        <v>45103.375</v>
      </c>
      <c r="D506" s="22" t="s">
        <v>202</v>
      </c>
      <c r="E506" s="22" t="n">
        <v>9</v>
      </c>
      <c r="F506" s="22" t="s">
        <v>181</v>
      </c>
      <c r="G506" s="22" t="s">
        <v>235</v>
      </c>
      <c r="H506" s="22" t="n">
        <v>0.06</v>
      </c>
      <c r="I506" s="38" t="n">
        <v>1927.12</v>
      </c>
      <c r="J506" s="38" t="n">
        <v>1927.18</v>
      </c>
      <c r="K506" s="39" t="n">
        <f aca="false">IF(F506="BUY",J506-I506,I506-J506)</f>
        <v>0.0600000000001728</v>
      </c>
      <c r="L506" s="38" t="n">
        <v>1921.12</v>
      </c>
      <c r="M506" s="39" t="n">
        <f aca="false">ABS(I506-L506)</f>
        <v>6</v>
      </c>
      <c r="N506" s="24" t="n">
        <f aca="false">M506*H506*Summary!$C$6</f>
        <v>36</v>
      </c>
      <c r="O506" s="37" t="n">
        <v>45103.6875578704</v>
      </c>
      <c r="P506" s="22" t="n">
        <f aca="false">ROUND((O506-C506)*86400,0)</f>
        <v>27005</v>
      </c>
      <c r="Q506" s="22" t="str">
        <f aca="false">IF(P506&lt;10,"a) &lt;10s",IF(P506&lt;60,"b) 10-60s",IF(P506&lt;600,"c) 1-10min","d) &gt;10min")))</f>
        <v>d) &gt;10min</v>
      </c>
      <c r="R506" s="38" t="n">
        <v>1927.68</v>
      </c>
      <c r="S506" s="38" t="n">
        <v>1927.58</v>
      </c>
      <c r="T506" s="22" t="s">
        <v>189</v>
      </c>
      <c r="U506" s="39" t="n">
        <f aca="false">IF(R506="","",IF(F506="BUY",R506-S506,S506-R506))</f>
        <v>0.100000000000136</v>
      </c>
      <c r="V506" s="39" t="n">
        <f aca="false">IF(F506="BUY",S506-J506,J506-S506)</f>
        <v>0.399999999999864</v>
      </c>
      <c r="W506" s="6" t="n">
        <v>2.4</v>
      </c>
      <c r="X506" s="26" t="n">
        <f aca="false">IFERROR(W506/N506,0)</f>
        <v>0.0666666666666667</v>
      </c>
      <c r="Y506" s="22" t="str">
        <f aca="false">IF(W506&gt;0,"Win",IF(W506&lt;0,"Loss","Flat"))</f>
        <v>Win</v>
      </c>
      <c r="Z506" s="24" t="n">
        <f aca="false">Summary!$C$5+SUM(W$2:W506)</f>
        <v>3649.07</v>
      </c>
      <c r="AA506" s="24" t="n">
        <f aca="false">MAX(AA505,Z506)</f>
        <v>5000</v>
      </c>
      <c r="AB506" s="24" t="n">
        <f aca="false">AA506-Z506</f>
        <v>1350.93</v>
      </c>
      <c r="AC506" s="23" t="n">
        <f aca="false">IFERROR(AB506/AA506,0)</f>
        <v>0.270186</v>
      </c>
      <c r="AD506" s="22" t="s">
        <v>743</v>
      </c>
    </row>
    <row r="507" customFormat="false" ht="15" hidden="false" customHeight="false" outlineLevel="0" collapsed="false">
      <c r="A507" s="22" t="n">
        <v>506</v>
      </c>
      <c r="B507" s="22" t="s">
        <v>134</v>
      </c>
      <c r="C507" s="37" t="n">
        <v>45104.1087152778</v>
      </c>
      <c r="D507" s="22" t="s">
        <v>203</v>
      </c>
      <c r="E507" s="22" t="n">
        <v>2</v>
      </c>
      <c r="F507" s="22" t="s">
        <v>182</v>
      </c>
      <c r="G507" s="22" t="s">
        <v>237</v>
      </c>
      <c r="H507" s="22" t="n">
        <v>0.06</v>
      </c>
      <c r="I507" s="38" t="n">
        <v>1921.43</v>
      </c>
      <c r="J507" s="38" t="n">
        <v>1921.36</v>
      </c>
      <c r="K507" s="39" t="n">
        <f aca="false">IF(F507="BUY",J507-I507,I507-J507)</f>
        <v>0.0700000000001637</v>
      </c>
      <c r="L507" s="38" t="n">
        <v>1927.43</v>
      </c>
      <c r="M507" s="39" t="n">
        <f aca="false">ABS(I507-L507)</f>
        <v>6</v>
      </c>
      <c r="N507" s="24" t="n">
        <f aca="false">M507*H507*Summary!$C$6</f>
        <v>36</v>
      </c>
      <c r="O507" s="37" t="n">
        <v>45104.1971064815</v>
      </c>
      <c r="P507" s="22" t="n">
        <f aca="false">ROUND((O507-C507)*86400,0)</f>
        <v>7637</v>
      </c>
      <c r="Q507" s="22" t="str">
        <f aca="false">IF(P507&lt;10,"a) &lt;10s",IF(P507&lt;60,"b) 10-60s",IF(P507&lt;600,"c) 1-10min","d) &gt;10min")))</f>
        <v>d) &gt;10min</v>
      </c>
      <c r="R507" s="38" t="n">
        <v>1927.43</v>
      </c>
      <c r="S507" s="38" t="n">
        <v>1927.44</v>
      </c>
      <c r="T507" s="22" t="s">
        <v>188</v>
      </c>
      <c r="U507" s="39" t="n">
        <f aca="false">IF(R507="","",IF(F507="BUY",R507-S507,S507-R507))</f>
        <v>0.00999999999999091</v>
      </c>
      <c r="V507" s="39" t="n">
        <f aca="false">IF(F507="BUY",S507-J507,J507-S507)</f>
        <v>-6.08000000000016</v>
      </c>
      <c r="W507" s="6" t="n">
        <v>-36.48</v>
      </c>
      <c r="X507" s="26" t="n">
        <f aca="false">IFERROR(W507/N507,0)</f>
        <v>-1.01333333333333</v>
      </c>
      <c r="Y507" s="22" t="str">
        <f aca="false">IF(W507&gt;0,"Win",IF(W507&lt;0,"Loss","Flat"))</f>
        <v>Loss</v>
      </c>
      <c r="Z507" s="24" t="n">
        <f aca="false">Summary!$C$5+SUM(W$2:W507)</f>
        <v>3612.59</v>
      </c>
      <c r="AA507" s="24" t="n">
        <f aca="false">MAX(AA506,Z507)</f>
        <v>5000</v>
      </c>
      <c r="AB507" s="24" t="n">
        <f aca="false">AA507-Z507</f>
        <v>1387.41</v>
      </c>
      <c r="AC507" s="23" t="n">
        <f aca="false">IFERROR(AB507/AA507,0)</f>
        <v>0.277482</v>
      </c>
      <c r="AD507" s="22" t="s">
        <v>744</v>
      </c>
    </row>
    <row r="508" customFormat="false" ht="15" hidden="false" customHeight="false" outlineLevel="0" collapsed="false">
      <c r="A508" s="22" t="n">
        <v>507</v>
      </c>
      <c r="B508" s="22" t="s">
        <v>134</v>
      </c>
      <c r="C508" s="37" t="n">
        <v>45104.4204050926</v>
      </c>
      <c r="D508" s="22" t="s">
        <v>203</v>
      </c>
      <c r="E508" s="22" t="n">
        <v>10</v>
      </c>
      <c r="F508" s="22" t="s">
        <v>181</v>
      </c>
      <c r="G508" s="22" t="s">
        <v>235</v>
      </c>
      <c r="H508" s="22" t="n">
        <v>0.06</v>
      </c>
      <c r="I508" s="38" t="n">
        <v>1929.49</v>
      </c>
      <c r="J508" s="38" t="n">
        <v>1929.52</v>
      </c>
      <c r="K508" s="39" t="n">
        <f aca="false">IF(F508="BUY",J508-I508,I508-J508)</f>
        <v>0.0299999999999727</v>
      </c>
      <c r="L508" s="38" t="n">
        <v>1923.49</v>
      </c>
      <c r="M508" s="39" t="n">
        <f aca="false">ABS(I508-L508)</f>
        <v>6</v>
      </c>
      <c r="N508" s="24" t="n">
        <f aca="false">M508*H508*Summary!$C$6</f>
        <v>36</v>
      </c>
      <c r="O508" s="37" t="n">
        <v>45104.5517592593</v>
      </c>
      <c r="P508" s="22" t="n">
        <f aca="false">ROUND((O508-C508)*86400,0)</f>
        <v>11349</v>
      </c>
      <c r="Q508" s="22" t="str">
        <f aca="false">IF(P508&lt;10,"a) &lt;10s",IF(P508&lt;60,"b) 10-60s",IF(P508&lt;600,"c) 1-10min","d) &gt;10min")))</f>
        <v>d) &gt;10min</v>
      </c>
      <c r="R508" s="38" t="n">
        <v>1923.49</v>
      </c>
      <c r="S508" s="38" t="n">
        <v>1923.48</v>
      </c>
      <c r="T508" s="22" t="s">
        <v>188</v>
      </c>
      <c r="U508" s="39" t="n">
        <f aca="false">IF(R508="","",IF(F508="BUY",R508-S508,S508-R508))</f>
        <v>0.00999999999999091</v>
      </c>
      <c r="V508" s="39" t="n">
        <f aca="false">IF(F508="BUY",S508-J508,J508-S508)</f>
        <v>-6.03999999999996</v>
      </c>
      <c r="W508" s="6" t="n">
        <v>-36.24</v>
      </c>
      <c r="X508" s="26" t="n">
        <f aca="false">IFERROR(W508/N508,0)</f>
        <v>-1.00666666666667</v>
      </c>
      <c r="Y508" s="22" t="str">
        <f aca="false">IF(W508&gt;0,"Win",IF(W508&lt;0,"Loss","Flat"))</f>
        <v>Loss</v>
      </c>
      <c r="Z508" s="24" t="n">
        <f aca="false">Summary!$C$5+SUM(W$2:W508)</f>
        <v>3576.35</v>
      </c>
      <c r="AA508" s="24" t="n">
        <f aca="false">MAX(AA507,Z508)</f>
        <v>5000</v>
      </c>
      <c r="AB508" s="24" t="n">
        <f aca="false">AA508-Z508</f>
        <v>1423.65</v>
      </c>
      <c r="AC508" s="23" t="n">
        <f aca="false">IFERROR(AB508/AA508,0)</f>
        <v>0.28473</v>
      </c>
      <c r="AD508" s="22" t="s">
        <v>745</v>
      </c>
    </row>
    <row r="509" customFormat="false" ht="15" hidden="false" customHeight="false" outlineLevel="0" collapsed="false">
      <c r="A509" s="22" t="n">
        <v>508</v>
      </c>
      <c r="B509" s="22" t="s">
        <v>134</v>
      </c>
      <c r="C509" s="37" t="n">
        <v>45105.3885648148</v>
      </c>
      <c r="D509" s="22" t="s">
        <v>204</v>
      </c>
      <c r="E509" s="22" t="n">
        <v>9</v>
      </c>
      <c r="F509" s="22" t="s">
        <v>182</v>
      </c>
      <c r="G509" s="22" t="s">
        <v>241</v>
      </c>
      <c r="H509" s="22" t="n">
        <v>0.05</v>
      </c>
      <c r="I509" s="38" t="n">
        <v>1914.91</v>
      </c>
      <c r="J509" s="38" t="n">
        <v>1914.77</v>
      </c>
      <c r="K509" s="39" t="n">
        <f aca="false">IF(F509="BUY",J509-I509,I509-J509)</f>
        <v>0.1400000000001</v>
      </c>
      <c r="L509" s="38" t="n">
        <v>1920.91</v>
      </c>
      <c r="M509" s="39" t="n">
        <f aca="false">ABS(I509-L509)</f>
        <v>6</v>
      </c>
      <c r="N509" s="24" t="n">
        <f aca="false">M509*H509*Summary!$C$6</f>
        <v>30</v>
      </c>
      <c r="O509" s="37" t="n">
        <v>45105.9270833333</v>
      </c>
      <c r="P509" s="22" t="n">
        <f aca="false">ROUND((O509-C509)*86400,0)</f>
        <v>46528</v>
      </c>
      <c r="Q509" s="22" t="str">
        <f aca="false">IF(P509&lt;10,"a) &lt;10s",IF(P509&lt;60,"b) 10-60s",IF(P509&lt;600,"c) 1-10min","d) &gt;10min")))</f>
        <v>d) &gt;10min</v>
      </c>
      <c r="R509" s="38"/>
      <c r="S509" s="38" t="n">
        <v>1910.92</v>
      </c>
      <c r="T509" s="22" t="s">
        <v>191</v>
      </c>
      <c r="U509" s="39" t="str">
        <f aca="false">IF(R509="","",IF(F509="BUY",R509-S509,S509-R509))</f>
        <v/>
      </c>
      <c r="V509" s="39" t="n">
        <f aca="false">IF(F509="BUY",S509-J509,J509-S509)</f>
        <v>3.84999999999991</v>
      </c>
      <c r="W509" s="6" t="n">
        <v>19.25</v>
      </c>
      <c r="X509" s="26" t="n">
        <f aca="false">IFERROR(W509/N509,0)</f>
        <v>0.641666666666667</v>
      </c>
      <c r="Y509" s="22" t="str">
        <f aca="false">IF(W509&gt;0,"Win",IF(W509&lt;0,"Loss","Flat"))</f>
        <v>Win</v>
      </c>
      <c r="Z509" s="24" t="n">
        <f aca="false">Summary!$C$5+SUM(W$2:W509)</f>
        <v>3595.6</v>
      </c>
      <c r="AA509" s="24" t="n">
        <f aca="false">MAX(AA508,Z509)</f>
        <v>5000</v>
      </c>
      <c r="AB509" s="24" t="n">
        <f aca="false">AA509-Z509</f>
        <v>1404.4</v>
      </c>
      <c r="AC509" s="23" t="n">
        <f aca="false">IFERROR(AB509/AA509,0)</f>
        <v>0.28088</v>
      </c>
      <c r="AD509" s="22" t="s">
        <v>746</v>
      </c>
    </row>
    <row r="510" customFormat="false" ht="15" hidden="false" customHeight="false" outlineLevel="0" collapsed="false">
      <c r="A510" s="22" t="n">
        <v>509</v>
      </c>
      <c r="B510" s="22" t="s">
        <v>134</v>
      </c>
      <c r="C510" s="37" t="n">
        <v>45106.2638773148</v>
      </c>
      <c r="D510" s="22" t="s">
        <v>205</v>
      </c>
      <c r="E510" s="22" t="n">
        <v>6</v>
      </c>
      <c r="F510" s="22" t="s">
        <v>182</v>
      </c>
      <c r="G510" s="22" t="s">
        <v>237</v>
      </c>
      <c r="H510" s="22" t="n">
        <v>0.05</v>
      </c>
      <c r="I510" s="38" t="n">
        <v>1902.7</v>
      </c>
      <c r="J510" s="38" t="n">
        <v>1902.7</v>
      </c>
      <c r="K510" s="39" t="n">
        <f aca="false">IF(F510="BUY",J510-I510,I510-J510)</f>
        <v>0</v>
      </c>
      <c r="L510" s="38" t="n">
        <v>1908.7</v>
      </c>
      <c r="M510" s="39" t="n">
        <f aca="false">ABS(I510-L510)</f>
        <v>6</v>
      </c>
      <c r="N510" s="24" t="n">
        <f aca="false">M510*H510*Summary!$C$6</f>
        <v>30</v>
      </c>
      <c r="O510" s="37" t="n">
        <v>45106.5708680556</v>
      </c>
      <c r="P510" s="22" t="n">
        <f aca="false">ROUND((O510-C510)*86400,0)</f>
        <v>26524</v>
      </c>
      <c r="Q510" s="22" t="str">
        <f aca="false">IF(P510&lt;10,"a) &lt;10s",IF(P510&lt;60,"b) 10-60s",IF(P510&lt;600,"c) 1-10min","d) &gt;10min")))</f>
        <v>d) &gt;10min</v>
      </c>
      <c r="R510" s="38" t="n">
        <v>1908.7</v>
      </c>
      <c r="S510" s="38" t="n">
        <v>1908.78</v>
      </c>
      <c r="T510" s="22" t="s">
        <v>188</v>
      </c>
      <c r="U510" s="39" t="n">
        <f aca="false">IF(R510="","",IF(F510="BUY",R510-S510,S510-R510))</f>
        <v>0.0799999999999272</v>
      </c>
      <c r="V510" s="39" t="n">
        <f aca="false">IF(F510="BUY",S510-J510,J510-S510)</f>
        <v>-6.07999999999993</v>
      </c>
      <c r="W510" s="6" t="n">
        <v>-30.4</v>
      </c>
      <c r="X510" s="26" t="n">
        <f aca="false">IFERROR(W510/N510,0)</f>
        <v>-1.01333333333333</v>
      </c>
      <c r="Y510" s="22" t="str">
        <f aca="false">IF(W510&gt;0,"Win",IF(W510&lt;0,"Loss","Flat"))</f>
        <v>Loss</v>
      </c>
      <c r="Z510" s="24" t="n">
        <f aca="false">Summary!$C$5+SUM(W$2:W510)</f>
        <v>3565.2</v>
      </c>
      <c r="AA510" s="24" t="n">
        <f aca="false">MAX(AA509,Z510)</f>
        <v>5000</v>
      </c>
      <c r="AB510" s="24" t="n">
        <f aca="false">AA510-Z510</f>
        <v>1434.8</v>
      </c>
      <c r="AC510" s="23" t="n">
        <f aca="false">IFERROR(AB510/AA510,0)</f>
        <v>0.28696</v>
      </c>
      <c r="AD510" s="22" t="s">
        <v>747</v>
      </c>
    </row>
    <row r="511" customFormat="false" ht="15" hidden="false" customHeight="false" outlineLevel="0" collapsed="false">
      <c r="A511" s="22" t="n">
        <v>510</v>
      </c>
      <c r="B511" s="22" t="s">
        <v>134</v>
      </c>
      <c r="C511" s="37" t="n">
        <v>45107.3750115741</v>
      </c>
      <c r="D511" s="22" t="s">
        <v>206</v>
      </c>
      <c r="E511" s="22" t="n">
        <v>9</v>
      </c>
      <c r="F511" s="22" t="s">
        <v>182</v>
      </c>
      <c r="G511" s="22" t="s">
        <v>241</v>
      </c>
      <c r="H511" s="22" t="n">
        <v>0.05</v>
      </c>
      <c r="I511" s="38" t="n">
        <v>1906.81</v>
      </c>
      <c r="J511" s="38" t="n">
        <v>1906.7</v>
      </c>
      <c r="K511" s="39" t="n">
        <f aca="false">IF(F511="BUY",J511-I511,I511-J511)</f>
        <v>0.1099999999999</v>
      </c>
      <c r="L511" s="38" t="n">
        <v>1912.81</v>
      </c>
      <c r="M511" s="39" t="n">
        <f aca="false">ABS(I511-L511)</f>
        <v>6</v>
      </c>
      <c r="N511" s="24" t="n">
        <f aca="false">M511*H511*Summary!$C$6</f>
        <v>30</v>
      </c>
      <c r="O511" s="37" t="n">
        <v>45107.4024421296</v>
      </c>
      <c r="P511" s="22" t="n">
        <f aca="false">ROUND((O511-C511)*86400,0)</f>
        <v>2370</v>
      </c>
      <c r="Q511" s="22" t="str">
        <f aca="false">IF(P511&lt;10,"a) &lt;10s",IF(P511&lt;60,"b) 10-60s",IF(P511&lt;600,"c) 1-10min","d) &gt;10min")))</f>
        <v>d) &gt;10min</v>
      </c>
      <c r="R511" s="38" t="n">
        <v>1906.2</v>
      </c>
      <c r="S511" s="38" t="n">
        <v>1906.21</v>
      </c>
      <c r="T511" s="22" t="s">
        <v>189</v>
      </c>
      <c r="U511" s="39" t="n">
        <f aca="false">IF(R511="","",IF(F511="BUY",R511-S511,S511-R511))</f>
        <v>0.00999999999999091</v>
      </c>
      <c r="V511" s="39" t="n">
        <f aca="false">IF(F511="BUY",S511-J511,J511-S511)</f>
        <v>0.490000000000009</v>
      </c>
      <c r="W511" s="6" t="n">
        <v>2.45</v>
      </c>
      <c r="X511" s="26" t="n">
        <f aca="false">IFERROR(W511/N511,0)</f>
        <v>0.0816666666666667</v>
      </c>
      <c r="Y511" s="22" t="str">
        <f aca="false">IF(W511&gt;0,"Win",IF(W511&lt;0,"Loss","Flat"))</f>
        <v>Win</v>
      </c>
      <c r="Z511" s="24" t="n">
        <f aca="false">Summary!$C$5+SUM(W$2:W511)</f>
        <v>3567.65</v>
      </c>
      <c r="AA511" s="24" t="n">
        <f aca="false">MAX(AA510,Z511)</f>
        <v>5000</v>
      </c>
      <c r="AB511" s="24" t="n">
        <f aca="false">AA511-Z511</f>
        <v>1432.35</v>
      </c>
      <c r="AC511" s="23" t="n">
        <f aca="false">IFERROR(AB511/AA511,0)</f>
        <v>0.28647</v>
      </c>
      <c r="AD511" s="22" t="s">
        <v>748</v>
      </c>
    </row>
    <row r="512" customFormat="false" ht="15" hidden="false" customHeight="false" outlineLevel="0" collapsed="false">
      <c r="A512" s="22" t="n">
        <v>511</v>
      </c>
      <c r="B512" s="22" t="s">
        <v>134</v>
      </c>
      <c r="C512" s="37" t="n">
        <v>45107.6547916667</v>
      </c>
      <c r="D512" s="22" t="s">
        <v>206</v>
      </c>
      <c r="E512" s="22" t="n">
        <v>15</v>
      </c>
      <c r="F512" s="22" t="s">
        <v>181</v>
      </c>
      <c r="G512" s="22" t="s">
        <v>243</v>
      </c>
      <c r="H512" s="22" t="n">
        <v>0.05</v>
      </c>
      <c r="I512" s="38" t="n">
        <v>1913</v>
      </c>
      <c r="J512" s="38" t="n">
        <v>1913.01</v>
      </c>
      <c r="K512" s="39" t="n">
        <f aca="false">IF(F512="BUY",J512-I512,I512-J512)</f>
        <v>0.00999999999999091</v>
      </c>
      <c r="L512" s="38" t="n">
        <v>1907</v>
      </c>
      <c r="M512" s="39" t="n">
        <f aca="false">ABS(I512-L512)</f>
        <v>6</v>
      </c>
      <c r="N512" s="24" t="n">
        <f aca="false">M512*H512*Summary!$C$6</f>
        <v>30</v>
      </c>
      <c r="O512" s="37" t="n">
        <v>45107.7346759259</v>
      </c>
      <c r="P512" s="22" t="n">
        <f aca="false">ROUND((O512-C512)*86400,0)</f>
        <v>6902</v>
      </c>
      <c r="Q512" s="22" t="str">
        <f aca="false">IF(P512&lt;10,"a) &lt;10s",IF(P512&lt;60,"b) 10-60s",IF(P512&lt;600,"c) 1-10min","d) &gt;10min")))</f>
        <v>d) &gt;10min</v>
      </c>
      <c r="R512" s="38" t="n">
        <v>1913.51</v>
      </c>
      <c r="S512" s="38" t="n">
        <v>1913.42</v>
      </c>
      <c r="T512" s="22" t="s">
        <v>189</v>
      </c>
      <c r="U512" s="39" t="n">
        <f aca="false">IF(R512="","",IF(F512="BUY",R512-S512,S512-R512))</f>
        <v>0.0899999999999182</v>
      </c>
      <c r="V512" s="39" t="n">
        <f aca="false">IF(F512="BUY",S512-J512,J512-S512)</f>
        <v>0.410000000000082</v>
      </c>
      <c r="W512" s="6" t="n">
        <v>2.05</v>
      </c>
      <c r="X512" s="26" t="n">
        <f aca="false">IFERROR(W512/N512,0)</f>
        <v>0.0683333333333333</v>
      </c>
      <c r="Y512" s="22" t="str">
        <f aca="false">IF(W512&gt;0,"Win",IF(W512&lt;0,"Loss","Flat"))</f>
        <v>Win</v>
      </c>
      <c r="Z512" s="24" t="n">
        <f aca="false">Summary!$C$5+SUM(W$2:W512)</f>
        <v>3569.7</v>
      </c>
      <c r="AA512" s="24" t="n">
        <f aca="false">MAX(AA511,Z512)</f>
        <v>5000</v>
      </c>
      <c r="AB512" s="24" t="n">
        <f aca="false">AA512-Z512</f>
        <v>1430.3</v>
      </c>
      <c r="AC512" s="23" t="n">
        <f aca="false">IFERROR(AB512/AA512,0)</f>
        <v>0.28606</v>
      </c>
      <c r="AD512" s="22" t="s">
        <v>749</v>
      </c>
    </row>
    <row r="513" customFormat="false" ht="15" hidden="false" customHeight="false" outlineLevel="0" collapsed="false">
      <c r="A513" s="22" t="n">
        <v>512</v>
      </c>
      <c r="B513" s="22" t="s">
        <v>135</v>
      </c>
      <c r="C513" s="37" t="n">
        <v>45110.3754050926</v>
      </c>
      <c r="D513" s="22" t="s">
        <v>202</v>
      </c>
      <c r="E513" s="22" t="n">
        <v>9</v>
      </c>
      <c r="F513" s="22" t="s">
        <v>182</v>
      </c>
      <c r="G513" s="22" t="s">
        <v>241</v>
      </c>
      <c r="H513" s="22" t="n">
        <v>0.05</v>
      </c>
      <c r="I513" s="38" t="n">
        <v>1916.51</v>
      </c>
      <c r="J513" s="38" t="n">
        <v>1916.51</v>
      </c>
      <c r="K513" s="39" t="n">
        <f aca="false">IF(F513="BUY",J513-I513,I513-J513)</f>
        <v>0</v>
      </c>
      <c r="L513" s="38" t="n">
        <v>1922.51</v>
      </c>
      <c r="M513" s="39" t="n">
        <f aca="false">ABS(I513-L513)</f>
        <v>6</v>
      </c>
      <c r="N513" s="24" t="n">
        <f aca="false">M513*H513*Summary!$C$6</f>
        <v>30</v>
      </c>
      <c r="O513" s="37" t="n">
        <v>45110.4191087963</v>
      </c>
      <c r="P513" s="22" t="n">
        <f aca="false">ROUND((O513-C513)*86400,0)</f>
        <v>3776</v>
      </c>
      <c r="Q513" s="22" t="str">
        <f aca="false">IF(P513&lt;10,"a) &lt;10s",IF(P513&lt;60,"b) 10-60s",IF(P513&lt;600,"c) 1-10min","d) &gt;10min")))</f>
        <v>d) &gt;10min</v>
      </c>
      <c r="R513" s="38" t="n">
        <v>1916.01</v>
      </c>
      <c r="S513" s="38" t="n">
        <v>1916.02</v>
      </c>
      <c r="T513" s="22" t="s">
        <v>189</v>
      </c>
      <c r="U513" s="39" t="n">
        <f aca="false">IF(R513="","",IF(F513="BUY",R513-S513,S513-R513))</f>
        <v>0.00999999999999091</v>
      </c>
      <c r="V513" s="39" t="n">
        <f aca="false">IF(F513="BUY",S513-J513,J513-S513)</f>
        <v>0.490000000000009</v>
      </c>
      <c r="W513" s="6" t="n">
        <v>2.45</v>
      </c>
      <c r="X513" s="26" t="n">
        <f aca="false">IFERROR(W513/N513,0)</f>
        <v>0.0816666666666667</v>
      </c>
      <c r="Y513" s="22" t="str">
        <f aca="false">IF(W513&gt;0,"Win",IF(W513&lt;0,"Loss","Flat"))</f>
        <v>Win</v>
      </c>
      <c r="Z513" s="24" t="n">
        <f aca="false">Summary!$C$5+SUM(W$2:W513)</f>
        <v>3572.15</v>
      </c>
      <c r="AA513" s="24" t="n">
        <f aca="false">MAX(AA512,Z513)</f>
        <v>5000</v>
      </c>
      <c r="AB513" s="24" t="n">
        <f aca="false">AA513-Z513</f>
        <v>1427.85</v>
      </c>
      <c r="AC513" s="23" t="n">
        <f aca="false">IFERROR(AB513/AA513,0)</f>
        <v>0.28557</v>
      </c>
      <c r="AD513" s="22" t="s">
        <v>750</v>
      </c>
    </row>
    <row r="514" customFormat="false" ht="15" hidden="false" customHeight="false" outlineLevel="0" collapsed="false">
      <c r="A514" s="22" t="n">
        <v>513</v>
      </c>
      <c r="B514" s="22" t="s">
        <v>135</v>
      </c>
      <c r="C514" s="37" t="n">
        <v>45110.6777314815</v>
      </c>
      <c r="D514" s="22" t="s">
        <v>202</v>
      </c>
      <c r="E514" s="22" t="n">
        <v>16</v>
      </c>
      <c r="F514" s="22" t="s">
        <v>181</v>
      </c>
      <c r="G514" s="22" t="s">
        <v>243</v>
      </c>
      <c r="H514" s="22" t="n">
        <v>0.05</v>
      </c>
      <c r="I514" s="38" t="n">
        <v>1922.63</v>
      </c>
      <c r="J514" s="38" t="n">
        <v>1922.67</v>
      </c>
      <c r="K514" s="39" t="n">
        <f aca="false">IF(F514="BUY",J514-I514,I514-J514)</f>
        <v>0.0399999999999636</v>
      </c>
      <c r="L514" s="38" t="n">
        <v>1916.63</v>
      </c>
      <c r="M514" s="39" t="n">
        <f aca="false">ABS(I514-L514)</f>
        <v>6</v>
      </c>
      <c r="N514" s="24" t="n">
        <f aca="false">M514*H514*Summary!$C$6</f>
        <v>30</v>
      </c>
      <c r="O514" s="37" t="n">
        <v>45110.6820833333</v>
      </c>
      <c r="P514" s="22" t="n">
        <f aca="false">ROUND((O514-C514)*86400,0)</f>
        <v>376</v>
      </c>
      <c r="Q514" s="22" t="str">
        <f aca="false">IF(P514&lt;10,"a) &lt;10s",IF(P514&lt;60,"b) 10-60s",IF(P514&lt;600,"c) 1-10min","d) &gt;10min")))</f>
        <v>c) 1-10min</v>
      </c>
      <c r="R514" s="38" t="n">
        <v>1923.17</v>
      </c>
      <c r="S514" s="38" t="n">
        <v>1923.16</v>
      </c>
      <c r="T514" s="22" t="s">
        <v>189</v>
      </c>
      <c r="U514" s="39" t="n">
        <f aca="false">IF(R514="","",IF(F514="BUY",R514-S514,S514-R514))</f>
        <v>0.00999999999999091</v>
      </c>
      <c r="V514" s="39" t="n">
        <f aca="false">IF(F514="BUY",S514-J514,J514-S514)</f>
        <v>0.490000000000009</v>
      </c>
      <c r="W514" s="6" t="n">
        <v>2.45</v>
      </c>
      <c r="X514" s="26" t="n">
        <f aca="false">IFERROR(W514/N514,0)</f>
        <v>0.0816666666666667</v>
      </c>
      <c r="Y514" s="22" t="str">
        <f aca="false">IF(W514&gt;0,"Win",IF(W514&lt;0,"Loss","Flat"))</f>
        <v>Win</v>
      </c>
      <c r="Z514" s="24" t="n">
        <f aca="false">Summary!$C$5+SUM(W$2:W514)</f>
        <v>3574.6</v>
      </c>
      <c r="AA514" s="24" t="n">
        <f aca="false">MAX(AA513,Z514)</f>
        <v>5000</v>
      </c>
      <c r="AB514" s="24" t="n">
        <f aca="false">AA514-Z514</f>
        <v>1425.4</v>
      </c>
      <c r="AC514" s="23" t="n">
        <f aca="false">IFERROR(AB514/AA514,0)</f>
        <v>0.28508</v>
      </c>
      <c r="AD514" s="22" t="s">
        <v>751</v>
      </c>
    </row>
    <row r="515" customFormat="false" ht="15" hidden="false" customHeight="false" outlineLevel="0" collapsed="false">
      <c r="A515" s="22" t="n">
        <v>514</v>
      </c>
      <c r="B515" s="22" t="s">
        <v>135</v>
      </c>
      <c r="C515" s="37" t="n">
        <v>45111.3764236111</v>
      </c>
      <c r="D515" s="22" t="s">
        <v>203</v>
      </c>
      <c r="E515" s="22" t="n">
        <v>9</v>
      </c>
      <c r="F515" s="22" t="s">
        <v>181</v>
      </c>
      <c r="G515" s="22" t="s">
        <v>235</v>
      </c>
      <c r="H515" s="22" t="n">
        <v>0.05</v>
      </c>
      <c r="I515" s="38" t="n">
        <v>1924.54</v>
      </c>
      <c r="J515" s="38" t="n">
        <v>1924.55</v>
      </c>
      <c r="K515" s="39" t="n">
        <f aca="false">IF(F515="BUY",J515-I515,I515-J515)</f>
        <v>0.00999999999999091</v>
      </c>
      <c r="L515" s="38" t="n">
        <v>1918.54</v>
      </c>
      <c r="M515" s="39" t="n">
        <f aca="false">ABS(I515-L515)</f>
        <v>6</v>
      </c>
      <c r="N515" s="24" t="n">
        <f aca="false">M515*H515*Summary!$C$6</f>
        <v>30</v>
      </c>
      <c r="O515" s="37" t="n">
        <v>45111.8150115741</v>
      </c>
      <c r="P515" s="22" t="n">
        <f aca="false">ROUND((O515-C515)*86400,0)</f>
        <v>37894</v>
      </c>
      <c r="Q515" s="22" t="str">
        <f aca="false">IF(P515&lt;10,"a) &lt;10s",IF(P515&lt;60,"b) 10-60s",IF(P515&lt;600,"c) 1-10min","d) &gt;10min")))</f>
        <v>d) &gt;10min</v>
      </c>
      <c r="R515" s="38" t="n">
        <v>1925.05</v>
      </c>
      <c r="S515" s="38" t="n">
        <v>1925.01</v>
      </c>
      <c r="T515" s="22" t="s">
        <v>189</v>
      </c>
      <c r="U515" s="39" t="n">
        <f aca="false">IF(R515="","",IF(F515="BUY",R515-S515,S515-R515))</f>
        <v>0.0399999999999636</v>
      </c>
      <c r="V515" s="39" t="n">
        <f aca="false">IF(F515="BUY",S515-J515,J515-S515)</f>
        <v>0.460000000000036</v>
      </c>
      <c r="W515" s="6" t="n">
        <v>2.3</v>
      </c>
      <c r="X515" s="26" t="n">
        <f aca="false">IFERROR(W515/N515,0)</f>
        <v>0.0766666666666667</v>
      </c>
      <c r="Y515" s="22" t="str">
        <f aca="false">IF(W515&gt;0,"Win",IF(W515&lt;0,"Loss","Flat"))</f>
        <v>Win</v>
      </c>
      <c r="Z515" s="24" t="n">
        <f aca="false">Summary!$C$5+SUM(W$2:W515)</f>
        <v>3576.9</v>
      </c>
      <c r="AA515" s="24" t="n">
        <f aca="false">MAX(AA514,Z515)</f>
        <v>5000</v>
      </c>
      <c r="AB515" s="24" t="n">
        <f aca="false">AA515-Z515</f>
        <v>1423.1</v>
      </c>
      <c r="AC515" s="23" t="n">
        <f aca="false">IFERROR(AB515/AA515,0)</f>
        <v>0.28462</v>
      </c>
      <c r="AD515" s="22" t="s">
        <v>752</v>
      </c>
    </row>
    <row r="516" customFormat="false" ht="15" hidden="false" customHeight="false" outlineLevel="0" collapsed="false">
      <c r="A516" s="22" t="n">
        <v>515</v>
      </c>
      <c r="B516" s="22" t="s">
        <v>135</v>
      </c>
      <c r="C516" s="37" t="n">
        <v>45112.3821759259</v>
      </c>
      <c r="D516" s="22" t="s">
        <v>204</v>
      </c>
      <c r="E516" s="22" t="n">
        <v>9</v>
      </c>
      <c r="F516" s="22" t="s">
        <v>182</v>
      </c>
      <c r="G516" s="22" t="s">
        <v>241</v>
      </c>
      <c r="H516" s="22" t="n">
        <v>0.05</v>
      </c>
      <c r="I516" s="38" t="n">
        <v>1924.09</v>
      </c>
      <c r="J516" s="38" t="n">
        <v>1924.06</v>
      </c>
      <c r="K516" s="39" t="n">
        <f aca="false">IF(F516="BUY",J516-I516,I516-J516)</f>
        <v>0.0299999999999727</v>
      </c>
      <c r="L516" s="38" t="n">
        <v>1930.09</v>
      </c>
      <c r="M516" s="39" t="n">
        <f aca="false">ABS(I516-L516)</f>
        <v>6</v>
      </c>
      <c r="N516" s="24" t="n">
        <f aca="false">M516*H516*Summary!$C$6</f>
        <v>30</v>
      </c>
      <c r="O516" s="37" t="n">
        <v>45112.4221180556</v>
      </c>
      <c r="P516" s="22" t="n">
        <f aca="false">ROUND((O516-C516)*86400,0)</f>
        <v>3451</v>
      </c>
      <c r="Q516" s="22" t="str">
        <f aca="false">IF(P516&lt;10,"a) &lt;10s",IF(P516&lt;60,"b) 10-60s",IF(P516&lt;600,"c) 1-10min","d) &gt;10min")))</f>
        <v>d) &gt;10min</v>
      </c>
      <c r="R516" s="38" t="n">
        <v>1923.56</v>
      </c>
      <c r="S516" s="38" t="n">
        <v>1923.56</v>
      </c>
      <c r="T516" s="22" t="s">
        <v>189</v>
      </c>
      <c r="U516" s="39" t="n">
        <f aca="false">IF(R516="","",IF(F516="BUY",R516-S516,S516-R516))</f>
        <v>0</v>
      </c>
      <c r="V516" s="39" t="n">
        <f aca="false">IF(F516="BUY",S516-J516,J516-S516)</f>
        <v>0.5</v>
      </c>
      <c r="W516" s="6" t="n">
        <v>2.5</v>
      </c>
      <c r="X516" s="26" t="n">
        <f aca="false">IFERROR(W516/N516,0)</f>
        <v>0.0833333333333333</v>
      </c>
      <c r="Y516" s="22" t="str">
        <f aca="false">IF(W516&gt;0,"Win",IF(W516&lt;0,"Loss","Flat"))</f>
        <v>Win</v>
      </c>
      <c r="Z516" s="24" t="n">
        <f aca="false">Summary!$C$5+SUM(W$2:W516)</f>
        <v>3579.4</v>
      </c>
      <c r="AA516" s="24" t="n">
        <f aca="false">MAX(AA515,Z516)</f>
        <v>5000</v>
      </c>
      <c r="AB516" s="24" t="n">
        <f aca="false">AA516-Z516</f>
        <v>1420.6</v>
      </c>
      <c r="AC516" s="23" t="n">
        <f aca="false">IFERROR(AB516/AA516,0)</f>
        <v>0.28412</v>
      </c>
      <c r="AD516" s="22" t="s">
        <v>753</v>
      </c>
    </row>
    <row r="517" customFormat="false" ht="15" hidden="false" customHeight="false" outlineLevel="0" collapsed="false">
      <c r="A517" s="22" t="n">
        <v>516</v>
      </c>
      <c r="B517" s="22" t="s">
        <v>135</v>
      </c>
      <c r="C517" s="37" t="n">
        <v>45112.6753472222</v>
      </c>
      <c r="D517" s="22" t="s">
        <v>204</v>
      </c>
      <c r="E517" s="22" t="n">
        <v>16</v>
      </c>
      <c r="F517" s="22" t="s">
        <v>181</v>
      </c>
      <c r="G517" s="22" t="s">
        <v>243</v>
      </c>
      <c r="H517" s="22" t="n">
        <v>0.05</v>
      </c>
      <c r="I517" s="38" t="n">
        <v>1930.62</v>
      </c>
      <c r="J517" s="38" t="n">
        <v>1930.62</v>
      </c>
      <c r="K517" s="39" t="n">
        <f aca="false">IF(F517="BUY",J517-I517,I517-J517)</f>
        <v>0</v>
      </c>
      <c r="L517" s="38" t="n">
        <v>1924.62</v>
      </c>
      <c r="M517" s="39" t="n">
        <f aca="false">ABS(I517-L517)</f>
        <v>6</v>
      </c>
      <c r="N517" s="24" t="n">
        <f aca="false">M517*H517*Summary!$C$6</f>
        <v>30</v>
      </c>
      <c r="O517" s="37" t="n">
        <v>45112.6880439815</v>
      </c>
      <c r="P517" s="22" t="n">
        <f aca="false">ROUND((O517-C517)*86400,0)</f>
        <v>1097</v>
      </c>
      <c r="Q517" s="22" t="str">
        <f aca="false">IF(P517&lt;10,"a) &lt;10s",IF(P517&lt;60,"b) 10-60s",IF(P517&lt;600,"c) 1-10min","d) &gt;10min")))</f>
        <v>d) &gt;10min</v>
      </c>
      <c r="R517" s="38" t="n">
        <v>1931.12</v>
      </c>
      <c r="S517" s="38" t="n">
        <v>1931.08</v>
      </c>
      <c r="T517" s="22" t="s">
        <v>189</v>
      </c>
      <c r="U517" s="39" t="n">
        <f aca="false">IF(R517="","",IF(F517="BUY",R517-S517,S517-R517))</f>
        <v>0.0399999999999636</v>
      </c>
      <c r="V517" s="39" t="n">
        <f aca="false">IF(F517="BUY",S517-J517,J517-S517)</f>
        <v>0.460000000000036</v>
      </c>
      <c r="W517" s="6" t="n">
        <v>2.3</v>
      </c>
      <c r="X517" s="26" t="n">
        <f aca="false">IFERROR(W517/N517,0)</f>
        <v>0.0766666666666667</v>
      </c>
      <c r="Y517" s="22" t="str">
        <f aca="false">IF(W517&gt;0,"Win",IF(W517&lt;0,"Loss","Flat"))</f>
        <v>Win</v>
      </c>
      <c r="Z517" s="24" t="n">
        <f aca="false">Summary!$C$5+SUM(W$2:W517)</f>
        <v>3581.7</v>
      </c>
      <c r="AA517" s="24" t="n">
        <f aca="false">MAX(AA516,Z517)</f>
        <v>5000</v>
      </c>
      <c r="AB517" s="24" t="n">
        <f aca="false">AA517-Z517</f>
        <v>1418.3</v>
      </c>
      <c r="AC517" s="23" t="n">
        <f aca="false">IFERROR(AB517/AA517,0)</f>
        <v>0.28366</v>
      </c>
      <c r="AD517" s="22" t="s">
        <v>754</v>
      </c>
    </row>
    <row r="518" customFormat="false" ht="15" hidden="false" customHeight="false" outlineLevel="0" collapsed="false">
      <c r="A518" s="22" t="n">
        <v>517</v>
      </c>
      <c r="B518" s="22" t="s">
        <v>135</v>
      </c>
      <c r="C518" s="37" t="n">
        <v>45113.3944907407</v>
      </c>
      <c r="D518" s="22" t="s">
        <v>205</v>
      </c>
      <c r="E518" s="22" t="n">
        <v>9</v>
      </c>
      <c r="F518" s="22" t="s">
        <v>181</v>
      </c>
      <c r="G518" s="22" t="s">
        <v>235</v>
      </c>
      <c r="H518" s="22" t="n">
        <v>0.05</v>
      </c>
      <c r="I518" s="38" t="n">
        <v>1921.09</v>
      </c>
      <c r="J518" s="38" t="n">
        <v>1921.09</v>
      </c>
      <c r="K518" s="39" t="n">
        <f aca="false">IF(F518="BUY",J518-I518,I518-J518)</f>
        <v>0</v>
      </c>
      <c r="L518" s="38" t="n">
        <v>1915.09</v>
      </c>
      <c r="M518" s="39" t="n">
        <f aca="false">ABS(I518-L518)</f>
        <v>6</v>
      </c>
      <c r="N518" s="24" t="n">
        <f aca="false">M518*H518*Summary!$C$6</f>
        <v>30</v>
      </c>
      <c r="O518" s="37" t="n">
        <v>45113.6354282407</v>
      </c>
      <c r="P518" s="22" t="n">
        <f aca="false">ROUND((O518-C518)*86400,0)</f>
        <v>20817</v>
      </c>
      <c r="Q518" s="22" t="str">
        <f aca="false">IF(P518&lt;10,"a) &lt;10s",IF(P518&lt;60,"b) 10-60s",IF(P518&lt;600,"c) 1-10min","d) &gt;10min")))</f>
        <v>d) &gt;10min</v>
      </c>
      <c r="R518" s="38" t="n">
        <v>1921.59</v>
      </c>
      <c r="S518" s="38" t="n">
        <v>1921.4</v>
      </c>
      <c r="T518" s="22" t="s">
        <v>189</v>
      </c>
      <c r="U518" s="39" t="n">
        <f aca="false">IF(R518="","",IF(F518="BUY",R518-S518,S518-R518))</f>
        <v>0.189999999999827</v>
      </c>
      <c r="V518" s="39" t="n">
        <f aca="false">IF(F518="BUY",S518-J518,J518-S518)</f>
        <v>0.310000000000173</v>
      </c>
      <c r="W518" s="6" t="n">
        <v>1.55</v>
      </c>
      <c r="X518" s="26" t="n">
        <f aca="false">IFERROR(W518/N518,0)</f>
        <v>0.0516666666666667</v>
      </c>
      <c r="Y518" s="22" t="str">
        <f aca="false">IF(W518&gt;0,"Win",IF(W518&lt;0,"Loss","Flat"))</f>
        <v>Win</v>
      </c>
      <c r="Z518" s="24" t="n">
        <f aca="false">Summary!$C$5+SUM(W$2:W518)</f>
        <v>3583.25</v>
      </c>
      <c r="AA518" s="24" t="n">
        <f aca="false">MAX(AA517,Z518)</f>
        <v>5000</v>
      </c>
      <c r="AB518" s="24" t="n">
        <f aca="false">AA518-Z518</f>
        <v>1416.75</v>
      </c>
      <c r="AC518" s="23" t="n">
        <f aca="false">IFERROR(AB518/AA518,0)</f>
        <v>0.28335</v>
      </c>
      <c r="AD518" s="22" t="s">
        <v>755</v>
      </c>
    </row>
    <row r="519" customFormat="false" ht="15" hidden="false" customHeight="false" outlineLevel="0" collapsed="false">
      <c r="A519" s="22" t="n">
        <v>518</v>
      </c>
      <c r="B519" s="22" t="s">
        <v>135</v>
      </c>
      <c r="C519" s="37" t="n">
        <v>45114.6458564815</v>
      </c>
      <c r="D519" s="22" t="s">
        <v>206</v>
      </c>
      <c r="E519" s="22" t="n">
        <v>15</v>
      </c>
      <c r="F519" s="22" t="s">
        <v>181</v>
      </c>
      <c r="G519" s="22" t="s">
        <v>243</v>
      </c>
      <c r="H519" s="22" t="n">
        <v>0.05</v>
      </c>
      <c r="I519" s="38" t="n">
        <v>1927.51</v>
      </c>
      <c r="J519" s="38" t="n">
        <v>1928.4</v>
      </c>
      <c r="K519" s="39" t="n">
        <f aca="false">IF(F519="BUY",J519-I519,I519-J519)</f>
        <v>0.8900000000001</v>
      </c>
      <c r="L519" s="38" t="n">
        <v>1921.51</v>
      </c>
      <c r="M519" s="39" t="n">
        <f aca="false">ABS(I519-L519)</f>
        <v>6</v>
      </c>
      <c r="N519" s="24" t="n">
        <f aca="false">M519*H519*Summary!$C$6</f>
        <v>30</v>
      </c>
      <c r="O519" s="37" t="n">
        <v>45114.6458680556</v>
      </c>
      <c r="P519" s="22" t="n">
        <f aca="false">ROUND((O519-C519)*86400,0)</f>
        <v>1</v>
      </c>
      <c r="Q519" s="22" t="str">
        <f aca="false">IF(P519&lt;10,"a) &lt;10s",IF(P519&lt;60,"b) 10-60s",IF(P519&lt;600,"c) 1-10min","d) &gt;10min")))</f>
        <v>a) &lt;10s</v>
      </c>
      <c r="R519" s="38" t="n">
        <v>1921.51</v>
      </c>
      <c r="S519" s="38" t="n">
        <v>1920.03</v>
      </c>
      <c r="T519" s="22" t="s">
        <v>188</v>
      </c>
      <c r="U519" s="39" t="n">
        <f aca="false">IF(R519="","",IF(F519="BUY",R519-S519,S519-R519))</f>
        <v>1.48000000000002</v>
      </c>
      <c r="V519" s="39" t="n">
        <f aca="false">IF(F519="BUY",S519-J519,J519-S519)</f>
        <v>-8.37000000000012</v>
      </c>
      <c r="W519" s="6" t="n">
        <v>-41.85</v>
      </c>
      <c r="X519" s="26" t="n">
        <f aca="false">IFERROR(W519/N519,0)</f>
        <v>-1.395</v>
      </c>
      <c r="Y519" s="22" t="str">
        <f aca="false">IF(W519&gt;0,"Win",IF(W519&lt;0,"Loss","Flat"))</f>
        <v>Loss</v>
      </c>
      <c r="Z519" s="24" t="n">
        <f aca="false">Summary!$C$5+SUM(W$2:W519)</f>
        <v>3541.4</v>
      </c>
      <c r="AA519" s="24" t="n">
        <f aca="false">MAX(AA518,Z519)</f>
        <v>5000</v>
      </c>
      <c r="AB519" s="24" t="n">
        <f aca="false">AA519-Z519</f>
        <v>1458.6</v>
      </c>
      <c r="AC519" s="23" t="n">
        <f aca="false">IFERROR(AB519/AA519,0)</f>
        <v>0.29172</v>
      </c>
      <c r="AD519" s="22" t="s">
        <v>756</v>
      </c>
    </row>
    <row r="520" customFormat="false" ht="15" hidden="false" customHeight="false" outlineLevel="0" collapsed="false">
      <c r="A520" s="22" t="n">
        <v>519</v>
      </c>
      <c r="B520" s="22" t="s">
        <v>135</v>
      </c>
      <c r="C520" s="37" t="n">
        <v>45117.3799305556</v>
      </c>
      <c r="D520" s="22" t="s">
        <v>202</v>
      </c>
      <c r="E520" s="22" t="n">
        <v>9</v>
      </c>
      <c r="F520" s="22" t="s">
        <v>182</v>
      </c>
      <c r="G520" s="22" t="s">
        <v>241</v>
      </c>
      <c r="H520" s="22" t="n">
        <v>0.05</v>
      </c>
      <c r="I520" s="38" t="n">
        <v>1919.55</v>
      </c>
      <c r="J520" s="38" t="n">
        <v>1919.4</v>
      </c>
      <c r="K520" s="39" t="n">
        <f aca="false">IF(F520="BUY",J520-I520,I520-J520)</f>
        <v>0.149999999999864</v>
      </c>
      <c r="L520" s="38" t="n">
        <v>1925.55</v>
      </c>
      <c r="M520" s="39" t="n">
        <f aca="false">ABS(I520-L520)</f>
        <v>6</v>
      </c>
      <c r="N520" s="24" t="n">
        <f aca="false">M520*H520*Summary!$C$6</f>
        <v>30</v>
      </c>
      <c r="O520" s="37" t="n">
        <v>45117.4540625</v>
      </c>
      <c r="P520" s="22" t="n">
        <f aca="false">ROUND((O520-C520)*86400,0)</f>
        <v>6405</v>
      </c>
      <c r="Q520" s="22" t="str">
        <f aca="false">IF(P520&lt;10,"a) &lt;10s",IF(P520&lt;60,"b) 10-60s",IF(P520&lt;600,"c) 1-10min","d) &gt;10min")))</f>
        <v>d) &gt;10min</v>
      </c>
      <c r="R520" s="38" t="n">
        <v>1925.55</v>
      </c>
      <c r="S520" s="38" t="n">
        <v>1925.55</v>
      </c>
      <c r="T520" s="22" t="s">
        <v>188</v>
      </c>
      <c r="U520" s="39" t="n">
        <f aca="false">IF(R520="","",IF(F520="BUY",R520-S520,S520-R520))</f>
        <v>0</v>
      </c>
      <c r="V520" s="39" t="n">
        <f aca="false">IF(F520="BUY",S520-J520,J520-S520)</f>
        <v>-6.14999999999986</v>
      </c>
      <c r="W520" s="6" t="n">
        <v>-30.75</v>
      </c>
      <c r="X520" s="26" t="n">
        <f aca="false">IFERROR(W520/N520,0)</f>
        <v>-1.025</v>
      </c>
      <c r="Y520" s="22" t="str">
        <f aca="false">IF(W520&gt;0,"Win",IF(W520&lt;0,"Loss","Flat"))</f>
        <v>Loss</v>
      </c>
      <c r="Z520" s="24" t="n">
        <f aca="false">Summary!$C$5+SUM(W$2:W520)</f>
        <v>3510.65</v>
      </c>
      <c r="AA520" s="24" t="n">
        <f aca="false">MAX(AA519,Z520)</f>
        <v>5000</v>
      </c>
      <c r="AB520" s="24" t="n">
        <f aca="false">AA520-Z520</f>
        <v>1489.35</v>
      </c>
      <c r="AC520" s="23" t="n">
        <f aca="false">IFERROR(AB520/AA520,0)</f>
        <v>0.29787</v>
      </c>
      <c r="AD520" s="22" t="s">
        <v>757</v>
      </c>
    </row>
    <row r="521" customFormat="false" ht="15" hidden="false" customHeight="false" outlineLevel="0" collapsed="false">
      <c r="A521" s="22" t="n">
        <v>520</v>
      </c>
      <c r="B521" s="22" t="s">
        <v>135</v>
      </c>
      <c r="C521" s="37" t="n">
        <v>45118.1890972222</v>
      </c>
      <c r="D521" s="22" t="s">
        <v>203</v>
      </c>
      <c r="E521" s="22" t="n">
        <v>4</v>
      </c>
      <c r="F521" s="22" t="s">
        <v>181</v>
      </c>
      <c r="G521" s="22" t="s">
        <v>243</v>
      </c>
      <c r="H521" s="22" t="n">
        <v>0.05</v>
      </c>
      <c r="I521" s="38" t="n">
        <v>1928.08</v>
      </c>
      <c r="J521" s="38" t="n">
        <v>1928.08</v>
      </c>
      <c r="K521" s="39" t="n">
        <f aca="false">IF(F521="BUY",J521-I521,I521-J521)</f>
        <v>0</v>
      </c>
      <c r="L521" s="38" t="n">
        <v>1922.08</v>
      </c>
      <c r="M521" s="39" t="n">
        <f aca="false">ABS(I521-L521)</f>
        <v>6</v>
      </c>
      <c r="N521" s="24" t="n">
        <f aca="false">M521*H521*Summary!$C$6</f>
        <v>30</v>
      </c>
      <c r="O521" s="37" t="n">
        <v>45118.9270833333</v>
      </c>
      <c r="P521" s="22" t="n">
        <f aca="false">ROUND((O521-C521)*86400,0)</f>
        <v>63762</v>
      </c>
      <c r="Q521" s="22" t="str">
        <f aca="false">IF(P521&lt;10,"a) &lt;10s",IF(P521&lt;60,"b) 10-60s",IF(P521&lt;600,"c) 1-10min","d) &gt;10min")))</f>
        <v>d) &gt;10min</v>
      </c>
      <c r="R521" s="38"/>
      <c r="S521" s="38" t="n">
        <v>1931.61</v>
      </c>
      <c r="T521" s="22" t="s">
        <v>191</v>
      </c>
      <c r="U521" s="39" t="str">
        <f aca="false">IF(R521="","",IF(F521="BUY",R521-S521,S521-R521))</f>
        <v/>
      </c>
      <c r="V521" s="39" t="n">
        <f aca="false">IF(F521="BUY",S521-J521,J521-S521)</f>
        <v>3.52999999999997</v>
      </c>
      <c r="W521" s="6" t="n">
        <v>17.65</v>
      </c>
      <c r="X521" s="26" t="n">
        <f aca="false">IFERROR(W521/N521,0)</f>
        <v>0.588333333333333</v>
      </c>
      <c r="Y521" s="22" t="str">
        <f aca="false">IF(W521&gt;0,"Win",IF(W521&lt;0,"Loss","Flat"))</f>
        <v>Win</v>
      </c>
      <c r="Z521" s="24" t="n">
        <f aca="false">Summary!$C$5+SUM(W$2:W521)</f>
        <v>3528.3</v>
      </c>
      <c r="AA521" s="24" t="n">
        <f aca="false">MAX(AA520,Z521)</f>
        <v>5000</v>
      </c>
      <c r="AB521" s="24" t="n">
        <f aca="false">AA521-Z521</f>
        <v>1471.7</v>
      </c>
      <c r="AC521" s="23" t="n">
        <f aca="false">IFERROR(AB521/AA521,0)</f>
        <v>0.29434</v>
      </c>
      <c r="AD521" s="22" t="s">
        <v>758</v>
      </c>
    </row>
    <row r="522" customFormat="false" ht="15" hidden="false" customHeight="false" outlineLevel="0" collapsed="false">
      <c r="A522" s="22" t="n">
        <v>521</v>
      </c>
      <c r="B522" s="22" t="s">
        <v>135</v>
      </c>
      <c r="C522" s="37" t="n">
        <v>45119.1830902778</v>
      </c>
      <c r="D522" s="22" t="s">
        <v>204</v>
      </c>
      <c r="E522" s="22" t="n">
        <v>4</v>
      </c>
      <c r="F522" s="22" t="s">
        <v>181</v>
      </c>
      <c r="G522" s="22" t="s">
        <v>243</v>
      </c>
      <c r="H522" s="22" t="n">
        <v>0.05</v>
      </c>
      <c r="I522" s="38" t="n">
        <v>1938.27</v>
      </c>
      <c r="J522" s="38" t="n">
        <v>1938.3</v>
      </c>
      <c r="K522" s="39" t="n">
        <f aca="false">IF(F522="BUY",J522-I522,I522-J522)</f>
        <v>0.0299999999999727</v>
      </c>
      <c r="L522" s="38" t="n">
        <v>1932.27</v>
      </c>
      <c r="M522" s="39" t="n">
        <f aca="false">ABS(I522-L522)</f>
        <v>6</v>
      </c>
      <c r="N522" s="24" t="n">
        <f aca="false">M522*H522*Summary!$C$6</f>
        <v>30</v>
      </c>
      <c r="O522" s="37" t="n">
        <v>45119.2524652778</v>
      </c>
      <c r="P522" s="22" t="n">
        <f aca="false">ROUND((O522-C522)*86400,0)</f>
        <v>5994</v>
      </c>
      <c r="Q522" s="22" t="str">
        <f aca="false">IF(P522&lt;10,"a) &lt;10s",IF(P522&lt;60,"b) 10-60s",IF(P522&lt;600,"c) 1-10min","d) &gt;10min")))</f>
        <v>d) &gt;10min</v>
      </c>
      <c r="R522" s="38" t="n">
        <v>1938.8</v>
      </c>
      <c r="S522" s="38" t="n">
        <v>1938.65</v>
      </c>
      <c r="T522" s="22" t="s">
        <v>189</v>
      </c>
      <c r="U522" s="39" t="n">
        <f aca="false">IF(R522="","",IF(F522="BUY",R522-S522,S522-R522))</f>
        <v>0.149999999999864</v>
      </c>
      <c r="V522" s="39" t="n">
        <f aca="false">IF(F522="BUY",S522-J522,J522-S522)</f>
        <v>0.350000000000136</v>
      </c>
      <c r="W522" s="6" t="n">
        <v>1.75</v>
      </c>
      <c r="X522" s="26" t="n">
        <f aca="false">IFERROR(W522/N522,0)</f>
        <v>0.0583333333333333</v>
      </c>
      <c r="Y522" s="22" t="str">
        <f aca="false">IF(W522&gt;0,"Win",IF(W522&lt;0,"Loss","Flat"))</f>
        <v>Win</v>
      </c>
      <c r="Z522" s="24" t="n">
        <f aca="false">Summary!$C$5+SUM(W$2:W522)</f>
        <v>3530.05</v>
      </c>
      <c r="AA522" s="24" t="n">
        <f aca="false">MAX(AA521,Z522)</f>
        <v>5000</v>
      </c>
      <c r="AB522" s="24" t="n">
        <f aca="false">AA522-Z522</f>
        <v>1469.95</v>
      </c>
      <c r="AC522" s="23" t="n">
        <f aca="false">IFERROR(AB522/AA522,0)</f>
        <v>0.29399</v>
      </c>
      <c r="AD522" s="22" t="s">
        <v>759</v>
      </c>
    </row>
    <row r="523" customFormat="false" ht="15" hidden="false" customHeight="false" outlineLevel="0" collapsed="false">
      <c r="A523" s="22" t="n">
        <v>522</v>
      </c>
      <c r="B523" s="22" t="s">
        <v>135</v>
      </c>
      <c r="C523" s="37" t="n">
        <v>45119.3800115741</v>
      </c>
      <c r="D523" s="22" t="s">
        <v>204</v>
      </c>
      <c r="E523" s="22" t="n">
        <v>9</v>
      </c>
      <c r="F523" s="22" t="s">
        <v>181</v>
      </c>
      <c r="G523" s="22" t="s">
        <v>235</v>
      </c>
      <c r="H523" s="22" t="n">
        <v>0.05</v>
      </c>
      <c r="I523" s="38" t="n">
        <v>1940.16</v>
      </c>
      <c r="J523" s="38" t="n">
        <v>1940.17</v>
      </c>
      <c r="K523" s="39" t="n">
        <f aca="false">IF(F523="BUY",J523-I523,I523-J523)</f>
        <v>0.00999999999999091</v>
      </c>
      <c r="L523" s="38" t="n">
        <v>1934.16</v>
      </c>
      <c r="M523" s="39" t="n">
        <f aca="false">ABS(I523-L523)</f>
        <v>6</v>
      </c>
      <c r="N523" s="24" t="n">
        <f aca="false">M523*H523*Summary!$C$6</f>
        <v>30</v>
      </c>
      <c r="O523" s="37" t="n">
        <v>45119.4247453704</v>
      </c>
      <c r="P523" s="22" t="n">
        <f aca="false">ROUND((O523-C523)*86400,0)</f>
        <v>3865</v>
      </c>
      <c r="Q523" s="22" t="str">
        <f aca="false">IF(P523&lt;10,"a) &lt;10s",IF(P523&lt;60,"b) 10-60s",IF(P523&lt;600,"c) 1-10min","d) &gt;10min")))</f>
        <v>d) &gt;10min</v>
      </c>
      <c r="R523" s="38" t="n">
        <v>1934.16</v>
      </c>
      <c r="S523" s="38" t="n">
        <v>1934.16</v>
      </c>
      <c r="T523" s="22" t="s">
        <v>188</v>
      </c>
      <c r="U523" s="39" t="n">
        <f aca="false">IF(R523="","",IF(F523="BUY",R523-S523,S523-R523))</f>
        <v>0</v>
      </c>
      <c r="V523" s="39" t="n">
        <f aca="false">IF(F523="BUY",S523-J523,J523-S523)</f>
        <v>-6.00999999999999</v>
      </c>
      <c r="W523" s="6" t="n">
        <v>-30.05</v>
      </c>
      <c r="X523" s="26" t="n">
        <f aca="false">IFERROR(W523/N523,0)</f>
        <v>-1.00166666666667</v>
      </c>
      <c r="Y523" s="22" t="str">
        <f aca="false">IF(W523&gt;0,"Win",IF(W523&lt;0,"Loss","Flat"))</f>
        <v>Loss</v>
      </c>
      <c r="Z523" s="24" t="n">
        <f aca="false">Summary!$C$5+SUM(W$2:W523)</f>
        <v>3500</v>
      </c>
      <c r="AA523" s="24" t="n">
        <f aca="false">MAX(AA522,Z523)</f>
        <v>5000</v>
      </c>
      <c r="AB523" s="24" t="n">
        <f aca="false">AA523-Z523</f>
        <v>1500</v>
      </c>
      <c r="AC523" s="23" t="n">
        <f aca="false">IFERROR(AB523/AA523,0)</f>
        <v>0.3</v>
      </c>
      <c r="AD523" s="22" t="s">
        <v>760</v>
      </c>
    </row>
    <row r="524" customFormat="false" ht="15" hidden="false" customHeight="false" outlineLevel="0" collapsed="false">
      <c r="A524" s="22" t="n">
        <v>523</v>
      </c>
      <c r="B524" s="22" t="s">
        <v>135</v>
      </c>
      <c r="C524" s="37" t="n">
        <v>45120.1957986111</v>
      </c>
      <c r="D524" s="22" t="s">
        <v>205</v>
      </c>
      <c r="E524" s="22" t="n">
        <v>4</v>
      </c>
      <c r="F524" s="22" t="s">
        <v>181</v>
      </c>
      <c r="G524" s="22" t="s">
        <v>243</v>
      </c>
      <c r="H524" s="22" t="n">
        <v>0.05</v>
      </c>
      <c r="I524" s="38" t="n">
        <v>1959.6</v>
      </c>
      <c r="J524" s="38" t="n">
        <v>1959.69</v>
      </c>
      <c r="K524" s="39" t="n">
        <f aca="false">IF(F524="BUY",J524-I524,I524-J524)</f>
        <v>0.0900000000001455</v>
      </c>
      <c r="L524" s="38" t="n">
        <v>1953.6</v>
      </c>
      <c r="M524" s="39" t="n">
        <f aca="false">ABS(I524-L524)</f>
        <v>6</v>
      </c>
      <c r="N524" s="24" t="n">
        <f aca="false">M524*H524*Summary!$C$6</f>
        <v>30</v>
      </c>
      <c r="O524" s="37" t="n">
        <v>45120.3269328704</v>
      </c>
      <c r="P524" s="22" t="n">
        <f aca="false">ROUND((O524-C524)*86400,0)</f>
        <v>11330</v>
      </c>
      <c r="Q524" s="22" t="str">
        <f aca="false">IF(P524&lt;10,"a) &lt;10s",IF(P524&lt;60,"b) 10-60s",IF(P524&lt;600,"c) 1-10min","d) &gt;10min")))</f>
        <v>d) &gt;10min</v>
      </c>
      <c r="R524" s="38" t="n">
        <v>1960.19</v>
      </c>
      <c r="S524" s="38" t="n">
        <v>1960.19</v>
      </c>
      <c r="T524" s="22" t="s">
        <v>189</v>
      </c>
      <c r="U524" s="39" t="n">
        <f aca="false">IF(R524="","",IF(F524="BUY",R524-S524,S524-R524))</f>
        <v>0</v>
      </c>
      <c r="V524" s="39" t="n">
        <f aca="false">IF(F524="BUY",S524-J524,J524-S524)</f>
        <v>0.5</v>
      </c>
      <c r="W524" s="6" t="n">
        <v>2.5</v>
      </c>
      <c r="X524" s="26" t="n">
        <f aca="false">IFERROR(W524/N524,0)</f>
        <v>0.0833333333333333</v>
      </c>
      <c r="Y524" s="22" t="str">
        <f aca="false">IF(W524&gt;0,"Win",IF(W524&lt;0,"Loss","Flat"))</f>
        <v>Win</v>
      </c>
      <c r="Z524" s="24" t="n">
        <f aca="false">Summary!$C$5+SUM(W$2:W524)</f>
        <v>3502.5</v>
      </c>
      <c r="AA524" s="24" t="n">
        <f aca="false">MAX(AA523,Z524)</f>
        <v>5000</v>
      </c>
      <c r="AB524" s="24" t="n">
        <f aca="false">AA524-Z524</f>
        <v>1497.5</v>
      </c>
      <c r="AC524" s="23" t="n">
        <f aca="false">IFERROR(AB524/AA524,0)</f>
        <v>0.2995</v>
      </c>
      <c r="AD524" s="22" t="s">
        <v>761</v>
      </c>
    </row>
    <row r="525" customFormat="false" ht="15" hidden="false" customHeight="false" outlineLevel="0" collapsed="false">
      <c r="A525" s="22" t="n">
        <v>524</v>
      </c>
      <c r="B525" s="22" t="s">
        <v>135</v>
      </c>
      <c r="C525" s="37" t="n">
        <v>45120.3933449074</v>
      </c>
      <c r="D525" s="22" t="s">
        <v>205</v>
      </c>
      <c r="E525" s="22" t="n">
        <v>9</v>
      </c>
      <c r="F525" s="22" t="s">
        <v>181</v>
      </c>
      <c r="G525" s="22" t="s">
        <v>235</v>
      </c>
      <c r="H525" s="22" t="n">
        <v>0.05</v>
      </c>
      <c r="I525" s="38" t="n">
        <v>1962.21</v>
      </c>
      <c r="J525" s="38" t="n">
        <v>1962.24</v>
      </c>
      <c r="K525" s="39" t="n">
        <f aca="false">IF(F525="BUY",J525-I525,I525-J525)</f>
        <v>0.0299999999999727</v>
      </c>
      <c r="L525" s="38" t="n">
        <v>1956.21</v>
      </c>
      <c r="M525" s="39" t="n">
        <f aca="false">ABS(I525-L525)</f>
        <v>6</v>
      </c>
      <c r="N525" s="24" t="n">
        <f aca="false">M525*H525*Summary!$C$6</f>
        <v>30</v>
      </c>
      <c r="O525" s="37" t="n">
        <v>45120.6469328704</v>
      </c>
      <c r="P525" s="22" t="n">
        <f aca="false">ROUND((O525-C525)*86400,0)</f>
        <v>21910</v>
      </c>
      <c r="Q525" s="22" t="str">
        <f aca="false">IF(P525&lt;10,"a) &lt;10s",IF(P525&lt;60,"b) 10-60s",IF(P525&lt;600,"c) 1-10min","d) &gt;10min")))</f>
        <v>d) &gt;10min</v>
      </c>
      <c r="R525" s="38" t="n">
        <v>1956.21</v>
      </c>
      <c r="S525" s="38" t="n">
        <v>1956.13</v>
      </c>
      <c r="T525" s="22" t="s">
        <v>188</v>
      </c>
      <c r="U525" s="39" t="n">
        <f aca="false">IF(R525="","",IF(F525="BUY",R525-S525,S525-R525))</f>
        <v>0.0799999999999272</v>
      </c>
      <c r="V525" s="39" t="n">
        <f aca="false">IF(F525="BUY",S525-J525,J525-S525)</f>
        <v>-6.1099999999999</v>
      </c>
      <c r="W525" s="6" t="n">
        <v>-30.55</v>
      </c>
      <c r="X525" s="26" t="n">
        <f aca="false">IFERROR(W525/N525,0)</f>
        <v>-1.01833333333333</v>
      </c>
      <c r="Y525" s="22" t="str">
        <f aca="false">IF(W525&gt;0,"Win",IF(W525&lt;0,"Loss","Flat"))</f>
        <v>Loss</v>
      </c>
      <c r="Z525" s="24" t="n">
        <f aca="false">Summary!$C$5+SUM(W$2:W525)</f>
        <v>3471.95</v>
      </c>
      <c r="AA525" s="24" t="n">
        <f aca="false">MAX(AA524,Z525)</f>
        <v>5000</v>
      </c>
      <c r="AB525" s="24" t="n">
        <f aca="false">AA525-Z525</f>
        <v>1528.05</v>
      </c>
      <c r="AC525" s="23" t="n">
        <f aca="false">IFERROR(AB525/AA525,0)</f>
        <v>0.30561</v>
      </c>
      <c r="AD525" s="22" t="s">
        <v>762</v>
      </c>
    </row>
    <row r="526" customFormat="false" ht="15" hidden="false" customHeight="false" outlineLevel="0" collapsed="false">
      <c r="A526" s="22" t="n">
        <v>525</v>
      </c>
      <c r="B526" s="22" t="s">
        <v>135</v>
      </c>
      <c r="C526" s="37" t="n">
        <v>45121.2053356482</v>
      </c>
      <c r="D526" s="22" t="s">
        <v>206</v>
      </c>
      <c r="E526" s="22" t="n">
        <v>4</v>
      </c>
      <c r="F526" s="22" t="s">
        <v>181</v>
      </c>
      <c r="G526" s="22" t="s">
        <v>243</v>
      </c>
      <c r="H526" s="22" t="n">
        <v>0.05</v>
      </c>
      <c r="I526" s="38" t="n">
        <v>1963.49</v>
      </c>
      <c r="J526" s="38" t="n">
        <v>1963.49</v>
      </c>
      <c r="K526" s="39" t="n">
        <f aca="false">IF(F526="BUY",J526-I526,I526-J526)</f>
        <v>0</v>
      </c>
      <c r="L526" s="38" t="n">
        <v>1957.49</v>
      </c>
      <c r="M526" s="39" t="n">
        <f aca="false">ABS(I526-L526)</f>
        <v>6</v>
      </c>
      <c r="N526" s="24" t="n">
        <f aca="false">M526*H526*Summary!$C$6</f>
        <v>30</v>
      </c>
      <c r="O526" s="37" t="n">
        <v>45121.394849537</v>
      </c>
      <c r="P526" s="22" t="n">
        <f aca="false">ROUND((O526-C526)*86400,0)</f>
        <v>16374</v>
      </c>
      <c r="Q526" s="22" t="str">
        <f aca="false">IF(P526&lt;10,"a) &lt;10s",IF(P526&lt;60,"b) 10-60s",IF(P526&lt;600,"c) 1-10min","d) &gt;10min")))</f>
        <v>d) &gt;10min</v>
      </c>
      <c r="R526" s="38" t="n">
        <v>1957.49</v>
      </c>
      <c r="S526" s="38" t="n">
        <v>1957.31</v>
      </c>
      <c r="T526" s="22" t="s">
        <v>188</v>
      </c>
      <c r="U526" s="39" t="n">
        <f aca="false">IF(R526="","",IF(F526="BUY",R526-S526,S526-R526))</f>
        <v>0.180000000000064</v>
      </c>
      <c r="V526" s="39" t="n">
        <f aca="false">IF(F526="BUY",S526-J526,J526-S526)</f>
        <v>-6.18000000000006</v>
      </c>
      <c r="W526" s="6" t="n">
        <v>-30.9</v>
      </c>
      <c r="X526" s="26" t="n">
        <f aca="false">IFERROR(W526/N526,0)</f>
        <v>-1.03</v>
      </c>
      <c r="Y526" s="22" t="str">
        <f aca="false">IF(W526&gt;0,"Win",IF(W526&lt;0,"Loss","Flat"))</f>
        <v>Loss</v>
      </c>
      <c r="Z526" s="24" t="n">
        <f aca="false">Summary!$C$5+SUM(W$2:W526)</f>
        <v>3441.05</v>
      </c>
      <c r="AA526" s="24" t="n">
        <f aca="false">MAX(AA525,Z526)</f>
        <v>5000</v>
      </c>
      <c r="AB526" s="24" t="n">
        <f aca="false">AA526-Z526</f>
        <v>1558.95</v>
      </c>
      <c r="AC526" s="23" t="n">
        <f aca="false">IFERROR(AB526/AA526,0)</f>
        <v>0.31179</v>
      </c>
      <c r="AD526" s="22" t="s">
        <v>763</v>
      </c>
    </row>
    <row r="527" customFormat="false" ht="15" hidden="false" customHeight="false" outlineLevel="0" collapsed="false">
      <c r="A527" s="22" t="n">
        <v>526</v>
      </c>
      <c r="B527" s="22" t="s">
        <v>135</v>
      </c>
      <c r="C527" s="37" t="n">
        <v>45121.6433333333</v>
      </c>
      <c r="D527" s="22" t="s">
        <v>206</v>
      </c>
      <c r="E527" s="22" t="n">
        <v>15</v>
      </c>
      <c r="F527" s="22" t="s">
        <v>181</v>
      </c>
      <c r="G527" s="22" t="s">
        <v>235</v>
      </c>
      <c r="H527" s="22" t="n">
        <v>0.05</v>
      </c>
      <c r="I527" s="38" t="n">
        <v>1962.43</v>
      </c>
      <c r="J527" s="38" t="n">
        <v>1962.43</v>
      </c>
      <c r="K527" s="39" t="n">
        <f aca="false">IF(F527="BUY",J527-I527,I527-J527)</f>
        <v>0</v>
      </c>
      <c r="L527" s="38" t="n">
        <v>1956.43</v>
      </c>
      <c r="M527" s="39" t="n">
        <f aca="false">ABS(I527-L527)</f>
        <v>6</v>
      </c>
      <c r="N527" s="24" t="n">
        <f aca="false">M527*H527*Summary!$C$6</f>
        <v>30</v>
      </c>
      <c r="O527" s="37" t="n">
        <v>45121.6669560185</v>
      </c>
      <c r="P527" s="22" t="n">
        <f aca="false">ROUND((O527-C527)*86400,0)</f>
        <v>2041</v>
      </c>
      <c r="Q527" s="22" t="str">
        <f aca="false">IF(P527&lt;10,"a) &lt;10s",IF(P527&lt;60,"b) 10-60s",IF(P527&lt;600,"c) 1-10min","d) &gt;10min")))</f>
        <v>d) &gt;10min</v>
      </c>
      <c r="R527" s="38" t="n">
        <v>1956.43</v>
      </c>
      <c r="S527" s="38" t="n">
        <v>1956.42</v>
      </c>
      <c r="T527" s="22" t="s">
        <v>188</v>
      </c>
      <c r="U527" s="39" t="n">
        <f aca="false">IF(R527="","",IF(F527="BUY",R527-S527,S527-R527))</f>
        <v>0.00999999999999091</v>
      </c>
      <c r="V527" s="39" t="n">
        <f aca="false">IF(F527="BUY",S527-J527,J527-S527)</f>
        <v>-6.00999999999999</v>
      </c>
      <c r="W527" s="6" t="n">
        <v>-30.05</v>
      </c>
      <c r="X527" s="26" t="n">
        <f aca="false">IFERROR(W527/N527,0)</f>
        <v>-1.00166666666667</v>
      </c>
      <c r="Y527" s="22" t="str">
        <f aca="false">IF(W527&gt;0,"Win",IF(W527&lt;0,"Loss","Flat"))</f>
        <v>Loss</v>
      </c>
      <c r="Z527" s="24" t="n">
        <f aca="false">Summary!$C$5+SUM(W$2:W527)</f>
        <v>3411</v>
      </c>
      <c r="AA527" s="24" t="n">
        <f aca="false">MAX(AA526,Z527)</f>
        <v>5000</v>
      </c>
      <c r="AB527" s="24" t="n">
        <f aca="false">AA527-Z527</f>
        <v>1589</v>
      </c>
      <c r="AC527" s="23" t="n">
        <f aca="false">IFERROR(AB527/AA527,0)</f>
        <v>0.3178</v>
      </c>
      <c r="AD527" s="22" t="s">
        <v>764</v>
      </c>
    </row>
    <row r="528" customFormat="false" ht="15" hidden="false" customHeight="false" outlineLevel="0" collapsed="false">
      <c r="A528" s="22" t="n">
        <v>527</v>
      </c>
      <c r="B528" s="22" t="s">
        <v>135</v>
      </c>
      <c r="C528" s="37" t="n">
        <v>45124.2705787037</v>
      </c>
      <c r="D528" s="22" t="s">
        <v>202</v>
      </c>
      <c r="E528" s="22" t="n">
        <v>6</v>
      </c>
      <c r="F528" s="22" t="s">
        <v>182</v>
      </c>
      <c r="G528" s="22" t="s">
        <v>237</v>
      </c>
      <c r="H528" s="22" t="n">
        <v>0.05</v>
      </c>
      <c r="I528" s="38" t="n">
        <v>1950.88</v>
      </c>
      <c r="J528" s="38" t="n">
        <v>1950.84</v>
      </c>
      <c r="K528" s="39" t="n">
        <f aca="false">IF(F528="BUY",J528-I528,I528-J528)</f>
        <v>0.040000000000191</v>
      </c>
      <c r="L528" s="38" t="n">
        <v>1956.88</v>
      </c>
      <c r="M528" s="39" t="n">
        <f aca="false">ABS(I528-L528)</f>
        <v>6</v>
      </c>
      <c r="N528" s="24" t="n">
        <f aca="false">M528*H528*Summary!$C$6</f>
        <v>30</v>
      </c>
      <c r="O528" s="37" t="n">
        <v>45124.3576041667</v>
      </c>
      <c r="P528" s="22" t="n">
        <f aca="false">ROUND((O528-C528)*86400,0)</f>
        <v>7519</v>
      </c>
      <c r="Q528" s="22" t="str">
        <f aca="false">IF(P528&lt;10,"a) &lt;10s",IF(P528&lt;60,"b) 10-60s",IF(P528&lt;600,"c) 1-10min","d) &gt;10min")))</f>
        <v>d) &gt;10min</v>
      </c>
      <c r="R528" s="38" t="n">
        <v>1956.88</v>
      </c>
      <c r="S528" s="38" t="n">
        <v>1956.89</v>
      </c>
      <c r="T528" s="22" t="s">
        <v>188</v>
      </c>
      <c r="U528" s="39" t="n">
        <f aca="false">IF(R528="","",IF(F528="BUY",R528-S528,S528-R528))</f>
        <v>0.00999999999999091</v>
      </c>
      <c r="V528" s="39" t="n">
        <f aca="false">IF(F528="BUY",S528-J528,J528-S528)</f>
        <v>-6.05000000000018</v>
      </c>
      <c r="W528" s="6" t="n">
        <v>-30.25</v>
      </c>
      <c r="X528" s="26" t="n">
        <f aca="false">IFERROR(W528/N528,0)</f>
        <v>-1.00833333333333</v>
      </c>
      <c r="Y528" s="22" t="str">
        <f aca="false">IF(W528&gt;0,"Win",IF(W528&lt;0,"Loss","Flat"))</f>
        <v>Loss</v>
      </c>
      <c r="Z528" s="24" t="n">
        <f aca="false">Summary!$C$5+SUM(W$2:W528)</f>
        <v>3380.75</v>
      </c>
      <c r="AA528" s="24" t="n">
        <f aca="false">MAX(AA527,Z528)</f>
        <v>5000</v>
      </c>
      <c r="AB528" s="24" t="n">
        <f aca="false">AA528-Z528</f>
        <v>1619.25</v>
      </c>
      <c r="AC528" s="23" t="n">
        <f aca="false">IFERROR(AB528/AA528,0)</f>
        <v>0.32385</v>
      </c>
      <c r="AD528" s="22" t="s">
        <v>765</v>
      </c>
    </row>
    <row r="529" customFormat="false" ht="15" hidden="false" customHeight="false" outlineLevel="0" collapsed="false">
      <c r="A529" s="22" t="n">
        <v>528</v>
      </c>
      <c r="B529" s="22" t="s">
        <v>135</v>
      </c>
      <c r="C529" s="37" t="n">
        <v>45124.4294328704</v>
      </c>
      <c r="D529" s="22" t="s">
        <v>202</v>
      </c>
      <c r="E529" s="22" t="n">
        <v>10</v>
      </c>
      <c r="F529" s="22" t="s">
        <v>182</v>
      </c>
      <c r="G529" s="22" t="s">
        <v>241</v>
      </c>
      <c r="H529" s="22" t="n">
        <v>0.05</v>
      </c>
      <c r="I529" s="38" t="n">
        <v>1951.42</v>
      </c>
      <c r="J529" s="38" t="n">
        <v>1951.32</v>
      </c>
      <c r="K529" s="39" t="n">
        <f aca="false">IF(F529="BUY",J529-I529,I529-J529)</f>
        <v>0.100000000000136</v>
      </c>
      <c r="L529" s="38" t="n">
        <v>1957.42</v>
      </c>
      <c r="M529" s="39" t="n">
        <f aca="false">ABS(I529-L529)</f>
        <v>6</v>
      </c>
      <c r="N529" s="24" t="n">
        <f aca="false">M529*H529*Summary!$C$6</f>
        <v>30</v>
      </c>
      <c r="O529" s="37" t="n">
        <v>45124.4827546296</v>
      </c>
      <c r="P529" s="22" t="n">
        <f aca="false">ROUND((O529-C529)*86400,0)</f>
        <v>4607</v>
      </c>
      <c r="Q529" s="22" t="str">
        <f aca="false">IF(P529&lt;10,"a) &lt;10s",IF(P529&lt;60,"b) 10-60s",IF(P529&lt;600,"c) 1-10min","d) &gt;10min")))</f>
        <v>d) &gt;10min</v>
      </c>
      <c r="R529" s="38" t="n">
        <v>1957.42</v>
      </c>
      <c r="S529" s="38" t="n">
        <v>1957.42</v>
      </c>
      <c r="T529" s="22" t="s">
        <v>188</v>
      </c>
      <c r="U529" s="39" t="n">
        <f aca="false">IF(R529="","",IF(F529="BUY",R529-S529,S529-R529))</f>
        <v>0</v>
      </c>
      <c r="V529" s="39" t="n">
        <f aca="false">IF(F529="BUY",S529-J529,J529-S529)</f>
        <v>-6.10000000000014</v>
      </c>
      <c r="W529" s="6" t="n">
        <v>-30.5</v>
      </c>
      <c r="X529" s="26" t="n">
        <f aca="false">IFERROR(W529/N529,0)</f>
        <v>-1.01666666666667</v>
      </c>
      <c r="Y529" s="22" t="str">
        <f aca="false">IF(W529&gt;0,"Win",IF(W529&lt;0,"Loss","Flat"))</f>
        <v>Loss</v>
      </c>
      <c r="Z529" s="24" t="n">
        <f aca="false">Summary!$C$5+SUM(W$2:W529)</f>
        <v>3350.25</v>
      </c>
      <c r="AA529" s="24" t="n">
        <f aca="false">MAX(AA528,Z529)</f>
        <v>5000</v>
      </c>
      <c r="AB529" s="24" t="n">
        <f aca="false">AA529-Z529</f>
        <v>1649.75</v>
      </c>
      <c r="AC529" s="23" t="n">
        <f aca="false">IFERROR(AB529/AA529,0)</f>
        <v>0.32995</v>
      </c>
      <c r="AD529" s="22" t="s">
        <v>766</v>
      </c>
    </row>
    <row r="530" customFormat="false" ht="15" hidden="false" customHeight="false" outlineLevel="0" collapsed="false">
      <c r="A530" s="22" t="n">
        <v>529</v>
      </c>
      <c r="B530" s="22" t="s">
        <v>135</v>
      </c>
      <c r="C530" s="37" t="n">
        <v>45125.1895833333</v>
      </c>
      <c r="D530" s="22" t="s">
        <v>203</v>
      </c>
      <c r="E530" s="22" t="n">
        <v>4</v>
      </c>
      <c r="F530" s="22" t="s">
        <v>181</v>
      </c>
      <c r="G530" s="22" t="s">
        <v>243</v>
      </c>
      <c r="H530" s="22" t="n">
        <v>0.05</v>
      </c>
      <c r="I530" s="38" t="n">
        <v>1959.75</v>
      </c>
      <c r="J530" s="38" t="n">
        <v>1959.75</v>
      </c>
      <c r="K530" s="39" t="n">
        <f aca="false">IF(F530="BUY",J530-I530,I530-J530)</f>
        <v>0</v>
      </c>
      <c r="L530" s="38" t="n">
        <v>1953.75</v>
      </c>
      <c r="M530" s="39" t="n">
        <f aca="false">ABS(I530-L530)</f>
        <v>6</v>
      </c>
      <c r="N530" s="24" t="n">
        <f aca="false">M530*H530*Summary!$C$6</f>
        <v>30</v>
      </c>
      <c r="O530" s="37" t="n">
        <v>45125.9270833333</v>
      </c>
      <c r="P530" s="22" t="n">
        <f aca="false">ROUND((O530-C530)*86400,0)</f>
        <v>63720</v>
      </c>
      <c r="Q530" s="22" t="str">
        <f aca="false">IF(P530&lt;10,"a) &lt;10s",IF(P530&lt;60,"b) 10-60s",IF(P530&lt;600,"c) 1-10min","d) &gt;10min")))</f>
        <v>d) &gt;10min</v>
      </c>
      <c r="R530" s="38"/>
      <c r="S530" s="38" t="n">
        <v>1977.39</v>
      </c>
      <c r="T530" s="22" t="s">
        <v>191</v>
      </c>
      <c r="U530" s="39" t="str">
        <f aca="false">IF(R530="","",IF(F530="BUY",R530-S530,S530-R530))</f>
        <v/>
      </c>
      <c r="V530" s="39" t="n">
        <f aca="false">IF(F530="BUY",S530-J530,J530-S530)</f>
        <v>17.6400000000001</v>
      </c>
      <c r="W530" s="6" t="n">
        <v>88.2</v>
      </c>
      <c r="X530" s="26" t="n">
        <f aca="false">IFERROR(W530/N530,0)</f>
        <v>2.94</v>
      </c>
      <c r="Y530" s="22" t="str">
        <f aca="false">IF(W530&gt;0,"Win",IF(W530&lt;0,"Loss","Flat"))</f>
        <v>Win</v>
      </c>
      <c r="Z530" s="24" t="n">
        <f aca="false">Summary!$C$5+SUM(W$2:W530)</f>
        <v>3438.45</v>
      </c>
      <c r="AA530" s="24" t="n">
        <f aca="false">MAX(AA529,Z530)</f>
        <v>5000</v>
      </c>
      <c r="AB530" s="24" t="n">
        <f aca="false">AA530-Z530</f>
        <v>1561.55</v>
      </c>
      <c r="AC530" s="23" t="n">
        <f aca="false">IFERROR(AB530/AA530,0)</f>
        <v>0.31231</v>
      </c>
      <c r="AD530" s="22" t="s">
        <v>767</v>
      </c>
    </row>
    <row r="531" customFormat="false" ht="15" hidden="false" customHeight="false" outlineLevel="0" collapsed="false">
      <c r="A531" s="22" t="n">
        <v>530</v>
      </c>
      <c r="B531" s="22" t="s">
        <v>135</v>
      </c>
      <c r="C531" s="37" t="n">
        <v>45126.4016898148</v>
      </c>
      <c r="D531" s="22" t="s">
        <v>204</v>
      </c>
      <c r="E531" s="22" t="n">
        <v>9</v>
      </c>
      <c r="F531" s="22" t="s">
        <v>182</v>
      </c>
      <c r="G531" s="22" t="s">
        <v>241</v>
      </c>
      <c r="H531" s="22" t="n">
        <v>0.05</v>
      </c>
      <c r="I531" s="38" t="n">
        <v>1973.97</v>
      </c>
      <c r="J531" s="38" t="n">
        <v>1973.96</v>
      </c>
      <c r="K531" s="39" t="n">
        <f aca="false">IF(F531="BUY",J531-I531,I531-J531)</f>
        <v>0.00999999999999091</v>
      </c>
      <c r="L531" s="38" t="n">
        <v>1979.97</v>
      </c>
      <c r="M531" s="39" t="n">
        <f aca="false">ABS(I531-L531)</f>
        <v>6</v>
      </c>
      <c r="N531" s="24" t="n">
        <f aca="false">M531*H531*Summary!$C$6</f>
        <v>30</v>
      </c>
      <c r="O531" s="37" t="n">
        <v>45126.427025463</v>
      </c>
      <c r="P531" s="22" t="n">
        <f aca="false">ROUND((O531-C531)*86400,0)</f>
        <v>2189</v>
      </c>
      <c r="Q531" s="22" t="str">
        <f aca="false">IF(P531&lt;10,"a) &lt;10s",IF(P531&lt;60,"b) 10-60s",IF(P531&lt;600,"c) 1-10min","d) &gt;10min")))</f>
        <v>d) &gt;10min</v>
      </c>
      <c r="R531" s="38" t="n">
        <v>1979.97</v>
      </c>
      <c r="S531" s="38" t="n">
        <v>1979.98</v>
      </c>
      <c r="T531" s="22" t="s">
        <v>188</v>
      </c>
      <c r="U531" s="39" t="n">
        <f aca="false">IF(R531="","",IF(F531="BUY",R531-S531,S531-R531))</f>
        <v>0.00999999999999091</v>
      </c>
      <c r="V531" s="39" t="n">
        <f aca="false">IF(F531="BUY",S531-J531,J531-S531)</f>
        <v>-6.01999999999998</v>
      </c>
      <c r="W531" s="6" t="n">
        <v>-30.1</v>
      </c>
      <c r="X531" s="26" t="n">
        <f aca="false">IFERROR(W531/N531,0)</f>
        <v>-1.00333333333333</v>
      </c>
      <c r="Y531" s="22" t="str">
        <f aca="false">IF(W531&gt;0,"Win",IF(W531&lt;0,"Loss","Flat"))</f>
        <v>Loss</v>
      </c>
      <c r="Z531" s="24" t="n">
        <f aca="false">Summary!$C$5+SUM(W$2:W531)</f>
        <v>3408.35</v>
      </c>
      <c r="AA531" s="24" t="n">
        <f aca="false">MAX(AA530,Z531)</f>
        <v>5000</v>
      </c>
      <c r="AB531" s="24" t="n">
        <f aca="false">AA531-Z531</f>
        <v>1591.65</v>
      </c>
      <c r="AC531" s="23" t="n">
        <f aca="false">IFERROR(AB531/AA531,0)</f>
        <v>0.31833</v>
      </c>
      <c r="AD531" s="22" t="s">
        <v>768</v>
      </c>
    </row>
    <row r="532" customFormat="false" ht="15" hidden="false" customHeight="false" outlineLevel="0" collapsed="false">
      <c r="A532" s="22" t="n">
        <v>531</v>
      </c>
      <c r="B532" s="22" t="s">
        <v>135</v>
      </c>
      <c r="C532" s="37" t="n">
        <v>45127.177337963</v>
      </c>
      <c r="D532" s="22" t="s">
        <v>205</v>
      </c>
      <c r="E532" s="22" t="n">
        <v>4</v>
      </c>
      <c r="F532" s="22" t="s">
        <v>181</v>
      </c>
      <c r="G532" s="22" t="s">
        <v>243</v>
      </c>
      <c r="H532" s="22" t="n">
        <v>0.05</v>
      </c>
      <c r="I532" s="38" t="n">
        <v>1980.78</v>
      </c>
      <c r="J532" s="38" t="n">
        <v>1980.79</v>
      </c>
      <c r="K532" s="39" t="n">
        <f aca="false">IF(F532="BUY",J532-I532,I532-J532)</f>
        <v>0.00999999999999091</v>
      </c>
      <c r="L532" s="38" t="n">
        <v>1974.78</v>
      </c>
      <c r="M532" s="39" t="n">
        <f aca="false">ABS(I532-L532)</f>
        <v>6</v>
      </c>
      <c r="N532" s="24" t="n">
        <f aca="false">M532*H532*Summary!$C$6</f>
        <v>30</v>
      </c>
      <c r="O532" s="37" t="n">
        <v>45127.3630439815</v>
      </c>
      <c r="P532" s="22" t="n">
        <f aca="false">ROUND((O532-C532)*86400,0)</f>
        <v>16045</v>
      </c>
      <c r="Q532" s="22" t="str">
        <f aca="false">IF(P532&lt;10,"a) &lt;10s",IF(P532&lt;60,"b) 10-60s",IF(P532&lt;600,"c) 1-10min","d) &gt;10min")))</f>
        <v>d) &gt;10min</v>
      </c>
      <c r="R532" s="38" t="n">
        <v>1981.29</v>
      </c>
      <c r="S532" s="38" t="n">
        <v>1981.29</v>
      </c>
      <c r="T532" s="22" t="s">
        <v>189</v>
      </c>
      <c r="U532" s="39" t="n">
        <f aca="false">IF(R532="","",IF(F532="BUY",R532-S532,S532-R532))</f>
        <v>0</v>
      </c>
      <c r="V532" s="39" t="n">
        <f aca="false">IF(F532="BUY",S532-J532,J532-S532)</f>
        <v>0.5</v>
      </c>
      <c r="W532" s="6" t="n">
        <v>2.5</v>
      </c>
      <c r="X532" s="26" t="n">
        <f aca="false">IFERROR(W532/N532,0)</f>
        <v>0.0833333333333333</v>
      </c>
      <c r="Y532" s="22" t="str">
        <f aca="false">IF(W532&gt;0,"Win",IF(W532&lt;0,"Loss","Flat"))</f>
        <v>Win</v>
      </c>
      <c r="Z532" s="24" t="n">
        <f aca="false">Summary!$C$5+SUM(W$2:W532)</f>
        <v>3410.85</v>
      </c>
      <c r="AA532" s="24" t="n">
        <f aca="false">MAX(AA531,Z532)</f>
        <v>5000</v>
      </c>
      <c r="AB532" s="24" t="n">
        <f aca="false">AA532-Z532</f>
        <v>1589.15</v>
      </c>
      <c r="AC532" s="23" t="n">
        <f aca="false">IFERROR(AB532/AA532,0)</f>
        <v>0.31783</v>
      </c>
      <c r="AD532" s="22" t="s">
        <v>769</v>
      </c>
    </row>
    <row r="533" customFormat="false" ht="15" hidden="false" customHeight="false" outlineLevel="0" collapsed="false">
      <c r="A533" s="22" t="n">
        <v>532</v>
      </c>
      <c r="B533" s="22" t="s">
        <v>135</v>
      </c>
      <c r="C533" s="37" t="n">
        <v>45127.3798958333</v>
      </c>
      <c r="D533" s="22" t="s">
        <v>205</v>
      </c>
      <c r="E533" s="22" t="n">
        <v>9</v>
      </c>
      <c r="F533" s="22" t="s">
        <v>182</v>
      </c>
      <c r="G533" s="22" t="s">
        <v>241</v>
      </c>
      <c r="H533" s="22" t="n">
        <v>0.05</v>
      </c>
      <c r="I533" s="38" t="n">
        <v>1979.98</v>
      </c>
      <c r="J533" s="38" t="n">
        <v>1979.98</v>
      </c>
      <c r="K533" s="39" t="n">
        <f aca="false">IF(F533="BUY",J533-I533,I533-J533)</f>
        <v>0</v>
      </c>
      <c r="L533" s="38" t="n">
        <v>1985.98</v>
      </c>
      <c r="M533" s="39" t="n">
        <f aca="false">ABS(I533-L533)</f>
        <v>6</v>
      </c>
      <c r="N533" s="24" t="n">
        <f aca="false">M533*H533*Summary!$C$6</f>
        <v>30</v>
      </c>
      <c r="O533" s="37" t="n">
        <v>45127.6848148148</v>
      </c>
      <c r="P533" s="22" t="n">
        <f aca="false">ROUND((O533-C533)*86400,0)</f>
        <v>26345</v>
      </c>
      <c r="Q533" s="22" t="str">
        <f aca="false">IF(P533&lt;10,"a) &lt;10s",IF(P533&lt;60,"b) 10-60s",IF(P533&lt;600,"c) 1-10min","d) &gt;10min")))</f>
        <v>d) &gt;10min</v>
      </c>
      <c r="R533" s="38" t="n">
        <v>1979.48</v>
      </c>
      <c r="S533" s="38" t="n">
        <v>1979.5</v>
      </c>
      <c r="T533" s="22" t="s">
        <v>189</v>
      </c>
      <c r="U533" s="39" t="n">
        <f aca="false">IF(R533="","",IF(F533="BUY",R533-S533,S533-R533))</f>
        <v>0.0199999999999818</v>
      </c>
      <c r="V533" s="39" t="n">
        <f aca="false">IF(F533="BUY",S533-J533,J533-S533)</f>
        <v>0.480000000000018</v>
      </c>
      <c r="W533" s="6" t="n">
        <v>2.4</v>
      </c>
      <c r="X533" s="26" t="n">
        <f aca="false">IFERROR(W533/N533,0)</f>
        <v>0.08</v>
      </c>
      <c r="Y533" s="22" t="str">
        <f aca="false">IF(W533&gt;0,"Win",IF(W533&lt;0,"Loss","Flat"))</f>
        <v>Win</v>
      </c>
      <c r="Z533" s="24" t="n">
        <f aca="false">Summary!$C$5+SUM(W$2:W533)</f>
        <v>3413.25</v>
      </c>
      <c r="AA533" s="24" t="n">
        <f aca="false">MAX(AA532,Z533)</f>
        <v>5000</v>
      </c>
      <c r="AB533" s="24" t="n">
        <f aca="false">AA533-Z533</f>
        <v>1586.75</v>
      </c>
      <c r="AC533" s="23" t="n">
        <f aca="false">IFERROR(AB533/AA533,0)</f>
        <v>0.31735</v>
      </c>
      <c r="AD533" s="22" t="s">
        <v>770</v>
      </c>
    </row>
    <row r="534" customFormat="false" ht="15" hidden="false" customHeight="false" outlineLevel="0" collapsed="false">
      <c r="A534" s="22" t="n">
        <v>533</v>
      </c>
      <c r="B534" s="22" t="s">
        <v>135</v>
      </c>
      <c r="C534" s="37" t="n">
        <v>45128.3848263889</v>
      </c>
      <c r="D534" s="22" t="s">
        <v>206</v>
      </c>
      <c r="E534" s="22" t="n">
        <v>9</v>
      </c>
      <c r="F534" s="22" t="s">
        <v>181</v>
      </c>
      <c r="G534" s="22" t="s">
        <v>235</v>
      </c>
      <c r="H534" s="22" t="n">
        <v>0.05</v>
      </c>
      <c r="I534" s="38" t="n">
        <v>1970.91</v>
      </c>
      <c r="J534" s="38" t="n">
        <v>1971.01</v>
      </c>
      <c r="K534" s="39" t="n">
        <f aca="false">IF(F534="BUY",J534-I534,I534-J534)</f>
        <v>0.0999999999999091</v>
      </c>
      <c r="L534" s="38" t="n">
        <v>1964.91</v>
      </c>
      <c r="M534" s="39" t="n">
        <f aca="false">ABS(I534-L534)</f>
        <v>6</v>
      </c>
      <c r="N534" s="24" t="n">
        <f aca="false">M534*H534*Summary!$C$6</f>
        <v>30</v>
      </c>
      <c r="O534" s="37" t="n">
        <v>45128.4518402778</v>
      </c>
      <c r="P534" s="22" t="n">
        <f aca="false">ROUND((O534-C534)*86400,0)</f>
        <v>5790</v>
      </c>
      <c r="Q534" s="22" t="str">
        <f aca="false">IF(P534&lt;10,"a) &lt;10s",IF(P534&lt;60,"b) 10-60s",IF(P534&lt;600,"c) 1-10min","d) &gt;10min")))</f>
        <v>d) &gt;10min</v>
      </c>
      <c r="R534" s="38" t="n">
        <v>1964.91</v>
      </c>
      <c r="S534" s="38" t="n">
        <v>1964.9</v>
      </c>
      <c r="T534" s="22" t="s">
        <v>188</v>
      </c>
      <c r="U534" s="39" t="n">
        <f aca="false">IF(R534="","",IF(F534="BUY",R534-S534,S534-R534))</f>
        <v>0.00999999999999091</v>
      </c>
      <c r="V534" s="39" t="n">
        <f aca="false">IF(F534="BUY",S534-J534,J534-S534)</f>
        <v>-6.1099999999999</v>
      </c>
      <c r="W534" s="6" t="n">
        <v>-30.55</v>
      </c>
      <c r="X534" s="26" t="n">
        <f aca="false">IFERROR(W534/N534,0)</f>
        <v>-1.01833333333333</v>
      </c>
      <c r="Y534" s="22" t="str">
        <f aca="false">IF(W534&gt;0,"Win",IF(W534&lt;0,"Loss","Flat"))</f>
        <v>Loss</v>
      </c>
      <c r="Z534" s="24" t="n">
        <f aca="false">Summary!$C$5+SUM(W$2:W534)</f>
        <v>3382.7</v>
      </c>
      <c r="AA534" s="24" t="n">
        <f aca="false">MAX(AA533,Z534)</f>
        <v>5000</v>
      </c>
      <c r="AB534" s="24" t="n">
        <f aca="false">AA534-Z534</f>
        <v>1617.3</v>
      </c>
      <c r="AC534" s="23" t="n">
        <f aca="false">IFERROR(AB534/AA534,0)</f>
        <v>0.32346</v>
      </c>
      <c r="AD534" s="22" t="s">
        <v>771</v>
      </c>
    </row>
    <row r="535" customFormat="false" ht="15" hidden="false" customHeight="false" outlineLevel="0" collapsed="false">
      <c r="A535" s="22" t="n">
        <v>534</v>
      </c>
      <c r="B535" s="22" t="s">
        <v>135</v>
      </c>
      <c r="C535" s="37" t="n">
        <v>45131.3797337963</v>
      </c>
      <c r="D535" s="22" t="s">
        <v>202</v>
      </c>
      <c r="E535" s="22" t="n">
        <v>9</v>
      </c>
      <c r="F535" s="22" t="s">
        <v>182</v>
      </c>
      <c r="G535" s="22" t="s">
        <v>241</v>
      </c>
      <c r="H535" s="22" t="n">
        <v>0.05</v>
      </c>
      <c r="I535" s="38" t="n">
        <v>1958.91</v>
      </c>
      <c r="J535" s="38" t="n">
        <v>1958.89</v>
      </c>
      <c r="K535" s="39" t="n">
        <f aca="false">IF(F535="BUY",J535-I535,I535-J535)</f>
        <v>0.0199999999999818</v>
      </c>
      <c r="L535" s="38" t="n">
        <v>1964.91</v>
      </c>
      <c r="M535" s="39" t="n">
        <f aca="false">ABS(I535-L535)</f>
        <v>6</v>
      </c>
      <c r="N535" s="24" t="n">
        <f aca="false">M535*H535*Summary!$C$6</f>
        <v>30</v>
      </c>
      <c r="O535" s="37" t="n">
        <v>45131.4343518519</v>
      </c>
      <c r="P535" s="22" t="n">
        <f aca="false">ROUND((O535-C535)*86400,0)</f>
        <v>4719</v>
      </c>
      <c r="Q535" s="22" t="str">
        <f aca="false">IF(P535&lt;10,"a) &lt;10s",IF(P535&lt;60,"b) 10-60s",IF(P535&lt;600,"c) 1-10min","d) &gt;10min")))</f>
        <v>d) &gt;10min</v>
      </c>
      <c r="R535" s="38" t="n">
        <v>1964.91</v>
      </c>
      <c r="S535" s="38" t="n">
        <v>1964.91</v>
      </c>
      <c r="T535" s="22" t="s">
        <v>188</v>
      </c>
      <c r="U535" s="39" t="n">
        <f aca="false">IF(R535="","",IF(F535="BUY",R535-S535,S535-R535))</f>
        <v>0</v>
      </c>
      <c r="V535" s="39" t="n">
        <f aca="false">IF(F535="BUY",S535-J535,J535-S535)</f>
        <v>-6.01999999999998</v>
      </c>
      <c r="W535" s="6" t="n">
        <v>-30.1</v>
      </c>
      <c r="X535" s="26" t="n">
        <f aca="false">IFERROR(W535/N535,0)</f>
        <v>-1.00333333333333</v>
      </c>
      <c r="Y535" s="22" t="str">
        <f aca="false">IF(W535&gt;0,"Win",IF(W535&lt;0,"Loss","Flat"))</f>
        <v>Loss</v>
      </c>
      <c r="Z535" s="24" t="n">
        <f aca="false">Summary!$C$5+SUM(W$2:W535)</f>
        <v>3352.6</v>
      </c>
      <c r="AA535" s="24" t="n">
        <f aca="false">MAX(AA534,Z535)</f>
        <v>5000</v>
      </c>
      <c r="AB535" s="24" t="n">
        <f aca="false">AA535-Z535</f>
        <v>1647.4</v>
      </c>
      <c r="AC535" s="23" t="n">
        <f aca="false">IFERROR(AB535/AA535,0)</f>
        <v>0.32948</v>
      </c>
      <c r="AD535" s="22" t="s">
        <v>772</v>
      </c>
    </row>
    <row r="536" customFormat="false" ht="15" hidden="false" customHeight="false" outlineLevel="0" collapsed="false">
      <c r="A536" s="22" t="n">
        <v>535</v>
      </c>
      <c r="B536" s="22" t="s">
        <v>135</v>
      </c>
      <c r="C536" s="37" t="n">
        <v>45131.8833333333</v>
      </c>
      <c r="D536" s="22" t="s">
        <v>202</v>
      </c>
      <c r="E536" s="22" t="n">
        <v>21</v>
      </c>
      <c r="F536" s="22" t="s">
        <v>182</v>
      </c>
      <c r="G536" s="22" t="s">
        <v>237</v>
      </c>
      <c r="H536" s="22" t="n">
        <v>0.05</v>
      </c>
      <c r="I536" s="38" t="n">
        <v>1956.68</v>
      </c>
      <c r="J536" s="38" t="n">
        <v>1956.6</v>
      </c>
      <c r="K536" s="39" t="n">
        <f aca="false">IF(F536="BUY",J536-I536,I536-J536)</f>
        <v>0.0800000000001546</v>
      </c>
      <c r="L536" s="38" t="n">
        <v>1962.68</v>
      </c>
      <c r="M536" s="39" t="n">
        <f aca="false">ABS(I536-L536)</f>
        <v>6</v>
      </c>
      <c r="N536" s="24" t="n">
        <f aca="false">M536*H536*Summary!$C$6</f>
        <v>30</v>
      </c>
      <c r="O536" s="37" t="n">
        <v>45131.8902893519</v>
      </c>
      <c r="P536" s="22" t="n">
        <f aca="false">ROUND((O536-C536)*86400,0)</f>
        <v>601</v>
      </c>
      <c r="Q536" s="22" t="str">
        <f aca="false">IF(P536&lt;10,"a) &lt;10s",IF(P536&lt;60,"b) 10-60s",IF(P536&lt;600,"c) 1-10min","d) &gt;10min")))</f>
        <v>d) &gt;10min</v>
      </c>
      <c r="R536" s="38" t="n">
        <v>1956.1</v>
      </c>
      <c r="S536" s="38" t="n">
        <v>1956.1</v>
      </c>
      <c r="T536" s="22" t="s">
        <v>189</v>
      </c>
      <c r="U536" s="39" t="n">
        <f aca="false">IF(R536="","",IF(F536="BUY",R536-S536,S536-R536))</f>
        <v>0</v>
      </c>
      <c r="V536" s="39" t="n">
        <f aca="false">IF(F536="BUY",S536-J536,J536-S536)</f>
        <v>0.5</v>
      </c>
      <c r="W536" s="6" t="n">
        <v>2.5</v>
      </c>
      <c r="X536" s="26" t="n">
        <f aca="false">IFERROR(W536/N536,0)</f>
        <v>0.0833333333333333</v>
      </c>
      <c r="Y536" s="22" t="str">
        <f aca="false">IF(W536&gt;0,"Win",IF(W536&lt;0,"Loss","Flat"))</f>
        <v>Win</v>
      </c>
      <c r="Z536" s="24" t="n">
        <f aca="false">Summary!$C$5+SUM(W$2:W536)</f>
        <v>3355.1</v>
      </c>
      <c r="AA536" s="24" t="n">
        <f aca="false">MAX(AA535,Z536)</f>
        <v>5000</v>
      </c>
      <c r="AB536" s="24" t="n">
        <f aca="false">AA536-Z536</f>
        <v>1644.9</v>
      </c>
      <c r="AC536" s="23" t="n">
        <f aca="false">IFERROR(AB536/AA536,0)</f>
        <v>0.32898</v>
      </c>
      <c r="AD536" s="22" t="s">
        <v>773</v>
      </c>
    </row>
    <row r="537" customFormat="false" ht="15" hidden="false" customHeight="false" outlineLevel="0" collapsed="false">
      <c r="A537" s="22" t="n">
        <v>536</v>
      </c>
      <c r="B537" s="22" t="s">
        <v>135</v>
      </c>
      <c r="C537" s="37" t="n">
        <v>45132.1023958333</v>
      </c>
      <c r="D537" s="22" t="s">
        <v>203</v>
      </c>
      <c r="E537" s="22" t="n">
        <v>2</v>
      </c>
      <c r="F537" s="22" t="s">
        <v>182</v>
      </c>
      <c r="G537" s="22" t="s">
        <v>237</v>
      </c>
      <c r="H537" s="22" t="n">
        <v>0.05</v>
      </c>
      <c r="I537" s="38" t="n">
        <v>1953.34</v>
      </c>
      <c r="J537" s="38" t="n">
        <v>1953.25</v>
      </c>
      <c r="K537" s="39" t="n">
        <f aca="false">IF(F537="BUY",J537-I537,I537-J537)</f>
        <v>0.0899999999999182</v>
      </c>
      <c r="L537" s="38" t="n">
        <v>1959.34</v>
      </c>
      <c r="M537" s="39" t="n">
        <f aca="false">ABS(I537-L537)</f>
        <v>6</v>
      </c>
      <c r="N537" s="24" t="n">
        <f aca="false">M537*H537*Summary!$C$6</f>
        <v>30</v>
      </c>
      <c r="O537" s="37" t="n">
        <v>45132.1846527778</v>
      </c>
      <c r="P537" s="22" t="n">
        <f aca="false">ROUND((O537-C537)*86400,0)</f>
        <v>7107</v>
      </c>
      <c r="Q537" s="22" t="str">
        <f aca="false">IF(P537&lt;10,"a) &lt;10s",IF(P537&lt;60,"b) 10-60s",IF(P537&lt;600,"c) 1-10min","d) &gt;10min")))</f>
        <v>d) &gt;10min</v>
      </c>
      <c r="R537" s="38" t="n">
        <v>1959.34</v>
      </c>
      <c r="S537" s="38" t="n">
        <v>1959.34</v>
      </c>
      <c r="T537" s="22" t="s">
        <v>188</v>
      </c>
      <c r="U537" s="39" t="n">
        <f aca="false">IF(R537="","",IF(F537="BUY",R537-S537,S537-R537))</f>
        <v>0</v>
      </c>
      <c r="V537" s="39" t="n">
        <f aca="false">IF(F537="BUY",S537-J537,J537-S537)</f>
        <v>-6.08999999999992</v>
      </c>
      <c r="W537" s="6" t="n">
        <v>-30.45</v>
      </c>
      <c r="X537" s="26" t="n">
        <f aca="false">IFERROR(W537/N537,0)</f>
        <v>-1.015</v>
      </c>
      <c r="Y537" s="22" t="str">
        <f aca="false">IF(W537&gt;0,"Win",IF(W537&lt;0,"Loss","Flat"))</f>
        <v>Loss</v>
      </c>
      <c r="Z537" s="24" t="n">
        <f aca="false">Summary!$C$5+SUM(W$2:W537)</f>
        <v>3324.65</v>
      </c>
      <c r="AA537" s="24" t="n">
        <f aca="false">MAX(AA536,Z537)</f>
        <v>5000</v>
      </c>
      <c r="AB537" s="24" t="n">
        <f aca="false">AA537-Z537</f>
        <v>1675.35</v>
      </c>
      <c r="AC537" s="23" t="n">
        <f aca="false">IFERROR(AB537/AA537,0)</f>
        <v>0.33507</v>
      </c>
      <c r="AD537" s="22" t="s">
        <v>774</v>
      </c>
    </row>
    <row r="538" customFormat="false" ht="15" hidden="false" customHeight="false" outlineLevel="0" collapsed="false">
      <c r="A538" s="22" t="n">
        <v>537</v>
      </c>
      <c r="B538" s="22" t="s">
        <v>135</v>
      </c>
      <c r="C538" s="37" t="n">
        <v>45132.3897569445</v>
      </c>
      <c r="D538" s="22" t="s">
        <v>203</v>
      </c>
      <c r="E538" s="22" t="n">
        <v>9</v>
      </c>
      <c r="F538" s="22" t="s">
        <v>181</v>
      </c>
      <c r="G538" s="22" t="s">
        <v>235</v>
      </c>
      <c r="H538" s="22" t="n">
        <v>0.05</v>
      </c>
      <c r="I538" s="38" t="n">
        <v>1963.13</v>
      </c>
      <c r="J538" s="38" t="n">
        <v>1963.17</v>
      </c>
      <c r="K538" s="39" t="n">
        <f aca="false">IF(F538="BUY",J538-I538,I538-J538)</f>
        <v>0.0399999999999636</v>
      </c>
      <c r="L538" s="38" t="n">
        <v>1957.13</v>
      </c>
      <c r="M538" s="39" t="n">
        <f aca="false">ABS(I538-L538)</f>
        <v>6</v>
      </c>
      <c r="N538" s="24" t="n">
        <f aca="false">M538*H538*Summary!$C$6</f>
        <v>30</v>
      </c>
      <c r="O538" s="37" t="n">
        <v>45132.5886342593</v>
      </c>
      <c r="P538" s="22" t="n">
        <f aca="false">ROUND((O538-C538)*86400,0)</f>
        <v>17183</v>
      </c>
      <c r="Q538" s="22" t="str">
        <f aca="false">IF(P538&lt;10,"a) &lt;10s",IF(P538&lt;60,"b) 10-60s",IF(P538&lt;600,"c) 1-10min","d) &gt;10min")))</f>
        <v>d) &gt;10min</v>
      </c>
      <c r="R538" s="38" t="n">
        <v>1957.13</v>
      </c>
      <c r="S538" s="38" t="n">
        <v>1957.11</v>
      </c>
      <c r="T538" s="22" t="s">
        <v>188</v>
      </c>
      <c r="U538" s="39" t="n">
        <f aca="false">IF(R538="","",IF(F538="BUY",R538-S538,S538-R538))</f>
        <v>0.0200000000002092</v>
      </c>
      <c r="V538" s="39" t="n">
        <f aca="false">IF(F538="BUY",S538-J538,J538-S538)</f>
        <v>-6.06000000000017</v>
      </c>
      <c r="W538" s="6" t="n">
        <v>-30.3</v>
      </c>
      <c r="X538" s="26" t="n">
        <f aca="false">IFERROR(W538/N538,0)</f>
        <v>-1.01</v>
      </c>
      <c r="Y538" s="22" t="str">
        <f aca="false">IF(W538&gt;0,"Win",IF(W538&lt;0,"Loss","Flat"))</f>
        <v>Loss</v>
      </c>
      <c r="Z538" s="24" t="n">
        <f aca="false">Summary!$C$5+SUM(W$2:W538)</f>
        <v>3294.35</v>
      </c>
      <c r="AA538" s="24" t="n">
        <f aca="false">MAX(AA537,Z538)</f>
        <v>5000</v>
      </c>
      <c r="AB538" s="24" t="n">
        <f aca="false">AA538-Z538</f>
        <v>1705.65</v>
      </c>
      <c r="AC538" s="23" t="n">
        <f aca="false">IFERROR(AB538/AA538,0)</f>
        <v>0.34113</v>
      </c>
      <c r="AD538" s="22" t="s">
        <v>775</v>
      </c>
    </row>
    <row r="539" customFormat="false" ht="15" hidden="false" customHeight="false" outlineLevel="0" collapsed="false">
      <c r="A539" s="22" t="n">
        <v>538</v>
      </c>
      <c r="B539" s="22" t="s">
        <v>135</v>
      </c>
      <c r="C539" s="37" t="n">
        <v>45133.0564814815</v>
      </c>
      <c r="D539" s="22" t="s">
        <v>204</v>
      </c>
      <c r="E539" s="22" t="n">
        <v>1</v>
      </c>
      <c r="F539" s="22" t="s">
        <v>181</v>
      </c>
      <c r="G539" s="22" t="s">
        <v>243</v>
      </c>
      <c r="H539" s="22" t="n">
        <v>0.05</v>
      </c>
      <c r="I539" s="38" t="n">
        <v>1965.55</v>
      </c>
      <c r="J539" s="38" t="n">
        <v>1965.61</v>
      </c>
      <c r="K539" s="39" t="n">
        <f aca="false">IF(F539="BUY",J539-I539,I539-J539)</f>
        <v>0.0599999999999454</v>
      </c>
      <c r="L539" s="38" t="n">
        <v>1959.55</v>
      </c>
      <c r="M539" s="39" t="n">
        <f aca="false">ABS(I539-L539)</f>
        <v>6</v>
      </c>
      <c r="N539" s="24" t="n">
        <f aca="false">M539*H539*Summary!$C$6</f>
        <v>30</v>
      </c>
      <c r="O539" s="37" t="n">
        <v>45133.6941087963</v>
      </c>
      <c r="P539" s="22" t="n">
        <f aca="false">ROUND((O539-C539)*86400,0)</f>
        <v>55091</v>
      </c>
      <c r="Q539" s="22" t="str">
        <f aca="false">IF(P539&lt;10,"a) &lt;10s",IF(P539&lt;60,"b) 10-60s",IF(P539&lt;600,"c) 1-10min","d) &gt;10min")))</f>
        <v>d) &gt;10min</v>
      </c>
      <c r="R539" s="38" t="n">
        <v>1966.11</v>
      </c>
      <c r="S539" s="38" t="n">
        <v>1966.09</v>
      </c>
      <c r="T539" s="22" t="s">
        <v>189</v>
      </c>
      <c r="U539" s="39" t="n">
        <f aca="false">IF(R539="","",IF(F539="BUY",R539-S539,S539-R539))</f>
        <v>0.0199999999999818</v>
      </c>
      <c r="V539" s="39" t="n">
        <f aca="false">IF(F539="BUY",S539-J539,J539-S539)</f>
        <v>0.480000000000018</v>
      </c>
      <c r="W539" s="6" t="n">
        <v>2.4</v>
      </c>
      <c r="X539" s="26" t="n">
        <f aca="false">IFERROR(W539/N539,0)</f>
        <v>0.08</v>
      </c>
      <c r="Y539" s="22" t="str">
        <f aca="false">IF(W539&gt;0,"Win",IF(W539&lt;0,"Loss","Flat"))</f>
        <v>Win</v>
      </c>
      <c r="Z539" s="24" t="n">
        <f aca="false">Summary!$C$5+SUM(W$2:W539)</f>
        <v>3296.75</v>
      </c>
      <c r="AA539" s="24" t="n">
        <f aca="false">MAX(AA538,Z539)</f>
        <v>5000</v>
      </c>
      <c r="AB539" s="24" t="n">
        <f aca="false">AA539-Z539</f>
        <v>1703.25</v>
      </c>
      <c r="AC539" s="23" t="n">
        <f aca="false">IFERROR(AB539/AA539,0)</f>
        <v>0.34065</v>
      </c>
      <c r="AD539" s="22" t="s">
        <v>776</v>
      </c>
    </row>
    <row r="540" customFormat="false" ht="15" hidden="false" customHeight="false" outlineLevel="0" collapsed="false">
      <c r="A540" s="22" t="n">
        <v>539</v>
      </c>
      <c r="B540" s="22" t="s">
        <v>135</v>
      </c>
      <c r="C540" s="37" t="n">
        <v>45134.2074884259</v>
      </c>
      <c r="D540" s="22" t="s">
        <v>205</v>
      </c>
      <c r="E540" s="22" t="n">
        <v>4</v>
      </c>
      <c r="F540" s="22" t="s">
        <v>181</v>
      </c>
      <c r="G540" s="22" t="s">
        <v>243</v>
      </c>
      <c r="H540" s="22" t="n">
        <v>0.05</v>
      </c>
      <c r="I540" s="38" t="n">
        <v>1978.12</v>
      </c>
      <c r="J540" s="38" t="n">
        <v>1978.12</v>
      </c>
      <c r="K540" s="39" t="n">
        <f aca="false">IF(F540="BUY",J540-I540,I540-J540)</f>
        <v>0</v>
      </c>
      <c r="L540" s="38" t="n">
        <v>1972.12</v>
      </c>
      <c r="M540" s="39" t="n">
        <f aca="false">ABS(I540-L540)</f>
        <v>6</v>
      </c>
      <c r="N540" s="24" t="n">
        <f aca="false">M540*H540*Summary!$C$6</f>
        <v>30</v>
      </c>
      <c r="O540" s="37" t="n">
        <v>45134.2562037037</v>
      </c>
      <c r="P540" s="22" t="n">
        <f aca="false">ROUND((O540-C540)*86400,0)</f>
        <v>4209</v>
      </c>
      <c r="Q540" s="22" t="str">
        <f aca="false">IF(P540&lt;10,"a) &lt;10s",IF(P540&lt;60,"b) 10-60s",IF(P540&lt;600,"c) 1-10min","d) &gt;10min")))</f>
        <v>d) &gt;10min</v>
      </c>
      <c r="R540" s="38" t="n">
        <v>1978.62</v>
      </c>
      <c r="S540" s="38" t="n">
        <v>1978.58</v>
      </c>
      <c r="T540" s="22" t="s">
        <v>189</v>
      </c>
      <c r="U540" s="39" t="n">
        <f aca="false">IF(R540="","",IF(F540="BUY",R540-S540,S540-R540))</f>
        <v>0.0399999999999636</v>
      </c>
      <c r="V540" s="39" t="n">
        <f aca="false">IF(F540="BUY",S540-J540,J540-S540)</f>
        <v>0.460000000000036</v>
      </c>
      <c r="W540" s="6" t="n">
        <v>2.3</v>
      </c>
      <c r="X540" s="26" t="n">
        <f aca="false">IFERROR(W540/N540,0)</f>
        <v>0.0766666666666667</v>
      </c>
      <c r="Y540" s="22" t="str">
        <f aca="false">IF(W540&gt;0,"Win",IF(W540&lt;0,"Loss","Flat"))</f>
        <v>Win</v>
      </c>
      <c r="Z540" s="24" t="n">
        <f aca="false">Summary!$C$5+SUM(W$2:W540)</f>
        <v>3299.05</v>
      </c>
      <c r="AA540" s="24" t="n">
        <f aca="false">MAX(AA539,Z540)</f>
        <v>5000</v>
      </c>
      <c r="AB540" s="24" t="n">
        <f aca="false">AA540-Z540</f>
        <v>1700.95</v>
      </c>
      <c r="AC540" s="23" t="n">
        <f aca="false">IFERROR(AB540/AA540,0)</f>
        <v>0.34019</v>
      </c>
      <c r="AD540" s="22" t="s">
        <v>777</v>
      </c>
    </row>
    <row r="541" customFormat="false" ht="15" hidden="false" customHeight="false" outlineLevel="0" collapsed="false">
      <c r="A541" s="22" t="n">
        <v>540</v>
      </c>
      <c r="B541" s="22" t="s">
        <v>135</v>
      </c>
      <c r="C541" s="37" t="n">
        <v>45134.3910416667</v>
      </c>
      <c r="D541" s="22" t="s">
        <v>205</v>
      </c>
      <c r="E541" s="22" t="n">
        <v>9</v>
      </c>
      <c r="F541" s="22" t="s">
        <v>182</v>
      </c>
      <c r="G541" s="22" t="s">
        <v>241</v>
      </c>
      <c r="H541" s="22" t="n">
        <v>0.05</v>
      </c>
      <c r="I541" s="38" t="n">
        <v>1974.95</v>
      </c>
      <c r="J541" s="38" t="n">
        <v>1974.94</v>
      </c>
      <c r="K541" s="39" t="n">
        <f aca="false">IF(F541="BUY",J541-I541,I541-J541)</f>
        <v>0.00999999999999091</v>
      </c>
      <c r="L541" s="38" t="n">
        <v>1980.95</v>
      </c>
      <c r="M541" s="39" t="n">
        <f aca="false">ABS(I541-L541)</f>
        <v>6</v>
      </c>
      <c r="N541" s="24" t="n">
        <f aca="false">M541*H541*Summary!$C$6</f>
        <v>30</v>
      </c>
      <c r="O541" s="37" t="n">
        <v>45134.4462384259</v>
      </c>
      <c r="P541" s="22" t="n">
        <f aca="false">ROUND((O541-C541)*86400,0)</f>
        <v>4769</v>
      </c>
      <c r="Q541" s="22" t="str">
        <f aca="false">IF(P541&lt;10,"a) &lt;10s",IF(P541&lt;60,"b) 10-60s",IF(P541&lt;600,"c) 1-10min","d) &gt;10min")))</f>
        <v>d) &gt;10min</v>
      </c>
      <c r="R541" s="38" t="n">
        <v>1980.95</v>
      </c>
      <c r="S541" s="38" t="n">
        <v>1980.95</v>
      </c>
      <c r="T541" s="22" t="s">
        <v>188</v>
      </c>
      <c r="U541" s="39" t="n">
        <f aca="false">IF(R541="","",IF(F541="BUY",R541-S541,S541-R541))</f>
        <v>0</v>
      </c>
      <c r="V541" s="39" t="n">
        <f aca="false">IF(F541="BUY",S541-J541,J541-S541)</f>
        <v>-6.00999999999999</v>
      </c>
      <c r="W541" s="6" t="n">
        <v>-30.05</v>
      </c>
      <c r="X541" s="26" t="n">
        <f aca="false">IFERROR(W541/N541,0)</f>
        <v>-1.00166666666667</v>
      </c>
      <c r="Y541" s="22" t="str">
        <f aca="false">IF(W541&gt;0,"Win",IF(W541&lt;0,"Loss","Flat"))</f>
        <v>Loss</v>
      </c>
      <c r="Z541" s="24" t="n">
        <f aca="false">Summary!$C$5+SUM(W$2:W541)</f>
        <v>3269</v>
      </c>
      <c r="AA541" s="24" t="n">
        <f aca="false">MAX(AA540,Z541)</f>
        <v>5000</v>
      </c>
      <c r="AB541" s="24" t="n">
        <f aca="false">AA541-Z541</f>
        <v>1731</v>
      </c>
      <c r="AC541" s="23" t="n">
        <f aca="false">IFERROR(AB541/AA541,0)</f>
        <v>0.3462</v>
      </c>
      <c r="AD541" s="22" t="s">
        <v>778</v>
      </c>
    </row>
    <row r="542" customFormat="false" ht="15" hidden="false" customHeight="false" outlineLevel="0" collapsed="false">
      <c r="A542" s="22" t="n">
        <v>541</v>
      </c>
      <c r="B542" s="22" t="s">
        <v>135</v>
      </c>
      <c r="C542" s="37" t="n">
        <v>45135.3943402778</v>
      </c>
      <c r="D542" s="22" t="s">
        <v>206</v>
      </c>
      <c r="E542" s="22" t="n">
        <v>9</v>
      </c>
      <c r="F542" s="22" t="s">
        <v>182</v>
      </c>
      <c r="G542" s="22" t="s">
        <v>241</v>
      </c>
      <c r="H542" s="22" t="n">
        <v>0.05</v>
      </c>
      <c r="I542" s="38" t="n">
        <v>1950.5</v>
      </c>
      <c r="J542" s="38" t="n">
        <v>1950.5</v>
      </c>
      <c r="K542" s="39" t="n">
        <f aca="false">IF(F542="BUY",J542-I542,I542-J542)</f>
        <v>0</v>
      </c>
      <c r="L542" s="38" t="n">
        <v>1956.5</v>
      </c>
      <c r="M542" s="39" t="n">
        <f aca="false">ABS(I542-L542)</f>
        <v>6</v>
      </c>
      <c r="N542" s="24" t="n">
        <f aca="false">M542*H542*Summary!$C$6</f>
        <v>30</v>
      </c>
      <c r="O542" s="37" t="n">
        <v>45135.4583333333</v>
      </c>
      <c r="P542" s="22" t="n">
        <f aca="false">ROUND((O542-C542)*86400,0)</f>
        <v>5529</v>
      </c>
      <c r="Q542" s="22" t="str">
        <f aca="false">IF(P542&lt;10,"a) &lt;10s",IF(P542&lt;60,"b) 10-60s",IF(P542&lt;600,"c) 1-10min","d) &gt;10min")))</f>
        <v>d) &gt;10min</v>
      </c>
      <c r="R542" s="38" t="n">
        <v>1950</v>
      </c>
      <c r="S542" s="38" t="n">
        <v>1950.01</v>
      </c>
      <c r="T542" s="22" t="s">
        <v>189</v>
      </c>
      <c r="U542" s="39" t="n">
        <f aca="false">IF(R542="","",IF(F542="BUY",R542-S542,S542-R542))</f>
        <v>0.00999999999999091</v>
      </c>
      <c r="V542" s="39" t="n">
        <f aca="false">IF(F542="BUY",S542-J542,J542-S542)</f>
        <v>0.490000000000009</v>
      </c>
      <c r="W542" s="6" t="n">
        <v>2.45</v>
      </c>
      <c r="X542" s="26" t="n">
        <f aca="false">IFERROR(W542/N542,0)</f>
        <v>0.0816666666666667</v>
      </c>
      <c r="Y542" s="22" t="str">
        <f aca="false">IF(W542&gt;0,"Win",IF(W542&lt;0,"Loss","Flat"))</f>
        <v>Win</v>
      </c>
      <c r="Z542" s="24" t="n">
        <f aca="false">Summary!$C$5+SUM(W$2:W542)</f>
        <v>3271.45</v>
      </c>
      <c r="AA542" s="24" t="n">
        <f aca="false">MAX(AA541,Z542)</f>
        <v>5000</v>
      </c>
      <c r="AB542" s="24" t="n">
        <f aca="false">AA542-Z542</f>
        <v>1728.55</v>
      </c>
      <c r="AC542" s="23" t="n">
        <f aca="false">IFERROR(AB542/AA542,0)</f>
        <v>0.34571</v>
      </c>
      <c r="AD542" s="22" t="s">
        <v>779</v>
      </c>
    </row>
    <row r="543" customFormat="false" ht="15" hidden="false" customHeight="false" outlineLevel="0" collapsed="false">
      <c r="A543" s="22" t="n">
        <v>542</v>
      </c>
      <c r="B543" s="22" t="s">
        <v>135</v>
      </c>
      <c r="C543" s="37" t="n">
        <v>45138.3861574074</v>
      </c>
      <c r="D543" s="22" t="s">
        <v>202</v>
      </c>
      <c r="E543" s="22" t="n">
        <v>9</v>
      </c>
      <c r="F543" s="22" t="s">
        <v>181</v>
      </c>
      <c r="G543" s="22" t="s">
        <v>235</v>
      </c>
      <c r="H543" s="22" t="n">
        <v>0.05</v>
      </c>
      <c r="I543" s="38" t="n">
        <v>1955.79</v>
      </c>
      <c r="J543" s="38" t="n">
        <v>1955.79</v>
      </c>
      <c r="K543" s="39" t="n">
        <f aca="false">IF(F543="BUY",J543-I543,I543-J543)</f>
        <v>0</v>
      </c>
      <c r="L543" s="38" t="n">
        <v>1949.79</v>
      </c>
      <c r="M543" s="39" t="n">
        <f aca="false">ABS(I543-L543)</f>
        <v>6</v>
      </c>
      <c r="N543" s="24" t="n">
        <f aca="false">M543*H543*Summary!$C$6</f>
        <v>30</v>
      </c>
      <c r="O543" s="37" t="n">
        <v>45138.9270833333</v>
      </c>
      <c r="P543" s="22" t="n">
        <f aca="false">ROUND((O543-C543)*86400,0)</f>
        <v>46736</v>
      </c>
      <c r="Q543" s="22" t="str">
        <f aca="false">IF(P543&lt;10,"a) &lt;10s",IF(P543&lt;60,"b) 10-60s",IF(P543&lt;600,"c) 1-10min","d) &gt;10min")))</f>
        <v>d) &gt;10min</v>
      </c>
      <c r="R543" s="38"/>
      <c r="S543" s="38" t="n">
        <v>1966.38</v>
      </c>
      <c r="T543" s="22" t="s">
        <v>191</v>
      </c>
      <c r="U543" s="39" t="str">
        <f aca="false">IF(R543="","",IF(F543="BUY",R543-S543,S543-R543))</f>
        <v/>
      </c>
      <c r="V543" s="39" t="n">
        <f aca="false">IF(F543="BUY",S543-J543,J543-S543)</f>
        <v>10.5900000000001</v>
      </c>
      <c r="W543" s="6" t="n">
        <v>52.95</v>
      </c>
      <c r="X543" s="26" t="n">
        <f aca="false">IFERROR(W543/N543,0)</f>
        <v>1.765</v>
      </c>
      <c r="Y543" s="22" t="str">
        <f aca="false">IF(W543&gt;0,"Win",IF(W543&lt;0,"Loss","Flat"))</f>
        <v>Win</v>
      </c>
      <c r="Z543" s="24" t="n">
        <f aca="false">Summary!$C$5+SUM(W$2:W543)</f>
        <v>3324.4</v>
      </c>
      <c r="AA543" s="24" t="n">
        <f aca="false">MAX(AA542,Z543)</f>
        <v>5000</v>
      </c>
      <c r="AB543" s="24" t="n">
        <f aca="false">AA543-Z543</f>
        <v>1675.6</v>
      </c>
      <c r="AC543" s="23" t="n">
        <f aca="false">IFERROR(AB543/AA543,0)</f>
        <v>0.33512</v>
      </c>
      <c r="AD543" s="22" t="s">
        <v>780</v>
      </c>
    </row>
    <row r="544" customFormat="false" ht="15" hidden="false" customHeight="false" outlineLevel="0" collapsed="false">
      <c r="A544" s="22" t="n">
        <v>543</v>
      </c>
      <c r="B544" s="22" t="s">
        <v>136</v>
      </c>
      <c r="C544" s="37" t="n">
        <v>45139.3787731482</v>
      </c>
      <c r="D544" s="22" t="s">
        <v>203</v>
      </c>
      <c r="E544" s="22" t="n">
        <v>9</v>
      </c>
      <c r="F544" s="22" t="s">
        <v>182</v>
      </c>
      <c r="G544" s="22" t="s">
        <v>241</v>
      </c>
      <c r="H544" s="22" t="n">
        <v>0.05</v>
      </c>
      <c r="I544" s="38" t="n">
        <v>1958.16</v>
      </c>
      <c r="J544" s="38" t="n">
        <v>1958.16</v>
      </c>
      <c r="K544" s="39" t="n">
        <f aca="false">IF(F544="BUY",J544-I544,I544-J544)</f>
        <v>0</v>
      </c>
      <c r="L544" s="38" t="n">
        <v>1964.16</v>
      </c>
      <c r="M544" s="39" t="n">
        <f aca="false">ABS(I544-L544)</f>
        <v>6</v>
      </c>
      <c r="N544" s="24" t="n">
        <f aca="false">M544*H544*Summary!$C$6</f>
        <v>30</v>
      </c>
      <c r="O544" s="37" t="n">
        <v>45139.3928125</v>
      </c>
      <c r="P544" s="22" t="n">
        <f aca="false">ROUND((O544-C544)*86400,0)</f>
        <v>1213</v>
      </c>
      <c r="Q544" s="22" t="str">
        <f aca="false">IF(P544&lt;10,"a) &lt;10s",IF(P544&lt;60,"b) 10-60s",IF(P544&lt;600,"c) 1-10min","d) &gt;10min")))</f>
        <v>d) &gt;10min</v>
      </c>
      <c r="R544" s="38" t="n">
        <v>1957.66</v>
      </c>
      <c r="S544" s="38" t="n">
        <v>1957.66</v>
      </c>
      <c r="T544" s="22" t="s">
        <v>189</v>
      </c>
      <c r="U544" s="39" t="n">
        <f aca="false">IF(R544="","",IF(F544="BUY",R544-S544,S544-R544))</f>
        <v>0</v>
      </c>
      <c r="V544" s="39" t="n">
        <f aca="false">IF(F544="BUY",S544-J544,J544-S544)</f>
        <v>0.5</v>
      </c>
      <c r="W544" s="6" t="n">
        <v>2.5</v>
      </c>
      <c r="X544" s="26" t="n">
        <f aca="false">IFERROR(W544/N544,0)</f>
        <v>0.0833333333333333</v>
      </c>
      <c r="Y544" s="22" t="str">
        <f aca="false">IF(W544&gt;0,"Win",IF(W544&lt;0,"Loss","Flat"))</f>
        <v>Win</v>
      </c>
      <c r="Z544" s="24" t="n">
        <f aca="false">Summary!$C$5+SUM(W$2:W544)</f>
        <v>3326.9</v>
      </c>
      <c r="AA544" s="24" t="n">
        <f aca="false">MAX(AA543,Z544)</f>
        <v>5000</v>
      </c>
      <c r="AB544" s="24" t="n">
        <f aca="false">AA544-Z544</f>
        <v>1673.1</v>
      </c>
      <c r="AC544" s="23" t="n">
        <f aca="false">IFERROR(AB544/AA544,0)</f>
        <v>0.33462</v>
      </c>
      <c r="AD544" s="22" t="s">
        <v>781</v>
      </c>
    </row>
    <row r="545" customFormat="false" ht="15" hidden="false" customHeight="false" outlineLevel="0" collapsed="false">
      <c r="A545" s="22" t="n">
        <v>544</v>
      </c>
      <c r="B545" s="22" t="s">
        <v>136</v>
      </c>
      <c r="C545" s="37" t="n">
        <v>45139.6403703704</v>
      </c>
      <c r="D545" s="22" t="s">
        <v>203</v>
      </c>
      <c r="E545" s="22" t="n">
        <v>15</v>
      </c>
      <c r="F545" s="22" t="s">
        <v>182</v>
      </c>
      <c r="G545" s="22" t="s">
        <v>237</v>
      </c>
      <c r="H545" s="22" t="n">
        <v>0.05</v>
      </c>
      <c r="I545" s="38" t="n">
        <v>1950.66</v>
      </c>
      <c r="J545" s="38" t="n">
        <v>1950.5</v>
      </c>
      <c r="K545" s="39" t="n">
        <f aca="false">IF(F545="BUY",J545-I545,I545-J545)</f>
        <v>0.160000000000082</v>
      </c>
      <c r="L545" s="38" t="n">
        <v>1956.66</v>
      </c>
      <c r="M545" s="39" t="n">
        <f aca="false">ABS(I545-L545)</f>
        <v>6</v>
      </c>
      <c r="N545" s="24" t="n">
        <f aca="false">M545*H545*Summary!$C$6</f>
        <v>30</v>
      </c>
      <c r="O545" s="37" t="n">
        <v>45139.7083333333</v>
      </c>
      <c r="P545" s="22" t="n">
        <f aca="false">ROUND((O545-C545)*86400,0)</f>
        <v>5872</v>
      </c>
      <c r="Q545" s="22" t="str">
        <f aca="false">IF(P545&lt;10,"a) &lt;10s",IF(P545&lt;60,"b) 10-60s",IF(P545&lt;600,"c) 1-10min","d) &gt;10min")))</f>
        <v>d) &gt;10min</v>
      </c>
      <c r="R545" s="38" t="n">
        <v>1950</v>
      </c>
      <c r="S545" s="38" t="n">
        <v>1950.09</v>
      </c>
      <c r="T545" s="22" t="s">
        <v>189</v>
      </c>
      <c r="U545" s="39" t="n">
        <f aca="false">IF(R545="","",IF(F545="BUY",R545-S545,S545-R545))</f>
        <v>0.0899999999999182</v>
      </c>
      <c r="V545" s="39" t="n">
        <f aca="false">IF(F545="BUY",S545-J545,J545-S545)</f>
        <v>0.410000000000082</v>
      </c>
      <c r="W545" s="6" t="n">
        <v>2.05</v>
      </c>
      <c r="X545" s="26" t="n">
        <f aca="false">IFERROR(W545/N545,0)</f>
        <v>0.0683333333333333</v>
      </c>
      <c r="Y545" s="22" t="str">
        <f aca="false">IF(W545&gt;0,"Win",IF(W545&lt;0,"Loss","Flat"))</f>
        <v>Win</v>
      </c>
      <c r="Z545" s="24" t="n">
        <f aca="false">Summary!$C$5+SUM(W$2:W545)</f>
        <v>3328.95</v>
      </c>
      <c r="AA545" s="24" t="n">
        <f aca="false">MAX(AA544,Z545)</f>
        <v>5000</v>
      </c>
      <c r="AB545" s="24" t="n">
        <f aca="false">AA545-Z545</f>
        <v>1671.05</v>
      </c>
      <c r="AC545" s="23" t="n">
        <f aca="false">IFERROR(AB545/AA545,0)</f>
        <v>0.33421</v>
      </c>
      <c r="AD545" s="22" t="s">
        <v>782</v>
      </c>
    </row>
    <row r="546" customFormat="false" ht="15" hidden="false" customHeight="false" outlineLevel="0" collapsed="false">
      <c r="A546" s="22" t="n">
        <v>545</v>
      </c>
      <c r="B546" s="22" t="s">
        <v>136</v>
      </c>
      <c r="C546" s="37" t="n">
        <v>45140.3757638889</v>
      </c>
      <c r="D546" s="22" t="s">
        <v>204</v>
      </c>
      <c r="E546" s="22" t="n">
        <v>9</v>
      </c>
      <c r="F546" s="22" t="s">
        <v>181</v>
      </c>
      <c r="G546" s="22" t="s">
        <v>235</v>
      </c>
      <c r="H546" s="22" t="n">
        <v>0.05</v>
      </c>
      <c r="I546" s="38" t="n">
        <v>1949.9</v>
      </c>
      <c r="J546" s="38" t="n">
        <v>1949.92</v>
      </c>
      <c r="K546" s="39" t="n">
        <f aca="false">IF(F546="BUY",J546-I546,I546-J546)</f>
        <v>0.0199999999999818</v>
      </c>
      <c r="L546" s="38" t="n">
        <v>1943.9</v>
      </c>
      <c r="M546" s="39" t="n">
        <f aca="false">ABS(I546-L546)</f>
        <v>6</v>
      </c>
      <c r="N546" s="24" t="n">
        <f aca="false">M546*H546*Summary!$C$6</f>
        <v>30</v>
      </c>
      <c r="O546" s="37" t="n">
        <v>45140.6181597222</v>
      </c>
      <c r="P546" s="22" t="n">
        <f aca="false">ROUND((O546-C546)*86400,0)</f>
        <v>20943</v>
      </c>
      <c r="Q546" s="22" t="str">
        <f aca="false">IF(P546&lt;10,"a) &lt;10s",IF(P546&lt;60,"b) 10-60s",IF(P546&lt;600,"c) 1-10min","d) &gt;10min")))</f>
        <v>d) &gt;10min</v>
      </c>
      <c r="R546" s="38" t="n">
        <v>1950.42</v>
      </c>
      <c r="S546" s="38" t="n">
        <v>1950.41</v>
      </c>
      <c r="T546" s="22" t="s">
        <v>189</v>
      </c>
      <c r="U546" s="39" t="n">
        <f aca="false">IF(R546="","",IF(F546="BUY",R546-S546,S546-R546))</f>
        <v>0.00999999999999091</v>
      </c>
      <c r="V546" s="39" t="n">
        <f aca="false">IF(F546="BUY",S546-J546,J546-S546)</f>
        <v>0.490000000000009</v>
      </c>
      <c r="W546" s="6" t="n">
        <v>2.45</v>
      </c>
      <c r="X546" s="26" t="n">
        <f aca="false">IFERROR(W546/N546,0)</f>
        <v>0.0816666666666667</v>
      </c>
      <c r="Y546" s="22" t="str">
        <f aca="false">IF(W546&gt;0,"Win",IF(W546&lt;0,"Loss","Flat"))</f>
        <v>Win</v>
      </c>
      <c r="Z546" s="24" t="n">
        <f aca="false">Summary!$C$5+SUM(W$2:W546)</f>
        <v>3331.4</v>
      </c>
      <c r="AA546" s="24" t="n">
        <f aca="false">MAX(AA545,Z546)</f>
        <v>5000</v>
      </c>
      <c r="AB546" s="24" t="n">
        <f aca="false">AA546-Z546</f>
        <v>1668.6</v>
      </c>
      <c r="AC546" s="23" t="n">
        <f aca="false">IFERROR(AB546/AA546,0)</f>
        <v>0.33372</v>
      </c>
      <c r="AD546" s="22" t="s">
        <v>783</v>
      </c>
    </row>
    <row r="547" customFormat="false" ht="15" hidden="false" customHeight="false" outlineLevel="0" collapsed="false">
      <c r="A547" s="22" t="n">
        <v>546</v>
      </c>
      <c r="B547" s="22" t="s">
        <v>136</v>
      </c>
      <c r="C547" s="37" t="n">
        <v>45140.7167939815</v>
      </c>
      <c r="D547" s="22" t="s">
        <v>204</v>
      </c>
      <c r="E547" s="22" t="n">
        <v>17</v>
      </c>
      <c r="F547" s="22" t="s">
        <v>182</v>
      </c>
      <c r="G547" s="22" t="s">
        <v>237</v>
      </c>
      <c r="H547" s="22" t="n">
        <v>0.05</v>
      </c>
      <c r="I547" s="38" t="n">
        <v>1941.12</v>
      </c>
      <c r="J547" s="38" t="n">
        <v>1941.04</v>
      </c>
      <c r="K547" s="39" t="n">
        <f aca="false">IF(F547="BUY",J547-I547,I547-J547)</f>
        <v>0.0799999999999272</v>
      </c>
      <c r="L547" s="38" t="n">
        <v>1947.12</v>
      </c>
      <c r="M547" s="39" t="n">
        <f aca="false">ABS(I547-L547)</f>
        <v>6</v>
      </c>
      <c r="N547" s="24" t="n">
        <f aca="false">M547*H547*Summary!$C$6</f>
        <v>30</v>
      </c>
      <c r="O547" s="37" t="n">
        <v>45140.9270833333</v>
      </c>
      <c r="P547" s="22" t="n">
        <f aca="false">ROUND((O547-C547)*86400,0)</f>
        <v>18169</v>
      </c>
      <c r="Q547" s="22" t="str">
        <f aca="false">IF(P547&lt;10,"a) &lt;10s",IF(P547&lt;60,"b) 10-60s",IF(P547&lt;600,"c) 1-10min","d) &gt;10min")))</f>
        <v>d) &gt;10min</v>
      </c>
      <c r="R547" s="38"/>
      <c r="S547" s="38" t="n">
        <v>1935.67</v>
      </c>
      <c r="T547" s="22" t="s">
        <v>191</v>
      </c>
      <c r="U547" s="39" t="str">
        <f aca="false">IF(R547="","",IF(F547="BUY",R547-S547,S547-R547))</f>
        <v/>
      </c>
      <c r="V547" s="39" t="n">
        <f aca="false">IF(F547="BUY",S547-J547,J547-S547)</f>
        <v>5.36999999999989</v>
      </c>
      <c r="W547" s="6" t="n">
        <v>26.85</v>
      </c>
      <c r="X547" s="26" t="n">
        <f aca="false">IFERROR(W547/N547,0)</f>
        <v>0.895</v>
      </c>
      <c r="Y547" s="22" t="str">
        <f aca="false">IF(W547&gt;0,"Win",IF(W547&lt;0,"Loss","Flat"))</f>
        <v>Win</v>
      </c>
      <c r="Z547" s="24" t="n">
        <f aca="false">Summary!$C$5+SUM(W$2:W547)</f>
        <v>3358.25</v>
      </c>
      <c r="AA547" s="24" t="n">
        <f aca="false">MAX(AA546,Z547)</f>
        <v>5000</v>
      </c>
      <c r="AB547" s="24" t="n">
        <f aca="false">AA547-Z547</f>
        <v>1641.75</v>
      </c>
      <c r="AC547" s="23" t="n">
        <f aca="false">IFERROR(AB547/AA547,0)</f>
        <v>0.32835</v>
      </c>
      <c r="AD547" s="22" t="s">
        <v>784</v>
      </c>
    </row>
    <row r="548" customFormat="false" ht="15" hidden="false" customHeight="false" outlineLevel="0" collapsed="false">
      <c r="A548" s="22" t="n">
        <v>547</v>
      </c>
      <c r="B548" s="22" t="s">
        <v>136</v>
      </c>
      <c r="C548" s="37" t="n">
        <v>45141.3390393519</v>
      </c>
      <c r="D548" s="22" t="s">
        <v>205</v>
      </c>
      <c r="E548" s="22" t="n">
        <v>8</v>
      </c>
      <c r="F548" s="22" t="s">
        <v>182</v>
      </c>
      <c r="G548" s="22" t="s">
        <v>237</v>
      </c>
      <c r="H548" s="22" t="n">
        <v>0.05</v>
      </c>
      <c r="I548" s="38" t="n">
        <v>1932.89</v>
      </c>
      <c r="J548" s="38" t="n">
        <v>1932.88</v>
      </c>
      <c r="K548" s="39" t="n">
        <f aca="false">IF(F548="BUY",J548-I548,I548-J548)</f>
        <v>0.00999999999999091</v>
      </c>
      <c r="L548" s="38" t="n">
        <v>1938.89</v>
      </c>
      <c r="M548" s="39" t="n">
        <f aca="false">ABS(I548-L548)</f>
        <v>6</v>
      </c>
      <c r="N548" s="24" t="n">
        <f aca="false">M548*H548*Summary!$C$6</f>
        <v>30</v>
      </c>
      <c r="O548" s="37" t="n">
        <v>45141.6458449074</v>
      </c>
      <c r="P548" s="22" t="n">
        <f aca="false">ROUND((O548-C548)*86400,0)</f>
        <v>26508</v>
      </c>
      <c r="Q548" s="22" t="str">
        <f aca="false">IF(P548&lt;10,"a) &lt;10s",IF(P548&lt;60,"b) 10-60s",IF(P548&lt;600,"c) 1-10min","d) &gt;10min")))</f>
        <v>d) &gt;10min</v>
      </c>
      <c r="R548" s="38" t="n">
        <v>1932.38</v>
      </c>
      <c r="S548" s="38" t="n">
        <v>1932.47</v>
      </c>
      <c r="T548" s="22" t="s">
        <v>189</v>
      </c>
      <c r="U548" s="39" t="n">
        <f aca="false">IF(R548="","",IF(F548="BUY",R548-S548,S548-R548))</f>
        <v>0.0899999999999182</v>
      </c>
      <c r="V548" s="39" t="n">
        <f aca="false">IF(F548="BUY",S548-J548,J548-S548)</f>
        <v>0.410000000000082</v>
      </c>
      <c r="W548" s="6" t="n">
        <v>2.05</v>
      </c>
      <c r="X548" s="26" t="n">
        <f aca="false">IFERROR(W548/N548,0)</f>
        <v>0.0683333333333333</v>
      </c>
      <c r="Y548" s="22" t="str">
        <f aca="false">IF(W548&gt;0,"Win",IF(W548&lt;0,"Loss","Flat"))</f>
        <v>Win</v>
      </c>
      <c r="Z548" s="24" t="n">
        <f aca="false">Summary!$C$5+SUM(W$2:W548)</f>
        <v>3360.3</v>
      </c>
      <c r="AA548" s="24" t="n">
        <f aca="false">MAX(AA547,Z548)</f>
        <v>5000</v>
      </c>
      <c r="AB548" s="24" t="n">
        <f aca="false">AA548-Z548</f>
        <v>1639.7</v>
      </c>
      <c r="AC548" s="23" t="n">
        <f aca="false">IFERROR(AB548/AA548,0)</f>
        <v>0.32794</v>
      </c>
      <c r="AD548" s="22" t="s">
        <v>785</v>
      </c>
    </row>
    <row r="549" customFormat="false" ht="15" hidden="false" customHeight="false" outlineLevel="0" collapsed="false">
      <c r="A549" s="22" t="n">
        <v>548</v>
      </c>
      <c r="B549" s="22" t="s">
        <v>136</v>
      </c>
      <c r="C549" s="37" t="n">
        <v>45142.3831481482</v>
      </c>
      <c r="D549" s="22" t="s">
        <v>206</v>
      </c>
      <c r="E549" s="22" t="n">
        <v>9</v>
      </c>
      <c r="F549" s="22" t="s">
        <v>182</v>
      </c>
      <c r="G549" s="22" t="s">
        <v>241</v>
      </c>
      <c r="H549" s="22" t="n">
        <v>0.05</v>
      </c>
      <c r="I549" s="38" t="n">
        <v>1933.12</v>
      </c>
      <c r="J549" s="38" t="n">
        <v>1933.11</v>
      </c>
      <c r="K549" s="39" t="n">
        <f aca="false">IF(F549="BUY",J549-I549,I549-J549)</f>
        <v>0.00999999999999091</v>
      </c>
      <c r="L549" s="38" t="n">
        <v>1939.12</v>
      </c>
      <c r="M549" s="39" t="n">
        <f aca="false">ABS(I549-L549)</f>
        <v>6</v>
      </c>
      <c r="N549" s="24" t="n">
        <f aca="false">M549*H549*Summary!$C$6</f>
        <v>30</v>
      </c>
      <c r="O549" s="37" t="n">
        <v>45142.6407523148</v>
      </c>
      <c r="P549" s="22" t="n">
        <f aca="false">ROUND((O549-C549)*86400,0)</f>
        <v>22257</v>
      </c>
      <c r="Q549" s="22" t="str">
        <f aca="false">IF(P549&lt;10,"a) &lt;10s",IF(P549&lt;60,"b) 10-60s",IF(P549&lt;600,"c) 1-10min","d) &gt;10min")))</f>
        <v>d) &gt;10min</v>
      </c>
      <c r="R549" s="38" t="n">
        <v>1932.61</v>
      </c>
      <c r="S549" s="38" t="n">
        <v>1932.61</v>
      </c>
      <c r="T549" s="22" t="s">
        <v>189</v>
      </c>
      <c r="U549" s="39" t="n">
        <f aca="false">IF(R549="","",IF(F549="BUY",R549-S549,S549-R549))</f>
        <v>0</v>
      </c>
      <c r="V549" s="39" t="n">
        <f aca="false">IF(F549="BUY",S549-J549,J549-S549)</f>
        <v>0.5</v>
      </c>
      <c r="W549" s="6" t="n">
        <v>2.5</v>
      </c>
      <c r="X549" s="26" t="n">
        <f aca="false">IFERROR(W549/N549,0)</f>
        <v>0.0833333333333333</v>
      </c>
      <c r="Y549" s="22" t="str">
        <f aca="false">IF(W549&gt;0,"Win",IF(W549&lt;0,"Loss","Flat"))</f>
        <v>Win</v>
      </c>
      <c r="Z549" s="24" t="n">
        <f aca="false">Summary!$C$5+SUM(W$2:W549)</f>
        <v>3362.8</v>
      </c>
      <c r="AA549" s="24" t="n">
        <f aca="false">MAX(AA548,Z549)</f>
        <v>5000</v>
      </c>
      <c r="AB549" s="24" t="n">
        <f aca="false">AA549-Z549</f>
        <v>1637.2</v>
      </c>
      <c r="AC549" s="23" t="n">
        <f aca="false">IFERROR(AB549/AA549,0)</f>
        <v>0.32744</v>
      </c>
      <c r="AD549" s="22" t="s">
        <v>786</v>
      </c>
    </row>
    <row r="550" customFormat="false" ht="15" hidden="false" customHeight="false" outlineLevel="0" collapsed="false">
      <c r="A550" s="22" t="n">
        <v>549</v>
      </c>
      <c r="B550" s="22" t="s">
        <v>136</v>
      </c>
      <c r="C550" s="37" t="n">
        <v>45142.6458449074</v>
      </c>
      <c r="D550" s="22" t="s">
        <v>206</v>
      </c>
      <c r="E550" s="22" t="n">
        <v>15</v>
      </c>
      <c r="F550" s="22" t="s">
        <v>182</v>
      </c>
      <c r="G550" s="22" t="s">
        <v>237</v>
      </c>
      <c r="H550" s="22" t="n">
        <v>0.05</v>
      </c>
      <c r="I550" s="38" t="n">
        <v>1929.43</v>
      </c>
      <c r="J550" s="38" t="n">
        <v>1926.9</v>
      </c>
      <c r="K550" s="39" t="n">
        <f aca="false">IF(F550="BUY",J550-I550,I550-J550)</f>
        <v>2.52999999999997</v>
      </c>
      <c r="L550" s="38" t="n">
        <v>1935.43</v>
      </c>
      <c r="M550" s="39" t="n">
        <f aca="false">ABS(I550-L550)</f>
        <v>6</v>
      </c>
      <c r="N550" s="24" t="n">
        <f aca="false">M550*H550*Summary!$C$6</f>
        <v>30</v>
      </c>
      <c r="O550" s="37" t="n">
        <v>45142.646087963</v>
      </c>
      <c r="P550" s="22" t="n">
        <f aca="false">ROUND((O550-C550)*86400,0)</f>
        <v>21</v>
      </c>
      <c r="Q550" s="22" t="str">
        <f aca="false">IF(P550&lt;10,"a) &lt;10s",IF(P550&lt;60,"b) 10-60s",IF(P550&lt;600,"c) 1-10min","d) &gt;10min")))</f>
        <v>b) 10-60s</v>
      </c>
      <c r="R550" s="38" t="n">
        <v>1935.43</v>
      </c>
      <c r="S550" s="38" t="n">
        <v>1935.46</v>
      </c>
      <c r="T550" s="22" t="s">
        <v>188</v>
      </c>
      <c r="U550" s="39" t="n">
        <f aca="false">IF(R550="","",IF(F550="BUY",R550-S550,S550-R550))</f>
        <v>0.0299999999999727</v>
      </c>
      <c r="V550" s="39" t="n">
        <f aca="false">IF(F550="BUY",S550-J550,J550-S550)</f>
        <v>-8.55999999999995</v>
      </c>
      <c r="W550" s="6" t="n">
        <v>-42.8</v>
      </c>
      <c r="X550" s="26" t="n">
        <f aca="false">IFERROR(W550/N550,0)</f>
        <v>-1.42666666666667</v>
      </c>
      <c r="Y550" s="22" t="str">
        <f aca="false">IF(W550&gt;0,"Win",IF(W550&lt;0,"Loss","Flat"))</f>
        <v>Loss</v>
      </c>
      <c r="Z550" s="24" t="n">
        <f aca="false">Summary!$C$5+SUM(W$2:W550)</f>
        <v>3320</v>
      </c>
      <c r="AA550" s="24" t="n">
        <f aca="false">MAX(AA549,Z550)</f>
        <v>5000</v>
      </c>
      <c r="AB550" s="24" t="n">
        <f aca="false">AA550-Z550</f>
        <v>1680</v>
      </c>
      <c r="AC550" s="23" t="n">
        <f aca="false">IFERROR(AB550/AA550,0)</f>
        <v>0.336</v>
      </c>
      <c r="AD550" s="22" t="s">
        <v>787</v>
      </c>
    </row>
    <row r="551" customFormat="false" ht="15" hidden="false" customHeight="false" outlineLevel="0" collapsed="false">
      <c r="A551" s="22" t="n">
        <v>550</v>
      </c>
      <c r="B551" s="22" t="s">
        <v>136</v>
      </c>
      <c r="C551" s="37" t="n">
        <v>45145.0585185185</v>
      </c>
      <c r="D551" s="22" t="s">
        <v>202</v>
      </c>
      <c r="E551" s="22" t="n">
        <v>1</v>
      </c>
      <c r="F551" s="22" t="s">
        <v>181</v>
      </c>
      <c r="G551" s="22" t="s">
        <v>243</v>
      </c>
      <c r="H551" s="22" t="n">
        <v>0.05</v>
      </c>
      <c r="I551" s="38" t="n">
        <v>1946.8</v>
      </c>
      <c r="J551" s="38" t="n">
        <v>1946.81</v>
      </c>
      <c r="K551" s="39" t="n">
        <f aca="false">IF(F551="BUY",J551-I551,I551-J551)</f>
        <v>0.00999999999999091</v>
      </c>
      <c r="L551" s="38" t="n">
        <v>1940.8</v>
      </c>
      <c r="M551" s="39" t="n">
        <f aca="false">ABS(I551-L551)</f>
        <v>6</v>
      </c>
      <c r="N551" s="24" t="n">
        <f aca="false">M551*H551*Summary!$C$6</f>
        <v>30</v>
      </c>
      <c r="O551" s="37" t="n">
        <v>45145.2163194444</v>
      </c>
      <c r="P551" s="22" t="n">
        <f aca="false">ROUND((O551-C551)*86400,0)</f>
        <v>13634</v>
      </c>
      <c r="Q551" s="22" t="str">
        <f aca="false">IF(P551&lt;10,"a) &lt;10s",IF(P551&lt;60,"b) 10-60s",IF(P551&lt;600,"c) 1-10min","d) &gt;10min")))</f>
        <v>d) &gt;10min</v>
      </c>
      <c r="R551" s="38" t="n">
        <v>1940.8</v>
      </c>
      <c r="S551" s="38" t="n">
        <v>1940.78</v>
      </c>
      <c r="T551" s="22" t="s">
        <v>188</v>
      </c>
      <c r="U551" s="39" t="n">
        <f aca="false">IF(R551="","",IF(F551="BUY",R551-S551,S551-R551))</f>
        <v>0.0199999999999818</v>
      </c>
      <c r="V551" s="39" t="n">
        <f aca="false">IF(F551="BUY",S551-J551,J551-S551)</f>
        <v>-6.02999999999997</v>
      </c>
      <c r="W551" s="6" t="n">
        <v>-30.15</v>
      </c>
      <c r="X551" s="26" t="n">
        <f aca="false">IFERROR(W551/N551,0)</f>
        <v>-1.005</v>
      </c>
      <c r="Y551" s="22" t="str">
        <f aca="false">IF(W551&gt;0,"Win",IF(W551&lt;0,"Loss","Flat"))</f>
        <v>Loss</v>
      </c>
      <c r="Z551" s="24" t="n">
        <f aca="false">Summary!$C$5+SUM(W$2:W551)</f>
        <v>3289.85</v>
      </c>
      <c r="AA551" s="24" t="n">
        <f aca="false">MAX(AA550,Z551)</f>
        <v>5000</v>
      </c>
      <c r="AB551" s="24" t="n">
        <f aca="false">AA551-Z551</f>
        <v>1710.15</v>
      </c>
      <c r="AC551" s="23" t="n">
        <f aca="false">IFERROR(AB551/AA551,0)</f>
        <v>0.34203</v>
      </c>
      <c r="AD551" s="22" t="s">
        <v>788</v>
      </c>
    </row>
    <row r="552" customFormat="false" ht="15" hidden="false" customHeight="false" outlineLevel="0" collapsed="false">
      <c r="A552" s="22" t="n">
        <v>551</v>
      </c>
      <c r="B552" s="22" t="s">
        <v>136</v>
      </c>
      <c r="C552" s="37" t="n">
        <v>45145.3760416667</v>
      </c>
      <c r="D552" s="22" t="s">
        <v>202</v>
      </c>
      <c r="E552" s="22" t="n">
        <v>9</v>
      </c>
      <c r="F552" s="22" t="s">
        <v>182</v>
      </c>
      <c r="G552" s="22" t="s">
        <v>241</v>
      </c>
      <c r="H552" s="22" t="n">
        <v>0.05</v>
      </c>
      <c r="I552" s="38" t="n">
        <v>1936.11</v>
      </c>
      <c r="J552" s="38" t="n">
        <v>1936.11</v>
      </c>
      <c r="K552" s="39" t="n">
        <f aca="false">IF(F552="BUY",J552-I552,I552-J552)</f>
        <v>0</v>
      </c>
      <c r="L552" s="38" t="n">
        <v>1942.11</v>
      </c>
      <c r="M552" s="39" t="n">
        <f aca="false">ABS(I552-L552)</f>
        <v>6</v>
      </c>
      <c r="N552" s="24" t="n">
        <f aca="false">M552*H552*Summary!$C$6</f>
        <v>30</v>
      </c>
      <c r="O552" s="37" t="n">
        <v>45145.5782638889</v>
      </c>
      <c r="P552" s="22" t="n">
        <f aca="false">ROUND((O552-C552)*86400,0)</f>
        <v>17472</v>
      </c>
      <c r="Q552" s="22" t="str">
        <f aca="false">IF(P552&lt;10,"a) &lt;10s",IF(P552&lt;60,"b) 10-60s",IF(P552&lt;600,"c) 1-10min","d) &gt;10min")))</f>
        <v>d) &gt;10min</v>
      </c>
      <c r="R552" s="38" t="n">
        <v>1935.61</v>
      </c>
      <c r="S552" s="38" t="n">
        <v>1935.63</v>
      </c>
      <c r="T552" s="22" t="s">
        <v>189</v>
      </c>
      <c r="U552" s="39" t="n">
        <f aca="false">IF(R552="","",IF(F552="BUY",R552-S552,S552-R552))</f>
        <v>0.0200000000002092</v>
      </c>
      <c r="V552" s="39" t="n">
        <f aca="false">IF(F552="BUY",S552-J552,J552-S552)</f>
        <v>0.479999999999791</v>
      </c>
      <c r="W552" s="6" t="n">
        <v>2.4</v>
      </c>
      <c r="X552" s="26" t="n">
        <f aca="false">IFERROR(W552/N552,0)</f>
        <v>0.08</v>
      </c>
      <c r="Y552" s="22" t="str">
        <f aca="false">IF(W552&gt;0,"Win",IF(W552&lt;0,"Loss","Flat"))</f>
        <v>Win</v>
      </c>
      <c r="Z552" s="24" t="n">
        <f aca="false">Summary!$C$5+SUM(W$2:W552)</f>
        <v>3292.25</v>
      </c>
      <c r="AA552" s="24" t="n">
        <f aca="false">MAX(AA551,Z552)</f>
        <v>5000</v>
      </c>
      <c r="AB552" s="24" t="n">
        <f aca="false">AA552-Z552</f>
        <v>1707.75</v>
      </c>
      <c r="AC552" s="23" t="n">
        <f aca="false">IFERROR(AB552/AA552,0)</f>
        <v>0.34155</v>
      </c>
      <c r="AD552" s="22" t="s">
        <v>789</v>
      </c>
    </row>
    <row r="553" customFormat="false" ht="15" hidden="false" customHeight="false" outlineLevel="0" collapsed="false">
      <c r="A553" s="22" t="n">
        <v>552</v>
      </c>
      <c r="B553" s="22" t="s">
        <v>136</v>
      </c>
      <c r="C553" s="37" t="n">
        <v>45146.2083564815</v>
      </c>
      <c r="D553" s="22" t="s">
        <v>203</v>
      </c>
      <c r="E553" s="22" t="n">
        <v>5</v>
      </c>
      <c r="F553" s="22" t="s">
        <v>182</v>
      </c>
      <c r="G553" s="22" t="s">
        <v>237</v>
      </c>
      <c r="H553" s="22" t="n">
        <v>0.05</v>
      </c>
      <c r="I553" s="38" t="n">
        <v>1931.37</v>
      </c>
      <c r="J553" s="38" t="n">
        <v>1931.29</v>
      </c>
      <c r="K553" s="39" t="n">
        <f aca="false">IF(F553="BUY",J553-I553,I553-J553)</f>
        <v>0.0799999999999272</v>
      </c>
      <c r="L553" s="38" t="n">
        <v>1937.37</v>
      </c>
      <c r="M553" s="39" t="n">
        <f aca="false">ABS(I553-L553)</f>
        <v>6</v>
      </c>
      <c r="N553" s="24" t="n">
        <f aca="false">M553*H553*Summary!$C$6</f>
        <v>30</v>
      </c>
      <c r="O553" s="37" t="n">
        <v>45146.7373611111</v>
      </c>
      <c r="P553" s="22" t="n">
        <f aca="false">ROUND((O553-C553)*86400,0)</f>
        <v>45706</v>
      </c>
      <c r="Q553" s="22" t="str">
        <f aca="false">IF(P553&lt;10,"a) &lt;10s",IF(P553&lt;60,"b) 10-60s",IF(P553&lt;600,"c) 1-10min","d) &gt;10min")))</f>
        <v>d) &gt;10min</v>
      </c>
      <c r="R553" s="38" t="n">
        <v>1930.79</v>
      </c>
      <c r="S553" s="38" t="n">
        <v>1930.9</v>
      </c>
      <c r="T553" s="22" t="s">
        <v>189</v>
      </c>
      <c r="U553" s="39" t="n">
        <f aca="false">IF(R553="","",IF(F553="BUY",R553-S553,S553-R553))</f>
        <v>0.110000000000127</v>
      </c>
      <c r="V553" s="39" t="n">
        <f aca="false">IF(F553="BUY",S553-J553,J553-S553)</f>
        <v>0.389999999999873</v>
      </c>
      <c r="W553" s="6" t="n">
        <v>1.95</v>
      </c>
      <c r="X553" s="26" t="n">
        <f aca="false">IFERROR(W553/N553,0)</f>
        <v>0.065</v>
      </c>
      <c r="Y553" s="22" t="str">
        <f aca="false">IF(W553&gt;0,"Win",IF(W553&lt;0,"Loss","Flat"))</f>
        <v>Win</v>
      </c>
      <c r="Z553" s="24" t="n">
        <f aca="false">Summary!$C$5+SUM(W$2:W553)</f>
        <v>3294.2</v>
      </c>
      <c r="AA553" s="24" t="n">
        <f aca="false">MAX(AA552,Z553)</f>
        <v>5000</v>
      </c>
      <c r="AB553" s="24" t="n">
        <f aca="false">AA553-Z553</f>
        <v>1705.8</v>
      </c>
      <c r="AC553" s="23" t="n">
        <f aca="false">IFERROR(AB553/AA553,0)</f>
        <v>0.34116</v>
      </c>
      <c r="AD553" s="22" t="s">
        <v>790</v>
      </c>
    </row>
    <row r="554" customFormat="false" ht="15" hidden="false" customHeight="false" outlineLevel="0" collapsed="false">
      <c r="A554" s="22" t="n">
        <v>553</v>
      </c>
      <c r="B554" s="22" t="s">
        <v>136</v>
      </c>
      <c r="C554" s="37" t="n">
        <v>45147.3792939815</v>
      </c>
      <c r="D554" s="22" t="s">
        <v>204</v>
      </c>
      <c r="E554" s="22" t="n">
        <v>9</v>
      </c>
      <c r="F554" s="22" t="s">
        <v>181</v>
      </c>
      <c r="G554" s="22" t="s">
        <v>235</v>
      </c>
      <c r="H554" s="22" t="n">
        <v>0.05</v>
      </c>
      <c r="I554" s="38" t="n">
        <v>1932.06</v>
      </c>
      <c r="J554" s="38" t="n">
        <v>1932.09</v>
      </c>
      <c r="K554" s="39" t="n">
        <f aca="false">IF(F554="BUY",J554-I554,I554-J554)</f>
        <v>0.0299999999999727</v>
      </c>
      <c r="L554" s="38" t="n">
        <v>1926.06</v>
      </c>
      <c r="M554" s="39" t="n">
        <f aca="false">ABS(I554-L554)</f>
        <v>6</v>
      </c>
      <c r="N554" s="24" t="n">
        <f aca="false">M554*H554*Summary!$C$6</f>
        <v>30</v>
      </c>
      <c r="O554" s="37" t="n">
        <v>45147.5355671296</v>
      </c>
      <c r="P554" s="22" t="n">
        <f aca="false">ROUND((O554-C554)*86400,0)</f>
        <v>13502</v>
      </c>
      <c r="Q554" s="22" t="str">
        <f aca="false">IF(P554&lt;10,"a) &lt;10s",IF(P554&lt;60,"b) 10-60s",IF(P554&lt;600,"c) 1-10min","d) &gt;10min")))</f>
        <v>d) &gt;10min</v>
      </c>
      <c r="R554" s="38" t="n">
        <v>1926.06</v>
      </c>
      <c r="S554" s="38" t="n">
        <v>1926.01</v>
      </c>
      <c r="T554" s="22" t="s">
        <v>188</v>
      </c>
      <c r="U554" s="39" t="n">
        <f aca="false">IF(R554="","",IF(F554="BUY",R554-S554,S554-R554))</f>
        <v>0.0499999999999545</v>
      </c>
      <c r="V554" s="39" t="n">
        <f aca="false">IF(F554="BUY",S554-J554,J554-S554)</f>
        <v>-6.07999999999993</v>
      </c>
      <c r="W554" s="6" t="n">
        <v>-30.4</v>
      </c>
      <c r="X554" s="26" t="n">
        <f aca="false">IFERROR(W554/N554,0)</f>
        <v>-1.01333333333333</v>
      </c>
      <c r="Y554" s="22" t="str">
        <f aca="false">IF(W554&gt;0,"Win",IF(W554&lt;0,"Loss","Flat"))</f>
        <v>Loss</v>
      </c>
      <c r="Z554" s="24" t="n">
        <f aca="false">Summary!$C$5+SUM(W$2:W554)</f>
        <v>3263.8</v>
      </c>
      <c r="AA554" s="24" t="n">
        <f aca="false">MAX(AA553,Z554)</f>
        <v>5000</v>
      </c>
      <c r="AB554" s="24" t="n">
        <f aca="false">AA554-Z554</f>
        <v>1736.2</v>
      </c>
      <c r="AC554" s="23" t="n">
        <f aca="false">IFERROR(AB554/AA554,0)</f>
        <v>0.34724</v>
      </c>
      <c r="AD554" s="22" t="s">
        <v>791</v>
      </c>
    </row>
    <row r="555" customFormat="false" ht="15" hidden="false" customHeight="false" outlineLevel="0" collapsed="false">
      <c r="A555" s="22" t="n">
        <v>554</v>
      </c>
      <c r="B555" s="22" t="s">
        <v>136</v>
      </c>
      <c r="C555" s="37" t="n">
        <v>45147.6284837963</v>
      </c>
      <c r="D555" s="22" t="s">
        <v>204</v>
      </c>
      <c r="E555" s="22" t="n">
        <v>15</v>
      </c>
      <c r="F555" s="22" t="s">
        <v>182</v>
      </c>
      <c r="G555" s="22" t="s">
        <v>237</v>
      </c>
      <c r="H555" s="22" t="n">
        <v>0.05</v>
      </c>
      <c r="I555" s="38" t="n">
        <v>1922.66</v>
      </c>
      <c r="J555" s="38" t="n">
        <v>1922.57</v>
      </c>
      <c r="K555" s="39" t="n">
        <f aca="false">IF(F555="BUY",J555-I555,I555-J555)</f>
        <v>0.0900000000001455</v>
      </c>
      <c r="L555" s="38" t="n">
        <v>1928.66</v>
      </c>
      <c r="M555" s="39" t="n">
        <f aca="false">ABS(I555-L555)</f>
        <v>6</v>
      </c>
      <c r="N555" s="24" t="n">
        <f aca="false">M555*H555*Summary!$C$6</f>
        <v>30</v>
      </c>
      <c r="O555" s="37" t="n">
        <v>45147.730474537</v>
      </c>
      <c r="P555" s="22" t="n">
        <f aca="false">ROUND((O555-C555)*86400,0)</f>
        <v>8812</v>
      </c>
      <c r="Q555" s="22" t="str">
        <f aca="false">IF(P555&lt;10,"a) &lt;10s",IF(P555&lt;60,"b) 10-60s",IF(P555&lt;600,"c) 1-10min","d) &gt;10min")))</f>
        <v>d) &gt;10min</v>
      </c>
      <c r="R555" s="38" t="n">
        <v>1922.07</v>
      </c>
      <c r="S555" s="38" t="n">
        <v>1922.07</v>
      </c>
      <c r="T555" s="22" t="s">
        <v>189</v>
      </c>
      <c r="U555" s="39" t="n">
        <f aca="false">IF(R555="","",IF(F555="BUY",R555-S555,S555-R555))</f>
        <v>0</v>
      </c>
      <c r="V555" s="39" t="n">
        <f aca="false">IF(F555="BUY",S555-J555,J555-S555)</f>
        <v>0.5</v>
      </c>
      <c r="W555" s="6" t="n">
        <v>2.5</v>
      </c>
      <c r="X555" s="26" t="n">
        <f aca="false">IFERROR(W555/N555,0)</f>
        <v>0.0833333333333333</v>
      </c>
      <c r="Y555" s="22" t="str">
        <f aca="false">IF(W555&gt;0,"Win",IF(W555&lt;0,"Loss","Flat"))</f>
        <v>Win</v>
      </c>
      <c r="Z555" s="24" t="n">
        <f aca="false">Summary!$C$5+SUM(W$2:W555)</f>
        <v>3266.3</v>
      </c>
      <c r="AA555" s="24" t="n">
        <f aca="false">MAX(AA554,Z555)</f>
        <v>5000</v>
      </c>
      <c r="AB555" s="24" t="n">
        <f aca="false">AA555-Z555</f>
        <v>1733.7</v>
      </c>
      <c r="AC555" s="23" t="n">
        <f aca="false">IFERROR(AB555/AA555,0)</f>
        <v>0.34674</v>
      </c>
      <c r="AD555" s="22" t="s">
        <v>792</v>
      </c>
    </row>
    <row r="556" customFormat="false" ht="15" hidden="false" customHeight="false" outlineLevel="0" collapsed="false">
      <c r="A556" s="22" t="n">
        <v>555</v>
      </c>
      <c r="B556" s="22" t="s">
        <v>136</v>
      </c>
      <c r="C556" s="37" t="n">
        <v>45148.3817824074</v>
      </c>
      <c r="D556" s="22" t="s">
        <v>205</v>
      </c>
      <c r="E556" s="22" t="n">
        <v>9</v>
      </c>
      <c r="F556" s="22" t="s">
        <v>182</v>
      </c>
      <c r="G556" s="22" t="s">
        <v>241</v>
      </c>
      <c r="H556" s="22" t="n">
        <v>0.05</v>
      </c>
      <c r="I556" s="38" t="n">
        <v>1915.75</v>
      </c>
      <c r="J556" s="38" t="n">
        <v>1915.71</v>
      </c>
      <c r="K556" s="39" t="n">
        <f aca="false">IF(F556="BUY",J556-I556,I556-J556)</f>
        <v>0.0399999999999636</v>
      </c>
      <c r="L556" s="38" t="n">
        <v>1921.75</v>
      </c>
      <c r="M556" s="39" t="n">
        <f aca="false">ABS(I556-L556)</f>
        <v>6</v>
      </c>
      <c r="N556" s="24" t="n">
        <f aca="false">M556*H556*Summary!$C$6</f>
        <v>30</v>
      </c>
      <c r="O556" s="37" t="n">
        <v>45148.5384375</v>
      </c>
      <c r="P556" s="22" t="n">
        <f aca="false">ROUND((O556-C556)*86400,0)</f>
        <v>13535</v>
      </c>
      <c r="Q556" s="22" t="str">
        <f aca="false">IF(P556&lt;10,"a) &lt;10s",IF(P556&lt;60,"b) 10-60s",IF(P556&lt;600,"c) 1-10min","d) &gt;10min")))</f>
        <v>d) &gt;10min</v>
      </c>
      <c r="R556" s="38" t="n">
        <v>1921.75</v>
      </c>
      <c r="S556" s="38" t="n">
        <v>1921.78</v>
      </c>
      <c r="T556" s="22" t="s">
        <v>188</v>
      </c>
      <c r="U556" s="39" t="n">
        <f aca="false">IF(R556="","",IF(F556="BUY",R556-S556,S556-R556))</f>
        <v>0.0299999999999727</v>
      </c>
      <c r="V556" s="39" t="n">
        <f aca="false">IF(F556="BUY",S556-J556,J556-S556)</f>
        <v>-6.06999999999994</v>
      </c>
      <c r="W556" s="6" t="n">
        <v>-30.35</v>
      </c>
      <c r="X556" s="26" t="n">
        <f aca="false">IFERROR(W556/N556,0)</f>
        <v>-1.01166666666667</v>
      </c>
      <c r="Y556" s="22" t="str">
        <f aca="false">IF(W556&gt;0,"Win",IF(W556&lt;0,"Loss","Flat"))</f>
        <v>Loss</v>
      </c>
      <c r="Z556" s="24" t="n">
        <f aca="false">Summary!$C$5+SUM(W$2:W556)</f>
        <v>3235.95</v>
      </c>
      <c r="AA556" s="24" t="n">
        <f aca="false">MAX(AA555,Z556)</f>
        <v>5000</v>
      </c>
      <c r="AB556" s="24" t="n">
        <f aca="false">AA556-Z556</f>
        <v>1764.05</v>
      </c>
      <c r="AC556" s="23" t="n">
        <f aca="false">IFERROR(AB556/AA556,0)</f>
        <v>0.35281</v>
      </c>
      <c r="AD556" s="22" t="s">
        <v>793</v>
      </c>
    </row>
    <row r="557" customFormat="false" ht="15" hidden="false" customHeight="false" outlineLevel="0" collapsed="false">
      <c r="A557" s="22" t="n">
        <v>556</v>
      </c>
      <c r="B557" s="22" t="s">
        <v>136</v>
      </c>
      <c r="C557" s="37" t="n">
        <v>45148.7460648148</v>
      </c>
      <c r="D557" s="22" t="s">
        <v>205</v>
      </c>
      <c r="E557" s="22" t="n">
        <v>17</v>
      </c>
      <c r="F557" s="22" t="s">
        <v>182</v>
      </c>
      <c r="G557" s="22" t="s">
        <v>237</v>
      </c>
      <c r="H557" s="22" t="n">
        <v>0.05</v>
      </c>
      <c r="I557" s="38" t="n">
        <v>1913.51</v>
      </c>
      <c r="J557" s="38" t="n">
        <v>1913.43</v>
      </c>
      <c r="K557" s="39" t="n">
        <f aca="false">IF(F557="BUY",J557-I557,I557-J557)</f>
        <v>0.0799999999999272</v>
      </c>
      <c r="L557" s="38" t="n">
        <v>1919.51</v>
      </c>
      <c r="M557" s="39" t="n">
        <f aca="false">ABS(I557-L557)</f>
        <v>6</v>
      </c>
      <c r="N557" s="24" t="n">
        <f aca="false">M557*H557*Summary!$C$6</f>
        <v>30</v>
      </c>
      <c r="O557" s="37" t="n">
        <v>45148.7797685185</v>
      </c>
      <c r="P557" s="22" t="n">
        <f aca="false">ROUND((O557-C557)*86400,0)</f>
        <v>2912</v>
      </c>
      <c r="Q557" s="22" t="str">
        <f aca="false">IF(P557&lt;10,"a) &lt;10s",IF(P557&lt;60,"b) 10-60s",IF(P557&lt;600,"c) 1-10min","d) &gt;10min")))</f>
        <v>d) &gt;10min</v>
      </c>
      <c r="R557" s="38" t="n">
        <v>1919.51</v>
      </c>
      <c r="S557" s="38" t="n">
        <v>1919.52</v>
      </c>
      <c r="T557" s="22" t="s">
        <v>188</v>
      </c>
      <c r="U557" s="39" t="n">
        <f aca="false">IF(R557="","",IF(F557="BUY",R557-S557,S557-R557))</f>
        <v>0.00999999999999091</v>
      </c>
      <c r="V557" s="39" t="n">
        <f aca="false">IF(F557="BUY",S557-J557,J557-S557)</f>
        <v>-6.08999999999992</v>
      </c>
      <c r="W557" s="6" t="n">
        <v>-30.45</v>
      </c>
      <c r="X557" s="26" t="n">
        <f aca="false">IFERROR(W557/N557,0)</f>
        <v>-1.015</v>
      </c>
      <c r="Y557" s="22" t="str">
        <f aca="false">IF(W557&gt;0,"Win",IF(W557&lt;0,"Loss","Flat"))</f>
        <v>Loss</v>
      </c>
      <c r="Z557" s="24" t="n">
        <f aca="false">Summary!$C$5+SUM(W$2:W557)</f>
        <v>3205.5</v>
      </c>
      <c r="AA557" s="24" t="n">
        <f aca="false">MAX(AA556,Z557)</f>
        <v>5000</v>
      </c>
      <c r="AB557" s="24" t="n">
        <f aca="false">AA557-Z557</f>
        <v>1794.5</v>
      </c>
      <c r="AC557" s="23" t="n">
        <f aca="false">IFERROR(AB557/AA557,0)</f>
        <v>0.3589</v>
      </c>
      <c r="AD557" s="22" t="s">
        <v>794</v>
      </c>
    </row>
    <row r="558" customFormat="false" ht="15" hidden="false" customHeight="false" outlineLevel="0" collapsed="false">
      <c r="A558" s="22" t="n">
        <v>557</v>
      </c>
      <c r="B558" s="22" t="s">
        <v>136</v>
      </c>
      <c r="C558" s="37" t="n">
        <v>45149.0839467593</v>
      </c>
      <c r="D558" s="22" t="s">
        <v>206</v>
      </c>
      <c r="E558" s="22" t="n">
        <v>2</v>
      </c>
      <c r="F558" s="22" t="s">
        <v>182</v>
      </c>
      <c r="G558" s="22" t="s">
        <v>237</v>
      </c>
      <c r="H558" s="22" t="n">
        <v>0.05</v>
      </c>
      <c r="I558" s="38" t="n">
        <v>1911.75</v>
      </c>
      <c r="J558" s="38" t="n">
        <v>1911.75</v>
      </c>
      <c r="K558" s="39" t="n">
        <f aca="false">IF(F558="BUY",J558-I558,I558-J558)</f>
        <v>0</v>
      </c>
      <c r="L558" s="38" t="n">
        <v>1917.75</v>
      </c>
      <c r="M558" s="39" t="n">
        <f aca="false">ABS(I558-L558)</f>
        <v>6</v>
      </c>
      <c r="N558" s="24" t="n">
        <f aca="false">M558*H558*Summary!$C$6</f>
        <v>30</v>
      </c>
      <c r="O558" s="37" t="n">
        <v>45149.3991550926</v>
      </c>
      <c r="P558" s="22" t="n">
        <f aca="false">ROUND((O558-C558)*86400,0)</f>
        <v>27234</v>
      </c>
      <c r="Q558" s="22" t="str">
        <f aca="false">IF(P558&lt;10,"a) &lt;10s",IF(P558&lt;60,"b) 10-60s",IF(P558&lt;600,"c) 1-10min","d) &gt;10min")))</f>
        <v>d) &gt;10min</v>
      </c>
      <c r="R558" s="38" t="n">
        <v>1917.75</v>
      </c>
      <c r="S558" s="38" t="n">
        <v>1917.76</v>
      </c>
      <c r="T558" s="22" t="s">
        <v>188</v>
      </c>
      <c r="U558" s="39" t="n">
        <f aca="false">IF(R558="","",IF(F558="BUY",R558-S558,S558-R558))</f>
        <v>0.00999999999999091</v>
      </c>
      <c r="V558" s="39" t="n">
        <f aca="false">IF(F558="BUY",S558-J558,J558-S558)</f>
        <v>-6.00999999999999</v>
      </c>
      <c r="W558" s="6" t="n">
        <v>-30.05</v>
      </c>
      <c r="X558" s="26" t="n">
        <f aca="false">IFERROR(W558/N558,0)</f>
        <v>-1.00166666666667</v>
      </c>
      <c r="Y558" s="22" t="str">
        <f aca="false">IF(W558&gt;0,"Win",IF(W558&lt;0,"Loss","Flat"))</f>
        <v>Loss</v>
      </c>
      <c r="Z558" s="24" t="n">
        <f aca="false">Summary!$C$5+SUM(W$2:W558)</f>
        <v>3175.45</v>
      </c>
      <c r="AA558" s="24" t="n">
        <f aca="false">MAX(AA557,Z558)</f>
        <v>5000</v>
      </c>
      <c r="AB558" s="24" t="n">
        <f aca="false">AA558-Z558</f>
        <v>1824.55</v>
      </c>
      <c r="AC558" s="23" t="n">
        <f aca="false">IFERROR(AB558/AA558,0)</f>
        <v>0.36491</v>
      </c>
      <c r="AD558" s="22" t="s">
        <v>795</v>
      </c>
    </row>
    <row r="559" customFormat="false" ht="15" hidden="false" customHeight="false" outlineLevel="0" collapsed="false">
      <c r="A559" s="22" t="n">
        <v>558</v>
      </c>
      <c r="B559" s="22" t="s">
        <v>136</v>
      </c>
      <c r="C559" s="37" t="n">
        <v>45149.8870949074</v>
      </c>
      <c r="D559" s="22" t="s">
        <v>206</v>
      </c>
      <c r="E559" s="22" t="n">
        <v>21</v>
      </c>
      <c r="F559" s="22" t="s">
        <v>182</v>
      </c>
      <c r="G559" s="22" t="s">
        <v>241</v>
      </c>
      <c r="H559" s="22" t="n">
        <v>0.05</v>
      </c>
      <c r="I559" s="38" t="n">
        <v>1912.54</v>
      </c>
      <c r="J559" s="38" t="n">
        <v>1912.53</v>
      </c>
      <c r="K559" s="39" t="n">
        <f aca="false">IF(F559="BUY",J559-I559,I559-J559)</f>
        <v>0.00999999999999091</v>
      </c>
      <c r="L559" s="38" t="n">
        <v>1918.54</v>
      </c>
      <c r="M559" s="39" t="n">
        <f aca="false">ABS(I559-L559)</f>
        <v>6</v>
      </c>
      <c r="N559" s="24" t="n">
        <f aca="false">M559*H559*Summary!$C$6</f>
        <v>30</v>
      </c>
      <c r="O559" s="37" t="n">
        <v>45149.9271180556</v>
      </c>
      <c r="P559" s="22" t="n">
        <f aca="false">ROUND((O559-C559)*86400,0)</f>
        <v>3458</v>
      </c>
      <c r="Q559" s="22" t="str">
        <f aca="false">IF(P559&lt;10,"a) &lt;10s",IF(P559&lt;60,"b) 10-60s",IF(P559&lt;600,"c) 1-10min","d) &gt;10min")))</f>
        <v>d) &gt;10min</v>
      </c>
      <c r="R559" s="38"/>
      <c r="S559" s="38" t="n">
        <v>1913.18</v>
      </c>
      <c r="T559" s="22" t="s">
        <v>191</v>
      </c>
      <c r="U559" s="39" t="str">
        <f aca="false">IF(R559="","",IF(F559="BUY",R559-S559,S559-R559))</f>
        <v/>
      </c>
      <c r="V559" s="39" t="n">
        <f aca="false">IF(F559="BUY",S559-J559,J559-S559)</f>
        <v>-0.650000000000091</v>
      </c>
      <c r="W559" s="6" t="n">
        <v>-3.25</v>
      </c>
      <c r="X559" s="26" t="n">
        <f aca="false">IFERROR(W559/N559,0)</f>
        <v>-0.108333333333333</v>
      </c>
      <c r="Y559" s="22" t="str">
        <f aca="false">IF(W559&gt;0,"Win",IF(W559&lt;0,"Loss","Flat"))</f>
        <v>Loss</v>
      </c>
      <c r="Z559" s="24" t="n">
        <f aca="false">Summary!$C$5+SUM(W$2:W559)</f>
        <v>3172.2</v>
      </c>
      <c r="AA559" s="24" t="n">
        <f aca="false">MAX(AA558,Z559)</f>
        <v>5000</v>
      </c>
      <c r="AB559" s="24" t="n">
        <f aca="false">AA559-Z559</f>
        <v>1827.8</v>
      </c>
      <c r="AC559" s="23" t="n">
        <f aca="false">IFERROR(AB559/AA559,0)</f>
        <v>0.36556</v>
      </c>
      <c r="AD559" s="22" t="s">
        <v>796</v>
      </c>
    </row>
    <row r="560" customFormat="false" ht="15" hidden="false" customHeight="false" outlineLevel="0" collapsed="false">
      <c r="A560" s="22" t="n">
        <v>559</v>
      </c>
      <c r="B560" s="22" t="s">
        <v>136</v>
      </c>
      <c r="C560" s="37" t="n">
        <v>45152.153900463</v>
      </c>
      <c r="D560" s="22" t="s">
        <v>202</v>
      </c>
      <c r="E560" s="22" t="n">
        <v>3</v>
      </c>
      <c r="F560" s="22" t="s">
        <v>182</v>
      </c>
      <c r="G560" s="22" t="s">
        <v>237</v>
      </c>
      <c r="H560" s="22" t="n">
        <v>0.05</v>
      </c>
      <c r="I560" s="38" t="n">
        <v>1910.69</v>
      </c>
      <c r="J560" s="38" t="n">
        <v>1910.62</v>
      </c>
      <c r="K560" s="39" t="n">
        <f aca="false">IF(F560="BUY",J560-I560,I560-J560)</f>
        <v>0.0700000000001637</v>
      </c>
      <c r="L560" s="38" t="n">
        <v>1916.69</v>
      </c>
      <c r="M560" s="39" t="n">
        <f aca="false">ABS(I560-L560)</f>
        <v>6</v>
      </c>
      <c r="N560" s="24" t="n">
        <f aca="false">M560*H560*Summary!$C$6</f>
        <v>30</v>
      </c>
      <c r="O560" s="37" t="n">
        <v>45152.654537037</v>
      </c>
      <c r="P560" s="22" t="n">
        <f aca="false">ROUND((O560-C560)*86400,0)</f>
        <v>43255</v>
      </c>
      <c r="Q560" s="22" t="str">
        <f aca="false">IF(P560&lt;10,"a) &lt;10s",IF(P560&lt;60,"b) 10-60s",IF(P560&lt;600,"c) 1-10min","d) &gt;10min")))</f>
        <v>d) &gt;10min</v>
      </c>
      <c r="R560" s="38" t="n">
        <v>1910.12</v>
      </c>
      <c r="S560" s="38" t="n">
        <v>1910.12</v>
      </c>
      <c r="T560" s="22" t="s">
        <v>189</v>
      </c>
      <c r="U560" s="39" t="n">
        <f aca="false">IF(R560="","",IF(F560="BUY",R560-S560,S560-R560))</f>
        <v>0</v>
      </c>
      <c r="V560" s="39" t="n">
        <f aca="false">IF(F560="BUY",S560-J560,J560-S560)</f>
        <v>0.5</v>
      </c>
      <c r="W560" s="6" t="n">
        <v>2.5</v>
      </c>
      <c r="X560" s="26" t="n">
        <f aca="false">IFERROR(W560/N560,0)</f>
        <v>0.0833333333333333</v>
      </c>
      <c r="Y560" s="22" t="str">
        <f aca="false">IF(W560&gt;0,"Win",IF(W560&lt;0,"Loss","Flat"))</f>
        <v>Win</v>
      </c>
      <c r="Z560" s="24" t="n">
        <f aca="false">Summary!$C$5+SUM(W$2:W560)</f>
        <v>3174.7</v>
      </c>
      <c r="AA560" s="24" t="n">
        <f aca="false">MAX(AA559,Z560)</f>
        <v>5000</v>
      </c>
      <c r="AB560" s="24" t="n">
        <f aca="false">AA560-Z560</f>
        <v>1825.3</v>
      </c>
      <c r="AC560" s="23" t="n">
        <f aca="false">IFERROR(AB560/AA560,0)</f>
        <v>0.36506</v>
      </c>
      <c r="AD560" s="22" t="s">
        <v>797</v>
      </c>
    </row>
    <row r="561" customFormat="false" ht="15" hidden="false" customHeight="false" outlineLevel="0" collapsed="false">
      <c r="A561" s="22" t="n">
        <v>560</v>
      </c>
      <c r="B561" s="22" t="s">
        <v>136</v>
      </c>
      <c r="C561" s="37" t="n">
        <v>45153.4033217593</v>
      </c>
      <c r="D561" s="22" t="s">
        <v>203</v>
      </c>
      <c r="E561" s="22" t="n">
        <v>9</v>
      </c>
      <c r="F561" s="22" t="s">
        <v>182</v>
      </c>
      <c r="G561" s="22" t="s">
        <v>241</v>
      </c>
      <c r="H561" s="22" t="n">
        <v>0.05</v>
      </c>
      <c r="I561" s="38" t="n">
        <v>1904.05</v>
      </c>
      <c r="J561" s="38" t="n">
        <v>1904.02</v>
      </c>
      <c r="K561" s="39" t="n">
        <f aca="false">IF(F561="BUY",J561-I561,I561-J561)</f>
        <v>0.0299999999999727</v>
      </c>
      <c r="L561" s="38" t="n">
        <v>1910.05</v>
      </c>
      <c r="M561" s="39" t="n">
        <f aca="false">ABS(I561-L561)</f>
        <v>6</v>
      </c>
      <c r="N561" s="24" t="n">
        <f aca="false">M561*H561*Summary!$C$6</f>
        <v>30</v>
      </c>
      <c r="O561" s="37" t="n">
        <v>45153.6337384259</v>
      </c>
      <c r="P561" s="22" t="n">
        <f aca="false">ROUND((O561-C561)*86400,0)</f>
        <v>19908</v>
      </c>
      <c r="Q561" s="22" t="str">
        <f aca="false">IF(P561&lt;10,"a) &lt;10s",IF(P561&lt;60,"b) 10-60s",IF(P561&lt;600,"c) 1-10min","d) &gt;10min")))</f>
        <v>d) &gt;10min</v>
      </c>
      <c r="R561" s="38" t="n">
        <v>1903.52</v>
      </c>
      <c r="S561" s="38" t="n">
        <v>1903.58</v>
      </c>
      <c r="T561" s="22" t="s">
        <v>189</v>
      </c>
      <c r="U561" s="39" t="n">
        <f aca="false">IF(R561="","",IF(F561="BUY",R561-S561,S561-R561))</f>
        <v>0.0599999999999454</v>
      </c>
      <c r="V561" s="39" t="n">
        <f aca="false">IF(F561="BUY",S561-J561,J561-S561)</f>
        <v>0.440000000000055</v>
      </c>
      <c r="W561" s="6" t="n">
        <v>2.2</v>
      </c>
      <c r="X561" s="26" t="n">
        <f aca="false">IFERROR(W561/N561,0)</f>
        <v>0.0733333333333333</v>
      </c>
      <c r="Y561" s="22" t="str">
        <f aca="false">IF(W561&gt;0,"Win",IF(W561&lt;0,"Loss","Flat"))</f>
        <v>Win</v>
      </c>
      <c r="Z561" s="24" t="n">
        <f aca="false">Summary!$C$5+SUM(W$2:W561)</f>
        <v>3176.9</v>
      </c>
      <c r="AA561" s="24" t="n">
        <f aca="false">MAX(AA560,Z561)</f>
        <v>5000</v>
      </c>
      <c r="AB561" s="24" t="n">
        <f aca="false">AA561-Z561</f>
        <v>1823.1</v>
      </c>
      <c r="AC561" s="23" t="n">
        <f aca="false">IFERROR(AB561/AA561,0)</f>
        <v>0.36462</v>
      </c>
      <c r="AD561" s="22" t="s">
        <v>798</v>
      </c>
    </row>
    <row r="562" customFormat="false" ht="15" hidden="false" customHeight="false" outlineLevel="0" collapsed="false">
      <c r="A562" s="22" t="n">
        <v>561</v>
      </c>
      <c r="B562" s="22" t="s">
        <v>136</v>
      </c>
      <c r="C562" s="37" t="n">
        <v>45154.6267361111</v>
      </c>
      <c r="D562" s="22" t="s">
        <v>204</v>
      </c>
      <c r="E562" s="22" t="n">
        <v>15</v>
      </c>
      <c r="F562" s="22" t="s">
        <v>182</v>
      </c>
      <c r="G562" s="22" t="s">
        <v>241</v>
      </c>
      <c r="H562" s="22" t="n">
        <v>0.05</v>
      </c>
      <c r="I562" s="38" t="n">
        <v>1902.69</v>
      </c>
      <c r="J562" s="38" t="n">
        <v>1902.68</v>
      </c>
      <c r="K562" s="39" t="n">
        <f aca="false">IF(F562="BUY",J562-I562,I562-J562)</f>
        <v>0.00999999999999091</v>
      </c>
      <c r="L562" s="38" t="n">
        <v>1908.69</v>
      </c>
      <c r="M562" s="39" t="n">
        <f aca="false">ABS(I562-L562)</f>
        <v>6</v>
      </c>
      <c r="N562" s="24" t="n">
        <f aca="false">M562*H562*Summary!$C$6</f>
        <v>30</v>
      </c>
      <c r="O562" s="37" t="n">
        <v>45154.6628125</v>
      </c>
      <c r="P562" s="22" t="n">
        <f aca="false">ROUND((O562-C562)*86400,0)</f>
        <v>3117</v>
      </c>
      <c r="Q562" s="22" t="str">
        <f aca="false">IF(P562&lt;10,"a) &lt;10s",IF(P562&lt;60,"b) 10-60s",IF(P562&lt;600,"c) 1-10min","d) &gt;10min")))</f>
        <v>d) &gt;10min</v>
      </c>
      <c r="R562" s="38" t="n">
        <v>1902.18</v>
      </c>
      <c r="S562" s="38" t="n">
        <v>1902.18</v>
      </c>
      <c r="T562" s="22" t="s">
        <v>189</v>
      </c>
      <c r="U562" s="39" t="n">
        <f aca="false">IF(R562="","",IF(F562="BUY",R562-S562,S562-R562))</f>
        <v>0</v>
      </c>
      <c r="V562" s="39" t="n">
        <f aca="false">IF(F562="BUY",S562-J562,J562-S562)</f>
        <v>0.5</v>
      </c>
      <c r="W562" s="6" t="n">
        <v>2.5</v>
      </c>
      <c r="X562" s="26" t="n">
        <f aca="false">IFERROR(W562/N562,0)</f>
        <v>0.0833333333333333</v>
      </c>
      <c r="Y562" s="22" t="str">
        <f aca="false">IF(W562&gt;0,"Win",IF(W562&lt;0,"Loss","Flat"))</f>
        <v>Win</v>
      </c>
      <c r="Z562" s="24" t="n">
        <f aca="false">Summary!$C$5+SUM(W$2:W562)</f>
        <v>3179.4</v>
      </c>
      <c r="AA562" s="24" t="n">
        <f aca="false">MAX(AA561,Z562)</f>
        <v>5000</v>
      </c>
      <c r="AB562" s="24" t="n">
        <f aca="false">AA562-Z562</f>
        <v>1820.6</v>
      </c>
      <c r="AC562" s="23" t="n">
        <f aca="false">IFERROR(AB562/AA562,0)</f>
        <v>0.36412</v>
      </c>
      <c r="AD562" s="22" t="s">
        <v>799</v>
      </c>
    </row>
    <row r="563" customFormat="false" ht="15" hidden="false" customHeight="false" outlineLevel="0" collapsed="false">
      <c r="A563" s="22" t="n">
        <v>562</v>
      </c>
      <c r="B563" s="22" t="s">
        <v>136</v>
      </c>
      <c r="C563" s="37" t="n">
        <v>45154.8771064815</v>
      </c>
      <c r="D563" s="22" t="s">
        <v>204</v>
      </c>
      <c r="E563" s="22" t="n">
        <v>21</v>
      </c>
      <c r="F563" s="22" t="s">
        <v>182</v>
      </c>
      <c r="G563" s="22" t="s">
        <v>237</v>
      </c>
      <c r="H563" s="22" t="n">
        <v>0.05</v>
      </c>
      <c r="I563" s="38" t="n">
        <v>1896.22</v>
      </c>
      <c r="J563" s="38" t="n">
        <v>1896.22</v>
      </c>
      <c r="K563" s="39" t="n">
        <f aca="false">IF(F563="BUY",J563-I563,I563-J563)</f>
        <v>0</v>
      </c>
      <c r="L563" s="38" t="n">
        <v>1902.22</v>
      </c>
      <c r="M563" s="39" t="n">
        <f aca="false">ABS(I563-L563)</f>
        <v>6</v>
      </c>
      <c r="N563" s="24" t="n">
        <f aca="false">M563*H563*Summary!$C$6</f>
        <v>30</v>
      </c>
      <c r="O563" s="37" t="n">
        <v>45154.9270833333</v>
      </c>
      <c r="P563" s="22" t="n">
        <f aca="false">ROUND((O563-C563)*86400,0)</f>
        <v>4318</v>
      </c>
      <c r="Q563" s="22" t="str">
        <f aca="false">IF(P563&lt;10,"a) &lt;10s",IF(P563&lt;60,"b) 10-60s",IF(P563&lt;600,"c) 1-10min","d) &gt;10min")))</f>
        <v>d) &gt;10min</v>
      </c>
      <c r="R563" s="38"/>
      <c r="S563" s="38" t="n">
        <v>1894.27</v>
      </c>
      <c r="T563" s="22" t="s">
        <v>191</v>
      </c>
      <c r="U563" s="39" t="str">
        <f aca="false">IF(R563="","",IF(F563="BUY",R563-S563,S563-R563))</f>
        <v/>
      </c>
      <c r="V563" s="39" t="n">
        <f aca="false">IF(F563="BUY",S563-J563,J563-S563)</f>
        <v>1.95000000000005</v>
      </c>
      <c r="W563" s="6" t="n">
        <v>9.75</v>
      </c>
      <c r="X563" s="26" t="n">
        <f aca="false">IFERROR(W563/N563,0)</f>
        <v>0.325</v>
      </c>
      <c r="Y563" s="22" t="str">
        <f aca="false">IF(W563&gt;0,"Win",IF(W563&lt;0,"Loss","Flat"))</f>
        <v>Win</v>
      </c>
      <c r="Z563" s="24" t="n">
        <f aca="false">Summary!$C$5+SUM(W$2:W563)</f>
        <v>3189.15</v>
      </c>
      <c r="AA563" s="24" t="n">
        <f aca="false">MAX(AA562,Z563)</f>
        <v>5000</v>
      </c>
      <c r="AB563" s="24" t="n">
        <f aca="false">AA563-Z563</f>
        <v>1810.85</v>
      </c>
      <c r="AC563" s="23" t="n">
        <f aca="false">IFERROR(AB563/AA563,0)</f>
        <v>0.36217</v>
      </c>
      <c r="AD563" s="22" t="s">
        <v>800</v>
      </c>
    </row>
    <row r="564" customFormat="false" ht="15" hidden="false" customHeight="false" outlineLevel="0" collapsed="false">
      <c r="A564" s="22" t="n">
        <v>563</v>
      </c>
      <c r="B564" s="22" t="s">
        <v>136</v>
      </c>
      <c r="C564" s="37" t="n">
        <v>45155.1603703704</v>
      </c>
      <c r="D564" s="22" t="s">
        <v>205</v>
      </c>
      <c r="E564" s="22" t="n">
        <v>3</v>
      </c>
      <c r="F564" s="22" t="s">
        <v>182</v>
      </c>
      <c r="G564" s="22" t="s">
        <v>237</v>
      </c>
      <c r="H564" s="22" t="n">
        <v>0.05</v>
      </c>
      <c r="I564" s="38" t="n">
        <v>1891.15</v>
      </c>
      <c r="J564" s="38" t="n">
        <v>1891.07</v>
      </c>
      <c r="K564" s="39" t="n">
        <f aca="false">IF(F564="BUY",J564-I564,I564-J564)</f>
        <v>0.0800000000001546</v>
      </c>
      <c r="L564" s="38" t="n">
        <v>1897.15</v>
      </c>
      <c r="M564" s="39" t="n">
        <f aca="false">ABS(I564-L564)</f>
        <v>6</v>
      </c>
      <c r="N564" s="24" t="n">
        <f aca="false">M564*H564*Summary!$C$6</f>
        <v>30</v>
      </c>
      <c r="O564" s="37" t="n">
        <v>45155.4162268519</v>
      </c>
      <c r="P564" s="22" t="n">
        <f aca="false">ROUND((O564-C564)*86400,0)</f>
        <v>22106</v>
      </c>
      <c r="Q564" s="22" t="str">
        <f aca="false">IF(P564&lt;10,"a) &lt;10s",IF(P564&lt;60,"b) 10-60s",IF(P564&lt;600,"c) 1-10min","d) &gt;10min")))</f>
        <v>d) &gt;10min</v>
      </c>
      <c r="R564" s="38" t="n">
        <v>1897.15</v>
      </c>
      <c r="S564" s="38" t="n">
        <v>1897.15</v>
      </c>
      <c r="T564" s="22" t="s">
        <v>188</v>
      </c>
      <c r="U564" s="39" t="n">
        <f aca="false">IF(R564="","",IF(F564="BUY",R564-S564,S564-R564))</f>
        <v>0</v>
      </c>
      <c r="V564" s="39" t="n">
        <f aca="false">IF(F564="BUY",S564-J564,J564-S564)</f>
        <v>-6.08000000000016</v>
      </c>
      <c r="W564" s="6" t="n">
        <v>-30.4</v>
      </c>
      <c r="X564" s="26" t="n">
        <f aca="false">IFERROR(W564/N564,0)</f>
        <v>-1.01333333333333</v>
      </c>
      <c r="Y564" s="22" t="str">
        <f aca="false">IF(W564&gt;0,"Win",IF(W564&lt;0,"Loss","Flat"))</f>
        <v>Loss</v>
      </c>
      <c r="Z564" s="24" t="n">
        <f aca="false">Summary!$C$5+SUM(W$2:W564)</f>
        <v>3158.75</v>
      </c>
      <c r="AA564" s="24" t="n">
        <f aca="false">MAX(AA563,Z564)</f>
        <v>5000</v>
      </c>
      <c r="AB564" s="24" t="n">
        <f aca="false">AA564-Z564</f>
        <v>1841.25</v>
      </c>
      <c r="AC564" s="23" t="n">
        <f aca="false">IFERROR(AB564/AA564,0)</f>
        <v>0.36825</v>
      </c>
      <c r="AD564" s="22" t="s">
        <v>801</v>
      </c>
    </row>
    <row r="565" customFormat="false" ht="15" hidden="false" customHeight="false" outlineLevel="0" collapsed="false">
      <c r="A565" s="22" t="n">
        <v>564</v>
      </c>
      <c r="B565" s="22" t="s">
        <v>136</v>
      </c>
      <c r="C565" s="37" t="n">
        <v>45155.7828587963</v>
      </c>
      <c r="D565" s="22" t="s">
        <v>205</v>
      </c>
      <c r="E565" s="22" t="n">
        <v>18</v>
      </c>
      <c r="F565" s="22" t="s">
        <v>182</v>
      </c>
      <c r="G565" s="22" t="s">
        <v>241</v>
      </c>
      <c r="H565" s="22" t="n">
        <v>0.05</v>
      </c>
      <c r="I565" s="38" t="n">
        <v>1892.02</v>
      </c>
      <c r="J565" s="38" t="n">
        <v>1892</v>
      </c>
      <c r="K565" s="39" t="n">
        <f aca="false">IF(F565="BUY",J565-I565,I565-J565)</f>
        <v>0.0199999999999818</v>
      </c>
      <c r="L565" s="38" t="n">
        <v>1898.02</v>
      </c>
      <c r="M565" s="39" t="n">
        <f aca="false">ABS(I565-L565)</f>
        <v>6</v>
      </c>
      <c r="N565" s="24" t="n">
        <f aca="false">M565*H565*Summary!$C$6</f>
        <v>30</v>
      </c>
      <c r="O565" s="37" t="n">
        <v>45155.9270833333</v>
      </c>
      <c r="P565" s="22" t="n">
        <f aca="false">ROUND((O565-C565)*86400,0)</f>
        <v>12461</v>
      </c>
      <c r="Q565" s="22" t="str">
        <f aca="false">IF(P565&lt;10,"a) &lt;10s",IF(P565&lt;60,"b) 10-60s",IF(P565&lt;600,"c) 1-10min","d) &gt;10min")))</f>
        <v>d) &gt;10min</v>
      </c>
      <c r="R565" s="38"/>
      <c r="S565" s="38" t="n">
        <v>1888.44</v>
      </c>
      <c r="T565" s="22" t="s">
        <v>191</v>
      </c>
      <c r="U565" s="39" t="str">
        <f aca="false">IF(R565="","",IF(F565="BUY",R565-S565,S565-R565))</f>
        <v/>
      </c>
      <c r="V565" s="39" t="n">
        <f aca="false">IF(F565="BUY",S565-J565,J565-S565)</f>
        <v>3.55999999999995</v>
      </c>
      <c r="W565" s="6" t="n">
        <v>17.8</v>
      </c>
      <c r="X565" s="26" t="n">
        <f aca="false">IFERROR(W565/N565,0)</f>
        <v>0.593333333333333</v>
      </c>
      <c r="Y565" s="22" t="str">
        <f aca="false">IF(W565&gt;0,"Win",IF(W565&lt;0,"Loss","Flat"))</f>
        <v>Win</v>
      </c>
      <c r="Z565" s="24" t="n">
        <f aca="false">Summary!$C$5+SUM(W$2:W565)</f>
        <v>3176.55</v>
      </c>
      <c r="AA565" s="24" t="n">
        <f aca="false">MAX(AA564,Z565)</f>
        <v>5000</v>
      </c>
      <c r="AB565" s="24" t="n">
        <f aca="false">AA565-Z565</f>
        <v>1823.45</v>
      </c>
      <c r="AC565" s="23" t="n">
        <f aca="false">IFERROR(AB565/AA565,0)</f>
        <v>0.36469</v>
      </c>
      <c r="AD565" s="22" t="s">
        <v>802</v>
      </c>
    </row>
    <row r="566" customFormat="false" ht="15" hidden="false" customHeight="false" outlineLevel="0" collapsed="false">
      <c r="A566" s="22" t="n">
        <v>565</v>
      </c>
      <c r="B566" s="22" t="s">
        <v>136</v>
      </c>
      <c r="C566" s="37" t="n">
        <v>45156.3860185185</v>
      </c>
      <c r="D566" s="22" t="s">
        <v>206</v>
      </c>
      <c r="E566" s="22" t="n">
        <v>9</v>
      </c>
      <c r="F566" s="22" t="s">
        <v>181</v>
      </c>
      <c r="G566" s="22" t="s">
        <v>235</v>
      </c>
      <c r="H566" s="22" t="n">
        <v>0.05</v>
      </c>
      <c r="I566" s="38" t="n">
        <v>1894.02</v>
      </c>
      <c r="J566" s="38" t="n">
        <v>1894.07</v>
      </c>
      <c r="K566" s="39" t="n">
        <f aca="false">IF(F566="BUY",J566-I566,I566-J566)</f>
        <v>0.0499999999999545</v>
      </c>
      <c r="L566" s="38" t="n">
        <v>1888.02</v>
      </c>
      <c r="M566" s="39" t="n">
        <f aca="false">ABS(I566-L566)</f>
        <v>6</v>
      </c>
      <c r="N566" s="24" t="n">
        <f aca="false">M566*H566*Summary!$C$6</f>
        <v>30</v>
      </c>
      <c r="O566" s="37" t="n">
        <v>45156.7042708333</v>
      </c>
      <c r="P566" s="22" t="n">
        <f aca="false">ROUND((O566-C566)*86400,0)</f>
        <v>27497</v>
      </c>
      <c r="Q566" s="22" t="str">
        <f aca="false">IF(P566&lt;10,"a) &lt;10s",IF(P566&lt;60,"b) 10-60s",IF(P566&lt;600,"c) 1-10min","d) &gt;10min")))</f>
        <v>d) &gt;10min</v>
      </c>
      <c r="R566" s="38" t="n">
        <v>1894.57</v>
      </c>
      <c r="S566" s="38" t="n">
        <v>1894.56</v>
      </c>
      <c r="T566" s="22" t="s">
        <v>189</v>
      </c>
      <c r="U566" s="39" t="n">
        <f aca="false">IF(R566="","",IF(F566="BUY",R566-S566,S566-R566))</f>
        <v>0.00999999999999091</v>
      </c>
      <c r="V566" s="39" t="n">
        <f aca="false">IF(F566="BUY",S566-J566,J566-S566)</f>
        <v>0.490000000000009</v>
      </c>
      <c r="W566" s="6" t="n">
        <v>2.45</v>
      </c>
      <c r="X566" s="26" t="n">
        <f aca="false">IFERROR(W566/N566,0)</f>
        <v>0.0816666666666667</v>
      </c>
      <c r="Y566" s="22" t="str">
        <f aca="false">IF(W566&gt;0,"Win",IF(W566&lt;0,"Loss","Flat"))</f>
        <v>Win</v>
      </c>
      <c r="Z566" s="24" t="n">
        <f aca="false">Summary!$C$5+SUM(W$2:W566)</f>
        <v>3179</v>
      </c>
      <c r="AA566" s="24" t="n">
        <f aca="false">MAX(AA565,Z566)</f>
        <v>5000</v>
      </c>
      <c r="AB566" s="24" t="n">
        <f aca="false">AA566-Z566</f>
        <v>1821</v>
      </c>
      <c r="AC566" s="23" t="n">
        <f aca="false">IFERROR(AB566/AA566,0)</f>
        <v>0.3642</v>
      </c>
      <c r="AD566" s="22" t="s">
        <v>803</v>
      </c>
    </row>
    <row r="567" customFormat="false" ht="15" hidden="false" customHeight="false" outlineLevel="0" collapsed="false">
      <c r="A567" s="22" t="n">
        <v>566</v>
      </c>
      <c r="B567" s="22" t="s">
        <v>136</v>
      </c>
      <c r="C567" s="37" t="n">
        <v>45159.1903472222</v>
      </c>
      <c r="D567" s="22" t="s">
        <v>202</v>
      </c>
      <c r="E567" s="22" t="n">
        <v>4</v>
      </c>
      <c r="F567" s="22" t="s">
        <v>182</v>
      </c>
      <c r="G567" s="22" t="s">
        <v>237</v>
      </c>
      <c r="H567" s="22" t="n">
        <v>0.05</v>
      </c>
      <c r="I567" s="38" t="n">
        <v>1886.68</v>
      </c>
      <c r="J567" s="38" t="n">
        <v>1886.62</v>
      </c>
      <c r="K567" s="39" t="n">
        <f aca="false">IF(F567="BUY",J567-I567,I567-J567)</f>
        <v>0.0600000000001728</v>
      </c>
      <c r="L567" s="38" t="n">
        <v>1892.68</v>
      </c>
      <c r="M567" s="39" t="n">
        <f aca="false">ABS(I567-L567)</f>
        <v>6</v>
      </c>
      <c r="N567" s="24" t="n">
        <f aca="false">M567*H567*Summary!$C$6</f>
        <v>30</v>
      </c>
      <c r="O567" s="37" t="n">
        <v>45159.2470949074</v>
      </c>
      <c r="P567" s="22" t="n">
        <f aca="false">ROUND((O567-C567)*86400,0)</f>
        <v>4903</v>
      </c>
      <c r="Q567" s="22" t="str">
        <f aca="false">IF(P567&lt;10,"a) &lt;10s",IF(P567&lt;60,"b) 10-60s",IF(P567&lt;600,"c) 1-10min","d) &gt;10min")))</f>
        <v>d) &gt;10min</v>
      </c>
      <c r="R567" s="38" t="n">
        <v>1892.68</v>
      </c>
      <c r="S567" s="38" t="n">
        <v>1892.69</v>
      </c>
      <c r="T567" s="22" t="s">
        <v>188</v>
      </c>
      <c r="U567" s="39" t="n">
        <f aca="false">IF(R567="","",IF(F567="BUY",R567-S567,S567-R567))</f>
        <v>0.00999999999999091</v>
      </c>
      <c r="V567" s="39" t="n">
        <f aca="false">IF(F567="BUY",S567-J567,J567-S567)</f>
        <v>-6.07000000000016</v>
      </c>
      <c r="W567" s="6" t="n">
        <v>-30.35</v>
      </c>
      <c r="X567" s="26" t="n">
        <f aca="false">IFERROR(W567/N567,0)</f>
        <v>-1.01166666666667</v>
      </c>
      <c r="Y567" s="22" t="str">
        <f aca="false">IF(W567&gt;0,"Win",IF(W567&lt;0,"Loss","Flat"))</f>
        <v>Loss</v>
      </c>
      <c r="Z567" s="24" t="n">
        <f aca="false">Summary!$C$5+SUM(W$2:W567)</f>
        <v>3148.65</v>
      </c>
      <c r="AA567" s="24" t="n">
        <f aca="false">MAX(AA566,Z567)</f>
        <v>5000</v>
      </c>
      <c r="AB567" s="24" t="n">
        <f aca="false">AA567-Z567</f>
        <v>1851.35</v>
      </c>
      <c r="AC567" s="23" t="n">
        <f aca="false">IFERROR(AB567/AA567,0)</f>
        <v>0.37027</v>
      </c>
      <c r="AD567" s="22" t="s">
        <v>804</v>
      </c>
    </row>
    <row r="568" customFormat="false" ht="15" hidden="false" customHeight="false" outlineLevel="0" collapsed="false">
      <c r="A568" s="22" t="n">
        <v>567</v>
      </c>
      <c r="B568" s="22" t="s">
        <v>136</v>
      </c>
      <c r="C568" s="37" t="n">
        <v>45159.3752199074</v>
      </c>
      <c r="D568" s="22" t="s">
        <v>202</v>
      </c>
      <c r="E568" s="22" t="n">
        <v>9</v>
      </c>
      <c r="F568" s="22" t="s">
        <v>182</v>
      </c>
      <c r="G568" s="22" t="s">
        <v>241</v>
      </c>
      <c r="H568" s="22" t="n">
        <v>0.05</v>
      </c>
      <c r="I568" s="38" t="n">
        <v>1887.8</v>
      </c>
      <c r="J568" s="38" t="n">
        <v>1887.78</v>
      </c>
      <c r="K568" s="39" t="n">
        <f aca="false">IF(F568="BUY",J568-I568,I568-J568)</f>
        <v>0.0199999999999818</v>
      </c>
      <c r="L568" s="38" t="n">
        <v>1893.8</v>
      </c>
      <c r="M568" s="39" t="n">
        <f aca="false">ABS(I568-L568)</f>
        <v>6</v>
      </c>
      <c r="N568" s="24" t="n">
        <f aca="false">M568*H568*Summary!$C$6</f>
        <v>30</v>
      </c>
      <c r="O568" s="37" t="n">
        <v>45159.6257175926</v>
      </c>
      <c r="P568" s="22" t="n">
        <f aca="false">ROUND((O568-C568)*86400,0)</f>
        <v>21643</v>
      </c>
      <c r="Q568" s="22" t="str">
        <f aca="false">IF(P568&lt;10,"a) &lt;10s",IF(P568&lt;60,"b) 10-60s",IF(P568&lt;600,"c) 1-10min","d) &gt;10min")))</f>
        <v>d) &gt;10min</v>
      </c>
      <c r="R568" s="38" t="n">
        <v>1893.8</v>
      </c>
      <c r="S568" s="38" t="n">
        <v>1893.8</v>
      </c>
      <c r="T568" s="22" t="s">
        <v>188</v>
      </c>
      <c r="U568" s="39" t="n">
        <f aca="false">IF(R568="","",IF(F568="BUY",R568-S568,S568-R568))</f>
        <v>0</v>
      </c>
      <c r="V568" s="39" t="n">
        <f aca="false">IF(F568="BUY",S568-J568,J568-S568)</f>
        <v>-6.01999999999998</v>
      </c>
      <c r="W568" s="6" t="n">
        <v>-30.1</v>
      </c>
      <c r="X568" s="26" t="n">
        <f aca="false">IFERROR(W568/N568,0)</f>
        <v>-1.00333333333333</v>
      </c>
      <c r="Y568" s="22" t="str">
        <f aca="false">IF(W568&gt;0,"Win",IF(W568&lt;0,"Loss","Flat"))</f>
        <v>Loss</v>
      </c>
      <c r="Z568" s="24" t="n">
        <f aca="false">Summary!$C$5+SUM(W$2:W568)</f>
        <v>3118.55</v>
      </c>
      <c r="AA568" s="24" t="n">
        <f aca="false">MAX(AA567,Z568)</f>
        <v>5000</v>
      </c>
      <c r="AB568" s="24" t="n">
        <f aca="false">AA568-Z568</f>
        <v>1881.45</v>
      </c>
      <c r="AC568" s="23" t="n">
        <f aca="false">IFERROR(AB568/AA568,0)</f>
        <v>0.37629</v>
      </c>
      <c r="AD568" s="22" t="s">
        <v>805</v>
      </c>
    </row>
    <row r="569" customFormat="false" ht="15" hidden="false" customHeight="false" outlineLevel="0" collapsed="false">
      <c r="A569" s="22" t="n">
        <v>568</v>
      </c>
      <c r="B569" s="22" t="s">
        <v>136</v>
      </c>
      <c r="C569" s="37" t="n">
        <v>45160.3755092593</v>
      </c>
      <c r="D569" s="22" t="s">
        <v>203</v>
      </c>
      <c r="E569" s="22" t="n">
        <v>9</v>
      </c>
      <c r="F569" s="22" t="s">
        <v>181</v>
      </c>
      <c r="G569" s="22" t="s">
        <v>235</v>
      </c>
      <c r="H569" s="22" t="n">
        <v>0.05</v>
      </c>
      <c r="I569" s="38" t="n">
        <v>1896.33</v>
      </c>
      <c r="J569" s="38" t="n">
        <v>1896.45</v>
      </c>
      <c r="K569" s="39" t="n">
        <f aca="false">IF(F569="BUY",J569-I569,I569-J569)</f>
        <v>0.120000000000118</v>
      </c>
      <c r="L569" s="38" t="n">
        <v>1890.33</v>
      </c>
      <c r="M569" s="39" t="n">
        <f aca="false">ABS(I569-L569)</f>
        <v>6</v>
      </c>
      <c r="N569" s="24" t="n">
        <f aca="false">M569*H569*Summary!$C$6</f>
        <v>30</v>
      </c>
      <c r="O569" s="37" t="n">
        <v>45160.6554513889</v>
      </c>
      <c r="P569" s="22" t="n">
        <f aca="false">ROUND((O569-C569)*86400,0)</f>
        <v>24187</v>
      </c>
      <c r="Q569" s="22" t="str">
        <f aca="false">IF(P569&lt;10,"a) &lt;10s",IF(P569&lt;60,"b) 10-60s",IF(P569&lt;600,"c) 1-10min","d) &gt;10min")))</f>
        <v>d) &gt;10min</v>
      </c>
      <c r="R569" s="38" t="n">
        <v>1896.95</v>
      </c>
      <c r="S569" s="38" t="n">
        <v>1896.95</v>
      </c>
      <c r="T569" s="22" t="s">
        <v>189</v>
      </c>
      <c r="U569" s="39" t="n">
        <f aca="false">IF(R569="","",IF(F569="BUY",R569-S569,S569-R569))</f>
        <v>0</v>
      </c>
      <c r="V569" s="39" t="n">
        <f aca="false">IF(F569="BUY",S569-J569,J569-S569)</f>
        <v>0.5</v>
      </c>
      <c r="W569" s="6" t="n">
        <v>2.5</v>
      </c>
      <c r="X569" s="26" t="n">
        <f aca="false">IFERROR(W569/N569,0)</f>
        <v>0.0833333333333333</v>
      </c>
      <c r="Y569" s="22" t="str">
        <f aca="false">IF(W569&gt;0,"Win",IF(W569&lt;0,"Loss","Flat"))</f>
        <v>Win</v>
      </c>
      <c r="Z569" s="24" t="n">
        <f aca="false">Summary!$C$5+SUM(W$2:W569)</f>
        <v>3121.05</v>
      </c>
      <c r="AA569" s="24" t="n">
        <f aca="false">MAX(AA568,Z569)</f>
        <v>5000</v>
      </c>
      <c r="AB569" s="24" t="n">
        <f aca="false">AA569-Z569</f>
        <v>1878.95</v>
      </c>
      <c r="AC569" s="23" t="n">
        <f aca="false">IFERROR(AB569/AA569,0)</f>
        <v>0.37579</v>
      </c>
      <c r="AD569" s="22" t="s">
        <v>806</v>
      </c>
    </row>
    <row r="570" customFormat="false" ht="15" hidden="false" customHeight="false" outlineLevel="0" collapsed="false">
      <c r="A570" s="22" t="n">
        <v>569</v>
      </c>
      <c r="B570" s="22" t="s">
        <v>136</v>
      </c>
      <c r="C570" s="37" t="n">
        <v>45161.3933680556</v>
      </c>
      <c r="D570" s="22" t="s">
        <v>204</v>
      </c>
      <c r="E570" s="22" t="n">
        <v>9</v>
      </c>
      <c r="F570" s="22" t="s">
        <v>181</v>
      </c>
      <c r="G570" s="22" t="s">
        <v>235</v>
      </c>
      <c r="H570" s="22" t="n">
        <v>0.05</v>
      </c>
      <c r="I570" s="38" t="n">
        <v>1903.9</v>
      </c>
      <c r="J570" s="38" t="n">
        <v>1903.91</v>
      </c>
      <c r="K570" s="39" t="n">
        <f aca="false">IF(F570="BUY",J570-I570,I570-J570)</f>
        <v>0.00999999999999091</v>
      </c>
      <c r="L570" s="38" t="n">
        <v>1897.9</v>
      </c>
      <c r="M570" s="39" t="n">
        <f aca="false">ABS(I570-L570)</f>
        <v>6</v>
      </c>
      <c r="N570" s="24" t="n">
        <f aca="false">M570*H570*Summary!$C$6</f>
        <v>30</v>
      </c>
      <c r="O570" s="37" t="n">
        <v>45161.6642939815</v>
      </c>
      <c r="P570" s="22" t="n">
        <f aca="false">ROUND((O570-C570)*86400,0)</f>
        <v>23408</v>
      </c>
      <c r="Q570" s="22" t="str">
        <f aca="false">IF(P570&lt;10,"a) &lt;10s",IF(P570&lt;60,"b) 10-60s",IF(P570&lt;600,"c) 1-10min","d) &gt;10min")))</f>
        <v>d) &gt;10min</v>
      </c>
      <c r="R570" s="38" t="n">
        <v>1904.41</v>
      </c>
      <c r="S570" s="38" t="n">
        <v>1904.41</v>
      </c>
      <c r="T570" s="22" t="s">
        <v>189</v>
      </c>
      <c r="U570" s="39" t="n">
        <f aca="false">IF(R570="","",IF(F570="BUY",R570-S570,S570-R570))</f>
        <v>0</v>
      </c>
      <c r="V570" s="39" t="n">
        <f aca="false">IF(F570="BUY",S570-J570,J570-S570)</f>
        <v>0.5</v>
      </c>
      <c r="W570" s="6" t="n">
        <v>2.5</v>
      </c>
      <c r="X570" s="26" t="n">
        <f aca="false">IFERROR(W570/N570,0)</f>
        <v>0.0833333333333333</v>
      </c>
      <c r="Y570" s="22" t="str">
        <f aca="false">IF(W570&gt;0,"Win",IF(W570&lt;0,"Loss","Flat"))</f>
        <v>Win</v>
      </c>
      <c r="Z570" s="24" t="n">
        <f aca="false">Summary!$C$5+SUM(W$2:W570)</f>
        <v>3123.55</v>
      </c>
      <c r="AA570" s="24" t="n">
        <f aca="false">MAX(AA569,Z570)</f>
        <v>5000</v>
      </c>
      <c r="AB570" s="24" t="n">
        <f aca="false">AA570-Z570</f>
        <v>1876.45</v>
      </c>
      <c r="AC570" s="23" t="n">
        <f aca="false">IFERROR(AB570/AA570,0)</f>
        <v>0.37529</v>
      </c>
      <c r="AD570" s="22" t="s">
        <v>807</v>
      </c>
    </row>
    <row r="571" customFormat="false" ht="15" hidden="false" customHeight="false" outlineLevel="0" collapsed="false">
      <c r="A571" s="22" t="n">
        <v>570</v>
      </c>
      <c r="B571" s="22" t="s">
        <v>136</v>
      </c>
      <c r="C571" s="37" t="n">
        <v>45162.2107407407</v>
      </c>
      <c r="D571" s="22" t="s">
        <v>205</v>
      </c>
      <c r="E571" s="22" t="n">
        <v>5</v>
      </c>
      <c r="F571" s="22" t="s">
        <v>181</v>
      </c>
      <c r="G571" s="22" t="s">
        <v>243</v>
      </c>
      <c r="H571" s="22" t="n">
        <v>0.05</v>
      </c>
      <c r="I571" s="38" t="n">
        <v>1920.28</v>
      </c>
      <c r="J571" s="38" t="n">
        <v>1920.44</v>
      </c>
      <c r="K571" s="39" t="n">
        <f aca="false">IF(F571="BUY",J571-I571,I571-J571)</f>
        <v>0.160000000000082</v>
      </c>
      <c r="L571" s="38" t="n">
        <v>1914.28</v>
      </c>
      <c r="M571" s="39" t="n">
        <f aca="false">ABS(I571-L571)</f>
        <v>6</v>
      </c>
      <c r="N571" s="24" t="n">
        <f aca="false">M571*H571*Summary!$C$6</f>
        <v>30</v>
      </c>
      <c r="O571" s="37" t="n">
        <v>45162.3885069444</v>
      </c>
      <c r="P571" s="22" t="n">
        <f aca="false">ROUND((O571-C571)*86400,0)</f>
        <v>15359</v>
      </c>
      <c r="Q571" s="22" t="str">
        <f aca="false">IF(P571&lt;10,"a) &lt;10s",IF(P571&lt;60,"b) 10-60s",IF(P571&lt;600,"c) 1-10min","d) &gt;10min")))</f>
        <v>d) &gt;10min</v>
      </c>
      <c r="R571" s="38" t="n">
        <v>1920.94</v>
      </c>
      <c r="S571" s="38" t="n">
        <v>1920.92</v>
      </c>
      <c r="T571" s="22" t="s">
        <v>189</v>
      </c>
      <c r="U571" s="39" t="n">
        <f aca="false">IF(R571="","",IF(F571="BUY",R571-S571,S571-R571))</f>
        <v>0.0199999999999818</v>
      </c>
      <c r="V571" s="39" t="n">
        <f aca="false">IF(F571="BUY",S571-J571,J571-S571)</f>
        <v>0.480000000000018</v>
      </c>
      <c r="W571" s="6" t="n">
        <v>2.4</v>
      </c>
      <c r="X571" s="26" t="n">
        <f aca="false">IFERROR(W571/N571,0)</f>
        <v>0.08</v>
      </c>
      <c r="Y571" s="22" t="str">
        <f aca="false">IF(W571&gt;0,"Win",IF(W571&lt;0,"Loss","Flat"))</f>
        <v>Win</v>
      </c>
      <c r="Z571" s="24" t="n">
        <f aca="false">Summary!$C$5+SUM(W$2:W571)</f>
        <v>3125.95</v>
      </c>
      <c r="AA571" s="24" t="n">
        <f aca="false">MAX(AA570,Z571)</f>
        <v>5000</v>
      </c>
      <c r="AB571" s="24" t="n">
        <f aca="false">AA571-Z571</f>
        <v>1874.05</v>
      </c>
      <c r="AC571" s="23" t="n">
        <f aca="false">IFERROR(AB571/AA571,0)</f>
        <v>0.37481</v>
      </c>
      <c r="AD571" s="22" t="s">
        <v>808</v>
      </c>
    </row>
    <row r="572" customFormat="false" ht="15" hidden="false" customHeight="false" outlineLevel="0" collapsed="false">
      <c r="A572" s="22" t="n">
        <v>571</v>
      </c>
      <c r="B572" s="22" t="s">
        <v>136</v>
      </c>
      <c r="C572" s="37" t="n">
        <v>45162.4537962963</v>
      </c>
      <c r="D572" s="22" t="s">
        <v>205</v>
      </c>
      <c r="E572" s="22" t="n">
        <v>10</v>
      </c>
      <c r="F572" s="22" t="s">
        <v>182</v>
      </c>
      <c r="G572" s="22" t="s">
        <v>241</v>
      </c>
      <c r="H572" s="22" t="n">
        <v>0.05</v>
      </c>
      <c r="I572" s="38" t="n">
        <v>1919.87</v>
      </c>
      <c r="J572" s="38" t="n">
        <v>1919.87</v>
      </c>
      <c r="K572" s="39" t="n">
        <f aca="false">IF(F572="BUY",J572-I572,I572-J572)</f>
        <v>0</v>
      </c>
      <c r="L572" s="38" t="n">
        <v>1925.87</v>
      </c>
      <c r="M572" s="39" t="n">
        <f aca="false">ABS(I572-L572)</f>
        <v>6</v>
      </c>
      <c r="N572" s="24" t="n">
        <f aca="false">M572*H572*Summary!$C$6</f>
        <v>30</v>
      </c>
      <c r="O572" s="37" t="n">
        <v>45162.7186342593</v>
      </c>
      <c r="P572" s="22" t="n">
        <f aca="false">ROUND((O572-C572)*86400,0)</f>
        <v>22882</v>
      </c>
      <c r="Q572" s="22" t="str">
        <f aca="false">IF(P572&lt;10,"a) &lt;10s",IF(P572&lt;60,"b) 10-60s",IF(P572&lt;600,"c) 1-10min","d) &gt;10min")))</f>
        <v>d) &gt;10min</v>
      </c>
      <c r="R572" s="38" t="n">
        <v>1919.37</v>
      </c>
      <c r="S572" s="38" t="n">
        <v>1919.45</v>
      </c>
      <c r="T572" s="22" t="s">
        <v>189</v>
      </c>
      <c r="U572" s="39" t="n">
        <f aca="false">IF(R572="","",IF(F572="BUY",R572-S572,S572-R572))</f>
        <v>0.0800000000001546</v>
      </c>
      <c r="V572" s="39" t="n">
        <f aca="false">IF(F572="BUY",S572-J572,J572-S572)</f>
        <v>0.419999999999845</v>
      </c>
      <c r="W572" s="6" t="n">
        <v>2.1</v>
      </c>
      <c r="X572" s="26" t="n">
        <f aca="false">IFERROR(W572/N572,0)</f>
        <v>0.07</v>
      </c>
      <c r="Y572" s="22" t="str">
        <f aca="false">IF(W572&gt;0,"Win",IF(W572&lt;0,"Loss","Flat"))</f>
        <v>Win</v>
      </c>
      <c r="Z572" s="24" t="n">
        <f aca="false">Summary!$C$5+SUM(W$2:W572)</f>
        <v>3128.05</v>
      </c>
      <c r="AA572" s="24" t="n">
        <f aca="false">MAX(AA571,Z572)</f>
        <v>5000</v>
      </c>
      <c r="AB572" s="24" t="n">
        <f aca="false">AA572-Z572</f>
        <v>1871.95</v>
      </c>
      <c r="AC572" s="23" t="n">
        <f aca="false">IFERROR(AB572/AA572,0)</f>
        <v>0.37439</v>
      </c>
      <c r="AD572" s="22" t="s">
        <v>809</v>
      </c>
    </row>
    <row r="573" customFormat="false" ht="15" hidden="false" customHeight="false" outlineLevel="0" collapsed="false">
      <c r="A573" s="22" t="n">
        <v>572</v>
      </c>
      <c r="B573" s="22" t="s">
        <v>136</v>
      </c>
      <c r="C573" s="37" t="n">
        <v>45163.375</v>
      </c>
      <c r="D573" s="22" t="s">
        <v>206</v>
      </c>
      <c r="E573" s="22" t="n">
        <v>9</v>
      </c>
      <c r="F573" s="22" t="s">
        <v>181</v>
      </c>
      <c r="G573" s="22" t="s">
        <v>235</v>
      </c>
      <c r="H573" s="22" t="n">
        <v>0.05</v>
      </c>
      <c r="I573" s="38" t="n">
        <v>1914.77</v>
      </c>
      <c r="J573" s="38" t="n">
        <v>1914.79</v>
      </c>
      <c r="K573" s="39" t="n">
        <f aca="false">IF(F573="BUY",J573-I573,I573-J573)</f>
        <v>0.0199999999999818</v>
      </c>
      <c r="L573" s="38" t="n">
        <v>1908.77</v>
      </c>
      <c r="M573" s="39" t="n">
        <f aca="false">ABS(I573-L573)</f>
        <v>6</v>
      </c>
      <c r="N573" s="24" t="n">
        <f aca="false">M573*H573*Summary!$C$6</f>
        <v>30</v>
      </c>
      <c r="O573" s="37" t="n">
        <v>45163.6784143519</v>
      </c>
      <c r="P573" s="22" t="n">
        <f aca="false">ROUND((O573-C573)*86400,0)</f>
        <v>26215</v>
      </c>
      <c r="Q573" s="22" t="str">
        <f aca="false">IF(P573&lt;10,"a) &lt;10s",IF(P573&lt;60,"b) 10-60s",IF(P573&lt;600,"c) 1-10min","d) &gt;10min")))</f>
        <v>d) &gt;10min</v>
      </c>
      <c r="R573" s="38" t="n">
        <v>1915.29</v>
      </c>
      <c r="S573" s="38" t="n">
        <v>1915.27</v>
      </c>
      <c r="T573" s="22" t="s">
        <v>189</v>
      </c>
      <c r="U573" s="39" t="n">
        <f aca="false">IF(R573="","",IF(F573="BUY",R573-S573,S573-R573))</f>
        <v>0.0199999999999818</v>
      </c>
      <c r="V573" s="39" t="n">
        <f aca="false">IF(F573="BUY",S573-J573,J573-S573)</f>
        <v>0.480000000000018</v>
      </c>
      <c r="W573" s="6" t="n">
        <v>2.4</v>
      </c>
      <c r="X573" s="26" t="n">
        <f aca="false">IFERROR(W573/N573,0)</f>
        <v>0.08</v>
      </c>
      <c r="Y573" s="22" t="str">
        <f aca="false">IF(W573&gt;0,"Win",IF(W573&lt;0,"Loss","Flat"))</f>
        <v>Win</v>
      </c>
      <c r="Z573" s="24" t="n">
        <f aca="false">Summary!$C$5+SUM(W$2:W573)</f>
        <v>3130.45</v>
      </c>
      <c r="AA573" s="24" t="n">
        <f aca="false">MAX(AA572,Z573)</f>
        <v>5000</v>
      </c>
      <c r="AB573" s="24" t="n">
        <f aca="false">AA573-Z573</f>
        <v>1869.55</v>
      </c>
      <c r="AC573" s="23" t="n">
        <f aca="false">IFERROR(AB573/AA573,0)</f>
        <v>0.37391</v>
      </c>
      <c r="AD573" s="22" t="s">
        <v>810</v>
      </c>
    </row>
    <row r="574" customFormat="false" ht="15" hidden="false" customHeight="false" outlineLevel="0" collapsed="false">
      <c r="A574" s="22" t="n">
        <v>573</v>
      </c>
      <c r="B574" s="22" t="s">
        <v>136</v>
      </c>
      <c r="C574" s="37" t="n">
        <v>45163.710150463</v>
      </c>
      <c r="D574" s="22" t="s">
        <v>206</v>
      </c>
      <c r="E574" s="22" t="n">
        <v>17</v>
      </c>
      <c r="F574" s="22" t="s">
        <v>182</v>
      </c>
      <c r="G574" s="22" t="s">
        <v>237</v>
      </c>
      <c r="H574" s="22" t="n">
        <v>0.05</v>
      </c>
      <c r="I574" s="38" t="n">
        <v>1911.66</v>
      </c>
      <c r="J574" s="38" t="n">
        <v>1911.56</v>
      </c>
      <c r="K574" s="39" t="n">
        <f aca="false">IF(F574="BUY",J574-I574,I574-J574)</f>
        <v>0.100000000000136</v>
      </c>
      <c r="L574" s="38" t="n">
        <v>1917.66</v>
      </c>
      <c r="M574" s="39" t="n">
        <f aca="false">ABS(I574-L574)</f>
        <v>6</v>
      </c>
      <c r="N574" s="24" t="n">
        <f aca="false">M574*H574*Summary!$C$6</f>
        <v>30</v>
      </c>
      <c r="O574" s="37" t="n">
        <v>45163.710474537</v>
      </c>
      <c r="P574" s="22" t="n">
        <f aca="false">ROUND((O574-C574)*86400,0)</f>
        <v>28</v>
      </c>
      <c r="Q574" s="22" t="str">
        <f aca="false">IF(P574&lt;10,"a) &lt;10s",IF(P574&lt;60,"b) 10-60s",IF(P574&lt;600,"c) 1-10min","d) &gt;10min")))</f>
        <v>b) 10-60s</v>
      </c>
      <c r="R574" s="38" t="n">
        <v>1917.66</v>
      </c>
      <c r="S574" s="38" t="n">
        <v>1917.77</v>
      </c>
      <c r="T574" s="22" t="s">
        <v>188</v>
      </c>
      <c r="U574" s="39" t="n">
        <f aca="false">IF(R574="","",IF(F574="BUY",R574-S574,S574-R574))</f>
        <v>0.1099999999999</v>
      </c>
      <c r="V574" s="39" t="n">
        <f aca="false">IF(F574="BUY",S574-J574,J574-S574)</f>
        <v>-6.21000000000004</v>
      </c>
      <c r="W574" s="6" t="n">
        <v>-31.05</v>
      </c>
      <c r="X574" s="26" t="n">
        <f aca="false">IFERROR(W574/N574,0)</f>
        <v>-1.035</v>
      </c>
      <c r="Y574" s="22" t="str">
        <f aca="false">IF(W574&gt;0,"Win",IF(W574&lt;0,"Loss","Flat"))</f>
        <v>Loss</v>
      </c>
      <c r="Z574" s="24" t="n">
        <f aca="false">Summary!$C$5+SUM(W$2:W574)</f>
        <v>3099.4</v>
      </c>
      <c r="AA574" s="24" t="n">
        <f aca="false">MAX(AA573,Z574)</f>
        <v>5000</v>
      </c>
      <c r="AB574" s="24" t="n">
        <f aca="false">AA574-Z574</f>
        <v>1900.6</v>
      </c>
      <c r="AC574" s="23" t="n">
        <f aca="false">IFERROR(AB574/AA574,0)</f>
        <v>0.38012</v>
      </c>
      <c r="AD574" s="22" t="s">
        <v>811</v>
      </c>
    </row>
    <row r="575" customFormat="false" ht="15" hidden="false" customHeight="false" outlineLevel="0" collapsed="false">
      <c r="A575" s="22" t="n">
        <v>574</v>
      </c>
      <c r="B575" s="22" t="s">
        <v>136</v>
      </c>
      <c r="C575" s="37" t="n">
        <v>45166.3822800926</v>
      </c>
      <c r="D575" s="22" t="s">
        <v>202</v>
      </c>
      <c r="E575" s="22" t="n">
        <v>9</v>
      </c>
      <c r="F575" s="22" t="s">
        <v>181</v>
      </c>
      <c r="G575" s="22" t="s">
        <v>235</v>
      </c>
      <c r="H575" s="22" t="n">
        <v>0.05</v>
      </c>
      <c r="I575" s="38" t="n">
        <v>1917.48</v>
      </c>
      <c r="J575" s="38" t="n">
        <v>1917.48</v>
      </c>
      <c r="K575" s="39" t="n">
        <f aca="false">IF(F575="BUY",J575-I575,I575-J575)</f>
        <v>0</v>
      </c>
      <c r="L575" s="38" t="n">
        <v>1911.48</v>
      </c>
      <c r="M575" s="39" t="n">
        <f aca="false">ABS(I575-L575)</f>
        <v>6</v>
      </c>
      <c r="N575" s="24" t="n">
        <f aca="false">M575*H575*Summary!$C$6</f>
        <v>30</v>
      </c>
      <c r="O575" s="37" t="n">
        <v>45166.8381365741</v>
      </c>
      <c r="P575" s="22" t="n">
        <f aca="false">ROUND((O575-C575)*86400,0)</f>
        <v>39386</v>
      </c>
      <c r="Q575" s="22" t="str">
        <f aca="false">IF(P575&lt;10,"a) &lt;10s",IF(P575&lt;60,"b) 10-60s",IF(P575&lt;600,"c) 1-10min","d) &gt;10min")))</f>
        <v>d) &gt;10min</v>
      </c>
      <c r="R575" s="38" t="n">
        <v>1917.98</v>
      </c>
      <c r="S575" s="38" t="n">
        <v>1917.91</v>
      </c>
      <c r="T575" s="22" t="s">
        <v>189</v>
      </c>
      <c r="U575" s="39" t="n">
        <f aca="false">IF(R575="","",IF(F575="BUY",R575-S575,S575-R575))</f>
        <v>0.0699999999999363</v>
      </c>
      <c r="V575" s="39" t="n">
        <f aca="false">IF(F575="BUY",S575-J575,J575-S575)</f>
        <v>0.430000000000064</v>
      </c>
      <c r="W575" s="6" t="n">
        <v>2.15</v>
      </c>
      <c r="X575" s="26" t="n">
        <f aca="false">IFERROR(W575/N575,0)</f>
        <v>0.0716666666666667</v>
      </c>
      <c r="Y575" s="22" t="str">
        <f aca="false">IF(W575&gt;0,"Win",IF(W575&lt;0,"Loss","Flat"))</f>
        <v>Win</v>
      </c>
      <c r="Z575" s="24" t="n">
        <f aca="false">Summary!$C$5+SUM(W$2:W575)</f>
        <v>3101.55</v>
      </c>
      <c r="AA575" s="24" t="n">
        <f aca="false">MAX(AA574,Z575)</f>
        <v>5000</v>
      </c>
      <c r="AB575" s="24" t="n">
        <f aca="false">AA575-Z575</f>
        <v>1898.45</v>
      </c>
      <c r="AC575" s="23" t="n">
        <f aca="false">IFERROR(AB575/AA575,0)</f>
        <v>0.37969</v>
      </c>
      <c r="AD575" s="22" t="s">
        <v>812</v>
      </c>
    </row>
    <row r="576" customFormat="false" ht="15" hidden="false" customHeight="false" outlineLevel="0" collapsed="false">
      <c r="A576" s="22" t="n">
        <v>575</v>
      </c>
      <c r="B576" s="22" t="s">
        <v>136</v>
      </c>
      <c r="C576" s="37" t="n">
        <v>45167.2763773148</v>
      </c>
      <c r="D576" s="22" t="s">
        <v>203</v>
      </c>
      <c r="E576" s="22" t="n">
        <v>6</v>
      </c>
      <c r="F576" s="22" t="s">
        <v>181</v>
      </c>
      <c r="G576" s="22" t="s">
        <v>243</v>
      </c>
      <c r="H576" s="22" t="n">
        <v>0.05</v>
      </c>
      <c r="I576" s="38" t="n">
        <v>1925.96</v>
      </c>
      <c r="J576" s="38" t="n">
        <v>1925.97</v>
      </c>
      <c r="K576" s="39" t="n">
        <f aca="false">IF(F576="BUY",J576-I576,I576-J576)</f>
        <v>0.00999999999999091</v>
      </c>
      <c r="L576" s="38" t="n">
        <v>1919.96</v>
      </c>
      <c r="M576" s="39" t="n">
        <f aca="false">ABS(I576-L576)</f>
        <v>6</v>
      </c>
      <c r="N576" s="24" t="n">
        <f aca="false">M576*H576*Summary!$C$6</f>
        <v>30</v>
      </c>
      <c r="O576" s="37" t="n">
        <v>45167.584525463</v>
      </c>
      <c r="P576" s="22" t="n">
        <f aca="false">ROUND((O576-C576)*86400,0)</f>
        <v>26624</v>
      </c>
      <c r="Q576" s="22" t="str">
        <f aca="false">IF(P576&lt;10,"a) &lt;10s",IF(P576&lt;60,"b) 10-60s",IF(P576&lt;600,"c) 1-10min","d) &gt;10min")))</f>
        <v>d) &gt;10min</v>
      </c>
      <c r="R576" s="38" t="n">
        <v>1919.96</v>
      </c>
      <c r="S576" s="38" t="n">
        <v>1919.94</v>
      </c>
      <c r="T576" s="22" t="s">
        <v>188</v>
      </c>
      <c r="U576" s="39" t="n">
        <f aca="false">IF(R576="","",IF(F576="BUY",R576-S576,S576-R576))</f>
        <v>0.0199999999999818</v>
      </c>
      <c r="V576" s="39" t="n">
        <f aca="false">IF(F576="BUY",S576-J576,J576-S576)</f>
        <v>-6.02999999999997</v>
      </c>
      <c r="W576" s="6" t="n">
        <v>-30.15</v>
      </c>
      <c r="X576" s="26" t="n">
        <f aca="false">IFERROR(W576/N576,0)</f>
        <v>-1.005</v>
      </c>
      <c r="Y576" s="22" t="str">
        <f aca="false">IF(W576&gt;0,"Win",IF(W576&lt;0,"Loss","Flat"))</f>
        <v>Loss</v>
      </c>
      <c r="Z576" s="24" t="n">
        <f aca="false">Summary!$C$5+SUM(W$2:W576)</f>
        <v>3071.4</v>
      </c>
      <c r="AA576" s="24" t="n">
        <f aca="false">MAX(AA575,Z576)</f>
        <v>5000</v>
      </c>
      <c r="AB576" s="24" t="n">
        <f aca="false">AA576-Z576</f>
        <v>1928.6</v>
      </c>
      <c r="AC576" s="23" t="n">
        <f aca="false">IFERROR(AB576/AA576,0)</f>
        <v>0.38572</v>
      </c>
      <c r="AD576" s="22" t="s">
        <v>813</v>
      </c>
    </row>
    <row r="577" customFormat="false" ht="15" hidden="false" customHeight="false" outlineLevel="0" collapsed="false">
      <c r="A577" s="22" t="n">
        <v>576</v>
      </c>
      <c r="B577" s="22" t="s">
        <v>136</v>
      </c>
      <c r="C577" s="37" t="n">
        <v>45167.7083449074</v>
      </c>
      <c r="D577" s="22" t="s">
        <v>203</v>
      </c>
      <c r="E577" s="22" t="n">
        <v>17</v>
      </c>
      <c r="F577" s="22" t="s">
        <v>181</v>
      </c>
      <c r="G577" s="22" t="s">
        <v>235</v>
      </c>
      <c r="H577" s="22" t="n">
        <v>0.05</v>
      </c>
      <c r="I577" s="38" t="n">
        <v>1925.54</v>
      </c>
      <c r="J577" s="38" t="n">
        <v>1927.02</v>
      </c>
      <c r="K577" s="39" t="n">
        <f aca="false">IF(F577="BUY",J577-I577,I577-J577)</f>
        <v>1.48000000000002</v>
      </c>
      <c r="L577" s="38" t="n">
        <v>1919.54</v>
      </c>
      <c r="M577" s="39" t="n">
        <f aca="false">ABS(I577-L577)</f>
        <v>6</v>
      </c>
      <c r="N577" s="24" t="n">
        <f aca="false">M577*H577*Summary!$C$6</f>
        <v>30</v>
      </c>
      <c r="O577" s="37" t="n">
        <v>45167.9270833333</v>
      </c>
      <c r="P577" s="22" t="n">
        <f aca="false">ROUND((O577-C577)*86400,0)</f>
        <v>18899</v>
      </c>
      <c r="Q577" s="22" t="str">
        <f aca="false">IF(P577&lt;10,"a) &lt;10s",IF(P577&lt;60,"b) 10-60s",IF(P577&lt;600,"c) 1-10min","d) &gt;10min")))</f>
        <v>d) &gt;10min</v>
      </c>
      <c r="R577" s="38"/>
      <c r="S577" s="38" t="n">
        <v>1937.74</v>
      </c>
      <c r="T577" s="22" t="s">
        <v>191</v>
      </c>
      <c r="U577" s="39" t="str">
        <f aca="false">IF(R577="","",IF(F577="BUY",R577-S577,S577-R577))</f>
        <v/>
      </c>
      <c r="V577" s="39" t="n">
        <f aca="false">IF(F577="BUY",S577-J577,J577-S577)</f>
        <v>10.72</v>
      </c>
      <c r="W577" s="6" t="n">
        <v>53.6</v>
      </c>
      <c r="X577" s="26" t="n">
        <f aca="false">IFERROR(W577/N577,0)</f>
        <v>1.78666666666667</v>
      </c>
      <c r="Y577" s="22" t="str">
        <f aca="false">IF(W577&gt;0,"Win",IF(W577&lt;0,"Loss","Flat"))</f>
        <v>Win</v>
      </c>
      <c r="Z577" s="24" t="n">
        <f aca="false">Summary!$C$5+SUM(W$2:W577)</f>
        <v>3125</v>
      </c>
      <c r="AA577" s="24" t="n">
        <f aca="false">MAX(AA576,Z577)</f>
        <v>5000</v>
      </c>
      <c r="AB577" s="24" t="n">
        <f aca="false">AA577-Z577</f>
        <v>1875</v>
      </c>
      <c r="AC577" s="23" t="n">
        <f aca="false">IFERROR(AB577/AA577,0)</f>
        <v>0.375</v>
      </c>
      <c r="AD577" s="22" t="s">
        <v>814</v>
      </c>
    </row>
    <row r="578" customFormat="false" ht="15" hidden="false" customHeight="false" outlineLevel="0" collapsed="false">
      <c r="A578" s="22" t="n">
        <v>577</v>
      </c>
      <c r="B578" s="22" t="s">
        <v>136</v>
      </c>
      <c r="C578" s="37" t="n">
        <v>45168.3860185185</v>
      </c>
      <c r="D578" s="22" t="s">
        <v>204</v>
      </c>
      <c r="E578" s="22" t="n">
        <v>9</v>
      </c>
      <c r="F578" s="22" t="s">
        <v>182</v>
      </c>
      <c r="G578" s="22" t="s">
        <v>241</v>
      </c>
      <c r="H578" s="22" t="n">
        <v>0.05</v>
      </c>
      <c r="I578" s="38" t="n">
        <v>1935.11</v>
      </c>
      <c r="J578" s="38" t="n">
        <v>1935.11</v>
      </c>
      <c r="K578" s="39" t="n">
        <f aca="false">IF(F578="BUY",J578-I578,I578-J578)</f>
        <v>0</v>
      </c>
      <c r="L578" s="38" t="n">
        <v>1941.11</v>
      </c>
      <c r="M578" s="39" t="n">
        <f aca="false">ABS(I578-L578)</f>
        <v>6</v>
      </c>
      <c r="N578" s="24" t="n">
        <f aca="false">M578*H578*Summary!$C$6</f>
        <v>30</v>
      </c>
      <c r="O578" s="37" t="n">
        <v>45168.6356365741</v>
      </c>
      <c r="P578" s="22" t="n">
        <f aca="false">ROUND((O578-C578)*86400,0)</f>
        <v>21567</v>
      </c>
      <c r="Q578" s="22" t="str">
        <f aca="false">IF(P578&lt;10,"a) &lt;10s",IF(P578&lt;60,"b) 10-60s",IF(P578&lt;600,"c) 1-10min","d) &gt;10min")))</f>
        <v>d) &gt;10min</v>
      </c>
      <c r="R578" s="38" t="n">
        <v>1941.11</v>
      </c>
      <c r="S578" s="38" t="n">
        <v>1941.17</v>
      </c>
      <c r="T578" s="22" t="s">
        <v>188</v>
      </c>
      <c r="U578" s="39" t="n">
        <f aca="false">IF(R578="","",IF(F578="BUY",R578-S578,S578-R578))</f>
        <v>0.0600000000001728</v>
      </c>
      <c r="V578" s="39" t="n">
        <f aca="false">IF(F578="BUY",S578-J578,J578-S578)</f>
        <v>-6.06000000000017</v>
      </c>
      <c r="W578" s="6" t="n">
        <v>-30.3</v>
      </c>
      <c r="X578" s="26" t="n">
        <f aca="false">IFERROR(W578/N578,0)</f>
        <v>-1.01</v>
      </c>
      <c r="Y578" s="22" t="str">
        <f aca="false">IF(W578&gt;0,"Win",IF(W578&lt;0,"Loss","Flat"))</f>
        <v>Loss</v>
      </c>
      <c r="Z578" s="24" t="n">
        <f aca="false">Summary!$C$5+SUM(W$2:W578)</f>
        <v>3094.7</v>
      </c>
      <c r="AA578" s="24" t="n">
        <f aca="false">MAX(AA577,Z578)</f>
        <v>5000</v>
      </c>
      <c r="AB578" s="24" t="n">
        <f aca="false">AA578-Z578</f>
        <v>1905.3</v>
      </c>
      <c r="AC578" s="23" t="n">
        <f aca="false">IFERROR(AB578/AA578,0)</f>
        <v>0.38106</v>
      </c>
      <c r="AD578" s="22" t="s">
        <v>815</v>
      </c>
    </row>
    <row r="579" customFormat="false" ht="15" hidden="false" customHeight="false" outlineLevel="0" collapsed="false">
      <c r="A579" s="22" t="n">
        <v>578</v>
      </c>
      <c r="B579" s="22" t="s">
        <v>136</v>
      </c>
      <c r="C579" s="37" t="n">
        <v>45169.3763310185</v>
      </c>
      <c r="D579" s="22" t="s">
        <v>205</v>
      </c>
      <c r="E579" s="22" t="n">
        <v>9</v>
      </c>
      <c r="F579" s="22" t="s">
        <v>181</v>
      </c>
      <c r="G579" s="22" t="s">
        <v>235</v>
      </c>
      <c r="H579" s="22" t="n">
        <v>0.05</v>
      </c>
      <c r="I579" s="38" t="n">
        <v>1945.92</v>
      </c>
      <c r="J579" s="38" t="n">
        <v>1945.95</v>
      </c>
      <c r="K579" s="39" t="n">
        <f aca="false">IF(F579="BUY",J579-I579,I579-J579)</f>
        <v>0.0299999999999727</v>
      </c>
      <c r="L579" s="38" t="n">
        <v>1939.92</v>
      </c>
      <c r="M579" s="39" t="n">
        <f aca="false">ABS(I579-L579)</f>
        <v>6</v>
      </c>
      <c r="N579" s="24" t="n">
        <f aca="false">M579*H579*Summary!$C$6</f>
        <v>30</v>
      </c>
      <c r="O579" s="37" t="n">
        <v>45169.7765046296</v>
      </c>
      <c r="P579" s="22" t="n">
        <f aca="false">ROUND((O579-C579)*86400,0)</f>
        <v>34575</v>
      </c>
      <c r="Q579" s="22" t="str">
        <f aca="false">IF(P579&lt;10,"a) &lt;10s",IF(P579&lt;60,"b) 10-60s",IF(P579&lt;600,"c) 1-10min","d) &gt;10min")))</f>
        <v>d) &gt;10min</v>
      </c>
      <c r="R579" s="38" t="n">
        <v>1939.92</v>
      </c>
      <c r="S579" s="38" t="n">
        <v>1939.91</v>
      </c>
      <c r="T579" s="22" t="s">
        <v>188</v>
      </c>
      <c r="U579" s="39" t="n">
        <f aca="false">IF(R579="","",IF(F579="BUY",R579-S579,S579-R579))</f>
        <v>0.00999999999999091</v>
      </c>
      <c r="V579" s="39" t="n">
        <f aca="false">IF(F579="BUY",S579-J579,J579-S579)</f>
        <v>-6.03999999999996</v>
      </c>
      <c r="W579" s="6" t="n">
        <v>-30.2</v>
      </c>
      <c r="X579" s="26" t="n">
        <f aca="false">IFERROR(W579/N579,0)</f>
        <v>-1.00666666666667</v>
      </c>
      <c r="Y579" s="22" t="str">
        <f aca="false">IF(W579&gt;0,"Win",IF(W579&lt;0,"Loss","Flat"))</f>
        <v>Loss</v>
      </c>
      <c r="Z579" s="24" t="n">
        <f aca="false">Summary!$C$5+SUM(W$2:W579)</f>
        <v>3064.5</v>
      </c>
      <c r="AA579" s="24" t="n">
        <f aca="false">MAX(AA578,Z579)</f>
        <v>5000</v>
      </c>
      <c r="AB579" s="24" t="n">
        <f aca="false">AA579-Z579</f>
        <v>1935.5</v>
      </c>
      <c r="AC579" s="23" t="n">
        <f aca="false">IFERROR(AB579/AA579,0)</f>
        <v>0.3871</v>
      </c>
      <c r="AD579" s="22" t="s">
        <v>816</v>
      </c>
    </row>
    <row r="580" customFormat="false" ht="15" hidden="false" customHeight="false" outlineLevel="0" collapsed="false">
      <c r="A580" s="22" t="n">
        <v>579</v>
      </c>
      <c r="B580" s="22" t="s">
        <v>137</v>
      </c>
      <c r="C580" s="37" t="n">
        <v>45170.1364930556</v>
      </c>
      <c r="D580" s="22" t="s">
        <v>206</v>
      </c>
      <c r="E580" s="22" t="n">
        <v>3</v>
      </c>
      <c r="F580" s="22" t="s">
        <v>182</v>
      </c>
      <c r="G580" s="22" t="s">
        <v>237</v>
      </c>
      <c r="H580" s="22" t="n">
        <v>0.05</v>
      </c>
      <c r="I580" s="38" t="n">
        <v>1938.86</v>
      </c>
      <c r="J580" s="38" t="n">
        <v>1938.83</v>
      </c>
      <c r="K580" s="39" t="n">
        <f aca="false">IF(F580="BUY",J580-I580,I580-J580)</f>
        <v>0.0299999999999727</v>
      </c>
      <c r="L580" s="38" t="n">
        <v>1944.86</v>
      </c>
      <c r="M580" s="39" t="n">
        <f aca="false">ABS(I580-L580)</f>
        <v>6</v>
      </c>
      <c r="N580" s="24" t="n">
        <f aca="false">M580*H580*Summary!$C$6</f>
        <v>30</v>
      </c>
      <c r="O580" s="37" t="n">
        <v>45170.5850115741</v>
      </c>
      <c r="P580" s="22" t="n">
        <f aca="false">ROUND((O580-C580)*86400,0)</f>
        <v>38752</v>
      </c>
      <c r="Q580" s="22" t="str">
        <f aca="false">IF(P580&lt;10,"a) &lt;10s",IF(P580&lt;60,"b) 10-60s",IF(P580&lt;600,"c) 1-10min","d) &gt;10min")))</f>
        <v>d) &gt;10min</v>
      </c>
      <c r="R580" s="38" t="n">
        <v>1944.86</v>
      </c>
      <c r="S580" s="38" t="n">
        <v>1944.86</v>
      </c>
      <c r="T580" s="22" t="s">
        <v>188</v>
      </c>
      <c r="U580" s="39" t="n">
        <f aca="false">IF(R580="","",IF(F580="BUY",R580-S580,S580-R580))</f>
        <v>0</v>
      </c>
      <c r="V580" s="39" t="n">
        <f aca="false">IF(F580="BUY",S580-J580,J580-S580)</f>
        <v>-6.02999999999997</v>
      </c>
      <c r="W580" s="6" t="n">
        <v>-30.15</v>
      </c>
      <c r="X580" s="26" t="n">
        <f aca="false">IFERROR(W580/N580,0)</f>
        <v>-1.005</v>
      </c>
      <c r="Y580" s="22" t="str">
        <f aca="false">IF(W580&gt;0,"Win",IF(W580&lt;0,"Loss","Flat"))</f>
        <v>Loss</v>
      </c>
      <c r="Z580" s="24" t="n">
        <f aca="false">Summary!$C$5+SUM(W$2:W580)</f>
        <v>3034.35</v>
      </c>
      <c r="AA580" s="24" t="n">
        <f aca="false">MAX(AA579,Z580)</f>
        <v>5000</v>
      </c>
      <c r="AB580" s="24" t="n">
        <f aca="false">AA580-Z580</f>
        <v>1965.65</v>
      </c>
      <c r="AC580" s="23" t="n">
        <f aca="false">IFERROR(AB580/AA580,0)</f>
        <v>0.39313</v>
      </c>
      <c r="AD580" s="22" t="s">
        <v>817</v>
      </c>
    </row>
    <row r="581" customFormat="false" ht="15" hidden="false" customHeight="false" outlineLevel="0" collapsed="false">
      <c r="A581" s="22" t="n">
        <v>580</v>
      </c>
      <c r="B581" s="22" t="s">
        <v>137</v>
      </c>
      <c r="C581" s="37" t="n">
        <v>45170.7090277778</v>
      </c>
      <c r="D581" s="22" t="s">
        <v>206</v>
      </c>
      <c r="E581" s="22" t="n">
        <v>17</v>
      </c>
      <c r="F581" s="22" t="s">
        <v>182</v>
      </c>
      <c r="G581" s="22" t="s">
        <v>241</v>
      </c>
      <c r="H581" s="22" t="n">
        <v>0.05</v>
      </c>
      <c r="I581" s="38" t="n">
        <v>1938.11</v>
      </c>
      <c r="J581" s="38" t="n">
        <v>1938.09</v>
      </c>
      <c r="K581" s="39" t="n">
        <f aca="false">IF(F581="BUY",J581-I581,I581-J581)</f>
        <v>0.0199999999999818</v>
      </c>
      <c r="L581" s="38" t="n">
        <v>1944.11</v>
      </c>
      <c r="M581" s="39" t="n">
        <f aca="false">ABS(I581-L581)</f>
        <v>6</v>
      </c>
      <c r="N581" s="24" t="n">
        <f aca="false">M581*H581*Summary!$C$6</f>
        <v>30</v>
      </c>
      <c r="O581" s="37" t="n">
        <v>45170.7358796296</v>
      </c>
      <c r="P581" s="22" t="n">
        <f aca="false">ROUND((O581-C581)*86400,0)</f>
        <v>2320</v>
      </c>
      <c r="Q581" s="22" t="str">
        <f aca="false">IF(P581&lt;10,"a) &lt;10s",IF(P581&lt;60,"b) 10-60s",IF(P581&lt;600,"c) 1-10min","d) &gt;10min")))</f>
        <v>d) &gt;10min</v>
      </c>
      <c r="R581" s="38" t="n">
        <v>1937.59</v>
      </c>
      <c r="S581" s="38" t="n">
        <v>1937.62</v>
      </c>
      <c r="T581" s="22" t="s">
        <v>189</v>
      </c>
      <c r="U581" s="39" t="n">
        <f aca="false">IF(R581="","",IF(F581="BUY",R581-S581,S581-R581))</f>
        <v>0.0299999999999727</v>
      </c>
      <c r="V581" s="39" t="n">
        <f aca="false">IF(F581="BUY",S581-J581,J581-S581)</f>
        <v>0.470000000000027</v>
      </c>
      <c r="W581" s="6" t="n">
        <v>2.35</v>
      </c>
      <c r="X581" s="26" t="n">
        <f aca="false">IFERROR(W581/N581,0)</f>
        <v>0.0783333333333333</v>
      </c>
      <c r="Y581" s="22" t="str">
        <f aca="false">IF(W581&gt;0,"Win",IF(W581&lt;0,"Loss","Flat"))</f>
        <v>Win</v>
      </c>
      <c r="Z581" s="24" t="n">
        <f aca="false">Summary!$C$5+SUM(W$2:W581)</f>
        <v>3036.7</v>
      </c>
      <c r="AA581" s="24" t="n">
        <f aca="false">MAX(AA580,Z581)</f>
        <v>5000</v>
      </c>
      <c r="AB581" s="24" t="n">
        <f aca="false">AA581-Z581</f>
        <v>1963.3</v>
      </c>
      <c r="AC581" s="23" t="n">
        <f aca="false">IFERROR(AB581/AA581,0)</f>
        <v>0.39266</v>
      </c>
      <c r="AD581" s="22" t="s">
        <v>818</v>
      </c>
    </row>
    <row r="582" customFormat="false" ht="15" hidden="false" customHeight="false" outlineLevel="0" collapsed="false">
      <c r="A582" s="22" t="n">
        <v>581</v>
      </c>
      <c r="B582" s="22" t="s">
        <v>137</v>
      </c>
      <c r="C582" s="37" t="n">
        <v>45173.3777546296</v>
      </c>
      <c r="D582" s="22" t="s">
        <v>202</v>
      </c>
      <c r="E582" s="22" t="n">
        <v>9</v>
      </c>
      <c r="F582" s="22" t="s">
        <v>181</v>
      </c>
      <c r="G582" s="22" t="s">
        <v>235</v>
      </c>
      <c r="H582" s="22" t="n">
        <v>0.05</v>
      </c>
      <c r="I582" s="38" t="n">
        <v>1945.68</v>
      </c>
      <c r="J582" s="38" t="n">
        <v>1945.73</v>
      </c>
      <c r="K582" s="39" t="n">
        <f aca="false">IF(F582="BUY",J582-I582,I582-J582)</f>
        <v>0.0499999999999545</v>
      </c>
      <c r="L582" s="38" t="n">
        <v>1939.68</v>
      </c>
      <c r="M582" s="39" t="n">
        <f aca="false">ABS(I582-L582)</f>
        <v>6</v>
      </c>
      <c r="N582" s="24" t="n">
        <f aca="false">M582*H582*Summary!$C$6</f>
        <v>30</v>
      </c>
      <c r="O582" s="37" t="n">
        <v>45173.6668402778</v>
      </c>
      <c r="P582" s="22" t="n">
        <f aca="false">ROUND((O582-C582)*86400,0)</f>
        <v>24977</v>
      </c>
      <c r="Q582" s="22" t="str">
        <f aca="false">IF(P582&lt;10,"a) &lt;10s",IF(P582&lt;60,"b) 10-60s",IF(P582&lt;600,"c) 1-10min","d) &gt;10min")))</f>
        <v>d) &gt;10min</v>
      </c>
      <c r="R582" s="38" t="n">
        <v>1939.68</v>
      </c>
      <c r="S582" s="38" t="n">
        <v>1939.65</v>
      </c>
      <c r="T582" s="22" t="s">
        <v>188</v>
      </c>
      <c r="U582" s="39" t="n">
        <f aca="false">IF(R582="","",IF(F582="BUY",R582-S582,S582-R582))</f>
        <v>0.0299999999999727</v>
      </c>
      <c r="V582" s="39" t="n">
        <f aca="false">IF(F582="BUY",S582-J582,J582-S582)</f>
        <v>-6.07999999999993</v>
      </c>
      <c r="W582" s="6" t="n">
        <v>-30.4</v>
      </c>
      <c r="X582" s="26" t="n">
        <f aca="false">IFERROR(W582/N582,0)</f>
        <v>-1.01333333333333</v>
      </c>
      <c r="Y582" s="22" t="str">
        <f aca="false">IF(W582&gt;0,"Win",IF(W582&lt;0,"Loss","Flat"))</f>
        <v>Loss</v>
      </c>
      <c r="Z582" s="24" t="n">
        <f aca="false">Summary!$C$5+SUM(W$2:W582)</f>
        <v>3006.3</v>
      </c>
      <c r="AA582" s="24" t="n">
        <f aca="false">MAX(AA581,Z582)</f>
        <v>5000</v>
      </c>
      <c r="AB582" s="24" t="n">
        <f aca="false">AA582-Z582</f>
        <v>1993.7</v>
      </c>
      <c r="AC582" s="23" t="n">
        <f aca="false">IFERROR(AB582/AA582,0)</f>
        <v>0.39874</v>
      </c>
      <c r="AD582" s="22" t="s">
        <v>819</v>
      </c>
    </row>
    <row r="583" customFormat="false" ht="15" hidden="false" customHeight="false" outlineLevel="0" collapsed="false">
      <c r="A583" s="22" t="n">
        <v>582</v>
      </c>
      <c r="B583" s="22" t="s">
        <v>137</v>
      </c>
      <c r="C583" s="37" t="n">
        <v>45174.2000231482</v>
      </c>
      <c r="D583" s="22" t="s">
        <v>203</v>
      </c>
      <c r="E583" s="22" t="n">
        <v>4</v>
      </c>
      <c r="F583" s="22" t="s">
        <v>182</v>
      </c>
      <c r="G583" s="22" t="s">
        <v>237</v>
      </c>
      <c r="H583" s="22" t="n">
        <v>0.05</v>
      </c>
      <c r="I583" s="38" t="n">
        <v>1936.68</v>
      </c>
      <c r="J583" s="38" t="n">
        <v>1936.64</v>
      </c>
      <c r="K583" s="39" t="n">
        <f aca="false">IF(F583="BUY",J583-I583,I583-J583)</f>
        <v>0.0399999999999636</v>
      </c>
      <c r="L583" s="38" t="n">
        <v>1942.68</v>
      </c>
      <c r="M583" s="39" t="n">
        <f aca="false">ABS(I583-L583)</f>
        <v>6</v>
      </c>
      <c r="N583" s="24" t="n">
        <f aca="false">M583*H583*Summary!$C$6</f>
        <v>30</v>
      </c>
      <c r="O583" s="37" t="n">
        <v>45174.9270949074</v>
      </c>
      <c r="P583" s="22" t="n">
        <f aca="false">ROUND((O583-C583)*86400,0)</f>
        <v>62819</v>
      </c>
      <c r="Q583" s="22" t="str">
        <f aca="false">IF(P583&lt;10,"a) &lt;10s",IF(P583&lt;60,"b) 10-60s",IF(P583&lt;600,"c) 1-10min","d) &gt;10min")))</f>
        <v>d) &gt;10min</v>
      </c>
      <c r="R583" s="38"/>
      <c r="S583" s="38" t="n">
        <v>1926.07</v>
      </c>
      <c r="T583" s="22" t="s">
        <v>191</v>
      </c>
      <c r="U583" s="39" t="str">
        <f aca="false">IF(R583="","",IF(F583="BUY",R583-S583,S583-R583))</f>
        <v/>
      </c>
      <c r="V583" s="39" t="n">
        <f aca="false">IF(F583="BUY",S583-J583,J583-S583)</f>
        <v>10.5700000000002</v>
      </c>
      <c r="W583" s="6" t="n">
        <v>52.85</v>
      </c>
      <c r="X583" s="26" t="n">
        <f aca="false">IFERROR(W583/N583,0)</f>
        <v>1.76166666666667</v>
      </c>
      <c r="Y583" s="22" t="str">
        <f aca="false">IF(W583&gt;0,"Win",IF(W583&lt;0,"Loss","Flat"))</f>
        <v>Win</v>
      </c>
      <c r="Z583" s="24" t="n">
        <f aca="false">Summary!$C$5+SUM(W$2:W583)</f>
        <v>3059.15</v>
      </c>
      <c r="AA583" s="24" t="n">
        <f aca="false">MAX(AA582,Z583)</f>
        <v>5000</v>
      </c>
      <c r="AB583" s="24" t="n">
        <f aca="false">AA583-Z583</f>
        <v>1940.85</v>
      </c>
      <c r="AC583" s="23" t="n">
        <f aca="false">IFERROR(AB583/AA583,0)</f>
        <v>0.38817</v>
      </c>
      <c r="AD583" s="22" t="s">
        <v>820</v>
      </c>
    </row>
    <row r="584" customFormat="false" ht="15" hidden="false" customHeight="false" outlineLevel="0" collapsed="false">
      <c r="A584" s="22" t="n">
        <v>583</v>
      </c>
      <c r="B584" s="22" t="s">
        <v>137</v>
      </c>
      <c r="C584" s="37" t="n">
        <v>45175.1577430556</v>
      </c>
      <c r="D584" s="22" t="s">
        <v>204</v>
      </c>
      <c r="E584" s="22" t="n">
        <v>3</v>
      </c>
      <c r="F584" s="22" t="s">
        <v>182</v>
      </c>
      <c r="G584" s="22" t="s">
        <v>237</v>
      </c>
      <c r="H584" s="22" t="n">
        <v>0.05</v>
      </c>
      <c r="I584" s="38" t="n">
        <v>1925.21</v>
      </c>
      <c r="J584" s="38" t="n">
        <v>1925.15</v>
      </c>
      <c r="K584" s="39" t="n">
        <f aca="false">IF(F584="BUY",J584-I584,I584-J584)</f>
        <v>0.0599999999999454</v>
      </c>
      <c r="L584" s="38" t="n">
        <v>1931.21</v>
      </c>
      <c r="M584" s="39" t="n">
        <f aca="false">ABS(I584-L584)</f>
        <v>6</v>
      </c>
      <c r="N584" s="24" t="n">
        <f aca="false">M584*H584*Summary!$C$6</f>
        <v>30</v>
      </c>
      <c r="O584" s="37" t="n">
        <v>45175.4928703704</v>
      </c>
      <c r="P584" s="22" t="n">
        <f aca="false">ROUND((O584-C584)*86400,0)</f>
        <v>28955</v>
      </c>
      <c r="Q584" s="22" t="str">
        <f aca="false">IF(P584&lt;10,"a) &lt;10s",IF(P584&lt;60,"b) 10-60s",IF(P584&lt;600,"c) 1-10min","d) &gt;10min")))</f>
        <v>d) &gt;10min</v>
      </c>
      <c r="R584" s="38" t="n">
        <v>1924.65</v>
      </c>
      <c r="S584" s="38" t="n">
        <v>1924.66</v>
      </c>
      <c r="T584" s="22" t="s">
        <v>189</v>
      </c>
      <c r="U584" s="39" t="n">
        <f aca="false">IF(R584="","",IF(F584="BUY",R584-S584,S584-R584))</f>
        <v>0.00999999999999091</v>
      </c>
      <c r="V584" s="39" t="n">
        <f aca="false">IF(F584="BUY",S584-J584,J584-S584)</f>
        <v>0.490000000000009</v>
      </c>
      <c r="W584" s="6" t="n">
        <v>2.45</v>
      </c>
      <c r="X584" s="26" t="n">
        <f aca="false">IFERROR(W584/N584,0)</f>
        <v>0.0816666666666667</v>
      </c>
      <c r="Y584" s="22" t="str">
        <f aca="false">IF(W584&gt;0,"Win",IF(W584&lt;0,"Loss","Flat"))</f>
        <v>Win</v>
      </c>
      <c r="Z584" s="24" t="n">
        <f aca="false">Summary!$C$5+SUM(W$2:W584)</f>
        <v>3061.6</v>
      </c>
      <c r="AA584" s="24" t="n">
        <f aca="false">MAX(AA583,Z584)</f>
        <v>5000</v>
      </c>
      <c r="AB584" s="24" t="n">
        <f aca="false">AA584-Z584</f>
        <v>1938.4</v>
      </c>
      <c r="AC584" s="23" t="n">
        <f aca="false">IFERROR(AB584/AA584,0)</f>
        <v>0.38768</v>
      </c>
      <c r="AD584" s="22" t="s">
        <v>821</v>
      </c>
    </row>
    <row r="585" customFormat="false" ht="15" hidden="false" customHeight="false" outlineLevel="0" collapsed="false">
      <c r="A585" s="22" t="n">
        <v>584</v>
      </c>
      <c r="B585" s="22" t="s">
        <v>137</v>
      </c>
      <c r="C585" s="37" t="n">
        <v>45175.7039699074</v>
      </c>
      <c r="D585" s="22" t="s">
        <v>204</v>
      </c>
      <c r="E585" s="22" t="n">
        <v>16</v>
      </c>
      <c r="F585" s="22" t="s">
        <v>181</v>
      </c>
      <c r="G585" s="22" t="s">
        <v>235</v>
      </c>
      <c r="H585" s="22" t="n">
        <v>0.05</v>
      </c>
      <c r="I585" s="38" t="n">
        <v>1928.38</v>
      </c>
      <c r="J585" s="38" t="n">
        <v>1928.38</v>
      </c>
      <c r="K585" s="39" t="n">
        <f aca="false">IF(F585="BUY",J585-I585,I585-J585)</f>
        <v>0</v>
      </c>
      <c r="L585" s="38" t="n">
        <v>1922.38</v>
      </c>
      <c r="M585" s="39" t="n">
        <f aca="false">ABS(I585-L585)</f>
        <v>6</v>
      </c>
      <c r="N585" s="24" t="n">
        <f aca="false">M585*H585*Summary!$C$6</f>
        <v>30</v>
      </c>
      <c r="O585" s="37" t="n">
        <v>45175.7084143519</v>
      </c>
      <c r="P585" s="22" t="n">
        <f aca="false">ROUND((O585-C585)*86400,0)</f>
        <v>384</v>
      </c>
      <c r="Q585" s="22" t="str">
        <f aca="false">IF(P585&lt;10,"a) &lt;10s",IF(P585&lt;60,"b) 10-60s",IF(P585&lt;600,"c) 1-10min","d) &gt;10min")))</f>
        <v>c) 1-10min</v>
      </c>
      <c r="R585" s="38" t="n">
        <v>1922.38</v>
      </c>
      <c r="S585" s="38" t="n">
        <v>1922.2</v>
      </c>
      <c r="T585" s="22" t="s">
        <v>188</v>
      </c>
      <c r="U585" s="39" t="n">
        <f aca="false">IF(R585="","",IF(F585="BUY",R585-S585,S585-R585))</f>
        <v>0.180000000000064</v>
      </c>
      <c r="V585" s="39" t="n">
        <f aca="false">IF(F585="BUY",S585-J585,J585-S585)</f>
        <v>-6.18000000000006</v>
      </c>
      <c r="W585" s="6" t="n">
        <v>-30.9</v>
      </c>
      <c r="X585" s="26" t="n">
        <f aca="false">IFERROR(W585/N585,0)</f>
        <v>-1.03</v>
      </c>
      <c r="Y585" s="22" t="str">
        <f aca="false">IF(W585&gt;0,"Win",IF(W585&lt;0,"Loss","Flat"))</f>
        <v>Loss</v>
      </c>
      <c r="Z585" s="24" t="n">
        <f aca="false">Summary!$C$5+SUM(W$2:W585)</f>
        <v>3030.7</v>
      </c>
      <c r="AA585" s="24" t="n">
        <f aca="false">MAX(AA584,Z585)</f>
        <v>5000</v>
      </c>
      <c r="AB585" s="24" t="n">
        <f aca="false">AA585-Z585</f>
        <v>1969.3</v>
      </c>
      <c r="AC585" s="23" t="n">
        <f aca="false">IFERROR(AB585/AA585,0)</f>
        <v>0.39386</v>
      </c>
      <c r="AD585" s="22" t="s">
        <v>822</v>
      </c>
    </row>
    <row r="586" customFormat="false" ht="15" hidden="false" customHeight="false" outlineLevel="0" collapsed="false">
      <c r="A586" s="22" t="n">
        <v>585</v>
      </c>
      <c r="B586" s="22" t="s">
        <v>137</v>
      </c>
      <c r="C586" s="37" t="n">
        <v>45176.4322569444</v>
      </c>
      <c r="D586" s="22" t="s">
        <v>205</v>
      </c>
      <c r="E586" s="22" t="n">
        <v>10</v>
      </c>
      <c r="F586" s="22" t="s">
        <v>182</v>
      </c>
      <c r="G586" s="22" t="s">
        <v>241</v>
      </c>
      <c r="H586" s="22" t="n">
        <v>0.05</v>
      </c>
      <c r="I586" s="38" t="n">
        <v>1917.3</v>
      </c>
      <c r="J586" s="38" t="n">
        <v>1917.28</v>
      </c>
      <c r="K586" s="39" t="n">
        <f aca="false">IF(F586="BUY",J586-I586,I586-J586)</f>
        <v>0.0199999999999818</v>
      </c>
      <c r="L586" s="38" t="n">
        <v>1923.3</v>
      </c>
      <c r="M586" s="39" t="n">
        <f aca="false">ABS(I586-L586)</f>
        <v>6</v>
      </c>
      <c r="N586" s="24" t="n">
        <f aca="false">M586*H586*Summary!$C$6</f>
        <v>30</v>
      </c>
      <c r="O586" s="37" t="n">
        <v>45176.6295023148</v>
      </c>
      <c r="P586" s="22" t="n">
        <f aca="false">ROUND((O586-C586)*86400,0)</f>
        <v>17042</v>
      </c>
      <c r="Q586" s="22" t="str">
        <f aca="false">IF(P586&lt;10,"a) &lt;10s",IF(P586&lt;60,"b) 10-60s",IF(P586&lt;600,"c) 1-10min","d) &gt;10min")))</f>
        <v>d) &gt;10min</v>
      </c>
      <c r="R586" s="38" t="n">
        <v>1923.3</v>
      </c>
      <c r="S586" s="38" t="n">
        <v>1923.33</v>
      </c>
      <c r="T586" s="22" t="s">
        <v>188</v>
      </c>
      <c r="U586" s="39" t="n">
        <f aca="false">IF(R586="","",IF(F586="BUY",R586-S586,S586-R586))</f>
        <v>0.0299999999999727</v>
      </c>
      <c r="V586" s="39" t="n">
        <f aca="false">IF(F586="BUY",S586-J586,J586-S586)</f>
        <v>-6.04999999999995</v>
      </c>
      <c r="W586" s="6" t="n">
        <v>-30.25</v>
      </c>
      <c r="X586" s="26" t="n">
        <f aca="false">IFERROR(W586/N586,0)</f>
        <v>-1.00833333333333</v>
      </c>
      <c r="Y586" s="22" t="str">
        <f aca="false">IF(W586&gt;0,"Win",IF(W586&lt;0,"Loss","Flat"))</f>
        <v>Loss</v>
      </c>
      <c r="Z586" s="24" t="n">
        <f aca="false">Summary!$C$5+SUM(W$2:W586)</f>
        <v>3000.45</v>
      </c>
      <c r="AA586" s="24" t="n">
        <f aca="false">MAX(AA585,Z586)</f>
        <v>5000</v>
      </c>
      <c r="AB586" s="24" t="n">
        <f aca="false">AA586-Z586</f>
        <v>1999.55</v>
      </c>
      <c r="AC586" s="23" t="n">
        <f aca="false">IFERROR(AB586/AA586,0)</f>
        <v>0.39991</v>
      </c>
      <c r="AD586" s="22" t="s">
        <v>823</v>
      </c>
    </row>
    <row r="587" customFormat="false" ht="15" hidden="false" customHeight="false" outlineLevel="0" collapsed="false">
      <c r="A587" s="22" t="n">
        <v>586</v>
      </c>
      <c r="B587" s="22" t="s">
        <v>137</v>
      </c>
      <c r="C587" s="37" t="n">
        <v>45177.1501388889</v>
      </c>
      <c r="D587" s="22" t="s">
        <v>206</v>
      </c>
      <c r="E587" s="22" t="n">
        <v>3</v>
      </c>
      <c r="F587" s="22" t="s">
        <v>181</v>
      </c>
      <c r="G587" s="22" t="s">
        <v>243</v>
      </c>
      <c r="H587" s="22" t="n">
        <v>0.05</v>
      </c>
      <c r="I587" s="38" t="n">
        <v>1923.5</v>
      </c>
      <c r="J587" s="38" t="n">
        <v>1923.5</v>
      </c>
      <c r="K587" s="39" t="n">
        <f aca="false">IF(F587="BUY",J587-I587,I587-J587)</f>
        <v>0</v>
      </c>
      <c r="L587" s="38" t="n">
        <v>1917.5</v>
      </c>
      <c r="M587" s="39" t="n">
        <f aca="false">ABS(I587-L587)</f>
        <v>6</v>
      </c>
      <c r="N587" s="24" t="n">
        <f aca="false">M587*H587*Summary!$C$6</f>
        <v>30</v>
      </c>
      <c r="O587" s="37" t="n">
        <v>45177.4393634259</v>
      </c>
      <c r="P587" s="22" t="n">
        <f aca="false">ROUND((O587-C587)*86400,0)</f>
        <v>24989</v>
      </c>
      <c r="Q587" s="22" t="str">
        <f aca="false">IF(P587&lt;10,"a) &lt;10s",IF(P587&lt;60,"b) 10-60s",IF(P587&lt;600,"c) 1-10min","d) &gt;10min")))</f>
        <v>d) &gt;10min</v>
      </c>
      <c r="R587" s="38" t="n">
        <v>1924</v>
      </c>
      <c r="S587" s="38" t="n">
        <v>1923.89</v>
      </c>
      <c r="T587" s="22" t="s">
        <v>189</v>
      </c>
      <c r="U587" s="39" t="n">
        <f aca="false">IF(R587="","",IF(F587="BUY",R587-S587,S587-R587))</f>
        <v>0.1099999999999</v>
      </c>
      <c r="V587" s="39" t="n">
        <f aca="false">IF(F587="BUY",S587-J587,J587-S587)</f>
        <v>0.3900000000001</v>
      </c>
      <c r="W587" s="6" t="n">
        <v>1.95</v>
      </c>
      <c r="X587" s="26" t="n">
        <f aca="false">IFERROR(W587/N587,0)</f>
        <v>0.065</v>
      </c>
      <c r="Y587" s="22" t="str">
        <f aca="false">IF(W587&gt;0,"Win",IF(W587&lt;0,"Loss","Flat"))</f>
        <v>Win</v>
      </c>
      <c r="Z587" s="24" t="n">
        <f aca="false">Summary!$C$5+SUM(W$2:W587)</f>
        <v>3002.4</v>
      </c>
      <c r="AA587" s="24" t="n">
        <f aca="false">MAX(AA586,Z587)</f>
        <v>5000</v>
      </c>
      <c r="AB587" s="24" t="n">
        <f aca="false">AA587-Z587</f>
        <v>1997.6</v>
      </c>
      <c r="AC587" s="23" t="n">
        <f aca="false">IFERROR(AB587/AA587,0)</f>
        <v>0.39952</v>
      </c>
      <c r="AD587" s="22" t="s">
        <v>824</v>
      </c>
    </row>
    <row r="588" customFormat="false" ht="15" hidden="false" customHeight="false" outlineLevel="0" collapsed="false">
      <c r="A588" s="22" t="n">
        <v>587</v>
      </c>
      <c r="B588" s="22" t="s">
        <v>137</v>
      </c>
      <c r="C588" s="37" t="n">
        <v>45180.0866666667</v>
      </c>
      <c r="D588" s="22" t="s">
        <v>202</v>
      </c>
      <c r="E588" s="22" t="n">
        <v>2</v>
      </c>
      <c r="F588" s="22" t="s">
        <v>182</v>
      </c>
      <c r="G588" s="22" t="s">
        <v>237</v>
      </c>
      <c r="H588" s="22" t="n">
        <v>0.05</v>
      </c>
      <c r="I588" s="38" t="n">
        <v>1917.23</v>
      </c>
      <c r="J588" s="38" t="n">
        <v>1917.04</v>
      </c>
      <c r="K588" s="39" t="n">
        <f aca="false">IF(F588="BUY",J588-I588,I588-J588)</f>
        <v>0.190000000000055</v>
      </c>
      <c r="L588" s="38" t="n">
        <v>1923.23</v>
      </c>
      <c r="M588" s="39" t="n">
        <f aca="false">ABS(I588-L588)</f>
        <v>6</v>
      </c>
      <c r="N588" s="24" t="n">
        <f aca="false">M588*H588*Summary!$C$6</f>
        <v>30</v>
      </c>
      <c r="O588" s="37" t="n">
        <v>45180.2000231482</v>
      </c>
      <c r="P588" s="22" t="n">
        <f aca="false">ROUND((O588-C588)*86400,0)</f>
        <v>9794</v>
      </c>
      <c r="Q588" s="22" t="str">
        <f aca="false">IF(P588&lt;10,"a) &lt;10s",IF(P588&lt;60,"b) 10-60s",IF(P588&lt;600,"c) 1-10min","d) &gt;10min")))</f>
        <v>d) &gt;10min</v>
      </c>
      <c r="R588" s="38" t="n">
        <v>1923.23</v>
      </c>
      <c r="S588" s="38" t="n">
        <v>1923.23</v>
      </c>
      <c r="T588" s="22" t="s">
        <v>188</v>
      </c>
      <c r="U588" s="39" t="n">
        <f aca="false">IF(R588="","",IF(F588="BUY",R588-S588,S588-R588))</f>
        <v>0</v>
      </c>
      <c r="V588" s="39" t="n">
        <f aca="false">IF(F588="BUY",S588-J588,J588-S588)</f>
        <v>-6.19000000000006</v>
      </c>
      <c r="W588" s="6" t="n">
        <v>-30.95</v>
      </c>
      <c r="X588" s="26" t="n">
        <f aca="false">IFERROR(W588/N588,0)</f>
        <v>-1.03166666666667</v>
      </c>
      <c r="Y588" s="22" t="str">
        <f aca="false">IF(W588&gt;0,"Win",IF(W588&lt;0,"Loss","Flat"))</f>
        <v>Loss</v>
      </c>
      <c r="Z588" s="24" t="n">
        <f aca="false">Summary!$C$5+SUM(W$2:W588)</f>
        <v>2971.45</v>
      </c>
      <c r="AA588" s="24" t="n">
        <f aca="false">MAX(AA587,Z588)</f>
        <v>5000</v>
      </c>
      <c r="AB588" s="24" t="n">
        <f aca="false">AA588-Z588</f>
        <v>2028.55</v>
      </c>
      <c r="AC588" s="23" t="n">
        <f aca="false">IFERROR(AB588/AA588,0)</f>
        <v>0.40571</v>
      </c>
      <c r="AD588" s="22" t="s">
        <v>825</v>
      </c>
    </row>
    <row r="589" customFormat="false" ht="15" hidden="false" customHeight="false" outlineLevel="0" collapsed="false">
      <c r="A589" s="22" t="n">
        <v>588</v>
      </c>
      <c r="B589" s="22" t="s">
        <v>137</v>
      </c>
      <c r="C589" s="37" t="n">
        <v>45180.3751736111</v>
      </c>
      <c r="D589" s="22" t="s">
        <v>202</v>
      </c>
      <c r="E589" s="22" t="n">
        <v>9</v>
      </c>
      <c r="F589" s="22" t="s">
        <v>181</v>
      </c>
      <c r="G589" s="22" t="s">
        <v>235</v>
      </c>
      <c r="H589" s="22" t="n">
        <v>0.04</v>
      </c>
      <c r="I589" s="38" t="n">
        <v>1927.97</v>
      </c>
      <c r="J589" s="38" t="n">
        <v>1927.99</v>
      </c>
      <c r="K589" s="39" t="n">
        <f aca="false">IF(F589="BUY",J589-I589,I589-J589)</f>
        <v>0.0199999999999818</v>
      </c>
      <c r="L589" s="38" t="n">
        <v>1921.97</v>
      </c>
      <c r="M589" s="39" t="n">
        <f aca="false">ABS(I589-L589)</f>
        <v>6</v>
      </c>
      <c r="N589" s="24" t="n">
        <f aca="false">M589*H589*Summary!$C$6</f>
        <v>24</v>
      </c>
      <c r="O589" s="37" t="n">
        <v>45180.4321875</v>
      </c>
      <c r="P589" s="22" t="n">
        <f aca="false">ROUND((O589-C589)*86400,0)</f>
        <v>4926</v>
      </c>
      <c r="Q589" s="22" t="str">
        <f aca="false">IF(P589&lt;10,"a) &lt;10s",IF(P589&lt;60,"b) 10-60s",IF(P589&lt;600,"c) 1-10min","d) &gt;10min")))</f>
        <v>d) &gt;10min</v>
      </c>
      <c r="R589" s="38" t="n">
        <v>1928.49</v>
      </c>
      <c r="S589" s="38" t="n">
        <v>1928.46</v>
      </c>
      <c r="T589" s="22" t="s">
        <v>189</v>
      </c>
      <c r="U589" s="39" t="n">
        <f aca="false">IF(R589="","",IF(F589="BUY",R589-S589,S589-R589))</f>
        <v>0.0299999999999727</v>
      </c>
      <c r="V589" s="39" t="n">
        <f aca="false">IF(F589="BUY",S589-J589,J589-S589)</f>
        <v>0.470000000000027</v>
      </c>
      <c r="W589" s="6" t="n">
        <v>1.88</v>
      </c>
      <c r="X589" s="26" t="n">
        <f aca="false">IFERROR(W589/N589,0)</f>
        <v>0.0783333333333333</v>
      </c>
      <c r="Y589" s="22" t="str">
        <f aca="false">IF(W589&gt;0,"Win",IF(W589&lt;0,"Loss","Flat"))</f>
        <v>Win</v>
      </c>
      <c r="Z589" s="24" t="n">
        <f aca="false">Summary!$C$5+SUM(W$2:W589)</f>
        <v>2973.33</v>
      </c>
      <c r="AA589" s="24" t="n">
        <f aca="false">MAX(AA588,Z589)</f>
        <v>5000</v>
      </c>
      <c r="AB589" s="24" t="n">
        <f aca="false">AA589-Z589</f>
        <v>2026.67</v>
      </c>
      <c r="AC589" s="23" t="n">
        <f aca="false">IFERROR(AB589/AA589,0)</f>
        <v>0.405334</v>
      </c>
      <c r="AD589" s="22" t="s">
        <v>826</v>
      </c>
    </row>
    <row r="590" customFormat="false" ht="15" hidden="false" customHeight="false" outlineLevel="0" collapsed="false">
      <c r="A590" s="22" t="n">
        <v>589</v>
      </c>
      <c r="B590" s="22" t="s">
        <v>137</v>
      </c>
      <c r="C590" s="37" t="n">
        <v>45181.3757523148</v>
      </c>
      <c r="D590" s="22" t="s">
        <v>203</v>
      </c>
      <c r="E590" s="22" t="n">
        <v>9</v>
      </c>
      <c r="F590" s="22" t="s">
        <v>182</v>
      </c>
      <c r="G590" s="22" t="s">
        <v>241</v>
      </c>
      <c r="H590" s="22" t="n">
        <v>0.04</v>
      </c>
      <c r="I590" s="38" t="n">
        <v>1919.84</v>
      </c>
      <c r="J590" s="38" t="n">
        <v>1919.84</v>
      </c>
      <c r="K590" s="39" t="n">
        <f aca="false">IF(F590="BUY",J590-I590,I590-J590)</f>
        <v>0</v>
      </c>
      <c r="L590" s="38" t="n">
        <v>1925.84</v>
      </c>
      <c r="M590" s="39" t="n">
        <f aca="false">ABS(I590-L590)</f>
        <v>6</v>
      </c>
      <c r="N590" s="24" t="n">
        <f aca="false">M590*H590*Summary!$C$6</f>
        <v>24</v>
      </c>
      <c r="O590" s="37" t="n">
        <v>45181.9270949074</v>
      </c>
      <c r="P590" s="22" t="n">
        <f aca="false">ROUND((O590-C590)*86400,0)</f>
        <v>47636</v>
      </c>
      <c r="Q590" s="22" t="str">
        <f aca="false">IF(P590&lt;10,"a) &lt;10s",IF(P590&lt;60,"b) 10-60s",IF(P590&lt;600,"c) 1-10min","d) &gt;10min")))</f>
        <v>d) &gt;10min</v>
      </c>
      <c r="R590" s="38"/>
      <c r="S590" s="38" t="n">
        <v>1913.35</v>
      </c>
      <c r="T590" s="22" t="s">
        <v>191</v>
      </c>
      <c r="U590" s="39" t="str">
        <f aca="false">IF(R590="","",IF(F590="BUY",R590-S590,S590-R590))</f>
        <v/>
      </c>
      <c r="V590" s="39" t="n">
        <f aca="false">IF(F590="BUY",S590-J590,J590-S590)</f>
        <v>6.49000000000001</v>
      </c>
      <c r="W590" s="6" t="n">
        <v>25.96</v>
      </c>
      <c r="X590" s="26" t="n">
        <f aca="false">IFERROR(W590/N590,0)</f>
        <v>1.08166666666667</v>
      </c>
      <c r="Y590" s="22" t="str">
        <f aca="false">IF(W590&gt;0,"Win",IF(W590&lt;0,"Loss","Flat"))</f>
        <v>Win</v>
      </c>
      <c r="Z590" s="24" t="n">
        <f aca="false">Summary!$C$5+SUM(W$2:W590)</f>
        <v>2999.29</v>
      </c>
      <c r="AA590" s="24" t="n">
        <f aca="false">MAX(AA589,Z590)</f>
        <v>5000</v>
      </c>
      <c r="AB590" s="24" t="n">
        <f aca="false">AA590-Z590</f>
        <v>2000.71</v>
      </c>
      <c r="AC590" s="23" t="n">
        <f aca="false">IFERROR(AB590/AA590,0)</f>
        <v>0.400142</v>
      </c>
      <c r="AD590" s="22" t="s">
        <v>827</v>
      </c>
    </row>
    <row r="591" customFormat="false" ht="15" hidden="false" customHeight="false" outlineLevel="0" collapsed="false">
      <c r="A591" s="22" t="n">
        <v>590</v>
      </c>
      <c r="B591" s="22" t="s">
        <v>137</v>
      </c>
      <c r="C591" s="37" t="n">
        <v>45182.3873958333</v>
      </c>
      <c r="D591" s="22" t="s">
        <v>204</v>
      </c>
      <c r="E591" s="22" t="n">
        <v>9</v>
      </c>
      <c r="F591" s="22" t="s">
        <v>182</v>
      </c>
      <c r="G591" s="22" t="s">
        <v>241</v>
      </c>
      <c r="H591" s="22" t="n">
        <v>0.04</v>
      </c>
      <c r="I591" s="38" t="n">
        <v>1909.16</v>
      </c>
      <c r="J591" s="38" t="n">
        <v>1909.16</v>
      </c>
      <c r="K591" s="39" t="n">
        <f aca="false">IF(F591="BUY",J591-I591,I591-J591)</f>
        <v>0</v>
      </c>
      <c r="L591" s="38" t="n">
        <v>1915.16</v>
      </c>
      <c r="M591" s="39" t="n">
        <f aca="false">ABS(I591-L591)</f>
        <v>6</v>
      </c>
      <c r="N591" s="24" t="n">
        <f aca="false">M591*H591*Summary!$C$6</f>
        <v>24</v>
      </c>
      <c r="O591" s="37" t="n">
        <v>45182.6459027778</v>
      </c>
      <c r="P591" s="22" t="n">
        <f aca="false">ROUND((O591-C591)*86400,0)</f>
        <v>22335</v>
      </c>
      <c r="Q591" s="22" t="str">
        <f aca="false">IF(P591&lt;10,"a) &lt;10s",IF(P591&lt;60,"b) 10-60s",IF(P591&lt;600,"c) 1-10min","d) &gt;10min")))</f>
        <v>d) &gt;10min</v>
      </c>
      <c r="R591" s="38" t="n">
        <v>1908.66</v>
      </c>
      <c r="S591" s="38" t="n">
        <v>1908.8</v>
      </c>
      <c r="T591" s="22" t="s">
        <v>189</v>
      </c>
      <c r="U591" s="39" t="n">
        <f aca="false">IF(R591="","",IF(F591="BUY",R591-S591,S591-R591))</f>
        <v>0.139999999999873</v>
      </c>
      <c r="V591" s="39" t="n">
        <f aca="false">IF(F591="BUY",S591-J591,J591-S591)</f>
        <v>0.360000000000127</v>
      </c>
      <c r="W591" s="6" t="n">
        <v>1.44</v>
      </c>
      <c r="X591" s="26" t="n">
        <f aca="false">IFERROR(W591/N591,0)</f>
        <v>0.06</v>
      </c>
      <c r="Y591" s="22" t="str">
        <f aca="false">IF(W591&gt;0,"Win",IF(W591&lt;0,"Loss","Flat"))</f>
        <v>Win</v>
      </c>
      <c r="Z591" s="24" t="n">
        <f aca="false">Summary!$C$5+SUM(W$2:W591)</f>
        <v>3000.73</v>
      </c>
      <c r="AA591" s="24" t="n">
        <f aca="false">MAX(AA590,Z591)</f>
        <v>5000</v>
      </c>
      <c r="AB591" s="24" t="n">
        <f aca="false">AA591-Z591</f>
        <v>1999.27</v>
      </c>
      <c r="AC591" s="23" t="n">
        <f aca="false">IFERROR(AB591/AA591,0)</f>
        <v>0.399854</v>
      </c>
      <c r="AD591" s="22" t="s">
        <v>828</v>
      </c>
    </row>
    <row r="592" customFormat="false" ht="15" hidden="false" customHeight="false" outlineLevel="0" collapsed="false">
      <c r="A592" s="22" t="n">
        <v>591</v>
      </c>
      <c r="B592" s="22" t="s">
        <v>137</v>
      </c>
      <c r="C592" s="37" t="n">
        <v>45183.3752314815</v>
      </c>
      <c r="D592" s="22" t="s">
        <v>205</v>
      </c>
      <c r="E592" s="22" t="n">
        <v>9</v>
      </c>
      <c r="F592" s="22" t="s">
        <v>182</v>
      </c>
      <c r="G592" s="22" t="s">
        <v>241</v>
      </c>
      <c r="H592" s="22" t="n">
        <v>0.05</v>
      </c>
      <c r="I592" s="38" t="n">
        <v>1907.65</v>
      </c>
      <c r="J592" s="38" t="n">
        <v>1907.65</v>
      </c>
      <c r="K592" s="39" t="n">
        <f aca="false">IF(F592="BUY",J592-I592,I592-J592)</f>
        <v>0</v>
      </c>
      <c r="L592" s="38" t="n">
        <v>1913.65</v>
      </c>
      <c r="M592" s="39" t="n">
        <f aca="false">ABS(I592-L592)</f>
        <v>6</v>
      </c>
      <c r="N592" s="24" t="n">
        <f aca="false">M592*H592*Summary!$C$6</f>
        <v>30</v>
      </c>
      <c r="O592" s="37" t="n">
        <v>45183.4859375</v>
      </c>
      <c r="P592" s="22" t="n">
        <f aca="false">ROUND((O592-C592)*86400,0)</f>
        <v>9565</v>
      </c>
      <c r="Q592" s="22" t="str">
        <f aca="false">IF(P592&lt;10,"a) &lt;10s",IF(P592&lt;60,"b) 10-60s",IF(P592&lt;600,"c) 1-10min","d) &gt;10min")))</f>
        <v>d) &gt;10min</v>
      </c>
      <c r="R592" s="38" t="n">
        <v>1907.15</v>
      </c>
      <c r="S592" s="38" t="n">
        <v>1907.16</v>
      </c>
      <c r="T592" s="22" t="s">
        <v>189</v>
      </c>
      <c r="U592" s="39" t="n">
        <f aca="false">IF(R592="","",IF(F592="BUY",R592-S592,S592-R592))</f>
        <v>0.00999999999999091</v>
      </c>
      <c r="V592" s="39" t="n">
        <f aca="false">IF(F592="BUY",S592-J592,J592-S592)</f>
        <v>0.490000000000009</v>
      </c>
      <c r="W592" s="6" t="n">
        <v>2.45</v>
      </c>
      <c r="X592" s="26" t="n">
        <f aca="false">IFERROR(W592/N592,0)</f>
        <v>0.0816666666666667</v>
      </c>
      <c r="Y592" s="22" t="str">
        <f aca="false">IF(W592&gt;0,"Win",IF(W592&lt;0,"Loss","Flat"))</f>
        <v>Win</v>
      </c>
      <c r="Z592" s="24" t="n">
        <f aca="false">Summary!$C$5+SUM(W$2:W592)</f>
        <v>3003.18</v>
      </c>
      <c r="AA592" s="24" t="n">
        <f aca="false">MAX(AA591,Z592)</f>
        <v>5000</v>
      </c>
      <c r="AB592" s="24" t="n">
        <f aca="false">AA592-Z592</f>
        <v>1996.82</v>
      </c>
      <c r="AC592" s="23" t="n">
        <f aca="false">IFERROR(AB592/AA592,0)</f>
        <v>0.399364</v>
      </c>
      <c r="AD592" s="22" t="s">
        <v>829</v>
      </c>
    </row>
    <row r="593" customFormat="false" ht="15" hidden="false" customHeight="false" outlineLevel="0" collapsed="false">
      <c r="A593" s="22" t="n">
        <v>592</v>
      </c>
      <c r="B593" s="22" t="s">
        <v>137</v>
      </c>
      <c r="C593" s="37" t="n">
        <v>45184.1905902778</v>
      </c>
      <c r="D593" s="22" t="s">
        <v>206</v>
      </c>
      <c r="E593" s="22" t="n">
        <v>4</v>
      </c>
      <c r="F593" s="22" t="s">
        <v>181</v>
      </c>
      <c r="G593" s="22" t="s">
        <v>243</v>
      </c>
      <c r="H593" s="22" t="n">
        <v>0.05</v>
      </c>
      <c r="I593" s="38" t="n">
        <v>1912.83</v>
      </c>
      <c r="J593" s="38" t="n">
        <v>1912.86</v>
      </c>
      <c r="K593" s="39" t="n">
        <f aca="false">IF(F593="BUY",J593-I593,I593-J593)</f>
        <v>0.0299999999999727</v>
      </c>
      <c r="L593" s="38" t="n">
        <v>1906.83</v>
      </c>
      <c r="M593" s="39" t="n">
        <f aca="false">ABS(I593-L593)</f>
        <v>6</v>
      </c>
      <c r="N593" s="24" t="n">
        <f aca="false">M593*H593*Summary!$C$6</f>
        <v>30</v>
      </c>
      <c r="O593" s="37" t="n">
        <v>45184.9270833333</v>
      </c>
      <c r="P593" s="22" t="n">
        <f aca="false">ROUND((O593-C593)*86400,0)</f>
        <v>63633</v>
      </c>
      <c r="Q593" s="22" t="str">
        <f aca="false">IF(P593&lt;10,"a) &lt;10s",IF(P593&lt;60,"b) 10-60s",IF(P593&lt;600,"c) 1-10min","d) &gt;10min")))</f>
        <v>d) &gt;10min</v>
      </c>
      <c r="R593" s="38"/>
      <c r="S593" s="38" t="n">
        <v>1924.14</v>
      </c>
      <c r="T593" s="22" t="s">
        <v>191</v>
      </c>
      <c r="U593" s="39" t="str">
        <f aca="false">IF(R593="","",IF(F593="BUY",R593-S593,S593-R593))</f>
        <v/>
      </c>
      <c r="V593" s="39" t="n">
        <f aca="false">IF(F593="BUY",S593-J593,J593-S593)</f>
        <v>11.2800000000002</v>
      </c>
      <c r="W593" s="6" t="n">
        <v>56.4</v>
      </c>
      <c r="X593" s="26" t="n">
        <f aca="false">IFERROR(W593/N593,0)</f>
        <v>1.88</v>
      </c>
      <c r="Y593" s="22" t="str">
        <f aca="false">IF(W593&gt;0,"Win",IF(W593&lt;0,"Loss","Flat"))</f>
        <v>Win</v>
      </c>
      <c r="Z593" s="24" t="n">
        <f aca="false">Summary!$C$5+SUM(W$2:W593)</f>
        <v>3059.58</v>
      </c>
      <c r="AA593" s="24" t="n">
        <f aca="false">MAX(AA592,Z593)</f>
        <v>5000</v>
      </c>
      <c r="AB593" s="24" t="n">
        <f aca="false">AA593-Z593</f>
        <v>1940.42</v>
      </c>
      <c r="AC593" s="23" t="n">
        <f aca="false">IFERROR(AB593/AA593,0)</f>
        <v>0.388084</v>
      </c>
      <c r="AD593" s="22" t="s">
        <v>830</v>
      </c>
    </row>
    <row r="594" customFormat="false" ht="15" hidden="false" customHeight="false" outlineLevel="0" collapsed="false">
      <c r="A594" s="22" t="n">
        <v>593</v>
      </c>
      <c r="B594" s="22" t="s">
        <v>137</v>
      </c>
      <c r="C594" s="37" t="n">
        <v>45187.3684722222</v>
      </c>
      <c r="D594" s="22" t="s">
        <v>202</v>
      </c>
      <c r="E594" s="22" t="n">
        <v>8</v>
      </c>
      <c r="F594" s="22" t="s">
        <v>181</v>
      </c>
      <c r="G594" s="22" t="s">
        <v>243</v>
      </c>
      <c r="H594" s="22" t="n">
        <v>0.05</v>
      </c>
      <c r="I594" s="38" t="n">
        <v>1930.31</v>
      </c>
      <c r="J594" s="38" t="n">
        <v>1930.31</v>
      </c>
      <c r="K594" s="39" t="n">
        <f aca="false">IF(F594="BUY",J594-I594,I594-J594)</f>
        <v>0</v>
      </c>
      <c r="L594" s="38" t="n">
        <v>1924.31</v>
      </c>
      <c r="M594" s="39" t="n">
        <f aca="false">ABS(I594-L594)</f>
        <v>6</v>
      </c>
      <c r="N594" s="24" t="n">
        <f aca="false">M594*H594*Summary!$C$6</f>
        <v>30</v>
      </c>
      <c r="O594" s="37" t="n">
        <v>45187.6609490741</v>
      </c>
      <c r="P594" s="22" t="n">
        <f aca="false">ROUND((O594-C594)*86400,0)</f>
        <v>25270</v>
      </c>
      <c r="Q594" s="22" t="str">
        <f aca="false">IF(P594&lt;10,"a) &lt;10s",IF(P594&lt;60,"b) 10-60s",IF(P594&lt;600,"c) 1-10min","d) &gt;10min")))</f>
        <v>d) &gt;10min</v>
      </c>
      <c r="R594" s="38" t="n">
        <v>1924.31</v>
      </c>
      <c r="S594" s="38" t="n">
        <v>1924.31</v>
      </c>
      <c r="T594" s="22" t="s">
        <v>188</v>
      </c>
      <c r="U594" s="39" t="n">
        <f aca="false">IF(R594="","",IF(F594="BUY",R594-S594,S594-R594))</f>
        <v>0</v>
      </c>
      <c r="V594" s="39" t="n">
        <f aca="false">IF(F594="BUY",S594-J594,J594-S594)</f>
        <v>-6</v>
      </c>
      <c r="W594" s="6" t="n">
        <v>-30</v>
      </c>
      <c r="X594" s="26" t="n">
        <f aca="false">IFERROR(W594/N594,0)</f>
        <v>-1</v>
      </c>
      <c r="Y594" s="22" t="str">
        <f aca="false">IF(W594&gt;0,"Win",IF(W594&lt;0,"Loss","Flat"))</f>
        <v>Loss</v>
      </c>
      <c r="Z594" s="24" t="n">
        <f aca="false">Summary!$C$5+SUM(W$2:W594)</f>
        <v>3029.58</v>
      </c>
      <c r="AA594" s="24" t="n">
        <f aca="false">MAX(AA593,Z594)</f>
        <v>5000</v>
      </c>
      <c r="AB594" s="24" t="n">
        <f aca="false">AA594-Z594</f>
        <v>1970.42</v>
      </c>
      <c r="AC594" s="23" t="n">
        <f aca="false">IFERROR(AB594/AA594,0)</f>
        <v>0.394084</v>
      </c>
      <c r="AD594" s="22" t="s">
        <v>831</v>
      </c>
    </row>
    <row r="595" customFormat="false" ht="15" hidden="false" customHeight="false" outlineLevel="0" collapsed="false">
      <c r="A595" s="22" t="n">
        <v>594</v>
      </c>
      <c r="B595" s="22" t="s">
        <v>137</v>
      </c>
      <c r="C595" s="37" t="n">
        <v>45187.8225462963</v>
      </c>
      <c r="D595" s="22" t="s">
        <v>202</v>
      </c>
      <c r="E595" s="22" t="n">
        <v>19</v>
      </c>
      <c r="F595" s="22" t="s">
        <v>181</v>
      </c>
      <c r="G595" s="22" t="s">
        <v>235</v>
      </c>
      <c r="H595" s="22" t="n">
        <v>0.05</v>
      </c>
      <c r="I595" s="38" t="n">
        <v>1930.58</v>
      </c>
      <c r="J595" s="38" t="n">
        <v>1930.6</v>
      </c>
      <c r="K595" s="39" t="n">
        <f aca="false">IF(F595="BUY",J595-I595,I595-J595)</f>
        <v>0.0199999999999818</v>
      </c>
      <c r="L595" s="38" t="n">
        <v>1924.58</v>
      </c>
      <c r="M595" s="39" t="n">
        <f aca="false">ABS(I595-L595)</f>
        <v>6</v>
      </c>
      <c r="N595" s="24" t="n">
        <f aca="false">M595*H595*Summary!$C$6</f>
        <v>30</v>
      </c>
      <c r="O595" s="37" t="n">
        <v>45187.8821875</v>
      </c>
      <c r="P595" s="22" t="n">
        <f aca="false">ROUND((O595-C595)*86400,0)</f>
        <v>5153</v>
      </c>
      <c r="Q595" s="22" t="str">
        <f aca="false">IF(P595&lt;10,"a) &lt;10s",IF(P595&lt;60,"b) 10-60s",IF(P595&lt;600,"c) 1-10min","d) &gt;10min")))</f>
        <v>d) &gt;10min</v>
      </c>
      <c r="R595" s="38" t="n">
        <v>1931.1</v>
      </c>
      <c r="S595" s="38" t="n">
        <v>1931.1</v>
      </c>
      <c r="T595" s="22" t="s">
        <v>189</v>
      </c>
      <c r="U595" s="39" t="n">
        <f aca="false">IF(R595="","",IF(F595="BUY",R595-S595,S595-R595))</f>
        <v>0</v>
      </c>
      <c r="V595" s="39" t="n">
        <f aca="false">IF(F595="BUY",S595-J595,J595-S595)</f>
        <v>0.5</v>
      </c>
      <c r="W595" s="6" t="n">
        <v>2.5</v>
      </c>
      <c r="X595" s="26" t="n">
        <f aca="false">IFERROR(W595/N595,0)</f>
        <v>0.0833333333333333</v>
      </c>
      <c r="Y595" s="22" t="str">
        <f aca="false">IF(W595&gt;0,"Win",IF(W595&lt;0,"Loss","Flat"))</f>
        <v>Win</v>
      </c>
      <c r="Z595" s="24" t="n">
        <f aca="false">Summary!$C$5+SUM(W$2:W595)</f>
        <v>3032.08</v>
      </c>
      <c r="AA595" s="24" t="n">
        <f aca="false">MAX(AA594,Z595)</f>
        <v>5000</v>
      </c>
      <c r="AB595" s="24" t="n">
        <f aca="false">AA595-Z595</f>
        <v>1967.92</v>
      </c>
      <c r="AC595" s="23" t="n">
        <f aca="false">IFERROR(AB595/AA595,0)</f>
        <v>0.393584</v>
      </c>
      <c r="AD595" s="22" t="s">
        <v>832</v>
      </c>
    </row>
    <row r="596" customFormat="false" ht="15" hidden="false" customHeight="false" outlineLevel="0" collapsed="false">
      <c r="A596" s="22" t="n">
        <v>595</v>
      </c>
      <c r="B596" s="22" t="s">
        <v>137</v>
      </c>
      <c r="C596" s="37" t="n">
        <v>45188.0919791667</v>
      </c>
      <c r="D596" s="22" t="s">
        <v>203</v>
      </c>
      <c r="E596" s="22" t="n">
        <v>2</v>
      </c>
      <c r="F596" s="22" t="s">
        <v>181</v>
      </c>
      <c r="G596" s="22" t="s">
        <v>243</v>
      </c>
      <c r="H596" s="22" t="n">
        <v>0.05</v>
      </c>
      <c r="I596" s="38" t="n">
        <v>1934.13</v>
      </c>
      <c r="J596" s="38" t="n">
        <v>1934.15</v>
      </c>
      <c r="K596" s="39" t="n">
        <f aca="false">IF(F596="BUY",J596-I596,I596-J596)</f>
        <v>0.0199999999999818</v>
      </c>
      <c r="L596" s="38" t="n">
        <v>1928.13</v>
      </c>
      <c r="M596" s="39" t="n">
        <f aca="false">ABS(I596-L596)</f>
        <v>6</v>
      </c>
      <c r="N596" s="24" t="n">
        <f aca="false">M596*H596*Summary!$C$6</f>
        <v>30</v>
      </c>
      <c r="O596" s="37" t="n">
        <v>45188.6192013889</v>
      </c>
      <c r="P596" s="22" t="n">
        <f aca="false">ROUND((O596-C596)*86400,0)</f>
        <v>45552</v>
      </c>
      <c r="Q596" s="22" t="str">
        <f aca="false">IF(P596&lt;10,"a) &lt;10s",IF(P596&lt;60,"b) 10-60s",IF(P596&lt;600,"c) 1-10min","d) &gt;10min")))</f>
        <v>d) &gt;10min</v>
      </c>
      <c r="R596" s="38" t="n">
        <v>1934.65</v>
      </c>
      <c r="S596" s="38" t="n">
        <v>1934.65</v>
      </c>
      <c r="T596" s="22" t="s">
        <v>189</v>
      </c>
      <c r="U596" s="39" t="n">
        <f aca="false">IF(R596="","",IF(F596="BUY",R596-S596,S596-R596))</f>
        <v>0</v>
      </c>
      <c r="V596" s="39" t="n">
        <f aca="false">IF(F596="BUY",S596-J596,J596-S596)</f>
        <v>0.5</v>
      </c>
      <c r="W596" s="6" t="n">
        <v>2.5</v>
      </c>
      <c r="X596" s="26" t="n">
        <f aca="false">IFERROR(W596/N596,0)</f>
        <v>0.0833333333333333</v>
      </c>
      <c r="Y596" s="22" t="str">
        <f aca="false">IF(W596&gt;0,"Win",IF(W596&lt;0,"Loss","Flat"))</f>
        <v>Win</v>
      </c>
      <c r="Z596" s="24" t="n">
        <f aca="false">Summary!$C$5+SUM(W$2:W596)</f>
        <v>3034.58</v>
      </c>
      <c r="AA596" s="24" t="n">
        <f aca="false">MAX(AA595,Z596)</f>
        <v>5000</v>
      </c>
      <c r="AB596" s="24" t="n">
        <f aca="false">AA596-Z596</f>
        <v>1965.42</v>
      </c>
      <c r="AC596" s="23" t="n">
        <f aca="false">IFERROR(AB596/AA596,0)</f>
        <v>0.393084</v>
      </c>
      <c r="AD596" s="22" t="s">
        <v>833</v>
      </c>
    </row>
    <row r="597" customFormat="false" ht="15" hidden="false" customHeight="false" outlineLevel="0" collapsed="false">
      <c r="A597" s="22" t="n">
        <v>596</v>
      </c>
      <c r="B597" s="22" t="s">
        <v>137</v>
      </c>
      <c r="C597" s="37" t="n">
        <v>45189.172037037</v>
      </c>
      <c r="D597" s="22" t="s">
        <v>204</v>
      </c>
      <c r="E597" s="22" t="n">
        <v>4</v>
      </c>
      <c r="F597" s="22" t="s">
        <v>182</v>
      </c>
      <c r="G597" s="22" t="s">
        <v>237</v>
      </c>
      <c r="H597" s="22" t="n">
        <v>0.05</v>
      </c>
      <c r="I597" s="38" t="n">
        <v>1929.68</v>
      </c>
      <c r="J597" s="38" t="n">
        <v>1929.67</v>
      </c>
      <c r="K597" s="39" t="n">
        <f aca="false">IF(F597="BUY",J597-I597,I597-J597)</f>
        <v>0.00999999999999091</v>
      </c>
      <c r="L597" s="38" t="n">
        <v>1935.68</v>
      </c>
      <c r="M597" s="39" t="n">
        <f aca="false">ABS(I597-L597)</f>
        <v>6</v>
      </c>
      <c r="N597" s="24" t="n">
        <f aca="false">M597*H597*Summary!$C$6</f>
        <v>30</v>
      </c>
      <c r="O597" s="37" t="n">
        <v>45189.6905902778</v>
      </c>
      <c r="P597" s="22" t="n">
        <f aca="false">ROUND((O597-C597)*86400,0)</f>
        <v>44803</v>
      </c>
      <c r="Q597" s="22" t="str">
        <f aca="false">IF(P597&lt;10,"a) &lt;10s",IF(P597&lt;60,"b) 10-60s",IF(P597&lt;600,"c) 1-10min","d) &gt;10min")))</f>
        <v>d) &gt;10min</v>
      </c>
      <c r="R597" s="38" t="n">
        <v>1935.68</v>
      </c>
      <c r="S597" s="38" t="n">
        <v>1935.71</v>
      </c>
      <c r="T597" s="22" t="s">
        <v>188</v>
      </c>
      <c r="U597" s="39" t="n">
        <f aca="false">IF(R597="","",IF(F597="BUY",R597-S597,S597-R597))</f>
        <v>0.0299999999999727</v>
      </c>
      <c r="V597" s="39" t="n">
        <f aca="false">IF(F597="BUY",S597-J597,J597-S597)</f>
        <v>-6.03999999999996</v>
      </c>
      <c r="W597" s="6" t="n">
        <v>-30.2</v>
      </c>
      <c r="X597" s="26" t="n">
        <f aca="false">IFERROR(W597/N597,0)</f>
        <v>-1.00666666666667</v>
      </c>
      <c r="Y597" s="22" t="str">
        <f aca="false">IF(W597&gt;0,"Win",IF(W597&lt;0,"Loss","Flat"))</f>
        <v>Loss</v>
      </c>
      <c r="Z597" s="24" t="n">
        <f aca="false">Summary!$C$5+SUM(W$2:W597)</f>
        <v>3004.38</v>
      </c>
      <c r="AA597" s="24" t="n">
        <f aca="false">MAX(AA596,Z597)</f>
        <v>5000</v>
      </c>
      <c r="AB597" s="24" t="n">
        <f aca="false">AA597-Z597</f>
        <v>1995.62</v>
      </c>
      <c r="AC597" s="23" t="n">
        <f aca="false">IFERROR(AB597/AA597,0)</f>
        <v>0.399124</v>
      </c>
      <c r="AD597" s="22" t="s">
        <v>834</v>
      </c>
    </row>
    <row r="598" customFormat="false" ht="15" hidden="false" customHeight="false" outlineLevel="0" collapsed="false">
      <c r="A598" s="22" t="n">
        <v>597</v>
      </c>
      <c r="B598" s="22" t="s">
        <v>137</v>
      </c>
      <c r="C598" s="37" t="n">
        <v>45190.1424652778</v>
      </c>
      <c r="D598" s="22" t="s">
        <v>205</v>
      </c>
      <c r="E598" s="22" t="n">
        <v>3</v>
      </c>
      <c r="F598" s="22" t="s">
        <v>182</v>
      </c>
      <c r="G598" s="22" t="s">
        <v>237</v>
      </c>
      <c r="H598" s="22" t="n">
        <v>0.05</v>
      </c>
      <c r="I598" s="38" t="n">
        <v>1927.86</v>
      </c>
      <c r="J598" s="38" t="n">
        <v>1927.59</v>
      </c>
      <c r="K598" s="39" t="n">
        <f aca="false">IF(F598="BUY",J598-I598,I598-J598)</f>
        <v>0.269999999999982</v>
      </c>
      <c r="L598" s="38" t="n">
        <v>1933.86</v>
      </c>
      <c r="M598" s="39" t="n">
        <f aca="false">ABS(I598-L598)</f>
        <v>6</v>
      </c>
      <c r="N598" s="24" t="n">
        <f aca="false">M598*H598*Summary!$C$6</f>
        <v>30</v>
      </c>
      <c r="O598" s="37" t="n">
        <v>45190.1984375</v>
      </c>
      <c r="P598" s="22" t="n">
        <f aca="false">ROUND((O598-C598)*86400,0)</f>
        <v>4836</v>
      </c>
      <c r="Q598" s="22" t="str">
        <f aca="false">IF(P598&lt;10,"a) &lt;10s",IF(P598&lt;60,"b) 10-60s",IF(P598&lt;600,"c) 1-10min","d) &gt;10min")))</f>
        <v>d) &gt;10min</v>
      </c>
      <c r="R598" s="38" t="n">
        <v>1927.09</v>
      </c>
      <c r="S598" s="38" t="n">
        <v>1927.1</v>
      </c>
      <c r="T598" s="22" t="s">
        <v>189</v>
      </c>
      <c r="U598" s="39" t="n">
        <f aca="false">IF(R598="","",IF(F598="BUY",R598-S598,S598-R598))</f>
        <v>0.00999999999999091</v>
      </c>
      <c r="V598" s="39" t="n">
        <f aca="false">IF(F598="BUY",S598-J598,J598-S598)</f>
        <v>0.490000000000009</v>
      </c>
      <c r="W598" s="6" t="n">
        <v>2.45</v>
      </c>
      <c r="X598" s="26" t="n">
        <f aca="false">IFERROR(W598/N598,0)</f>
        <v>0.0816666666666667</v>
      </c>
      <c r="Y598" s="22" t="str">
        <f aca="false">IF(W598&gt;0,"Win",IF(W598&lt;0,"Loss","Flat"))</f>
        <v>Win</v>
      </c>
      <c r="Z598" s="24" t="n">
        <f aca="false">Summary!$C$5+SUM(W$2:W598)</f>
        <v>3006.83</v>
      </c>
      <c r="AA598" s="24" t="n">
        <f aca="false">MAX(AA597,Z598)</f>
        <v>5000</v>
      </c>
      <c r="AB598" s="24" t="n">
        <f aca="false">AA598-Z598</f>
        <v>1993.17</v>
      </c>
      <c r="AC598" s="23" t="n">
        <f aca="false">IFERROR(AB598/AA598,0)</f>
        <v>0.398634</v>
      </c>
      <c r="AD598" s="22" t="s">
        <v>835</v>
      </c>
    </row>
    <row r="599" customFormat="false" ht="15" hidden="false" customHeight="false" outlineLevel="0" collapsed="false">
      <c r="A599" s="22" t="n">
        <v>598</v>
      </c>
      <c r="B599" s="22" t="s">
        <v>137</v>
      </c>
      <c r="C599" s="37" t="n">
        <v>45190.4382175926</v>
      </c>
      <c r="D599" s="22" t="s">
        <v>205</v>
      </c>
      <c r="E599" s="22" t="n">
        <v>10</v>
      </c>
      <c r="F599" s="22" t="s">
        <v>182</v>
      </c>
      <c r="G599" s="22" t="s">
        <v>241</v>
      </c>
      <c r="H599" s="22" t="n">
        <v>0.05</v>
      </c>
      <c r="I599" s="38" t="n">
        <v>1926.9</v>
      </c>
      <c r="J599" s="38" t="n">
        <v>1926.88</v>
      </c>
      <c r="K599" s="39" t="n">
        <f aca="false">IF(F599="BUY",J599-I599,I599-J599)</f>
        <v>0.0199999999999818</v>
      </c>
      <c r="L599" s="38" t="n">
        <v>1932.9</v>
      </c>
      <c r="M599" s="39" t="n">
        <f aca="false">ABS(I599-L599)</f>
        <v>6</v>
      </c>
      <c r="N599" s="24" t="n">
        <f aca="false">M599*H599*Summary!$C$6</f>
        <v>30</v>
      </c>
      <c r="O599" s="37" t="n">
        <v>45190.9271990741</v>
      </c>
      <c r="P599" s="22" t="n">
        <f aca="false">ROUND((O599-C599)*86400,0)</f>
        <v>42248</v>
      </c>
      <c r="Q599" s="22" t="str">
        <f aca="false">IF(P599&lt;10,"a) &lt;10s",IF(P599&lt;60,"b) 10-60s",IF(P599&lt;600,"c) 1-10min","d) &gt;10min")))</f>
        <v>d) &gt;10min</v>
      </c>
      <c r="R599" s="38"/>
      <c r="S599" s="38" t="n">
        <v>1920.93</v>
      </c>
      <c r="T599" s="22" t="s">
        <v>191</v>
      </c>
      <c r="U599" s="39" t="str">
        <f aca="false">IF(R599="","",IF(F599="BUY",R599-S599,S599-R599))</f>
        <v/>
      </c>
      <c r="V599" s="39" t="n">
        <f aca="false">IF(F599="BUY",S599-J599,J599-S599)</f>
        <v>5.95000000000005</v>
      </c>
      <c r="W599" s="6" t="n">
        <v>29.75</v>
      </c>
      <c r="X599" s="26" t="n">
        <f aca="false">IFERROR(W599/N599,0)</f>
        <v>0.991666666666667</v>
      </c>
      <c r="Y599" s="22" t="str">
        <f aca="false">IF(W599&gt;0,"Win",IF(W599&lt;0,"Loss","Flat"))</f>
        <v>Win</v>
      </c>
      <c r="Z599" s="24" t="n">
        <f aca="false">Summary!$C$5+SUM(W$2:W599)</f>
        <v>3036.58</v>
      </c>
      <c r="AA599" s="24" t="n">
        <f aca="false">MAX(AA598,Z599)</f>
        <v>5000</v>
      </c>
      <c r="AB599" s="24" t="n">
        <f aca="false">AA599-Z599</f>
        <v>1963.42</v>
      </c>
      <c r="AC599" s="23" t="n">
        <f aca="false">IFERROR(AB599/AA599,0)</f>
        <v>0.392684</v>
      </c>
      <c r="AD599" s="22" t="s">
        <v>836</v>
      </c>
    </row>
    <row r="600" customFormat="false" ht="15" hidden="false" customHeight="false" outlineLevel="0" collapsed="false">
      <c r="A600" s="22" t="n">
        <v>599</v>
      </c>
      <c r="B600" s="22" t="s">
        <v>137</v>
      </c>
      <c r="C600" s="37" t="n">
        <v>45191.3787615741</v>
      </c>
      <c r="D600" s="22" t="s">
        <v>206</v>
      </c>
      <c r="E600" s="22" t="n">
        <v>9</v>
      </c>
      <c r="F600" s="22" t="s">
        <v>181</v>
      </c>
      <c r="G600" s="22" t="s">
        <v>235</v>
      </c>
      <c r="H600" s="22" t="n">
        <v>0.05</v>
      </c>
      <c r="I600" s="38" t="n">
        <v>1925.03</v>
      </c>
      <c r="J600" s="38" t="n">
        <v>1925.05</v>
      </c>
      <c r="K600" s="39" t="n">
        <f aca="false">IF(F600="BUY",J600-I600,I600-J600)</f>
        <v>0.0199999999999818</v>
      </c>
      <c r="L600" s="38" t="n">
        <v>1919.03</v>
      </c>
      <c r="M600" s="39" t="n">
        <f aca="false">ABS(I600-L600)</f>
        <v>6</v>
      </c>
      <c r="N600" s="24" t="n">
        <f aca="false">M600*H600*Summary!$C$6</f>
        <v>30</v>
      </c>
      <c r="O600" s="37" t="n">
        <v>45191.5161458333</v>
      </c>
      <c r="P600" s="22" t="n">
        <f aca="false">ROUND((O600-C600)*86400,0)</f>
        <v>11870</v>
      </c>
      <c r="Q600" s="22" t="str">
        <f aca="false">IF(P600&lt;10,"a) &lt;10s",IF(P600&lt;60,"b) 10-60s",IF(P600&lt;600,"c) 1-10min","d) &gt;10min")))</f>
        <v>d) &gt;10min</v>
      </c>
      <c r="R600" s="38" t="n">
        <v>1925.55</v>
      </c>
      <c r="S600" s="38" t="n">
        <v>1925.55</v>
      </c>
      <c r="T600" s="22" t="s">
        <v>189</v>
      </c>
      <c r="U600" s="39" t="n">
        <f aca="false">IF(R600="","",IF(F600="BUY",R600-S600,S600-R600))</f>
        <v>0</v>
      </c>
      <c r="V600" s="39" t="n">
        <f aca="false">IF(F600="BUY",S600-J600,J600-S600)</f>
        <v>0.5</v>
      </c>
      <c r="W600" s="6" t="n">
        <v>2.5</v>
      </c>
      <c r="X600" s="26" t="n">
        <f aca="false">IFERROR(W600/N600,0)</f>
        <v>0.0833333333333333</v>
      </c>
      <c r="Y600" s="22" t="str">
        <f aca="false">IF(W600&gt;0,"Win",IF(W600&lt;0,"Loss","Flat"))</f>
        <v>Win</v>
      </c>
      <c r="Z600" s="24" t="n">
        <f aca="false">Summary!$C$5+SUM(W$2:W600)</f>
        <v>3039.08</v>
      </c>
      <c r="AA600" s="24" t="n">
        <f aca="false">MAX(AA599,Z600)</f>
        <v>5000</v>
      </c>
      <c r="AB600" s="24" t="n">
        <f aca="false">AA600-Z600</f>
        <v>1960.92</v>
      </c>
      <c r="AC600" s="23" t="n">
        <f aca="false">IFERROR(AB600/AA600,0)</f>
        <v>0.392184</v>
      </c>
      <c r="AD600" s="22" t="s">
        <v>837</v>
      </c>
    </row>
    <row r="601" customFormat="false" ht="15" hidden="false" customHeight="false" outlineLevel="0" collapsed="false">
      <c r="A601" s="22" t="n">
        <v>600</v>
      </c>
      <c r="B601" s="22" t="s">
        <v>137</v>
      </c>
      <c r="C601" s="37" t="n">
        <v>45194.4097800926</v>
      </c>
      <c r="D601" s="22" t="s">
        <v>202</v>
      </c>
      <c r="E601" s="22" t="n">
        <v>9</v>
      </c>
      <c r="F601" s="22" t="s">
        <v>181</v>
      </c>
      <c r="G601" s="22" t="s">
        <v>235</v>
      </c>
      <c r="H601" s="22" t="n">
        <v>0.05</v>
      </c>
      <c r="I601" s="38" t="n">
        <v>1923.56</v>
      </c>
      <c r="J601" s="38" t="n">
        <v>1923.6</v>
      </c>
      <c r="K601" s="39" t="n">
        <f aca="false">IF(F601="BUY",J601-I601,I601-J601)</f>
        <v>0.0399999999999636</v>
      </c>
      <c r="L601" s="38" t="n">
        <v>1917.56</v>
      </c>
      <c r="M601" s="39" t="n">
        <f aca="false">ABS(I601-L601)</f>
        <v>6</v>
      </c>
      <c r="N601" s="24" t="n">
        <f aca="false">M601*H601*Summary!$C$6</f>
        <v>30</v>
      </c>
      <c r="O601" s="37" t="n">
        <v>45194.439375</v>
      </c>
      <c r="P601" s="22" t="n">
        <f aca="false">ROUND((O601-C601)*86400,0)</f>
        <v>2557</v>
      </c>
      <c r="Q601" s="22" t="str">
        <f aca="false">IF(P601&lt;10,"a) &lt;10s",IF(P601&lt;60,"b) 10-60s",IF(P601&lt;600,"c) 1-10min","d) &gt;10min")))</f>
        <v>d) &gt;10min</v>
      </c>
      <c r="R601" s="38" t="n">
        <v>1924.1</v>
      </c>
      <c r="S601" s="38" t="n">
        <v>1924.09</v>
      </c>
      <c r="T601" s="22" t="s">
        <v>189</v>
      </c>
      <c r="U601" s="39" t="n">
        <f aca="false">IF(R601="","",IF(F601="BUY",R601-S601,S601-R601))</f>
        <v>0.00999999999999091</v>
      </c>
      <c r="V601" s="39" t="n">
        <f aca="false">IF(F601="BUY",S601-J601,J601-S601)</f>
        <v>0.490000000000009</v>
      </c>
      <c r="W601" s="6" t="n">
        <v>2.45</v>
      </c>
      <c r="X601" s="26" t="n">
        <f aca="false">IFERROR(W601/N601,0)</f>
        <v>0.0816666666666667</v>
      </c>
      <c r="Y601" s="22" t="str">
        <f aca="false">IF(W601&gt;0,"Win",IF(W601&lt;0,"Loss","Flat"))</f>
        <v>Win</v>
      </c>
      <c r="Z601" s="24" t="n">
        <f aca="false">Summary!$C$5+SUM(W$2:W601)</f>
        <v>3041.53</v>
      </c>
      <c r="AA601" s="24" t="n">
        <f aca="false">MAX(AA600,Z601)</f>
        <v>5000</v>
      </c>
      <c r="AB601" s="24" t="n">
        <f aca="false">AA601-Z601</f>
        <v>1958.47</v>
      </c>
      <c r="AC601" s="23" t="n">
        <f aca="false">IFERROR(AB601/AA601,0)</f>
        <v>0.391694</v>
      </c>
      <c r="AD601" s="22" t="s">
        <v>838</v>
      </c>
    </row>
    <row r="602" customFormat="false" ht="15" hidden="false" customHeight="false" outlineLevel="0" collapsed="false">
      <c r="A602" s="22" t="n">
        <v>601</v>
      </c>
      <c r="B602" s="22" t="s">
        <v>137</v>
      </c>
      <c r="C602" s="37" t="n">
        <v>45194.721712963</v>
      </c>
      <c r="D602" s="22" t="s">
        <v>202</v>
      </c>
      <c r="E602" s="22" t="n">
        <v>17</v>
      </c>
      <c r="F602" s="22" t="s">
        <v>182</v>
      </c>
      <c r="G602" s="22" t="s">
        <v>237</v>
      </c>
      <c r="H602" s="22" t="n">
        <v>0.05</v>
      </c>
      <c r="I602" s="38" t="n">
        <v>1919.04</v>
      </c>
      <c r="J602" s="38" t="n">
        <v>1919.04</v>
      </c>
      <c r="K602" s="39" t="n">
        <f aca="false">IF(F602="BUY",J602-I602,I602-J602)</f>
        <v>0</v>
      </c>
      <c r="L602" s="38" t="n">
        <v>1925.04</v>
      </c>
      <c r="M602" s="39" t="n">
        <f aca="false">ABS(I602-L602)</f>
        <v>6</v>
      </c>
      <c r="N602" s="24" t="n">
        <f aca="false">M602*H602*Summary!$C$6</f>
        <v>30</v>
      </c>
      <c r="O602" s="37" t="n">
        <v>45194.7240740741</v>
      </c>
      <c r="P602" s="22" t="n">
        <f aca="false">ROUND((O602-C602)*86400,0)</f>
        <v>204</v>
      </c>
      <c r="Q602" s="22" t="str">
        <f aca="false">IF(P602&lt;10,"a) &lt;10s",IF(P602&lt;60,"b) 10-60s",IF(P602&lt;600,"c) 1-10min","d) &gt;10min")))</f>
        <v>c) 1-10min</v>
      </c>
      <c r="R602" s="38" t="n">
        <v>1918.54</v>
      </c>
      <c r="S602" s="38" t="n">
        <v>1918.85</v>
      </c>
      <c r="T602" s="22" t="s">
        <v>189</v>
      </c>
      <c r="U602" s="39" t="n">
        <f aca="false">IF(R602="","",IF(F602="BUY",R602-S602,S602-R602))</f>
        <v>0.309999999999945</v>
      </c>
      <c r="V602" s="39" t="n">
        <f aca="false">IF(F602="BUY",S602-J602,J602-S602)</f>
        <v>0.190000000000055</v>
      </c>
      <c r="W602" s="6" t="n">
        <v>0.95</v>
      </c>
      <c r="X602" s="26" t="n">
        <f aca="false">IFERROR(W602/N602,0)</f>
        <v>0.0316666666666667</v>
      </c>
      <c r="Y602" s="22" t="str">
        <f aca="false">IF(W602&gt;0,"Win",IF(W602&lt;0,"Loss","Flat"))</f>
        <v>Win</v>
      </c>
      <c r="Z602" s="24" t="n">
        <f aca="false">Summary!$C$5+SUM(W$2:W602)</f>
        <v>3042.48</v>
      </c>
      <c r="AA602" s="24" t="n">
        <f aca="false">MAX(AA601,Z602)</f>
        <v>5000</v>
      </c>
      <c r="AB602" s="24" t="n">
        <f aca="false">AA602-Z602</f>
        <v>1957.52</v>
      </c>
      <c r="AC602" s="23" t="n">
        <f aca="false">IFERROR(AB602/AA602,0)</f>
        <v>0.391504</v>
      </c>
      <c r="AD602" s="22" t="s">
        <v>839</v>
      </c>
    </row>
    <row r="603" customFormat="false" ht="15" hidden="false" customHeight="false" outlineLevel="0" collapsed="false">
      <c r="A603" s="22" t="n">
        <v>602</v>
      </c>
      <c r="B603" s="22" t="s">
        <v>137</v>
      </c>
      <c r="C603" s="37" t="n">
        <v>45195.1475925926</v>
      </c>
      <c r="D603" s="22" t="s">
        <v>203</v>
      </c>
      <c r="E603" s="22" t="n">
        <v>3</v>
      </c>
      <c r="F603" s="22" t="s">
        <v>182</v>
      </c>
      <c r="G603" s="22" t="s">
        <v>237</v>
      </c>
      <c r="H603" s="22" t="n">
        <v>0.05</v>
      </c>
      <c r="I603" s="38" t="n">
        <v>1915.05</v>
      </c>
      <c r="J603" s="38" t="n">
        <v>1915.04</v>
      </c>
      <c r="K603" s="39" t="n">
        <f aca="false">IF(F603="BUY",J603-I603,I603-J603)</f>
        <v>0.00999999999999091</v>
      </c>
      <c r="L603" s="38" t="n">
        <v>1921.05</v>
      </c>
      <c r="M603" s="39" t="n">
        <f aca="false">ABS(I603-L603)</f>
        <v>6</v>
      </c>
      <c r="N603" s="24" t="n">
        <f aca="false">M603*H603*Summary!$C$6</f>
        <v>30</v>
      </c>
      <c r="O603" s="37" t="n">
        <v>45195.4593981481</v>
      </c>
      <c r="P603" s="22" t="n">
        <f aca="false">ROUND((O603-C603)*86400,0)</f>
        <v>26940</v>
      </c>
      <c r="Q603" s="22" t="str">
        <f aca="false">IF(P603&lt;10,"a) &lt;10s",IF(P603&lt;60,"b) 10-60s",IF(P603&lt;600,"c) 1-10min","d) &gt;10min")))</f>
        <v>d) &gt;10min</v>
      </c>
      <c r="R603" s="38" t="n">
        <v>1914.54</v>
      </c>
      <c r="S603" s="38" t="n">
        <v>1914.74</v>
      </c>
      <c r="T603" s="22" t="s">
        <v>189</v>
      </c>
      <c r="U603" s="39" t="n">
        <f aca="false">IF(R603="","",IF(F603="BUY",R603-S603,S603-R603))</f>
        <v>0.200000000000045</v>
      </c>
      <c r="V603" s="39" t="n">
        <f aca="false">IF(F603="BUY",S603-J603,J603-S603)</f>
        <v>0.299999999999955</v>
      </c>
      <c r="W603" s="6" t="n">
        <v>1.5</v>
      </c>
      <c r="X603" s="26" t="n">
        <f aca="false">IFERROR(W603/N603,0)</f>
        <v>0.05</v>
      </c>
      <c r="Y603" s="22" t="str">
        <f aca="false">IF(W603&gt;0,"Win",IF(W603&lt;0,"Loss","Flat"))</f>
        <v>Win</v>
      </c>
      <c r="Z603" s="24" t="n">
        <f aca="false">Summary!$C$5+SUM(W$2:W603)</f>
        <v>3043.98</v>
      </c>
      <c r="AA603" s="24" t="n">
        <f aca="false">MAX(AA602,Z603)</f>
        <v>5000</v>
      </c>
      <c r="AB603" s="24" t="n">
        <f aca="false">AA603-Z603</f>
        <v>1956.02</v>
      </c>
      <c r="AC603" s="23" t="n">
        <f aca="false">IFERROR(AB603/AA603,0)</f>
        <v>0.391204</v>
      </c>
      <c r="AD603" s="22" t="s">
        <v>840</v>
      </c>
    </row>
    <row r="604" customFormat="false" ht="15" hidden="false" customHeight="false" outlineLevel="0" collapsed="false">
      <c r="A604" s="22" t="n">
        <v>603</v>
      </c>
      <c r="B604" s="22" t="s">
        <v>137</v>
      </c>
      <c r="C604" s="37" t="n">
        <v>45195.4613657407</v>
      </c>
      <c r="D604" s="22" t="s">
        <v>203</v>
      </c>
      <c r="E604" s="22" t="n">
        <v>11</v>
      </c>
      <c r="F604" s="22" t="s">
        <v>181</v>
      </c>
      <c r="G604" s="22" t="s">
        <v>235</v>
      </c>
      <c r="H604" s="22" t="n">
        <v>0.05</v>
      </c>
      <c r="I604" s="38" t="n">
        <v>1915.08</v>
      </c>
      <c r="J604" s="38" t="n">
        <v>1915.09</v>
      </c>
      <c r="K604" s="39" t="n">
        <f aca="false">IF(F604="BUY",J604-I604,I604-J604)</f>
        <v>0.00999999999999091</v>
      </c>
      <c r="L604" s="38" t="n">
        <v>1909.08</v>
      </c>
      <c r="M604" s="39" t="n">
        <f aca="false">ABS(I604-L604)</f>
        <v>6</v>
      </c>
      <c r="N604" s="24" t="n">
        <f aca="false">M604*H604*Summary!$C$6</f>
        <v>30</v>
      </c>
      <c r="O604" s="37" t="n">
        <v>45195.6512615741</v>
      </c>
      <c r="P604" s="22" t="n">
        <f aca="false">ROUND((O604-C604)*86400,0)</f>
        <v>16407</v>
      </c>
      <c r="Q604" s="22" t="str">
        <f aca="false">IF(P604&lt;10,"a) &lt;10s",IF(P604&lt;60,"b) 10-60s",IF(P604&lt;600,"c) 1-10min","d) &gt;10min")))</f>
        <v>d) &gt;10min</v>
      </c>
      <c r="R604" s="38" t="n">
        <v>1909.08</v>
      </c>
      <c r="S604" s="38" t="n">
        <v>1909.04</v>
      </c>
      <c r="T604" s="22" t="s">
        <v>188</v>
      </c>
      <c r="U604" s="39" t="n">
        <f aca="false">IF(R604="","",IF(F604="BUY",R604-S604,S604-R604))</f>
        <v>0.0399999999999636</v>
      </c>
      <c r="V604" s="39" t="n">
        <f aca="false">IF(F604="BUY",S604-J604,J604-S604)</f>
        <v>-6.04999999999995</v>
      </c>
      <c r="W604" s="6" t="n">
        <v>-30.25</v>
      </c>
      <c r="X604" s="26" t="n">
        <f aca="false">IFERROR(W604/N604,0)</f>
        <v>-1.00833333333333</v>
      </c>
      <c r="Y604" s="22" t="str">
        <f aca="false">IF(W604&gt;0,"Win",IF(W604&lt;0,"Loss","Flat"))</f>
        <v>Loss</v>
      </c>
      <c r="Z604" s="24" t="n">
        <f aca="false">Summary!$C$5+SUM(W$2:W604)</f>
        <v>3013.73</v>
      </c>
      <c r="AA604" s="24" t="n">
        <f aca="false">MAX(AA603,Z604)</f>
        <v>5000</v>
      </c>
      <c r="AB604" s="24" t="n">
        <f aca="false">AA604-Z604</f>
        <v>1986.27</v>
      </c>
      <c r="AC604" s="23" t="n">
        <f aca="false">IFERROR(AB604/AA604,0)</f>
        <v>0.397254</v>
      </c>
      <c r="AD604" s="22" t="s">
        <v>841</v>
      </c>
    </row>
    <row r="605" customFormat="false" ht="15" hidden="false" customHeight="false" outlineLevel="0" collapsed="false">
      <c r="A605" s="22" t="n">
        <v>604</v>
      </c>
      <c r="B605" s="22" t="s">
        <v>137</v>
      </c>
      <c r="C605" s="37" t="n">
        <v>45196.2974768519</v>
      </c>
      <c r="D605" s="22" t="s">
        <v>204</v>
      </c>
      <c r="E605" s="22" t="n">
        <v>7</v>
      </c>
      <c r="F605" s="22" t="s">
        <v>182</v>
      </c>
      <c r="G605" s="22" t="s">
        <v>237</v>
      </c>
      <c r="H605" s="22" t="n">
        <v>0.05</v>
      </c>
      <c r="I605" s="38" t="n">
        <v>1899.01</v>
      </c>
      <c r="J605" s="38" t="n">
        <v>1899.01</v>
      </c>
      <c r="K605" s="39" t="n">
        <f aca="false">IF(F605="BUY",J605-I605,I605-J605)</f>
        <v>0</v>
      </c>
      <c r="L605" s="38" t="n">
        <v>1905.01</v>
      </c>
      <c r="M605" s="39" t="n">
        <f aca="false">ABS(I605-L605)</f>
        <v>6</v>
      </c>
      <c r="N605" s="24" t="n">
        <f aca="false">M605*H605*Summary!$C$6</f>
        <v>30</v>
      </c>
      <c r="O605" s="37" t="n">
        <v>45196.3234143519</v>
      </c>
      <c r="P605" s="22" t="n">
        <f aca="false">ROUND((O605-C605)*86400,0)</f>
        <v>2241</v>
      </c>
      <c r="Q605" s="22" t="str">
        <f aca="false">IF(P605&lt;10,"a) &lt;10s",IF(P605&lt;60,"b) 10-60s",IF(P605&lt;600,"c) 1-10min","d) &gt;10min")))</f>
        <v>d) &gt;10min</v>
      </c>
      <c r="R605" s="38" t="n">
        <v>1898.51</v>
      </c>
      <c r="S605" s="38" t="n">
        <v>1898.51</v>
      </c>
      <c r="T605" s="22" t="s">
        <v>189</v>
      </c>
      <c r="U605" s="39" t="n">
        <f aca="false">IF(R605="","",IF(F605="BUY",R605-S605,S605-R605))</f>
        <v>0</v>
      </c>
      <c r="V605" s="39" t="n">
        <f aca="false">IF(F605="BUY",S605-J605,J605-S605)</f>
        <v>0.5</v>
      </c>
      <c r="W605" s="6" t="n">
        <v>2.5</v>
      </c>
      <c r="X605" s="26" t="n">
        <f aca="false">IFERROR(W605/N605,0)</f>
        <v>0.0833333333333333</v>
      </c>
      <c r="Y605" s="22" t="str">
        <f aca="false">IF(W605&gt;0,"Win",IF(W605&lt;0,"Loss","Flat"))</f>
        <v>Win</v>
      </c>
      <c r="Z605" s="24" t="n">
        <f aca="false">Summary!$C$5+SUM(W$2:W605)</f>
        <v>3016.23</v>
      </c>
      <c r="AA605" s="24" t="n">
        <f aca="false">MAX(AA604,Z605)</f>
        <v>5000</v>
      </c>
      <c r="AB605" s="24" t="n">
        <f aca="false">AA605-Z605</f>
        <v>1983.77</v>
      </c>
      <c r="AC605" s="23" t="n">
        <f aca="false">IFERROR(AB605/AA605,0)</f>
        <v>0.396754</v>
      </c>
      <c r="AD605" s="22" t="s">
        <v>842</v>
      </c>
    </row>
    <row r="606" customFormat="false" ht="15" hidden="false" customHeight="false" outlineLevel="0" collapsed="false">
      <c r="A606" s="22" t="n">
        <v>605</v>
      </c>
      <c r="B606" s="22" t="s">
        <v>137</v>
      </c>
      <c r="C606" s="37" t="n">
        <v>45196.4738425926</v>
      </c>
      <c r="D606" s="22" t="s">
        <v>204</v>
      </c>
      <c r="E606" s="22" t="n">
        <v>11</v>
      </c>
      <c r="F606" s="22" t="s">
        <v>182</v>
      </c>
      <c r="G606" s="22" t="s">
        <v>241</v>
      </c>
      <c r="H606" s="22" t="n">
        <v>0.05</v>
      </c>
      <c r="I606" s="38" t="n">
        <v>1895.54</v>
      </c>
      <c r="J606" s="38" t="n">
        <v>1895.5</v>
      </c>
      <c r="K606" s="39" t="n">
        <f aca="false">IF(F606="BUY",J606-I606,I606-J606)</f>
        <v>0.0399999999999636</v>
      </c>
      <c r="L606" s="38" t="n">
        <v>1901.54</v>
      </c>
      <c r="M606" s="39" t="n">
        <f aca="false">ABS(I606-L606)</f>
        <v>6</v>
      </c>
      <c r="N606" s="24" t="n">
        <f aca="false">M606*H606*Summary!$C$6</f>
        <v>30</v>
      </c>
      <c r="O606" s="37" t="n">
        <v>45196.9270833333</v>
      </c>
      <c r="P606" s="22" t="n">
        <f aca="false">ROUND((O606-C606)*86400,0)</f>
        <v>39160</v>
      </c>
      <c r="Q606" s="22" t="str">
        <f aca="false">IF(P606&lt;10,"a) &lt;10s",IF(P606&lt;60,"b) 10-60s",IF(P606&lt;600,"c) 1-10min","d) &gt;10min")))</f>
        <v>d) &gt;10min</v>
      </c>
      <c r="R606" s="38"/>
      <c r="S606" s="38" t="n">
        <v>1878.27</v>
      </c>
      <c r="T606" s="22" t="s">
        <v>191</v>
      </c>
      <c r="U606" s="39" t="str">
        <f aca="false">IF(R606="","",IF(F606="BUY",R606-S606,S606-R606))</f>
        <v/>
      </c>
      <c r="V606" s="39" t="n">
        <f aca="false">IF(F606="BUY",S606-J606,J606-S606)</f>
        <v>17.23</v>
      </c>
      <c r="W606" s="6" t="n">
        <v>86.15</v>
      </c>
      <c r="X606" s="26" t="n">
        <f aca="false">IFERROR(W606/N606,0)</f>
        <v>2.87166666666667</v>
      </c>
      <c r="Y606" s="22" t="str">
        <f aca="false">IF(W606&gt;0,"Win",IF(W606&lt;0,"Loss","Flat"))</f>
        <v>Win</v>
      </c>
      <c r="Z606" s="24" t="n">
        <f aca="false">Summary!$C$5+SUM(W$2:W606)</f>
        <v>3102.38</v>
      </c>
      <c r="AA606" s="24" t="n">
        <f aca="false">MAX(AA605,Z606)</f>
        <v>5000</v>
      </c>
      <c r="AB606" s="24" t="n">
        <f aca="false">AA606-Z606</f>
        <v>1897.62</v>
      </c>
      <c r="AC606" s="23" t="n">
        <f aca="false">IFERROR(AB606/AA606,0)</f>
        <v>0.379524</v>
      </c>
      <c r="AD606" s="22" t="s">
        <v>843</v>
      </c>
    </row>
    <row r="607" customFormat="false" ht="15" hidden="false" customHeight="false" outlineLevel="0" collapsed="false">
      <c r="A607" s="22" t="n">
        <v>606</v>
      </c>
      <c r="B607" s="22" t="s">
        <v>137</v>
      </c>
      <c r="C607" s="37" t="n">
        <v>45197.4803472222</v>
      </c>
      <c r="D607" s="22" t="s">
        <v>205</v>
      </c>
      <c r="E607" s="22" t="n">
        <v>11</v>
      </c>
      <c r="F607" s="22" t="s">
        <v>182</v>
      </c>
      <c r="G607" s="22" t="s">
        <v>241</v>
      </c>
      <c r="H607" s="22" t="n">
        <v>0.05</v>
      </c>
      <c r="I607" s="38" t="n">
        <v>1873.61</v>
      </c>
      <c r="J607" s="38" t="n">
        <v>1873.57</v>
      </c>
      <c r="K607" s="39" t="n">
        <f aca="false">IF(F607="BUY",J607-I607,I607-J607)</f>
        <v>0.0399999999999636</v>
      </c>
      <c r="L607" s="38" t="n">
        <v>1879.61</v>
      </c>
      <c r="M607" s="39" t="n">
        <f aca="false">ABS(I607-L607)</f>
        <v>6</v>
      </c>
      <c r="N607" s="24" t="n">
        <f aca="false">M607*H607*Summary!$C$6</f>
        <v>30</v>
      </c>
      <c r="O607" s="37" t="n">
        <v>45197.6490509259</v>
      </c>
      <c r="P607" s="22" t="n">
        <f aca="false">ROUND((O607-C607)*86400,0)</f>
        <v>14576</v>
      </c>
      <c r="Q607" s="22" t="str">
        <f aca="false">IF(P607&lt;10,"a) &lt;10s",IF(P607&lt;60,"b) 10-60s",IF(P607&lt;600,"c) 1-10min","d) &gt;10min")))</f>
        <v>d) &gt;10min</v>
      </c>
      <c r="R607" s="38" t="n">
        <v>1879.61</v>
      </c>
      <c r="S607" s="38" t="n">
        <v>1879.78</v>
      </c>
      <c r="T607" s="22" t="s">
        <v>188</v>
      </c>
      <c r="U607" s="39" t="n">
        <f aca="false">IF(R607="","",IF(F607="BUY",R607-S607,S607-R607))</f>
        <v>0.170000000000073</v>
      </c>
      <c r="V607" s="39" t="n">
        <f aca="false">IF(F607="BUY",S607-J607,J607-S607)</f>
        <v>-6.21000000000004</v>
      </c>
      <c r="W607" s="6" t="n">
        <v>-31.05</v>
      </c>
      <c r="X607" s="26" t="n">
        <f aca="false">IFERROR(W607/N607,0)</f>
        <v>-1.035</v>
      </c>
      <c r="Y607" s="22" t="str">
        <f aca="false">IF(W607&gt;0,"Win",IF(W607&lt;0,"Loss","Flat"))</f>
        <v>Loss</v>
      </c>
      <c r="Z607" s="24" t="n">
        <f aca="false">Summary!$C$5+SUM(W$2:W607)</f>
        <v>3071.33</v>
      </c>
      <c r="AA607" s="24" t="n">
        <f aca="false">MAX(AA606,Z607)</f>
        <v>5000</v>
      </c>
      <c r="AB607" s="24" t="n">
        <f aca="false">AA607-Z607</f>
        <v>1928.67</v>
      </c>
      <c r="AC607" s="23" t="n">
        <f aca="false">IFERROR(AB607/AA607,0)</f>
        <v>0.385734</v>
      </c>
      <c r="AD607" s="22" t="s">
        <v>844</v>
      </c>
    </row>
    <row r="608" customFormat="false" ht="15" hidden="false" customHeight="false" outlineLevel="0" collapsed="false">
      <c r="A608" s="22" t="n">
        <v>607</v>
      </c>
      <c r="B608" s="22" t="s">
        <v>137</v>
      </c>
      <c r="C608" s="37" t="n">
        <v>45197.6568518519</v>
      </c>
      <c r="D608" s="22" t="s">
        <v>205</v>
      </c>
      <c r="E608" s="22" t="n">
        <v>15</v>
      </c>
      <c r="F608" s="22" t="s">
        <v>182</v>
      </c>
      <c r="G608" s="22" t="s">
        <v>237</v>
      </c>
      <c r="H608" s="22" t="n">
        <v>0.05</v>
      </c>
      <c r="I608" s="38" t="n">
        <v>1872.45</v>
      </c>
      <c r="J608" s="38" t="n">
        <v>1872.42</v>
      </c>
      <c r="K608" s="39" t="n">
        <f aca="false">IF(F608="BUY",J608-I608,I608-J608)</f>
        <v>0.0299999999999727</v>
      </c>
      <c r="L608" s="38" t="n">
        <v>1878.45</v>
      </c>
      <c r="M608" s="39" t="n">
        <f aca="false">ABS(I608-L608)</f>
        <v>6</v>
      </c>
      <c r="N608" s="24" t="n">
        <f aca="false">M608*H608*Summary!$C$6</f>
        <v>30</v>
      </c>
      <c r="O608" s="37" t="n">
        <v>45197.7317361111</v>
      </c>
      <c r="P608" s="22" t="n">
        <f aca="false">ROUND((O608-C608)*86400,0)</f>
        <v>6470</v>
      </c>
      <c r="Q608" s="22" t="str">
        <f aca="false">IF(P608&lt;10,"a) &lt;10s",IF(P608&lt;60,"b) 10-60s",IF(P608&lt;600,"c) 1-10min","d) &gt;10min")))</f>
        <v>d) &gt;10min</v>
      </c>
      <c r="R608" s="38" t="n">
        <v>1871.92</v>
      </c>
      <c r="S608" s="38" t="n">
        <v>1871.94</v>
      </c>
      <c r="T608" s="22" t="s">
        <v>189</v>
      </c>
      <c r="U608" s="39" t="n">
        <f aca="false">IF(R608="","",IF(F608="BUY",R608-S608,S608-R608))</f>
        <v>0.0199999999999818</v>
      </c>
      <c r="V608" s="39" t="n">
        <f aca="false">IF(F608="BUY",S608-J608,J608-S608)</f>
        <v>0.480000000000018</v>
      </c>
      <c r="W608" s="6" t="n">
        <v>2.4</v>
      </c>
      <c r="X608" s="26" t="n">
        <f aca="false">IFERROR(W608/N608,0)</f>
        <v>0.08</v>
      </c>
      <c r="Y608" s="22" t="str">
        <f aca="false">IF(W608&gt;0,"Win",IF(W608&lt;0,"Loss","Flat"))</f>
        <v>Win</v>
      </c>
      <c r="Z608" s="24" t="n">
        <f aca="false">Summary!$C$5+SUM(W$2:W608)</f>
        <v>3073.73</v>
      </c>
      <c r="AA608" s="24" t="n">
        <f aca="false">MAX(AA607,Z608)</f>
        <v>5000</v>
      </c>
      <c r="AB608" s="24" t="n">
        <f aca="false">AA608-Z608</f>
        <v>1926.27</v>
      </c>
      <c r="AC608" s="23" t="n">
        <f aca="false">IFERROR(AB608/AA608,0)</f>
        <v>0.385254</v>
      </c>
      <c r="AD608" s="22" t="s">
        <v>845</v>
      </c>
    </row>
    <row r="609" customFormat="false" ht="15" hidden="false" customHeight="false" outlineLevel="0" collapsed="false">
      <c r="A609" s="22" t="n">
        <v>608</v>
      </c>
      <c r="B609" s="22" t="s">
        <v>137</v>
      </c>
      <c r="C609" s="37" t="n">
        <v>45198.3855092593</v>
      </c>
      <c r="D609" s="22" t="s">
        <v>206</v>
      </c>
      <c r="E609" s="22" t="n">
        <v>9</v>
      </c>
      <c r="F609" s="22" t="s">
        <v>181</v>
      </c>
      <c r="G609" s="22" t="s">
        <v>235</v>
      </c>
      <c r="H609" s="22" t="n">
        <v>0.05</v>
      </c>
      <c r="I609" s="38" t="n">
        <v>1868.18</v>
      </c>
      <c r="J609" s="38" t="n">
        <v>1868.18</v>
      </c>
      <c r="K609" s="39" t="n">
        <f aca="false">IF(F609="BUY",J609-I609,I609-J609)</f>
        <v>0</v>
      </c>
      <c r="L609" s="38" t="n">
        <v>1862.18</v>
      </c>
      <c r="M609" s="39" t="n">
        <f aca="false">ABS(I609-L609)</f>
        <v>6</v>
      </c>
      <c r="N609" s="24" t="n">
        <f aca="false">M609*H609*Summary!$C$6</f>
        <v>30</v>
      </c>
      <c r="O609" s="37" t="n">
        <v>45198.5915972222</v>
      </c>
      <c r="P609" s="22" t="n">
        <f aca="false">ROUND((O609-C609)*86400,0)</f>
        <v>17806</v>
      </c>
      <c r="Q609" s="22" t="str">
        <f aca="false">IF(P609&lt;10,"a) &lt;10s",IF(P609&lt;60,"b) 10-60s",IF(P609&lt;600,"c) 1-10min","d) &gt;10min")))</f>
        <v>d) &gt;10min</v>
      </c>
      <c r="R609" s="38" t="n">
        <v>1868.68</v>
      </c>
      <c r="S609" s="38" t="n">
        <v>1868.62</v>
      </c>
      <c r="T609" s="22" t="s">
        <v>189</v>
      </c>
      <c r="U609" s="39" t="n">
        <f aca="false">IF(R609="","",IF(F609="BUY",R609-S609,S609-R609))</f>
        <v>0.0600000000001728</v>
      </c>
      <c r="V609" s="39" t="n">
        <f aca="false">IF(F609="BUY",S609-J609,J609-S609)</f>
        <v>0.439999999999827</v>
      </c>
      <c r="W609" s="6" t="n">
        <v>2.2</v>
      </c>
      <c r="X609" s="26" t="n">
        <f aca="false">IFERROR(W609/N609,0)</f>
        <v>0.0733333333333333</v>
      </c>
      <c r="Y609" s="22" t="str">
        <f aca="false">IF(W609&gt;0,"Win",IF(W609&lt;0,"Loss","Flat"))</f>
        <v>Win</v>
      </c>
      <c r="Z609" s="24" t="n">
        <f aca="false">Summary!$C$5+SUM(W$2:W609)</f>
        <v>3075.93</v>
      </c>
      <c r="AA609" s="24" t="n">
        <f aca="false">MAX(AA608,Z609)</f>
        <v>5000</v>
      </c>
      <c r="AB609" s="24" t="n">
        <f aca="false">AA609-Z609</f>
        <v>1924.07</v>
      </c>
      <c r="AC609" s="23" t="n">
        <f aca="false">IFERROR(AB609/AA609,0)</f>
        <v>0.384814</v>
      </c>
      <c r="AD609" s="22" t="s">
        <v>846</v>
      </c>
    </row>
    <row r="610" customFormat="false" ht="15" hidden="false" customHeight="false" outlineLevel="0" collapsed="false">
      <c r="A610" s="22" t="n">
        <v>609</v>
      </c>
      <c r="B610" s="22" t="s">
        <v>137</v>
      </c>
      <c r="C610" s="37" t="n">
        <v>45198.6780671296</v>
      </c>
      <c r="D610" s="22" t="s">
        <v>206</v>
      </c>
      <c r="E610" s="22" t="n">
        <v>16</v>
      </c>
      <c r="F610" s="22" t="s">
        <v>181</v>
      </c>
      <c r="G610" s="22" t="s">
        <v>243</v>
      </c>
      <c r="H610" s="22" t="n">
        <v>0.05</v>
      </c>
      <c r="I610" s="38" t="n">
        <v>1879.49</v>
      </c>
      <c r="J610" s="38" t="n">
        <v>1879.51</v>
      </c>
      <c r="K610" s="39" t="n">
        <f aca="false">IF(F610="BUY",J610-I610,I610-J610)</f>
        <v>0.0199999999999818</v>
      </c>
      <c r="L610" s="38" t="n">
        <v>1873.49</v>
      </c>
      <c r="M610" s="39" t="n">
        <f aca="false">ABS(I610-L610)</f>
        <v>6</v>
      </c>
      <c r="N610" s="24" t="n">
        <f aca="false">M610*H610*Summary!$C$6</f>
        <v>30</v>
      </c>
      <c r="O610" s="37" t="n">
        <v>45198.6933680556</v>
      </c>
      <c r="P610" s="22" t="n">
        <f aca="false">ROUND((O610-C610)*86400,0)</f>
        <v>1322</v>
      </c>
      <c r="Q610" s="22" t="str">
        <f aca="false">IF(P610&lt;10,"a) &lt;10s",IF(P610&lt;60,"b) 10-60s",IF(P610&lt;600,"c) 1-10min","d) &gt;10min")))</f>
        <v>d) &gt;10min</v>
      </c>
      <c r="R610" s="38" t="n">
        <v>1873.49</v>
      </c>
      <c r="S610" s="38" t="n">
        <v>1873.48</v>
      </c>
      <c r="T610" s="22" t="s">
        <v>188</v>
      </c>
      <c r="U610" s="39" t="n">
        <f aca="false">IF(R610="","",IF(F610="BUY",R610-S610,S610-R610))</f>
        <v>0.00999999999999091</v>
      </c>
      <c r="V610" s="39" t="n">
        <f aca="false">IF(F610="BUY",S610-J610,J610-S610)</f>
        <v>-6.02999999999997</v>
      </c>
      <c r="W610" s="6" t="n">
        <v>-30.15</v>
      </c>
      <c r="X610" s="26" t="n">
        <f aca="false">IFERROR(W610/N610,0)</f>
        <v>-1.005</v>
      </c>
      <c r="Y610" s="22" t="str">
        <f aca="false">IF(W610&gt;0,"Win",IF(W610&lt;0,"Loss","Flat"))</f>
        <v>Loss</v>
      </c>
      <c r="Z610" s="24" t="n">
        <f aca="false">Summary!$C$5+SUM(W$2:W610)</f>
        <v>3045.78</v>
      </c>
      <c r="AA610" s="24" t="n">
        <f aca="false">MAX(AA609,Z610)</f>
        <v>5000</v>
      </c>
      <c r="AB610" s="24" t="n">
        <f aca="false">AA610-Z610</f>
        <v>1954.22</v>
      </c>
      <c r="AC610" s="23" t="n">
        <f aca="false">IFERROR(AB610/AA610,0)</f>
        <v>0.390844</v>
      </c>
      <c r="AD610" s="22" t="s">
        <v>847</v>
      </c>
    </row>
    <row r="611" customFormat="false" ht="15" hidden="false" customHeight="false" outlineLevel="0" collapsed="false">
      <c r="A611" s="22" t="n">
        <v>610</v>
      </c>
      <c r="B611" s="22" t="s">
        <v>138</v>
      </c>
      <c r="C611" s="37" t="n">
        <v>45201.0712384259</v>
      </c>
      <c r="D611" s="22" t="s">
        <v>202</v>
      </c>
      <c r="E611" s="22" t="n">
        <v>1</v>
      </c>
      <c r="F611" s="22" t="s">
        <v>182</v>
      </c>
      <c r="G611" s="22" t="s">
        <v>237</v>
      </c>
      <c r="H611" s="22" t="n">
        <v>0.05</v>
      </c>
      <c r="I611" s="38" t="n">
        <v>1846.21</v>
      </c>
      <c r="J611" s="38" t="n">
        <v>1846.2</v>
      </c>
      <c r="K611" s="39" t="n">
        <f aca="false">IF(F611="BUY",J611-I611,I611-J611)</f>
        <v>0.00999999999999091</v>
      </c>
      <c r="L611" s="38" t="n">
        <v>1852.21</v>
      </c>
      <c r="M611" s="39" t="n">
        <f aca="false">ABS(I611-L611)</f>
        <v>6</v>
      </c>
      <c r="N611" s="24" t="n">
        <f aca="false">M611*H611*Summary!$C$6</f>
        <v>30</v>
      </c>
      <c r="O611" s="37" t="n">
        <v>45201.4018634259</v>
      </c>
      <c r="P611" s="22" t="n">
        <f aca="false">ROUND((O611-C611)*86400,0)</f>
        <v>28566</v>
      </c>
      <c r="Q611" s="22" t="str">
        <f aca="false">IF(P611&lt;10,"a) &lt;10s",IF(P611&lt;60,"b) 10-60s",IF(P611&lt;600,"c) 1-10min","d) &gt;10min")))</f>
        <v>d) &gt;10min</v>
      </c>
      <c r="R611" s="38" t="n">
        <v>1845.7</v>
      </c>
      <c r="S611" s="38" t="n">
        <v>1845.71</v>
      </c>
      <c r="T611" s="22" t="s">
        <v>189</v>
      </c>
      <c r="U611" s="39" t="n">
        <f aca="false">IF(R611="","",IF(F611="BUY",R611-S611,S611-R611))</f>
        <v>0.00999999999999091</v>
      </c>
      <c r="V611" s="39" t="n">
        <f aca="false">IF(F611="BUY",S611-J611,J611-S611)</f>
        <v>0.490000000000009</v>
      </c>
      <c r="W611" s="6" t="n">
        <v>2.45</v>
      </c>
      <c r="X611" s="26" t="n">
        <f aca="false">IFERROR(W611/N611,0)</f>
        <v>0.0816666666666667</v>
      </c>
      <c r="Y611" s="22" t="str">
        <f aca="false">IF(W611&gt;0,"Win",IF(W611&lt;0,"Loss","Flat"))</f>
        <v>Win</v>
      </c>
      <c r="Z611" s="24" t="n">
        <f aca="false">Summary!$C$5+SUM(W$2:W611)</f>
        <v>3048.23</v>
      </c>
      <c r="AA611" s="24" t="n">
        <f aca="false">MAX(AA610,Z611)</f>
        <v>5000</v>
      </c>
      <c r="AB611" s="24" t="n">
        <f aca="false">AA611-Z611</f>
        <v>1951.77</v>
      </c>
      <c r="AC611" s="23" t="n">
        <f aca="false">IFERROR(AB611/AA611,0)</f>
        <v>0.390354</v>
      </c>
      <c r="AD611" s="22" t="s">
        <v>848</v>
      </c>
    </row>
    <row r="612" customFormat="false" ht="15" hidden="false" customHeight="false" outlineLevel="0" collapsed="false">
      <c r="A612" s="22" t="n">
        <v>611</v>
      </c>
      <c r="B612" s="22" t="s">
        <v>138</v>
      </c>
      <c r="C612" s="37" t="n">
        <v>45201.5013773148</v>
      </c>
      <c r="D612" s="22" t="s">
        <v>202</v>
      </c>
      <c r="E612" s="22" t="n">
        <v>12</v>
      </c>
      <c r="F612" s="22" t="s">
        <v>182</v>
      </c>
      <c r="G612" s="22" t="s">
        <v>241</v>
      </c>
      <c r="H612" s="22" t="n">
        <v>0.05</v>
      </c>
      <c r="I612" s="38" t="n">
        <v>1839.15</v>
      </c>
      <c r="J612" s="38" t="n">
        <v>1839.09</v>
      </c>
      <c r="K612" s="39" t="n">
        <f aca="false">IF(F612="BUY",J612-I612,I612-J612)</f>
        <v>0.0600000000001728</v>
      </c>
      <c r="L612" s="38" t="n">
        <v>1845.15</v>
      </c>
      <c r="M612" s="39" t="n">
        <f aca="false">ABS(I612-L612)</f>
        <v>6</v>
      </c>
      <c r="N612" s="24" t="n">
        <f aca="false">M612*H612*Summary!$C$6</f>
        <v>30</v>
      </c>
      <c r="O612" s="37" t="n">
        <v>45201.5075578704</v>
      </c>
      <c r="P612" s="22" t="n">
        <f aca="false">ROUND((O612-C612)*86400,0)</f>
        <v>534</v>
      </c>
      <c r="Q612" s="22" t="str">
        <f aca="false">IF(P612&lt;10,"a) &lt;10s",IF(P612&lt;60,"b) 10-60s",IF(P612&lt;600,"c) 1-10min","d) &gt;10min")))</f>
        <v>c) 1-10min</v>
      </c>
      <c r="R612" s="38" t="n">
        <v>1838.59</v>
      </c>
      <c r="S612" s="38" t="n">
        <v>1838.65</v>
      </c>
      <c r="T612" s="22" t="s">
        <v>189</v>
      </c>
      <c r="U612" s="39" t="n">
        <f aca="false">IF(R612="","",IF(F612="BUY",R612-S612,S612-R612))</f>
        <v>0.0600000000001728</v>
      </c>
      <c r="V612" s="39" t="n">
        <f aca="false">IF(F612="BUY",S612-J612,J612-S612)</f>
        <v>0.439999999999827</v>
      </c>
      <c r="W612" s="6" t="n">
        <v>2.2</v>
      </c>
      <c r="X612" s="26" t="n">
        <f aca="false">IFERROR(W612/N612,0)</f>
        <v>0.0733333333333333</v>
      </c>
      <c r="Y612" s="22" t="str">
        <f aca="false">IF(W612&gt;0,"Win",IF(W612&lt;0,"Loss","Flat"))</f>
        <v>Win</v>
      </c>
      <c r="Z612" s="24" t="n">
        <f aca="false">Summary!$C$5+SUM(W$2:W612)</f>
        <v>3050.43</v>
      </c>
      <c r="AA612" s="24" t="n">
        <f aca="false">MAX(AA611,Z612)</f>
        <v>5000</v>
      </c>
      <c r="AB612" s="24" t="n">
        <f aca="false">AA612-Z612</f>
        <v>1949.57</v>
      </c>
      <c r="AC612" s="23" t="n">
        <f aca="false">IFERROR(AB612/AA612,0)</f>
        <v>0.389914</v>
      </c>
      <c r="AD612" s="22" t="s">
        <v>849</v>
      </c>
    </row>
    <row r="613" customFormat="false" ht="15" hidden="false" customHeight="false" outlineLevel="0" collapsed="false">
      <c r="A613" s="22" t="n">
        <v>612</v>
      </c>
      <c r="B613" s="22" t="s">
        <v>138</v>
      </c>
      <c r="C613" s="37" t="n">
        <v>45202.0856828704</v>
      </c>
      <c r="D613" s="22" t="s">
        <v>203</v>
      </c>
      <c r="E613" s="22" t="n">
        <v>2</v>
      </c>
      <c r="F613" s="22" t="s">
        <v>182</v>
      </c>
      <c r="G613" s="22" t="s">
        <v>237</v>
      </c>
      <c r="H613" s="22" t="n">
        <v>0.05</v>
      </c>
      <c r="I613" s="38" t="n">
        <v>1827.07</v>
      </c>
      <c r="J613" s="38" t="n">
        <v>1827</v>
      </c>
      <c r="K613" s="39" t="n">
        <f aca="false">IF(F613="BUY",J613-I613,I613-J613)</f>
        <v>0.0699999999999363</v>
      </c>
      <c r="L613" s="38" t="n">
        <v>1833.07</v>
      </c>
      <c r="M613" s="39" t="n">
        <f aca="false">ABS(I613-L613)</f>
        <v>6</v>
      </c>
      <c r="N613" s="24" t="n">
        <f aca="false">M613*H613*Summary!$C$6</f>
        <v>30</v>
      </c>
      <c r="O613" s="37" t="n">
        <v>45202.1175347222</v>
      </c>
      <c r="P613" s="22" t="n">
        <f aca="false">ROUND((O613-C613)*86400,0)</f>
        <v>2752</v>
      </c>
      <c r="Q613" s="22" t="str">
        <f aca="false">IF(P613&lt;10,"a) &lt;10s",IF(P613&lt;60,"b) 10-60s",IF(P613&lt;600,"c) 1-10min","d) &gt;10min")))</f>
        <v>d) &gt;10min</v>
      </c>
      <c r="R613" s="38" t="n">
        <v>1826.5</v>
      </c>
      <c r="S613" s="38" t="n">
        <v>1826.53</v>
      </c>
      <c r="T613" s="22" t="s">
        <v>189</v>
      </c>
      <c r="U613" s="39" t="n">
        <f aca="false">IF(R613="","",IF(F613="BUY",R613-S613,S613-R613))</f>
        <v>0.0299999999999727</v>
      </c>
      <c r="V613" s="39" t="n">
        <f aca="false">IF(F613="BUY",S613-J613,J613-S613)</f>
        <v>0.470000000000027</v>
      </c>
      <c r="W613" s="6" t="n">
        <v>2.35</v>
      </c>
      <c r="X613" s="26" t="n">
        <f aca="false">IFERROR(W613/N613,0)</f>
        <v>0.0783333333333333</v>
      </c>
      <c r="Y613" s="22" t="str">
        <f aca="false">IF(W613&gt;0,"Win",IF(W613&lt;0,"Loss","Flat"))</f>
        <v>Win</v>
      </c>
      <c r="Z613" s="24" t="n">
        <f aca="false">Summary!$C$5+SUM(W$2:W613)</f>
        <v>3052.78</v>
      </c>
      <c r="AA613" s="24" t="n">
        <f aca="false">MAX(AA612,Z613)</f>
        <v>5000</v>
      </c>
      <c r="AB613" s="24" t="n">
        <f aca="false">AA613-Z613</f>
        <v>1947.22</v>
      </c>
      <c r="AC613" s="23" t="n">
        <f aca="false">IFERROR(AB613/AA613,0)</f>
        <v>0.389444</v>
      </c>
      <c r="AD613" s="22" t="s">
        <v>850</v>
      </c>
    </row>
    <row r="614" customFormat="false" ht="15" hidden="false" customHeight="false" outlineLevel="0" collapsed="false">
      <c r="A614" s="22" t="n">
        <v>613</v>
      </c>
      <c r="B614" s="22" t="s">
        <v>138</v>
      </c>
      <c r="C614" s="37" t="n">
        <v>45202.3797337963</v>
      </c>
      <c r="D614" s="22" t="s">
        <v>203</v>
      </c>
      <c r="E614" s="22" t="n">
        <v>9</v>
      </c>
      <c r="F614" s="22" t="s">
        <v>181</v>
      </c>
      <c r="G614" s="22" t="s">
        <v>235</v>
      </c>
      <c r="H614" s="22" t="n">
        <v>0.05</v>
      </c>
      <c r="I614" s="38" t="n">
        <v>1821.69</v>
      </c>
      <c r="J614" s="38" t="n">
        <v>1821.69</v>
      </c>
      <c r="K614" s="39" t="n">
        <f aca="false">IF(F614="BUY",J614-I614,I614-J614)</f>
        <v>0</v>
      </c>
      <c r="L614" s="38" t="n">
        <v>1815.69</v>
      </c>
      <c r="M614" s="39" t="n">
        <f aca="false">ABS(I614-L614)</f>
        <v>6</v>
      </c>
      <c r="N614" s="24" t="n">
        <f aca="false">M614*H614*Summary!$C$6</f>
        <v>30</v>
      </c>
      <c r="O614" s="37" t="n">
        <v>45202.4201157407</v>
      </c>
      <c r="P614" s="22" t="n">
        <f aca="false">ROUND((O614-C614)*86400,0)</f>
        <v>3489</v>
      </c>
      <c r="Q614" s="22" t="str">
        <f aca="false">IF(P614&lt;10,"a) &lt;10s",IF(P614&lt;60,"b) 10-60s",IF(P614&lt;600,"c) 1-10min","d) &gt;10min")))</f>
        <v>d) &gt;10min</v>
      </c>
      <c r="R614" s="38" t="n">
        <v>1822.19</v>
      </c>
      <c r="S614" s="38" t="n">
        <v>1822.19</v>
      </c>
      <c r="T614" s="22" t="s">
        <v>189</v>
      </c>
      <c r="U614" s="39" t="n">
        <f aca="false">IF(R614="","",IF(F614="BUY",R614-S614,S614-R614))</f>
        <v>0</v>
      </c>
      <c r="V614" s="39" t="n">
        <f aca="false">IF(F614="BUY",S614-J614,J614-S614)</f>
        <v>0.5</v>
      </c>
      <c r="W614" s="6" t="n">
        <v>2.5</v>
      </c>
      <c r="X614" s="26" t="n">
        <f aca="false">IFERROR(W614/N614,0)</f>
        <v>0.0833333333333333</v>
      </c>
      <c r="Y614" s="22" t="str">
        <f aca="false">IF(W614&gt;0,"Win",IF(W614&lt;0,"Loss","Flat"))</f>
        <v>Win</v>
      </c>
      <c r="Z614" s="24" t="n">
        <f aca="false">Summary!$C$5+SUM(W$2:W614)</f>
        <v>3055.28</v>
      </c>
      <c r="AA614" s="24" t="n">
        <f aca="false">MAX(AA613,Z614)</f>
        <v>5000</v>
      </c>
      <c r="AB614" s="24" t="n">
        <f aca="false">AA614-Z614</f>
        <v>1944.72</v>
      </c>
      <c r="AC614" s="23" t="n">
        <f aca="false">IFERROR(AB614/AA614,0)</f>
        <v>0.388944</v>
      </c>
      <c r="AD614" s="22" t="s">
        <v>851</v>
      </c>
    </row>
    <row r="615" customFormat="false" ht="15" hidden="false" customHeight="false" outlineLevel="0" collapsed="false">
      <c r="A615" s="22" t="n">
        <v>614</v>
      </c>
      <c r="B615" s="22" t="s">
        <v>138</v>
      </c>
      <c r="C615" s="37" t="n">
        <v>45203.3791087963</v>
      </c>
      <c r="D615" s="22" t="s">
        <v>204</v>
      </c>
      <c r="E615" s="22" t="n">
        <v>9</v>
      </c>
      <c r="F615" s="22" t="s">
        <v>182</v>
      </c>
      <c r="G615" s="22" t="s">
        <v>241</v>
      </c>
      <c r="H615" s="22" t="n">
        <v>0.05</v>
      </c>
      <c r="I615" s="38" t="n">
        <v>1820.66</v>
      </c>
      <c r="J615" s="38" t="n">
        <v>1820.56</v>
      </c>
      <c r="K615" s="39" t="n">
        <f aca="false">IF(F615="BUY",J615-I615,I615-J615)</f>
        <v>0.100000000000136</v>
      </c>
      <c r="L615" s="38" t="n">
        <v>1826.66</v>
      </c>
      <c r="M615" s="39" t="n">
        <f aca="false">ABS(I615-L615)</f>
        <v>6</v>
      </c>
      <c r="N615" s="24" t="n">
        <f aca="false">M615*H615*Summary!$C$6</f>
        <v>30</v>
      </c>
      <c r="O615" s="37" t="n">
        <v>45203.4267013889</v>
      </c>
      <c r="P615" s="22" t="n">
        <f aca="false">ROUND((O615-C615)*86400,0)</f>
        <v>4112</v>
      </c>
      <c r="Q615" s="22" t="str">
        <f aca="false">IF(P615&lt;10,"a) &lt;10s",IF(P615&lt;60,"b) 10-60s",IF(P615&lt;600,"c) 1-10min","d) &gt;10min")))</f>
        <v>d) &gt;10min</v>
      </c>
      <c r="R615" s="38" t="n">
        <v>1820.06</v>
      </c>
      <c r="S615" s="38" t="n">
        <v>1820.17</v>
      </c>
      <c r="T615" s="22" t="s">
        <v>189</v>
      </c>
      <c r="U615" s="39" t="n">
        <f aca="false">IF(R615="","",IF(F615="BUY",R615-S615,S615-R615))</f>
        <v>0.110000000000127</v>
      </c>
      <c r="V615" s="39" t="n">
        <f aca="false">IF(F615="BUY",S615-J615,J615-S615)</f>
        <v>0.389999999999873</v>
      </c>
      <c r="W615" s="6" t="n">
        <v>1.95</v>
      </c>
      <c r="X615" s="26" t="n">
        <f aca="false">IFERROR(W615/N615,0)</f>
        <v>0.065</v>
      </c>
      <c r="Y615" s="22" t="str">
        <f aca="false">IF(W615&gt;0,"Win",IF(W615&lt;0,"Loss","Flat"))</f>
        <v>Win</v>
      </c>
      <c r="Z615" s="24" t="n">
        <f aca="false">Summary!$C$5+SUM(W$2:W615)</f>
        <v>3057.23</v>
      </c>
      <c r="AA615" s="24" t="n">
        <f aca="false">MAX(AA614,Z615)</f>
        <v>5000</v>
      </c>
      <c r="AB615" s="24" t="n">
        <f aca="false">AA615-Z615</f>
        <v>1942.77</v>
      </c>
      <c r="AC615" s="23" t="n">
        <f aca="false">IFERROR(AB615/AA615,0)</f>
        <v>0.388554</v>
      </c>
      <c r="AD615" s="22" t="s">
        <v>852</v>
      </c>
    </row>
    <row r="616" customFormat="false" ht="15" hidden="false" customHeight="false" outlineLevel="0" collapsed="false">
      <c r="A616" s="22" t="n">
        <v>615</v>
      </c>
      <c r="B616" s="22" t="s">
        <v>138</v>
      </c>
      <c r="C616" s="37" t="n">
        <v>45204.3750462963</v>
      </c>
      <c r="D616" s="22" t="s">
        <v>205</v>
      </c>
      <c r="E616" s="22" t="n">
        <v>9</v>
      </c>
      <c r="F616" s="22" t="s">
        <v>182</v>
      </c>
      <c r="G616" s="22" t="s">
        <v>241</v>
      </c>
      <c r="H616" s="22" t="n">
        <v>0.05</v>
      </c>
      <c r="I616" s="38" t="n">
        <v>1826.18</v>
      </c>
      <c r="J616" s="38" t="n">
        <v>1826.18</v>
      </c>
      <c r="K616" s="39" t="n">
        <f aca="false">IF(F616="BUY",J616-I616,I616-J616)</f>
        <v>0</v>
      </c>
      <c r="L616" s="38" t="n">
        <v>1832.18</v>
      </c>
      <c r="M616" s="39" t="n">
        <f aca="false">ABS(I616-L616)</f>
        <v>6</v>
      </c>
      <c r="N616" s="24" t="n">
        <f aca="false">M616*H616*Summary!$C$6</f>
        <v>30</v>
      </c>
      <c r="O616" s="37" t="n">
        <v>45204.9270833333</v>
      </c>
      <c r="P616" s="22" t="n">
        <f aca="false">ROUND((O616-C616)*86400,0)</f>
        <v>47696</v>
      </c>
      <c r="Q616" s="22" t="str">
        <f aca="false">IF(P616&lt;10,"a) &lt;10s",IF(P616&lt;60,"b) 10-60s",IF(P616&lt;600,"c) 1-10min","d) &gt;10min")))</f>
        <v>d) &gt;10min</v>
      </c>
      <c r="R616" s="38"/>
      <c r="S616" s="38" t="n">
        <v>1820.41</v>
      </c>
      <c r="T616" s="22" t="s">
        <v>191</v>
      </c>
      <c r="U616" s="39" t="str">
        <f aca="false">IF(R616="","",IF(F616="BUY",R616-S616,S616-R616))</f>
        <v/>
      </c>
      <c r="V616" s="39" t="n">
        <f aca="false">IF(F616="BUY",S616-J616,J616-S616)</f>
        <v>5.76999999999998</v>
      </c>
      <c r="W616" s="6" t="n">
        <v>28.85</v>
      </c>
      <c r="X616" s="26" t="n">
        <f aca="false">IFERROR(W616/N616,0)</f>
        <v>0.961666666666667</v>
      </c>
      <c r="Y616" s="22" t="str">
        <f aca="false">IF(W616&gt;0,"Win",IF(W616&lt;0,"Loss","Flat"))</f>
        <v>Win</v>
      </c>
      <c r="Z616" s="24" t="n">
        <f aca="false">Summary!$C$5+SUM(W$2:W616)</f>
        <v>3086.08</v>
      </c>
      <c r="AA616" s="24" t="n">
        <f aca="false">MAX(AA615,Z616)</f>
        <v>5000</v>
      </c>
      <c r="AB616" s="24" t="n">
        <f aca="false">AA616-Z616</f>
        <v>1913.92</v>
      </c>
      <c r="AC616" s="23" t="n">
        <f aca="false">IFERROR(AB616/AA616,0)</f>
        <v>0.382784</v>
      </c>
      <c r="AD616" s="22" t="s">
        <v>853</v>
      </c>
    </row>
    <row r="617" customFormat="false" ht="15" hidden="false" customHeight="false" outlineLevel="0" collapsed="false">
      <c r="A617" s="22" t="n">
        <v>616</v>
      </c>
      <c r="B617" s="22" t="s">
        <v>138</v>
      </c>
      <c r="C617" s="37" t="n">
        <v>45205.3767939815</v>
      </c>
      <c r="D617" s="22" t="s">
        <v>206</v>
      </c>
      <c r="E617" s="22" t="n">
        <v>9</v>
      </c>
      <c r="F617" s="22" t="s">
        <v>182</v>
      </c>
      <c r="G617" s="22" t="s">
        <v>241</v>
      </c>
      <c r="H617" s="22" t="n">
        <v>0.05</v>
      </c>
      <c r="I617" s="38" t="n">
        <v>1820.65</v>
      </c>
      <c r="J617" s="38" t="n">
        <v>1820.64</v>
      </c>
      <c r="K617" s="39" t="n">
        <f aca="false">IF(F617="BUY",J617-I617,I617-J617)</f>
        <v>0.00999999999999091</v>
      </c>
      <c r="L617" s="38" t="n">
        <v>1826.65</v>
      </c>
      <c r="M617" s="39" t="n">
        <f aca="false">ABS(I617-L617)</f>
        <v>6</v>
      </c>
      <c r="N617" s="24" t="n">
        <f aca="false">M617*H617*Summary!$C$6</f>
        <v>30</v>
      </c>
      <c r="O617" s="37" t="n">
        <v>45205.6756018519</v>
      </c>
      <c r="P617" s="22" t="n">
        <f aca="false">ROUND((O617-C617)*86400,0)</f>
        <v>25817</v>
      </c>
      <c r="Q617" s="22" t="str">
        <f aca="false">IF(P617&lt;10,"a) &lt;10s",IF(P617&lt;60,"b) 10-60s",IF(P617&lt;600,"c) 1-10min","d) &gt;10min")))</f>
        <v>d) &gt;10min</v>
      </c>
      <c r="R617" s="38" t="n">
        <v>1820.14</v>
      </c>
      <c r="S617" s="38" t="n">
        <v>1820.3</v>
      </c>
      <c r="T617" s="22" t="s">
        <v>189</v>
      </c>
      <c r="U617" s="39" t="n">
        <f aca="false">IF(R617="","",IF(F617="BUY",R617-S617,S617-R617))</f>
        <v>0.159999999999854</v>
      </c>
      <c r="V617" s="39" t="n">
        <f aca="false">IF(F617="BUY",S617-J617,J617-S617)</f>
        <v>0.340000000000146</v>
      </c>
      <c r="W617" s="6" t="n">
        <v>1.7</v>
      </c>
      <c r="X617" s="26" t="n">
        <f aca="false">IFERROR(W617/N617,0)</f>
        <v>0.0566666666666667</v>
      </c>
      <c r="Y617" s="22" t="str">
        <f aca="false">IF(W617&gt;0,"Win",IF(W617&lt;0,"Loss","Flat"))</f>
        <v>Win</v>
      </c>
      <c r="Z617" s="24" t="n">
        <f aca="false">Summary!$C$5+SUM(W$2:W617)</f>
        <v>3087.78</v>
      </c>
      <c r="AA617" s="24" t="n">
        <f aca="false">MAX(AA616,Z617)</f>
        <v>5000</v>
      </c>
      <c r="AB617" s="24" t="n">
        <f aca="false">AA617-Z617</f>
        <v>1912.22</v>
      </c>
      <c r="AC617" s="23" t="n">
        <f aca="false">IFERROR(AB617/AA617,0)</f>
        <v>0.382444</v>
      </c>
      <c r="AD617" s="22" t="s">
        <v>854</v>
      </c>
    </row>
    <row r="618" customFormat="false" ht="15" hidden="false" customHeight="false" outlineLevel="0" collapsed="false">
      <c r="A618" s="22" t="n">
        <v>617</v>
      </c>
      <c r="B618" s="22" t="s">
        <v>138</v>
      </c>
      <c r="C618" s="37" t="n">
        <v>45205.726875</v>
      </c>
      <c r="D618" s="22" t="s">
        <v>206</v>
      </c>
      <c r="E618" s="22" t="n">
        <v>17</v>
      </c>
      <c r="F618" s="22" t="s">
        <v>181</v>
      </c>
      <c r="G618" s="22" t="s">
        <v>243</v>
      </c>
      <c r="H618" s="22" t="n">
        <v>0.05</v>
      </c>
      <c r="I618" s="38" t="n">
        <v>1829.11</v>
      </c>
      <c r="J618" s="38" t="n">
        <v>1829.11</v>
      </c>
      <c r="K618" s="39" t="n">
        <f aca="false">IF(F618="BUY",J618-I618,I618-J618)</f>
        <v>0</v>
      </c>
      <c r="L618" s="38" t="n">
        <v>1823.11</v>
      </c>
      <c r="M618" s="39" t="n">
        <f aca="false">ABS(I618-L618)</f>
        <v>6</v>
      </c>
      <c r="N618" s="24" t="n">
        <f aca="false">M618*H618*Summary!$C$6</f>
        <v>30</v>
      </c>
      <c r="O618" s="37" t="n">
        <v>45205.7318981482</v>
      </c>
      <c r="P618" s="22" t="n">
        <f aca="false">ROUND((O618-C618)*86400,0)</f>
        <v>434</v>
      </c>
      <c r="Q618" s="22" t="str">
        <f aca="false">IF(P618&lt;10,"a) &lt;10s",IF(P618&lt;60,"b) 10-60s",IF(P618&lt;600,"c) 1-10min","d) &gt;10min")))</f>
        <v>c) 1-10min</v>
      </c>
      <c r="R618" s="38" t="n">
        <v>1829.61</v>
      </c>
      <c r="S618" s="38" t="n">
        <v>1829.61</v>
      </c>
      <c r="T618" s="22" t="s">
        <v>189</v>
      </c>
      <c r="U618" s="39" t="n">
        <f aca="false">IF(R618="","",IF(F618="BUY",R618-S618,S618-R618))</f>
        <v>0</v>
      </c>
      <c r="V618" s="39" t="n">
        <f aca="false">IF(F618="BUY",S618-J618,J618-S618)</f>
        <v>0.5</v>
      </c>
      <c r="W618" s="6" t="n">
        <v>2.5</v>
      </c>
      <c r="X618" s="26" t="n">
        <f aca="false">IFERROR(W618/N618,0)</f>
        <v>0.0833333333333333</v>
      </c>
      <c r="Y618" s="22" t="str">
        <f aca="false">IF(W618&gt;0,"Win",IF(W618&lt;0,"Loss","Flat"))</f>
        <v>Win</v>
      </c>
      <c r="Z618" s="24" t="n">
        <f aca="false">Summary!$C$5+SUM(W$2:W618)</f>
        <v>3090.28</v>
      </c>
      <c r="AA618" s="24" t="n">
        <f aca="false">MAX(AA617,Z618)</f>
        <v>5000</v>
      </c>
      <c r="AB618" s="24" t="n">
        <f aca="false">AA618-Z618</f>
        <v>1909.72</v>
      </c>
      <c r="AC618" s="23" t="n">
        <f aca="false">IFERROR(AB618/AA618,0)</f>
        <v>0.381944</v>
      </c>
      <c r="AD618" s="22" t="s">
        <v>855</v>
      </c>
    </row>
    <row r="619" customFormat="false" ht="15" hidden="false" customHeight="false" outlineLevel="0" collapsed="false">
      <c r="A619" s="22" t="n">
        <v>618</v>
      </c>
      <c r="B619" s="22" t="s">
        <v>138</v>
      </c>
      <c r="C619" s="37" t="n">
        <v>45208.3850347222</v>
      </c>
      <c r="D619" s="22" t="s">
        <v>202</v>
      </c>
      <c r="E619" s="22" t="n">
        <v>9</v>
      </c>
      <c r="F619" s="22" t="s">
        <v>181</v>
      </c>
      <c r="G619" s="22" t="s">
        <v>235</v>
      </c>
      <c r="H619" s="22" t="n">
        <v>0.05</v>
      </c>
      <c r="I619" s="38" t="n">
        <v>1853.17</v>
      </c>
      <c r="J619" s="38" t="n">
        <v>1853.18</v>
      </c>
      <c r="K619" s="39" t="n">
        <f aca="false">IF(F619="BUY",J619-I619,I619-J619)</f>
        <v>0.00999999999999091</v>
      </c>
      <c r="L619" s="38" t="n">
        <v>1847.17</v>
      </c>
      <c r="M619" s="39" t="n">
        <f aca="false">ABS(I619-L619)</f>
        <v>6</v>
      </c>
      <c r="N619" s="24" t="n">
        <f aca="false">M619*H619*Summary!$C$6</f>
        <v>30</v>
      </c>
      <c r="O619" s="37" t="n">
        <v>45208.6507523148</v>
      </c>
      <c r="P619" s="22" t="n">
        <f aca="false">ROUND((O619-C619)*86400,0)</f>
        <v>22958</v>
      </c>
      <c r="Q619" s="22" t="str">
        <f aca="false">IF(P619&lt;10,"a) &lt;10s",IF(P619&lt;60,"b) 10-60s",IF(P619&lt;600,"c) 1-10min","d) &gt;10min")))</f>
        <v>d) &gt;10min</v>
      </c>
      <c r="R619" s="38" t="n">
        <v>1847.17</v>
      </c>
      <c r="S619" s="38" t="n">
        <v>1847.16</v>
      </c>
      <c r="T619" s="22" t="s">
        <v>188</v>
      </c>
      <c r="U619" s="39" t="n">
        <f aca="false">IF(R619="","",IF(F619="BUY",R619-S619,S619-R619))</f>
        <v>0.00999999999999091</v>
      </c>
      <c r="V619" s="39" t="n">
        <f aca="false">IF(F619="BUY",S619-J619,J619-S619)</f>
        <v>-6.01999999999998</v>
      </c>
      <c r="W619" s="6" t="n">
        <v>-30.1</v>
      </c>
      <c r="X619" s="26" t="n">
        <f aca="false">IFERROR(W619/N619,0)</f>
        <v>-1.00333333333333</v>
      </c>
      <c r="Y619" s="22" t="str">
        <f aca="false">IF(W619&gt;0,"Win",IF(W619&lt;0,"Loss","Flat"))</f>
        <v>Loss</v>
      </c>
      <c r="Z619" s="24" t="n">
        <f aca="false">Summary!$C$5+SUM(W$2:W619)</f>
        <v>3060.18</v>
      </c>
      <c r="AA619" s="24" t="n">
        <f aca="false">MAX(AA618,Z619)</f>
        <v>5000</v>
      </c>
      <c r="AB619" s="24" t="n">
        <f aca="false">AA619-Z619</f>
        <v>1939.82</v>
      </c>
      <c r="AC619" s="23" t="n">
        <f aca="false">IFERROR(AB619/AA619,0)</f>
        <v>0.387964</v>
      </c>
      <c r="AD619" s="22" t="s">
        <v>856</v>
      </c>
    </row>
    <row r="620" customFormat="false" ht="15" hidden="false" customHeight="false" outlineLevel="0" collapsed="false">
      <c r="A620" s="22" t="n">
        <v>619</v>
      </c>
      <c r="B620" s="22" t="s">
        <v>138</v>
      </c>
      <c r="C620" s="37" t="n">
        <v>45209.1261689815</v>
      </c>
      <c r="D620" s="22" t="s">
        <v>203</v>
      </c>
      <c r="E620" s="22" t="n">
        <v>3</v>
      </c>
      <c r="F620" s="22" t="s">
        <v>181</v>
      </c>
      <c r="G620" s="22" t="s">
        <v>243</v>
      </c>
      <c r="H620" s="22" t="n">
        <v>0.05</v>
      </c>
      <c r="I620" s="38" t="n">
        <v>1863.4</v>
      </c>
      <c r="J620" s="38" t="n">
        <v>1863.4</v>
      </c>
      <c r="K620" s="39" t="n">
        <f aca="false">IF(F620="BUY",J620-I620,I620-J620)</f>
        <v>0</v>
      </c>
      <c r="L620" s="38" t="n">
        <v>1857.4</v>
      </c>
      <c r="M620" s="39" t="n">
        <f aca="false">ABS(I620-L620)</f>
        <v>6</v>
      </c>
      <c r="N620" s="24" t="n">
        <f aca="false">M620*H620*Summary!$C$6</f>
        <v>30</v>
      </c>
      <c r="O620" s="37" t="n">
        <v>45209.3887615741</v>
      </c>
      <c r="P620" s="22" t="n">
        <f aca="false">ROUND((O620-C620)*86400,0)</f>
        <v>22688</v>
      </c>
      <c r="Q620" s="22" t="str">
        <f aca="false">IF(P620&lt;10,"a) &lt;10s",IF(P620&lt;60,"b) 10-60s",IF(P620&lt;600,"c) 1-10min","d) &gt;10min")))</f>
        <v>d) &gt;10min</v>
      </c>
      <c r="R620" s="38" t="n">
        <v>1857.4</v>
      </c>
      <c r="S620" s="38" t="n">
        <v>1857.36</v>
      </c>
      <c r="T620" s="22" t="s">
        <v>188</v>
      </c>
      <c r="U620" s="39" t="n">
        <f aca="false">IF(R620="","",IF(F620="BUY",R620-S620,S620-R620))</f>
        <v>0.040000000000191</v>
      </c>
      <c r="V620" s="39" t="n">
        <f aca="false">IF(F620="BUY",S620-J620,J620-S620)</f>
        <v>-6.04000000000019</v>
      </c>
      <c r="W620" s="6" t="n">
        <v>-30.2</v>
      </c>
      <c r="X620" s="26" t="n">
        <f aca="false">IFERROR(W620/N620,0)</f>
        <v>-1.00666666666667</v>
      </c>
      <c r="Y620" s="22" t="str">
        <f aca="false">IF(W620&gt;0,"Win",IF(W620&lt;0,"Loss","Flat"))</f>
        <v>Loss</v>
      </c>
      <c r="Z620" s="24" t="n">
        <f aca="false">Summary!$C$5+SUM(W$2:W620)</f>
        <v>3029.98</v>
      </c>
      <c r="AA620" s="24" t="n">
        <f aca="false">MAX(AA619,Z620)</f>
        <v>5000</v>
      </c>
      <c r="AB620" s="24" t="n">
        <f aca="false">AA620-Z620</f>
        <v>1970.02</v>
      </c>
      <c r="AC620" s="23" t="n">
        <f aca="false">IFERROR(AB620/AA620,0)</f>
        <v>0.394004</v>
      </c>
      <c r="AD620" s="22" t="s">
        <v>857</v>
      </c>
    </row>
    <row r="621" customFormat="false" ht="15" hidden="false" customHeight="false" outlineLevel="0" collapsed="false">
      <c r="A621" s="22" t="n">
        <v>620</v>
      </c>
      <c r="B621" s="22" t="s">
        <v>138</v>
      </c>
      <c r="C621" s="37" t="n">
        <v>45209.7903009259</v>
      </c>
      <c r="D621" s="22" t="s">
        <v>203</v>
      </c>
      <c r="E621" s="22" t="n">
        <v>18</v>
      </c>
      <c r="F621" s="22" t="s">
        <v>181</v>
      </c>
      <c r="G621" s="22" t="s">
        <v>235</v>
      </c>
      <c r="H621" s="22" t="n">
        <v>0.05</v>
      </c>
      <c r="I621" s="38" t="n">
        <v>1862.43</v>
      </c>
      <c r="J621" s="38" t="n">
        <v>1862.45</v>
      </c>
      <c r="K621" s="39" t="n">
        <f aca="false">IF(F621="BUY",J621-I621,I621-J621)</f>
        <v>0.0199999999999818</v>
      </c>
      <c r="L621" s="38" t="n">
        <v>1856.43</v>
      </c>
      <c r="M621" s="39" t="n">
        <f aca="false">ABS(I621-L621)</f>
        <v>6</v>
      </c>
      <c r="N621" s="24" t="n">
        <f aca="false">M621*H621*Summary!$C$6</f>
        <v>30</v>
      </c>
      <c r="O621" s="37" t="n">
        <v>45209.9270833333</v>
      </c>
      <c r="P621" s="22" t="n">
        <f aca="false">ROUND((O621-C621)*86400,0)</f>
        <v>11818</v>
      </c>
      <c r="Q621" s="22" t="str">
        <f aca="false">IF(P621&lt;10,"a) &lt;10s",IF(P621&lt;60,"b) 10-60s",IF(P621&lt;600,"c) 1-10min","d) &gt;10min")))</f>
        <v>d) &gt;10min</v>
      </c>
      <c r="R621" s="38"/>
      <c r="S621" s="38" t="n">
        <v>1858.93</v>
      </c>
      <c r="T621" s="22" t="s">
        <v>191</v>
      </c>
      <c r="U621" s="39" t="str">
        <f aca="false">IF(R621="","",IF(F621="BUY",R621-S621,S621-R621))</f>
        <v/>
      </c>
      <c r="V621" s="39" t="n">
        <f aca="false">IF(F621="BUY",S621-J621,J621-S621)</f>
        <v>-3.51999999999998</v>
      </c>
      <c r="W621" s="6" t="n">
        <v>-17.6</v>
      </c>
      <c r="X621" s="26" t="n">
        <f aca="false">IFERROR(W621/N621,0)</f>
        <v>-0.586666666666667</v>
      </c>
      <c r="Y621" s="22" t="str">
        <f aca="false">IF(W621&gt;0,"Win",IF(W621&lt;0,"Loss","Flat"))</f>
        <v>Loss</v>
      </c>
      <c r="Z621" s="24" t="n">
        <f aca="false">Summary!$C$5+SUM(W$2:W621)</f>
        <v>3012.38</v>
      </c>
      <c r="AA621" s="24" t="n">
        <f aca="false">MAX(AA620,Z621)</f>
        <v>5000</v>
      </c>
      <c r="AB621" s="24" t="n">
        <f aca="false">AA621-Z621</f>
        <v>1987.62</v>
      </c>
      <c r="AC621" s="23" t="n">
        <f aca="false">IFERROR(AB621/AA621,0)</f>
        <v>0.397524</v>
      </c>
      <c r="AD621" s="22" t="s">
        <v>858</v>
      </c>
    </row>
    <row r="622" customFormat="false" ht="15" hidden="false" customHeight="false" outlineLevel="0" collapsed="false">
      <c r="A622" s="22" t="n">
        <v>621</v>
      </c>
      <c r="B622" s="22" t="s">
        <v>138</v>
      </c>
      <c r="C622" s="37" t="n">
        <v>45210.3844907407</v>
      </c>
      <c r="D622" s="22" t="s">
        <v>204</v>
      </c>
      <c r="E622" s="22" t="n">
        <v>9</v>
      </c>
      <c r="F622" s="22" t="s">
        <v>181</v>
      </c>
      <c r="G622" s="22" t="s">
        <v>235</v>
      </c>
      <c r="H622" s="22" t="n">
        <v>0.05</v>
      </c>
      <c r="I622" s="38" t="n">
        <v>1860.58</v>
      </c>
      <c r="J622" s="38" t="n">
        <v>1860.66</v>
      </c>
      <c r="K622" s="39" t="n">
        <f aca="false">IF(F622="BUY",J622-I622,I622-J622)</f>
        <v>0.0800000000001546</v>
      </c>
      <c r="L622" s="38" t="n">
        <v>1854.58</v>
      </c>
      <c r="M622" s="39" t="n">
        <f aca="false">ABS(I622-L622)</f>
        <v>6</v>
      </c>
      <c r="N622" s="24" t="n">
        <f aca="false">M622*H622*Summary!$C$6</f>
        <v>30</v>
      </c>
      <c r="O622" s="37" t="n">
        <v>45210.9270949074</v>
      </c>
      <c r="P622" s="22" t="n">
        <f aca="false">ROUND((O622-C622)*86400,0)</f>
        <v>46881</v>
      </c>
      <c r="Q622" s="22" t="str">
        <f aca="false">IF(P622&lt;10,"a) &lt;10s",IF(P622&lt;60,"b) 10-60s",IF(P622&lt;600,"c) 1-10min","d) &gt;10min")))</f>
        <v>d) &gt;10min</v>
      </c>
      <c r="R622" s="38"/>
      <c r="S622" s="38" t="n">
        <v>1873.91</v>
      </c>
      <c r="T622" s="22" t="s">
        <v>191</v>
      </c>
      <c r="U622" s="39" t="str">
        <f aca="false">IF(R622="","",IF(F622="BUY",R622-S622,S622-R622))</f>
        <v/>
      </c>
      <c r="V622" s="39" t="n">
        <f aca="false">IF(F622="BUY",S622-J622,J622-S622)</f>
        <v>13.25</v>
      </c>
      <c r="W622" s="6" t="n">
        <v>66.25</v>
      </c>
      <c r="X622" s="26" t="n">
        <f aca="false">IFERROR(W622/N622,0)</f>
        <v>2.20833333333333</v>
      </c>
      <c r="Y622" s="22" t="str">
        <f aca="false">IF(W622&gt;0,"Win",IF(W622&lt;0,"Loss","Flat"))</f>
        <v>Win</v>
      </c>
      <c r="Z622" s="24" t="n">
        <f aca="false">Summary!$C$5+SUM(W$2:W622)</f>
        <v>3078.63</v>
      </c>
      <c r="AA622" s="24" t="n">
        <f aca="false">MAX(AA621,Z622)</f>
        <v>5000</v>
      </c>
      <c r="AB622" s="24" t="n">
        <f aca="false">AA622-Z622</f>
        <v>1921.37</v>
      </c>
      <c r="AC622" s="23" t="n">
        <f aca="false">IFERROR(AB622/AA622,0)</f>
        <v>0.384274</v>
      </c>
      <c r="AD622" s="22" t="s">
        <v>859</v>
      </c>
    </row>
    <row r="623" customFormat="false" ht="15" hidden="false" customHeight="false" outlineLevel="0" collapsed="false">
      <c r="A623" s="22" t="n">
        <v>622</v>
      </c>
      <c r="B623" s="22" t="s">
        <v>138</v>
      </c>
      <c r="C623" s="37" t="n">
        <v>45211.1831828704</v>
      </c>
      <c r="D623" s="22" t="s">
        <v>205</v>
      </c>
      <c r="E623" s="22" t="n">
        <v>4</v>
      </c>
      <c r="F623" s="22" t="s">
        <v>181</v>
      </c>
      <c r="G623" s="22" t="s">
        <v>243</v>
      </c>
      <c r="H623" s="22" t="n">
        <v>0.05</v>
      </c>
      <c r="I623" s="38" t="n">
        <v>1877.11</v>
      </c>
      <c r="J623" s="38" t="n">
        <v>1877.11</v>
      </c>
      <c r="K623" s="39" t="n">
        <f aca="false">IF(F623="BUY",J623-I623,I623-J623)</f>
        <v>0</v>
      </c>
      <c r="L623" s="38" t="n">
        <v>1871.11</v>
      </c>
      <c r="M623" s="39" t="n">
        <f aca="false">ABS(I623-L623)</f>
        <v>6</v>
      </c>
      <c r="N623" s="24" t="n">
        <f aca="false">M623*H623*Summary!$C$6</f>
        <v>30</v>
      </c>
      <c r="O623" s="37" t="n">
        <v>45211.6523726852</v>
      </c>
      <c r="P623" s="22" t="n">
        <f aca="false">ROUND((O623-C623)*86400,0)</f>
        <v>40538</v>
      </c>
      <c r="Q623" s="22" t="str">
        <f aca="false">IF(P623&lt;10,"a) &lt;10s",IF(P623&lt;60,"b) 10-60s",IF(P623&lt;600,"c) 1-10min","d) &gt;10min")))</f>
        <v>d) &gt;10min</v>
      </c>
      <c r="R623" s="38" t="n">
        <v>1877.61</v>
      </c>
      <c r="S623" s="38" t="n">
        <v>1877.58</v>
      </c>
      <c r="T623" s="22" t="s">
        <v>189</v>
      </c>
      <c r="U623" s="39" t="n">
        <f aca="false">IF(R623="","",IF(F623="BUY",R623-S623,S623-R623))</f>
        <v>0.0299999999999727</v>
      </c>
      <c r="V623" s="39" t="n">
        <f aca="false">IF(F623="BUY",S623-J623,J623-S623)</f>
        <v>0.470000000000027</v>
      </c>
      <c r="W623" s="6" t="n">
        <v>2.35</v>
      </c>
      <c r="X623" s="26" t="n">
        <f aca="false">IFERROR(W623/N623,0)</f>
        <v>0.0783333333333333</v>
      </c>
      <c r="Y623" s="22" t="str">
        <f aca="false">IF(W623&gt;0,"Win",IF(W623&lt;0,"Loss","Flat"))</f>
        <v>Win</v>
      </c>
      <c r="Z623" s="24" t="n">
        <f aca="false">Summary!$C$5+SUM(W$2:W623)</f>
        <v>3080.98</v>
      </c>
      <c r="AA623" s="24" t="n">
        <f aca="false">MAX(AA622,Z623)</f>
        <v>5000</v>
      </c>
      <c r="AB623" s="24" t="n">
        <f aca="false">AA623-Z623</f>
        <v>1919.02</v>
      </c>
      <c r="AC623" s="23" t="n">
        <f aca="false">IFERROR(AB623/AA623,0)</f>
        <v>0.383804</v>
      </c>
      <c r="AD623" s="22" t="s">
        <v>860</v>
      </c>
    </row>
    <row r="624" customFormat="false" ht="15" hidden="false" customHeight="false" outlineLevel="0" collapsed="false">
      <c r="A624" s="22" t="n">
        <v>623</v>
      </c>
      <c r="B624" s="22" t="s">
        <v>138</v>
      </c>
      <c r="C624" s="37" t="n">
        <v>45211.6535069444</v>
      </c>
      <c r="D624" s="22" t="s">
        <v>205</v>
      </c>
      <c r="E624" s="22" t="n">
        <v>15</v>
      </c>
      <c r="F624" s="22" t="s">
        <v>182</v>
      </c>
      <c r="G624" s="22" t="s">
        <v>241</v>
      </c>
      <c r="H624" s="22" t="n">
        <v>0.05</v>
      </c>
      <c r="I624" s="38" t="n">
        <v>1876.69</v>
      </c>
      <c r="J624" s="38" t="n">
        <v>1876.64</v>
      </c>
      <c r="K624" s="39" t="n">
        <f aca="false">IF(F624="BUY",J624-I624,I624-J624)</f>
        <v>0.0499999999999545</v>
      </c>
      <c r="L624" s="38" t="n">
        <v>1882.69</v>
      </c>
      <c r="M624" s="39" t="n">
        <f aca="false">ABS(I624-L624)</f>
        <v>6</v>
      </c>
      <c r="N624" s="24" t="n">
        <f aca="false">M624*H624*Summary!$C$6</f>
        <v>30</v>
      </c>
      <c r="O624" s="37" t="n">
        <v>45211.7123958333</v>
      </c>
      <c r="P624" s="22" t="n">
        <f aca="false">ROUND((O624-C624)*86400,0)</f>
        <v>5088</v>
      </c>
      <c r="Q624" s="22" t="str">
        <f aca="false">IF(P624&lt;10,"a) &lt;10s",IF(P624&lt;60,"b) 10-60s",IF(P624&lt;600,"c) 1-10min","d) &gt;10min")))</f>
        <v>d) &gt;10min</v>
      </c>
      <c r="R624" s="38" t="n">
        <v>1876.14</v>
      </c>
      <c r="S624" s="38" t="n">
        <v>1876.14</v>
      </c>
      <c r="T624" s="22" t="s">
        <v>189</v>
      </c>
      <c r="U624" s="39" t="n">
        <f aca="false">IF(R624="","",IF(F624="BUY",R624-S624,S624-R624))</f>
        <v>0</v>
      </c>
      <c r="V624" s="39" t="n">
        <f aca="false">IF(F624="BUY",S624-J624,J624-S624)</f>
        <v>0.5</v>
      </c>
      <c r="W624" s="6" t="n">
        <v>2.5</v>
      </c>
      <c r="X624" s="26" t="n">
        <f aca="false">IFERROR(W624/N624,0)</f>
        <v>0.0833333333333333</v>
      </c>
      <c r="Y624" s="22" t="str">
        <f aca="false">IF(W624&gt;0,"Win",IF(W624&lt;0,"Loss","Flat"))</f>
        <v>Win</v>
      </c>
      <c r="Z624" s="24" t="n">
        <f aca="false">Summary!$C$5+SUM(W$2:W624)</f>
        <v>3083.48</v>
      </c>
      <c r="AA624" s="24" t="n">
        <f aca="false">MAX(AA623,Z624)</f>
        <v>5000</v>
      </c>
      <c r="AB624" s="24" t="n">
        <f aca="false">AA624-Z624</f>
        <v>1916.52</v>
      </c>
      <c r="AC624" s="23" t="n">
        <f aca="false">IFERROR(AB624/AA624,0)</f>
        <v>0.383304</v>
      </c>
      <c r="AD624" s="22" t="s">
        <v>861</v>
      </c>
    </row>
    <row r="625" customFormat="false" ht="15" hidden="false" customHeight="false" outlineLevel="0" collapsed="false">
      <c r="A625" s="22" t="n">
        <v>624</v>
      </c>
      <c r="B625" s="22" t="s">
        <v>138</v>
      </c>
      <c r="C625" s="37" t="n">
        <v>45212.4069907407</v>
      </c>
      <c r="D625" s="22" t="s">
        <v>206</v>
      </c>
      <c r="E625" s="22" t="n">
        <v>9</v>
      </c>
      <c r="F625" s="22" t="s">
        <v>181</v>
      </c>
      <c r="G625" s="22" t="s">
        <v>235</v>
      </c>
      <c r="H625" s="22" t="n">
        <v>0.05</v>
      </c>
      <c r="I625" s="38" t="n">
        <v>1877.94</v>
      </c>
      <c r="J625" s="38" t="n">
        <v>1877.95</v>
      </c>
      <c r="K625" s="39" t="n">
        <f aca="false">IF(F625="BUY",J625-I625,I625-J625)</f>
        <v>0.00999999999999091</v>
      </c>
      <c r="L625" s="38" t="n">
        <v>1871.94</v>
      </c>
      <c r="M625" s="39" t="n">
        <f aca="false">ABS(I625-L625)</f>
        <v>6</v>
      </c>
      <c r="N625" s="24" t="n">
        <f aca="false">M625*H625*Summary!$C$6</f>
        <v>30</v>
      </c>
      <c r="O625" s="37" t="n">
        <v>45212.6461111111</v>
      </c>
      <c r="P625" s="22" t="n">
        <f aca="false">ROUND((O625-C625)*86400,0)</f>
        <v>20660</v>
      </c>
      <c r="Q625" s="22" t="str">
        <f aca="false">IF(P625&lt;10,"a) &lt;10s",IF(P625&lt;60,"b) 10-60s",IF(P625&lt;600,"c) 1-10min","d) &gt;10min")))</f>
        <v>d) &gt;10min</v>
      </c>
      <c r="R625" s="38"/>
      <c r="S625" s="38" t="n">
        <v>1908.02</v>
      </c>
      <c r="T625" s="22" t="s">
        <v>187</v>
      </c>
      <c r="U625" s="39" t="str">
        <f aca="false">IF(R625="","",IF(F625="BUY",R625-S625,S625-R625))</f>
        <v/>
      </c>
      <c r="V625" s="39" t="n">
        <f aca="false">IF(F625="BUY",S625-J625,J625-S625)</f>
        <v>30.0699999999999</v>
      </c>
      <c r="W625" s="6" t="n">
        <v>150.35</v>
      </c>
      <c r="X625" s="26" t="n">
        <f aca="false">IFERROR(W625/N625,0)</f>
        <v>5.01166666666667</v>
      </c>
      <c r="Y625" s="22" t="str">
        <f aca="false">IF(W625&gt;0,"Win",IF(W625&lt;0,"Loss","Flat"))</f>
        <v>Win</v>
      </c>
      <c r="Z625" s="24" t="n">
        <f aca="false">Summary!$C$5+SUM(W$2:W625)</f>
        <v>3233.83</v>
      </c>
      <c r="AA625" s="24" t="n">
        <f aca="false">MAX(AA624,Z625)</f>
        <v>5000</v>
      </c>
      <c r="AB625" s="24" t="n">
        <f aca="false">AA625-Z625</f>
        <v>1766.17</v>
      </c>
      <c r="AC625" s="23" t="n">
        <f aca="false">IFERROR(AB625/AA625,0)</f>
        <v>0.353234</v>
      </c>
      <c r="AD625" s="22" t="s">
        <v>862</v>
      </c>
    </row>
    <row r="626" customFormat="false" ht="15" hidden="false" customHeight="false" outlineLevel="0" collapsed="false">
      <c r="A626" s="22" t="n">
        <v>625</v>
      </c>
      <c r="B626" s="22" t="s">
        <v>138</v>
      </c>
      <c r="C626" s="37" t="n">
        <v>45215.3759722222</v>
      </c>
      <c r="D626" s="22" t="s">
        <v>202</v>
      </c>
      <c r="E626" s="22" t="n">
        <v>9</v>
      </c>
      <c r="F626" s="22" t="s">
        <v>182</v>
      </c>
      <c r="G626" s="22" t="s">
        <v>241</v>
      </c>
      <c r="H626" s="22" t="n">
        <v>0.05</v>
      </c>
      <c r="I626" s="38" t="n">
        <v>1914.11</v>
      </c>
      <c r="J626" s="38" t="n">
        <v>1914.03</v>
      </c>
      <c r="K626" s="39" t="n">
        <f aca="false">IF(F626="BUY",J626-I626,I626-J626)</f>
        <v>0.0799999999999272</v>
      </c>
      <c r="L626" s="38" t="n">
        <v>1920.11</v>
      </c>
      <c r="M626" s="39" t="n">
        <f aca="false">ABS(I626-L626)</f>
        <v>6</v>
      </c>
      <c r="N626" s="24" t="n">
        <f aca="false">M626*H626*Summary!$C$6</f>
        <v>30</v>
      </c>
      <c r="O626" s="37" t="n">
        <v>45215.4622222222</v>
      </c>
      <c r="P626" s="22" t="n">
        <f aca="false">ROUND((O626-C626)*86400,0)</f>
        <v>7452</v>
      </c>
      <c r="Q626" s="22" t="str">
        <f aca="false">IF(P626&lt;10,"a) &lt;10s",IF(P626&lt;60,"b) 10-60s",IF(P626&lt;600,"c) 1-10min","d) &gt;10min")))</f>
        <v>d) &gt;10min</v>
      </c>
      <c r="R626" s="38" t="n">
        <v>1913.53</v>
      </c>
      <c r="S626" s="38" t="n">
        <v>1913.63</v>
      </c>
      <c r="T626" s="22" t="s">
        <v>189</v>
      </c>
      <c r="U626" s="39" t="n">
        <f aca="false">IF(R626="","",IF(F626="BUY",R626-S626,S626-R626))</f>
        <v>0.100000000000136</v>
      </c>
      <c r="V626" s="39" t="n">
        <f aca="false">IF(F626="BUY",S626-J626,J626-S626)</f>
        <v>0.399999999999864</v>
      </c>
      <c r="W626" s="6" t="n">
        <v>2</v>
      </c>
      <c r="X626" s="26" t="n">
        <f aca="false">IFERROR(W626/N626,0)</f>
        <v>0.0666666666666667</v>
      </c>
      <c r="Y626" s="22" t="str">
        <f aca="false">IF(W626&gt;0,"Win",IF(W626&lt;0,"Loss","Flat"))</f>
        <v>Win</v>
      </c>
      <c r="Z626" s="24" t="n">
        <f aca="false">Summary!$C$5+SUM(W$2:W626)</f>
        <v>3235.83</v>
      </c>
      <c r="AA626" s="24" t="n">
        <f aca="false">MAX(AA625,Z626)</f>
        <v>5000</v>
      </c>
      <c r="AB626" s="24" t="n">
        <f aca="false">AA626-Z626</f>
        <v>1764.17</v>
      </c>
      <c r="AC626" s="23" t="n">
        <f aca="false">IFERROR(AB626/AA626,0)</f>
        <v>0.352834</v>
      </c>
      <c r="AD626" s="22" t="s">
        <v>863</v>
      </c>
    </row>
    <row r="627" customFormat="false" ht="15" hidden="false" customHeight="false" outlineLevel="0" collapsed="false">
      <c r="A627" s="22" t="n">
        <v>626</v>
      </c>
      <c r="B627" s="22" t="s">
        <v>138</v>
      </c>
      <c r="C627" s="37" t="n">
        <v>45216.3750462963</v>
      </c>
      <c r="D627" s="22" t="s">
        <v>203</v>
      </c>
      <c r="E627" s="22" t="n">
        <v>9</v>
      </c>
      <c r="F627" s="22" t="s">
        <v>181</v>
      </c>
      <c r="G627" s="22" t="s">
        <v>235</v>
      </c>
      <c r="H627" s="22" t="n">
        <v>0.05</v>
      </c>
      <c r="I627" s="38" t="n">
        <v>1916.89</v>
      </c>
      <c r="J627" s="38" t="n">
        <v>1916.9</v>
      </c>
      <c r="K627" s="39" t="n">
        <f aca="false">IF(F627="BUY",J627-I627,I627-J627)</f>
        <v>0.00999999999999091</v>
      </c>
      <c r="L627" s="38" t="n">
        <v>1910.89</v>
      </c>
      <c r="M627" s="39" t="n">
        <f aca="false">ABS(I627-L627)</f>
        <v>6</v>
      </c>
      <c r="N627" s="24" t="n">
        <f aca="false">M627*H627*Summary!$C$6</f>
        <v>30</v>
      </c>
      <c r="O627" s="37" t="n">
        <v>45216.9270833333</v>
      </c>
      <c r="P627" s="22" t="n">
        <f aca="false">ROUND((O627-C627)*86400,0)</f>
        <v>47696</v>
      </c>
      <c r="Q627" s="22" t="str">
        <f aca="false">IF(P627&lt;10,"a) &lt;10s",IF(P627&lt;60,"b) 10-60s",IF(P627&lt;600,"c) 1-10min","d) &gt;10min")))</f>
        <v>d) &gt;10min</v>
      </c>
      <c r="R627" s="38"/>
      <c r="S627" s="38" t="n">
        <v>1923.82</v>
      </c>
      <c r="T627" s="22" t="s">
        <v>191</v>
      </c>
      <c r="U627" s="39" t="str">
        <f aca="false">IF(R627="","",IF(F627="BUY",R627-S627,S627-R627))</f>
        <v/>
      </c>
      <c r="V627" s="39" t="n">
        <f aca="false">IF(F627="BUY",S627-J627,J627-S627)</f>
        <v>6.91999999999985</v>
      </c>
      <c r="W627" s="6" t="n">
        <v>34.6</v>
      </c>
      <c r="X627" s="26" t="n">
        <f aca="false">IFERROR(W627/N627,0)</f>
        <v>1.15333333333333</v>
      </c>
      <c r="Y627" s="22" t="str">
        <f aca="false">IF(W627&gt;0,"Win",IF(W627&lt;0,"Loss","Flat"))</f>
        <v>Win</v>
      </c>
      <c r="Z627" s="24" t="n">
        <f aca="false">Summary!$C$5+SUM(W$2:W627)</f>
        <v>3270.43</v>
      </c>
      <c r="AA627" s="24" t="n">
        <f aca="false">MAX(AA626,Z627)</f>
        <v>5000</v>
      </c>
      <c r="AB627" s="24" t="n">
        <f aca="false">AA627-Z627</f>
        <v>1729.57</v>
      </c>
      <c r="AC627" s="23" t="n">
        <f aca="false">IFERROR(AB627/AA627,0)</f>
        <v>0.345914</v>
      </c>
      <c r="AD627" s="22" t="s">
        <v>864</v>
      </c>
    </row>
    <row r="628" customFormat="false" ht="15" hidden="false" customHeight="false" outlineLevel="0" collapsed="false">
      <c r="A628" s="22" t="n">
        <v>627</v>
      </c>
      <c r="B628" s="22" t="s">
        <v>138</v>
      </c>
      <c r="C628" s="37" t="n">
        <v>45217.1857060185</v>
      </c>
      <c r="D628" s="22" t="s">
        <v>204</v>
      </c>
      <c r="E628" s="22" t="n">
        <v>4</v>
      </c>
      <c r="F628" s="22" t="s">
        <v>181</v>
      </c>
      <c r="G628" s="22" t="s">
        <v>243</v>
      </c>
      <c r="H628" s="22" t="n">
        <v>0.05</v>
      </c>
      <c r="I628" s="38" t="n">
        <v>1931.41</v>
      </c>
      <c r="J628" s="38" t="n">
        <v>1931.42</v>
      </c>
      <c r="K628" s="39" t="n">
        <f aca="false">IF(F628="BUY",J628-I628,I628-J628)</f>
        <v>0.00999999999999091</v>
      </c>
      <c r="L628" s="38" t="n">
        <v>1925.41</v>
      </c>
      <c r="M628" s="39" t="n">
        <f aca="false">ABS(I628-L628)</f>
        <v>6</v>
      </c>
      <c r="N628" s="24" t="n">
        <f aca="false">M628*H628*Summary!$C$6</f>
        <v>30</v>
      </c>
      <c r="O628" s="37" t="n">
        <v>45217.699537037</v>
      </c>
      <c r="P628" s="22" t="n">
        <f aca="false">ROUND((O628-C628)*86400,0)</f>
        <v>44395</v>
      </c>
      <c r="Q628" s="22" t="str">
        <f aca="false">IF(P628&lt;10,"a) &lt;10s",IF(P628&lt;60,"b) 10-60s",IF(P628&lt;600,"c) 1-10min","d) &gt;10min")))</f>
        <v>d) &gt;10min</v>
      </c>
      <c r="R628" s="38"/>
      <c r="S628" s="38" t="n">
        <v>1961.45</v>
      </c>
      <c r="T628" s="22" t="s">
        <v>187</v>
      </c>
      <c r="U628" s="39" t="str">
        <f aca="false">IF(R628="","",IF(F628="BUY",R628-S628,S628-R628))</f>
        <v/>
      </c>
      <c r="V628" s="39" t="n">
        <f aca="false">IF(F628="BUY",S628-J628,J628-S628)</f>
        <v>30.03</v>
      </c>
      <c r="W628" s="6" t="n">
        <v>150.15</v>
      </c>
      <c r="X628" s="26" t="n">
        <f aca="false">IFERROR(W628/N628,0)</f>
        <v>5.005</v>
      </c>
      <c r="Y628" s="22" t="str">
        <f aca="false">IF(W628&gt;0,"Win",IF(W628&lt;0,"Loss","Flat"))</f>
        <v>Win</v>
      </c>
      <c r="Z628" s="24" t="n">
        <f aca="false">Summary!$C$5+SUM(W$2:W628)</f>
        <v>3420.58</v>
      </c>
      <c r="AA628" s="24" t="n">
        <f aca="false">MAX(AA627,Z628)</f>
        <v>5000</v>
      </c>
      <c r="AB628" s="24" t="n">
        <f aca="false">AA628-Z628</f>
        <v>1579.42</v>
      </c>
      <c r="AC628" s="23" t="n">
        <f aca="false">IFERROR(AB628/AA628,0)</f>
        <v>0.315884</v>
      </c>
      <c r="AD628" s="22" t="s">
        <v>865</v>
      </c>
    </row>
    <row r="629" customFormat="false" ht="15" hidden="false" customHeight="false" outlineLevel="0" collapsed="false">
      <c r="A629" s="22" t="n">
        <v>628</v>
      </c>
      <c r="B629" s="22" t="s">
        <v>138</v>
      </c>
      <c r="C629" s="37" t="n">
        <v>45218.4206481482</v>
      </c>
      <c r="D629" s="22" t="s">
        <v>205</v>
      </c>
      <c r="E629" s="22" t="n">
        <v>10</v>
      </c>
      <c r="F629" s="22" t="s">
        <v>181</v>
      </c>
      <c r="G629" s="22" t="s">
        <v>235</v>
      </c>
      <c r="H629" s="22" t="n">
        <v>0.05</v>
      </c>
      <c r="I629" s="38" t="n">
        <v>1949.14</v>
      </c>
      <c r="J629" s="38" t="n">
        <v>1949.18</v>
      </c>
      <c r="K629" s="39" t="n">
        <f aca="false">IF(F629="BUY",J629-I629,I629-J629)</f>
        <v>0.0399999999999636</v>
      </c>
      <c r="L629" s="38" t="n">
        <v>1943.14</v>
      </c>
      <c r="M629" s="39" t="n">
        <f aca="false">ABS(I629-L629)</f>
        <v>6</v>
      </c>
      <c r="N629" s="24" t="n">
        <f aca="false">M629*H629*Summary!$C$6</f>
        <v>30</v>
      </c>
      <c r="O629" s="37" t="n">
        <v>45218.4562037037</v>
      </c>
      <c r="P629" s="22" t="n">
        <f aca="false">ROUND((O629-C629)*86400,0)</f>
        <v>3072</v>
      </c>
      <c r="Q629" s="22" t="str">
        <f aca="false">IF(P629&lt;10,"a) &lt;10s",IF(P629&lt;60,"b) 10-60s",IF(P629&lt;600,"c) 1-10min","d) &gt;10min")))</f>
        <v>d) &gt;10min</v>
      </c>
      <c r="R629" s="38" t="n">
        <v>1949.68</v>
      </c>
      <c r="S629" s="38" t="n">
        <v>1949.68</v>
      </c>
      <c r="T629" s="22" t="s">
        <v>189</v>
      </c>
      <c r="U629" s="39" t="n">
        <f aca="false">IF(R629="","",IF(F629="BUY",R629-S629,S629-R629))</f>
        <v>0</v>
      </c>
      <c r="V629" s="39" t="n">
        <f aca="false">IF(F629="BUY",S629-J629,J629-S629)</f>
        <v>0.5</v>
      </c>
      <c r="W629" s="6" t="n">
        <v>2.5</v>
      </c>
      <c r="X629" s="26" t="n">
        <f aca="false">IFERROR(W629/N629,0)</f>
        <v>0.0833333333333333</v>
      </c>
      <c r="Y629" s="22" t="str">
        <f aca="false">IF(W629&gt;0,"Win",IF(W629&lt;0,"Loss","Flat"))</f>
        <v>Win</v>
      </c>
      <c r="Z629" s="24" t="n">
        <f aca="false">Summary!$C$5+SUM(W$2:W629)</f>
        <v>3423.08</v>
      </c>
      <c r="AA629" s="24" t="n">
        <f aca="false">MAX(AA628,Z629)</f>
        <v>5000</v>
      </c>
      <c r="AB629" s="24" t="n">
        <f aca="false">AA629-Z629</f>
        <v>1576.92</v>
      </c>
      <c r="AC629" s="23" t="n">
        <f aca="false">IFERROR(AB629/AA629,0)</f>
        <v>0.315384</v>
      </c>
      <c r="AD629" s="22" t="s">
        <v>866</v>
      </c>
    </row>
    <row r="630" customFormat="false" ht="15" hidden="false" customHeight="false" outlineLevel="0" collapsed="false">
      <c r="A630" s="22" t="n">
        <v>629</v>
      </c>
      <c r="B630" s="22" t="s">
        <v>138</v>
      </c>
      <c r="C630" s="37" t="n">
        <v>45218.8334027778</v>
      </c>
      <c r="D630" s="22" t="s">
        <v>205</v>
      </c>
      <c r="E630" s="22" t="n">
        <v>20</v>
      </c>
      <c r="F630" s="22" t="s">
        <v>181</v>
      </c>
      <c r="G630" s="22" t="s">
        <v>243</v>
      </c>
      <c r="H630" s="22" t="n">
        <v>0.05</v>
      </c>
      <c r="I630" s="38" t="n">
        <v>1962.55</v>
      </c>
      <c r="J630" s="38" t="n">
        <v>1962.55</v>
      </c>
      <c r="K630" s="39" t="n">
        <f aca="false">IF(F630="BUY",J630-I630,I630-J630)</f>
        <v>0</v>
      </c>
      <c r="L630" s="38" t="n">
        <v>1956.55</v>
      </c>
      <c r="M630" s="39" t="n">
        <f aca="false">ABS(I630-L630)</f>
        <v>6</v>
      </c>
      <c r="N630" s="24" t="n">
        <f aca="false">M630*H630*Summary!$C$6</f>
        <v>30</v>
      </c>
      <c r="O630" s="37" t="n">
        <v>45218.9270833333</v>
      </c>
      <c r="P630" s="22" t="n">
        <f aca="false">ROUND((O630-C630)*86400,0)</f>
        <v>8094</v>
      </c>
      <c r="Q630" s="22" t="str">
        <f aca="false">IF(P630&lt;10,"a) &lt;10s",IF(P630&lt;60,"b) 10-60s",IF(P630&lt;600,"c) 1-10min","d) &gt;10min")))</f>
        <v>d) &gt;10min</v>
      </c>
      <c r="R630" s="38"/>
      <c r="S630" s="38" t="n">
        <v>1975.92</v>
      </c>
      <c r="T630" s="22" t="s">
        <v>191</v>
      </c>
      <c r="U630" s="39" t="str">
        <f aca="false">IF(R630="","",IF(F630="BUY",R630-S630,S630-R630))</f>
        <v/>
      </c>
      <c r="V630" s="39" t="n">
        <f aca="false">IF(F630="BUY",S630-J630,J630-S630)</f>
        <v>13.3700000000001</v>
      </c>
      <c r="W630" s="6" t="n">
        <v>66.85</v>
      </c>
      <c r="X630" s="26" t="n">
        <f aca="false">IFERROR(W630/N630,0)</f>
        <v>2.22833333333333</v>
      </c>
      <c r="Y630" s="22" t="str">
        <f aca="false">IF(W630&gt;0,"Win",IF(W630&lt;0,"Loss","Flat"))</f>
        <v>Win</v>
      </c>
      <c r="Z630" s="24" t="n">
        <f aca="false">Summary!$C$5+SUM(W$2:W630)</f>
        <v>3489.93</v>
      </c>
      <c r="AA630" s="24" t="n">
        <f aca="false">MAX(AA629,Z630)</f>
        <v>5000</v>
      </c>
      <c r="AB630" s="24" t="n">
        <f aca="false">AA630-Z630</f>
        <v>1510.07</v>
      </c>
      <c r="AC630" s="23" t="n">
        <f aca="false">IFERROR(AB630/AA630,0)</f>
        <v>0.302014</v>
      </c>
      <c r="AD630" s="22" t="s">
        <v>867</v>
      </c>
    </row>
    <row r="631" customFormat="false" ht="15" hidden="false" customHeight="false" outlineLevel="0" collapsed="false">
      <c r="A631" s="22" t="n">
        <v>630</v>
      </c>
      <c r="B631" s="22" t="s">
        <v>138</v>
      </c>
      <c r="C631" s="37" t="n">
        <v>45219.0904398148</v>
      </c>
      <c r="D631" s="22" t="s">
        <v>206</v>
      </c>
      <c r="E631" s="22" t="n">
        <v>2</v>
      </c>
      <c r="F631" s="22" t="s">
        <v>181</v>
      </c>
      <c r="G631" s="22" t="s">
        <v>243</v>
      </c>
      <c r="H631" s="22" t="n">
        <v>0.05</v>
      </c>
      <c r="I631" s="38" t="n">
        <v>1977.58</v>
      </c>
      <c r="J631" s="38" t="n">
        <v>1977.6</v>
      </c>
      <c r="K631" s="39" t="n">
        <f aca="false">IF(F631="BUY",J631-I631,I631-J631)</f>
        <v>0.0199999999999818</v>
      </c>
      <c r="L631" s="38" t="n">
        <v>1971.58</v>
      </c>
      <c r="M631" s="39" t="n">
        <f aca="false">ABS(I631-L631)</f>
        <v>6</v>
      </c>
      <c r="N631" s="24" t="n">
        <f aca="false">M631*H631*Summary!$C$6</f>
        <v>30</v>
      </c>
      <c r="O631" s="37" t="n">
        <v>45219.1058333333</v>
      </c>
      <c r="P631" s="22" t="n">
        <f aca="false">ROUND((O631-C631)*86400,0)</f>
        <v>1330</v>
      </c>
      <c r="Q631" s="22" t="str">
        <f aca="false">IF(P631&lt;10,"a) &lt;10s",IF(P631&lt;60,"b) 10-60s",IF(P631&lt;600,"c) 1-10min","d) &gt;10min")))</f>
        <v>d) &gt;10min</v>
      </c>
      <c r="R631" s="38" t="n">
        <v>1978.1</v>
      </c>
      <c r="S631" s="38" t="n">
        <v>1977.99</v>
      </c>
      <c r="T631" s="22" t="s">
        <v>189</v>
      </c>
      <c r="U631" s="39" t="n">
        <f aca="false">IF(R631="","",IF(F631="BUY",R631-S631,S631-R631))</f>
        <v>0.1099999999999</v>
      </c>
      <c r="V631" s="39" t="n">
        <f aca="false">IF(F631="BUY",S631-J631,J631-S631)</f>
        <v>0.3900000000001</v>
      </c>
      <c r="W631" s="6" t="n">
        <v>1.95</v>
      </c>
      <c r="X631" s="26" t="n">
        <f aca="false">IFERROR(W631/N631,0)</f>
        <v>0.065</v>
      </c>
      <c r="Y631" s="22" t="str">
        <f aca="false">IF(W631&gt;0,"Win",IF(W631&lt;0,"Loss","Flat"))</f>
        <v>Win</v>
      </c>
      <c r="Z631" s="24" t="n">
        <f aca="false">Summary!$C$5+SUM(W$2:W631)</f>
        <v>3491.88</v>
      </c>
      <c r="AA631" s="24" t="n">
        <f aca="false">MAX(AA630,Z631)</f>
        <v>5000</v>
      </c>
      <c r="AB631" s="24" t="n">
        <f aca="false">AA631-Z631</f>
        <v>1508.12</v>
      </c>
      <c r="AC631" s="23" t="n">
        <f aca="false">IFERROR(AB631/AA631,0)</f>
        <v>0.301624</v>
      </c>
      <c r="AD631" s="22" t="s">
        <v>868</v>
      </c>
    </row>
    <row r="632" customFormat="false" ht="15" hidden="false" customHeight="false" outlineLevel="0" collapsed="false">
      <c r="A632" s="22" t="n">
        <v>631</v>
      </c>
      <c r="B632" s="22" t="s">
        <v>138</v>
      </c>
      <c r="C632" s="37" t="n">
        <v>45219.3811111111</v>
      </c>
      <c r="D632" s="22" t="s">
        <v>206</v>
      </c>
      <c r="E632" s="22" t="n">
        <v>9</v>
      </c>
      <c r="F632" s="22" t="s">
        <v>181</v>
      </c>
      <c r="G632" s="22" t="s">
        <v>235</v>
      </c>
      <c r="H632" s="22" t="n">
        <v>0.05</v>
      </c>
      <c r="I632" s="38" t="n">
        <v>1979.91</v>
      </c>
      <c r="J632" s="38" t="n">
        <v>1979.91</v>
      </c>
      <c r="K632" s="39" t="n">
        <f aca="false">IF(F632="BUY",J632-I632,I632-J632)</f>
        <v>0</v>
      </c>
      <c r="L632" s="38" t="n">
        <v>1973.91</v>
      </c>
      <c r="M632" s="39" t="n">
        <f aca="false">ABS(I632-L632)</f>
        <v>6</v>
      </c>
      <c r="N632" s="24" t="n">
        <f aca="false">M632*H632*Summary!$C$6</f>
        <v>30</v>
      </c>
      <c r="O632" s="37" t="n">
        <v>45219.4509259259</v>
      </c>
      <c r="P632" s="22" t="n">
        <f aca="false">ROUND((O632-C632)*86400,0)</f>
        <v>6032</v>
      </c>
      <c r="Q632" s="22" t="str">
        <f aca="false">IF(P632&lt;10,"a) &lt;10s",IF(P632&lt;60,"b) 10-60s",IF(P632&lt;600,"c) 1-10min","d) &gt;10min")))</f>
        <v>d) &gt;10min</v>
      </c>
      <c r="R632" s="38" t="n">
        <v>1980.41</v>
      </c>
      <c r="S632" s="38" t="n">
        <v>1980.38</v>
      </c>
      <c r="T632" s="22" t="s">
        <v>189</v>
      </c>
      <c r="U632" s="39" t="n">
        <f aca="false">IF(R632="","",IF(F632="BUY",R632-S632,S632-R632))</f>
        <v>0.0299999999999727</v>
      </c>
      <c r="V632" s="39" t="n">
        <f aca="false">IF(F632="BUY",S632-J632,J632-S632)</f>
        <v>0.470000000000027</v>
      </c>
      <c r="W632" s="6" t="n">
        <v>2.35</v>
      </c>
      <c r="X632" s="26" t="n">
        <f aca="false">IFERROR(W632/N632,0)</f>
        <v>0.0783333333333333</v>
      </c>
      <c r="Y632" s="22" t="str">
        <f aca="false">IF(W632&gt;0,"Win",IF(W632&lt;0,"Loss","Flat"))</f>
        <v>Win</v>
      </c>
      <c r="Z632" s="24" t="n">
        <f aca="false">Summary!$C$5+SUM(W$2:W632)</f>
        <v>3494.23</v>
      </c>
      <c r="AA632" s="24" t="n">
        <f aca="false">MAX(AA631,Z632)</f>
        <v>5000</v>
      </c>
      <c r="AB632" s="24" t="n">
        <f aca="false">AA632-Z632</f>
        <v>1505.77</v>
      </c>
      <c r="AC632" s="23" t="n">
        <f aca="false">IFERROR(AB632/AA632,0)</f>
        <v>0.301154</v>
      </c>
      <c r="AD632" s="22" t="s">
        <v>869</v>
      </c>
    </row>
    <row r="633" customFormat="false" ht="15" hidden="false" customHeight="false" outlineLevel="0" collapsed="false">
      <c r="A633" s="22" t="n">
        <v>632</v>
      </c>
      <c r="B633" s="22" t="s">
        <v>138</v>
      </c>
      <c r="C633" s="37" t="n">
        <v>45222.3775578704</v>
      </c>
      <c r="D633" s="22" t="s">
        <v>202</v>
      </c>
      <c r="E633" s="22" t="n">
        <v>9</v>
      </c>
      <c r="F633" s="22" t="s">
        <v>181</v>
      </c>
      <c r="G633" s="22" t="s">
        <v>235</v>
      </c>
      <c r="H633" s="22" t="n">
        <v>0.05</v>
      </c>
      <c r="I633" s="38" t="n">
        <v>1976.65</v>
      </c>
      <c r="J633" s="38" t="n">
        <v>1976.68</v>
      </c>
      <c r="K633" s="39" t="n">
        <f aca="false">IF(F633="BUY",J633-I633,I633-J633)</f>
        <v>0.0299999999999727</v>
      </c>
      <c r="L633" s="38" t="n">
        <v>1970.65</v>
      </c>
      <c r="M633" s="39" t="n">
        <f aca="false">ABS(I633-L633)</f>
        <v>6</v>
      </c>
      <c r="N633" s="24" t="n">
        <f aca="false">M633*H633*Summary!$C$6</f>
        <v>30</v>
      </c>
      <c r="O633" s="37" t="n">
        <v>45222.5369328704</v>
      </c>
      <c r="P633" s="22" t="n">
        <f aca="false">ROUND((O633-C633)*86400,0)</f>
        <v>13770</v>
      </c>
      <c r="Q633" s="22" t="str">
        <f aca="false">IF(P633&lt;10,"a) &lt;10s",IF(P633&lt;60,"b) 10-60s",IF(P633&lt;600,"c) 1-10min","d) &gt;10min")))</f>
        <v>d) &gt;10min</v>
      </c>
      <c r="R633" s="38" t="n">
        <v>1977.18</v>
      </c>
      <c r="S633" s="38" t="n">
        <v>1977.14</v>
      </c>
      <c r="T633" s="22" t="s">
        <v>189</v>
      </c>
      <c r="U633" s="39" t="n">
        <f aca="false">IF(R633="","",IF(F633="BUY",R633-S633,S633-R633))</f>
        <v>0.0399999999999636</v>
      </c>
      <c r="V633" s="39" t="n">
        <f aca="false">IF(F633="BUY",S633-J633,J633-S633)</f>
        <v>0.460000000000036</v>
      </c>
      <c r="W633" s="6" t="n">
        <v>2.3</v>
      </c>
      <c r="X633" s="26" t="n">
        <f aca="false">IFERROR(W633/N633,0)</f>
        <v>0.0766666666666667</v>
      </c>
      <c r="Y633" s="22" t="str">
        <f aca="false">IF(W633&gt;0,"Win",IF(W633&lt;0,"Loss","Flat"))</f>
        <v>Win</v>
      </c>
      <c r="Z633" s="24" t="n">
        <f aca="false">Summary!$C$5+SUM(W$2:W633)</f>
        <v>3496.53</v>
      </c>
      <c r="AA633" s="24" t="n">
        <f aca="false">MAX(AA632,Z633)</f>
        <v>5000</v>
      </c>
      <c r="AB633" s="24" t="n">
        <f aca="false">AA633-Z633</f>
        <v>1503.47</v>
      </c>
      <c r="AC633" s="23" t="n">
        <f aca="false">IFERROR(AB633/AA633,0)</f>
        <v>0.300694</v>
      </c>
      <c r="AD633" s="22" t="s">
        <v>870</v>
      </c>
    </row>
    <row r="634" customFormat="false" ht="15" hidden="false" customHeight="false" outlineLevel="0" collapsed="false">
      <c r="A634" s="22" t="n">
        <v>633</v>
      </c>
      <c r="B634" s="22" t="s">
        <v>138</v>
      </c>
      <c r="C634" s="37" t="n">
        <v>45223.3774189815</v>
      </c>
      <c r="D634" s="22" t="s">
        <v>203</v>
      </c>
      <c r="E634" s="22" t="n">
        <v>9</v>
      </c>
      <c r="F634" s="22" t="s">
        <v>181</v>
      </c>
      <c r="G634" s="22" t="s">
        <v>235</v>
      </c>
      <c r="H634" s="22" t="n">
        <v>0.05</v>
      </c>
      <c r="I634" s="38" t="n">
        <v>1977.3</v>
      </c>
      <c r="J634" s="38" t="n">
        <v>1977.31</v>
      </c>
      <c r="K634" s="39" t="n">
        <f aca="false">IF(F634="BUY",J634-I634,I634-J634)</f>
        <v>0.00999999999999091</v>
      </c>
      <c r="L634" s="38" t="n">
        <v>1971.3</v>
      </c>
      <c r="M634" s="39" t="n">
        <f aca="false">ABS(I634-L634)</f>
        <v>6</v>
      </c>
      <c r="N634" s="24" t="n">
        <f aca="false">M634*H634*Summary!$C$6</f>
        <v>30</v>
      </c>
      <c r="O634" s="37" t="n">
        <v>45223.4900578704</v>
      </c>
      <c r="P634" s="22" t="n">
        <f aca="false">ROUND((O634-C634)*86400,0)</f>
        <v>9732</v>
      </c>
      <c r="Q634" s="22" t="str">
        <f aca="false">IF(P634&lt;10,"a) &lt;10s",IF(P634&lt;60,"b) 10-60s",IF(P634&lt;600,"c) 1-10min","d) &gt;10min")))</f>
        <v>d) &gt;10min</v>
      </c>
      <c r="R634" s="38" t="n">
        <v>1971.3</v>
      </c>
      <c r="S634" s="38" t="n">
        <v>1971.27</v>
      </c>
      <c r="T634" s="22" t="s">
        <v>188</v>
      </c>
      <c r="U634" s="39" t="n">
        <f aca="false">IF(R634="","",IF(F634="BUY",R634-S634,S634-R634))</f>
        <v>0.0299999999999727</v>
      </c>
      <c r="V634" s="39" t="n">
        <f aca="false">IF(F634="BUY",S634-J634,J634-S634)</f>
        <v>-6.03999999999996</v>
      </c>
      <c r="W634" s="6" t="n">
        <v>-30.2</v>
      </c>
      <c r="X634" s="26" t="n">
        <f aca="false">IFERROR(W634/N634,0)</f>
        <v>-1.00666666666667</v>
      </c>
      <c r="Y634" s="22" t="str">
        <f aca="false">IF(W634&gt;0,"Win",IF(W634&lt;0,"Loss","Flat"))</f>
        <v>Loss</v>
      </c>
      <c r="Z634" s="24" t="n">
        <f aca="false">Summary!$C$5+SUM(W$2:W634)</f>
        <v>3466.33</v>
      </c>
      <c r="AA634" s="24" t="n">
        <f aca="false">MAX(AA633,Z634)</f>
        <v>5000</v>
      </c>
      <c r="AB634" s="24" t="n">
        <f aca="false">AA634-Z634</f>
        <v>1533.67</v>
      </c>
      <c r="AC634" s="23" t="n">
        <f aca="false">IFERROR(AB634/AA634,0)</f>
        <v>0.306734</v>
      </c>
      <c r="AD634" s="22" t="s">
        <v>871</v>
      </c>
    </row>
    <row r="635" customFormat="false" ht="15" hidden="false" customHeight="false" outlineLevel="0" collapsed="false">
      <c r="A635" s="22" t="n">
        <v>634</v>
      </c>
      <c r="B635" s="22" t="s">
        <v>138</v>
      </c>
      <c r="C635" s="37" t="n">
        <v>45223.5578472222</v>
      </c>
      <c r="D635" s="22" t="s">
        <v>203</v>
      </c>
      <c r="E635" s="22" t="n">
        <v>13</v>
      </c>
      <c r="F635" s="22" t="s">
        <v>182</v>
      </c>
      <c r="G635" s="22" t="s">
        <v>237</v>
      </c>
      <c r="H635" s="22" t="n">
        <v>0.05</v>
      </c>
      <c r="I635" s="38" t="n">
        <v>1964.28</v>
      </c>
      <c r="J635" s="38" t="n">
        <v>1964.28</v>
      </c>
      <c r="K635" s="39" t="n">
        <f aca="false">IF(F635="BUY",J635-I635,I635-J635)</f>
        <v>0</v>
      </c>
      <c r="L635" s="38" t="n">
        <v>1970.28</v>
      </c>
      <c r="M635" s="39" t="n">
        <f aca="false">ABS(I635-L635)</f>
        <v>6</v>
      </c>
      <c r="N635" s="24" t="n">
        <f aca="false">M635*H635*Summary!$C$6</f>
        <v>30</v>
      </c>
      <c r="O635" s="37" t="n">
        <v>45223.6160648148</v>
      </c>
      <c r="P635" s="22" t="n">
        <f aca="false">ROUND((O635-C635)*86400,0)</f>
        <v>5030</v>
      </c>
      <c r="Q635" s="22" t="str">
        <f aca="false">IF(P635&lt;10,"a) &lt;10s",IF(P635&lt;60,"b) 10-60s",IF(P635&lt;600,"c) 1-10min","d) &gt;10min")))</f>
        <v>d) &gt;10min</v>
      </c>
      <c r="R635" s="38" t="n">
        <v>1963.78</v>
      </c>
      <c r="S635" s="38" t="n">
        <v>1963.78</v>
      </c>
      <c r="T635" s="22" t="s">
        <v>189</v>
      </c>
      <c r="U635" s="39" t="n">
        <f aca="false">IF(R635="","",IF(F635="BUY",R635-S635,S635-R635))</f>
        <v>0</v>
      </c>
      <c r="V635" s="39" t="n">
        <f aca="false">IF(F635="BUY",S635-J635,J635-S635)</f>
        <v>0.5</v>
      </c>
      <c r="W635" s="6" t="n">
        <v>2.5</v>
      </c>
      <c r="X635" s="26" t="n">
        <f aca="false">IFERROR(W635/N635,0)</f>
        <v>0.0833333333333333</v>
      </c>
      <c r="Y635" s="22" t="str">
        <f aca="false">IF(W635&gt;0,"Win",IF(W635&lt;0,"Loss","Flat"))</f>
        <v>Win</v>
      </c>
      <c r="Z635" s="24" t="n">
        <f aca="false">Summary!$C$5+SUM(W$2:W635)</f>
        <v>3468.83</v>
      </c>
      <c r="AA635" s="24" t="n">
        <f aca="false">MAX(AA634,Z635)</f>
        <v>5000</v>
      </c>
      <c r="AB635" s="24" t="n">
        <f aca="false">AA635-Z635</f>
        <v>1531.17</v>
      </c>
      <c r="AC635" s="23" t="n">
        <f aca="false">IFERROR(AB635/AA635,0)</f>
        <v>0.306234</v>
      </c>
      <c r="AD635" s="22" t="s">
        <v>872</v>
      </c>
    </row>
    <row r="636" customFormat="false" ht="15" hidden="false" customHeight="false" outlineLevel="0" collapsed="false">
      <c r="A636" s="22" t="n">
        <v>635</v>
      </c>
      <c r="B636" s="22" t="s">
        <v>138</v>
      </c>
      <c r="C636" s="37" t="n">
        <v>45224.3831597222</v>
      </c>
      <c r="D636" s="22" t="s">
        <v>204</v>
      </c>
      <c r="E636" s="22" t="n">
        <v>9</v>
      </c>
      <c r="F636" s="22" t="s">
        <v>181</v>
      </c>
      <c r="G636" s="22" t="s">
        <v>235</v>
      </c>
      <c r="H636" s="22" t="n">
        <v>0.05</v>
      </c>
      <c r="I636" s="38" t="n">
        <v>1974.45</v>
      </c>
      <c r="J636" s="38" t="n">
        <v>1974.45</v>
      </c>
      <c r="K636" s="39" t="n">
        <f aca="false">IF(F636="BUY",J636-I636,I636-J636)</f>
        <v>0</v>
      </c>
      <c r="L636" s="38" t="n">
        <v>1968.45</v>
      </c>
      <c r="M636" s="39" t="n">
        <f aca="false">ABS(I636-L636)</f>
        <v>6</v>
      </c>
      <c r="N636" s="24" t="n">
        <f aca="false">M636*H636*Summary!$C$6</f>
        <v>30</v>
      </c>
      <c r="O636" s="37" t="n">
        <v>45224.4369791667</v>
      </c>
      <c r="P636" s="22" t="n">
        <f aca="false">ROUND((O636-C636)*86400,0)</f>
        <v>4650</v>
      </c>
      <c r="Q636" s="22" t="str">
        <f aca="false">IF(P636&lt;10,"a) &lt;10s",IF(P636&lt;60,"b) 10-60s",IF(P636&lt;600,"c) 1-10min","d) &gt;10min")))</f>
        <v>d) &gt;10min</v>
      </c>
      <c r="R636" s="38" t="n">
        <v>1968.45</v>
      </c>
      <c r="S636" s="38" t="n">
        <v>1968.44</v>
      </c>
      <c r="T636" s="22" t="s">
        <v>188</v>
      </c>
      <c r="U636" s="39" t="n">
        <f aca="false">IF(R636="","",IF(F636="BUY",R636-S636,S636-R636))</f>
        <v>0.00999999999999091</v>
      </c>
      <c r="V636" s="39" t="n">
        <f aca="false">IF(F636="BUY",S636-J636,J636-S636)</f>
        <v>-6.00999999999999</v>
      </c>
      <c r="W636" s="6" t="n">
        <v>-30.05</v>
      </c>
      <c r="X636" s="26" t="n">
        <f aca="false">IFERROR(W636/N636,0)</f>
        <v>-1.00166666666667</v>
      </c>
      <c r="Y636" s="22" t="str">
        <f aca="false">IF(W636&gt;0,"Win",IF(W636&lt;0,"Loss","Flat"))</f>
        <v>Loss</v>
      </c>
      <c r="Z636" s="24" t="n">
        <f aca="false">Summary!$C$5+SUM(W$2:W636)</f>
        <v>3438.78</v>
      </c>
      <c r="AA636" s="24" t="n">
        <f aca="false">MAX(AA635,Z636)</f>
        <v>5000</v>
      </c>
      <c r="AB636" s="24" t="n">
        <f aca="false">AA636-Z636</f>
        <v>1561.22</v>
      </c>
      <c r="AC636" s="23" t="n">
        <f aca="false">IFERROR(AB636/AA636,0)</f>
        <v>0.312244</v>
      </c>
      <c r="AD636" s="22" t="s">
        <v>873</v>
      </c>
    </row>
    <row r="637" customFormat="false" ht="15" hidden="false" customHeight="false" outlineLevel="0" collapsed="false">
      <c r="A637" s="22" t="n">
        <v>636</v>
      </c>
      <c r="B637" s="22" t="s">
        <v>138</v>
      </c>
      <c r="C637" s="37" t="n">
        <v>45224.7001851852</v>
      </c>
      <c r="D637" s="22" t="s">
        <v>204</v>
      </c>
      <c r="E637" s="22" t="n">
        <v>16</v>
      </c>
      <c r="F637" s="22" t="s">
        <v>181</v>
      </c>
      <c r="G637" s="22" t="s">
        <v>243</v>
      </c>
      <c r="H637" s="22" t="n">
        <v>0.05</v>
      </c>
      <c r="I637" s="38" t="n">
        <v>1980.74</v>
      </c>
      <c r="J637" s="38" t="n">
        <v>1980.78</v>
      </c>
      <c r="K637" s="39" t="n">
        <f aca="false">IF(F637="BUY",J637-I637,I637-J637)</f>
        <v>0.0399999999999636</v>
      </c>
      <c r="L637" s="38" t="n">
        <v>1974.74</v>
      </c>
      <c r="M637" s="39" t="n">
        <f aca="false">ABS(I637-L637)</f>
        <v>6</v>
      </c>
      <c r="N637" s="24" t="n">
        <f aca="false">M637*H637*Summary!$C$6</f>
        <v>30</v>
      </c>
      <c r="O637" s="37" t="n">
        <v>45224.7131828704</v>
      </c>
      <c r="P637" s="22" t="n">
        <f aca="false">ROUND((O637-C637)*86400,0)</f>
        <v>1123</v>
      </c>
      <c r="Q637" s="22" t="str">
        <f aca="false">IF(P637&lt;10,"a) &lt;10s",IF(P637&lt;60,"b) 10-60s",IF(P637&lt;600,"c) 1-10min","d) &gt;10min")))</f>
        <v>d) &gt;10min</v>
      </c>
      <c r="R637" s="38" t="n">
        <v>1981.28</v>
      </c>
      <c r="S637" s="38" t="n">
        <v>1981.22</v>
      </c>
      <c r="T637" s="22" t="s">
        <v>189</v>
      </c>
      <c r="U637" s="39" t="n">
        <f aca="false">IF(R637="","",IF(F637="BUY",R637-S637,S637-R637))</f>
        <v>0.0599999999999454</v>
      </c>
      <c r="V637" s="39" t="n">
        <f aca="false">IF(F637="BUY",S637-J637,J637-S637)</f>
        <v>0.440000000000055</v>
      </c>
      <c r="W637" s="6" t="n">
        <v>2.2</v>
      </c>
      <c r="X637" s="26" t="n">
        <f aca="false">IFERROR(W637/N637,0)</f>
        <v>0.0733333333333333</v>
      </c>
      <c r="Y637" s="22" t="str">
        <f aca="false">IF(W637&gt;0,"Win",IF(W637&lt;0,"Loss","Flat"))</f>
        <v>Win</v>
      </c>
      <c r="Z637" s="24" t="n">
        <f aca="false">Summary!$C$5+SUM(W$2:W637)</f>
        <v>3440.98</v>
      </c>
      <c r="AA637" s="24" t="n">
        <f aca="false">MAX(AA636,Z637)</f>
        <v>5000</v>
      </c>
      <c r="AB637" s="24" t="n">
        <f aca="false">AA637-Z637</f>
        <v>1559.02</v>
      </c>
      <c r="AC637" s="23" t="n">
        <f aca="false">IFERROR(AB637/AA637,0)</f>
        <v>0.311804</v>
      </c>
      <c r="AD637" s="22" t="s">
        <v>874</v>
      </c>
    </row>
    <row r="638" customFormat="false" ht="15" hidden="false" customHeight="false" outlineLevel="0" collapsed="false">
      <c r="A638" s="22" t="n">
        <v>637</v>
      </c>
      <c r="B638" s="22" t="s">
        <v>138</v>
      </c>
      <c r="C638" s="37" t="n">
        <v>45225.2121875</v>
      </c>
      <c r="D638" s="22" t="s">
        <v>205</v>
      </c>
      <c r="E638" s="22" t="n">
        <v>5</v>
      </c>
      <c r="F638" s="22" t="s">
        <v>181</v>
      </c>
      <c r="G638" s="22" t="s">
        <v>243</v>
      </c>
      <c r="H638" s="22" t="n">
        <v>0.05</v>
      </c>
      <c r="I638" s="38" t="n">
        <v>1987.12</v>
      </c>
      <c r="J638" s="38" t="n">
        <v>1987.13</v>
      </c>
      <c r="K638" s="39" t="n">
        <f aca="false">IF(F638="BUY",J638-I638,I638-J638)</f>
        <v>0.0100000000002183</v>
      </c>
      <c r="L638" s="38" t="n">
        <v>1981.12</v>
      </c>
      <c r="M638" s="39" t="n">
        <f aca="false">ABS(I638-L638)</f>
        <v>6</v>
      </c>
      <c r="N638" s="24" t="n">
        <f aca="false">M638*H638*Summary!$C$6</f>
        <v>30</v>
      </c>
      <c r="O638" s="37" t="n">
        <v>45225.3536458333</v>
      </c>
      <c r="P638" s="22" t="n">
        <f aca="false">ROUND((O638-C638)*86400,0)</f>
        <v>12222</v>
      </c>
      <c r="Q638" s="22" t="str">
        <f aca="false">IF(P638&lt;10,"a) &lt;10s",IF(P638&lt;60,"b) 10-60s",IF(P638&lt;600,"c) 1-10min","d) &gt;10min")))</f>
        <v>d) &gt;10min</v>
      </c>
      <c r="R638" s="38" t="n">
        <v>1987.63</v>
      </c>
      <c r="S638" s="38" t="n">
        <v>1987.62</v>
      </c>
      <c r="T638" s="22" t="s">
        <v>189</v>
      </c>
      <c r="U638" s="39" t="n">
        <f aca="false">IF(R638="","",IF(F638="BUY",R638-S638,S638-R638))</f>
        <v>0.0100000000002183</v>
      </c>
      <c r="V638" s="39" t="n">
        <f aca="false">IF(F638="BUY",S638-J638,J638-S638)</f>
        <v>0.489999999999782</v>
      </c>
      <c r="W638" s="6" t="n">
        <v>2.45</v>
      </c>
      <c r="X638" s="26" t="n">
        <f aca="false">IFERROR(W638/N638,0)</f>
        <v>0.0816666666666667</v>
      </c>
      <c r="Y638" s="22" t="str">
        <f aca="false">IF(W638&gt;0,"Win",IF(W638&lt;0,"Loss","Flat"))</f>
        <v>Win</v>
      </c>
      <c r="Z638" s="24" t="n">
        <f aca="false">Summary!$C$5+SUM(W$2:W638)</f>
        <v>3443.43</v>
      </c>
      <c r="AA638" s="24" t="n">
        <f aca="false">MAX(AA637,Z638)</f>
        <v>5000</v>
      </c>
      <c r="AB638" s="24" t="n">
        <f aca="false">AA638-Z638</f>
        <v>1556.57</v>
      </c>
      <c r="AC638" s="23" t="n">
        <f aca="false">IFERROR(AB638/AA638,0)</f>
        <v>0.311314</v>
      </c>
      <c r="AD638" s="22" t="s">
        <v>875</v>
      </c>
    </row>
    <row r="639" customFormat="false" ht="15" hidden="false" customHeight="false" outlineLevel="0" collapsed="false">
      <c r="A639" s="22" t="n">
        <v>638</v>
      </c>
      <c r="B639" s="22" t="s">
        <v>138</v>
      </c>
      <c r="C639" s="37" t="n">
        <v>45225.3780787037</v>
      </c>
      <c r="D639" s="22" t="s">
        <v>205</v>
      </c>
      <c r="E639" s="22" t="n">
        <v>9</v>
      </c>
      <c r="F639" s="22" t="s">
        <v>182</v>
      </c>
      <c r="G639" s="22" t="s">
        <v>241</v>
      </c>
      <c r="H639" s="22" t="n">
        <v>0.05</v>
      </c>
      <c r="I639" s="38" t="n">
        <v>1984.71</v>
      </c>
      <c r="J639" s="38" t="n">
        <v>1984.69</v>
      </c>
      <c r="K639" s="39" t="n">
        <f aca="false">IF(F639="BUY",J639-I639,I639-J639)</f>
        <v>0.0199999999999818</v>
      </c>
      <c r="L639" s="38" t="n">
        <v>1990.71</v>
      </c>
      <c r="M639" s="39" t="n">
        <f aca="false">ABS(I639-L639)</f>
        <v>6</v>
      </c>
      <c r="N639" s="24" t="n">
        <f aca="false">M639*H639*Summary!$C$6</f>
        <v>30</v>
      </c>
      <c r="O639" s="37" t="n">
        <v>45225.4601041667</v>
      </c>
      <c r="P639" s="22" t="n">
        <f aca="false">ROUND((O639-C639)*86400,0)</f>
        <v>7087</v>
      </c>
      <c r="Q639" s="22" t="str">
        <f aca="false">IF(P639&lt;10,"a) &lt;10s",IF(P639&lt;60,"b) 10-60s",IF(P639&lt;600,"c) 1-10min","d) &gt;10min")))</f>
        <v>d) &gt;10min</v>
      </c>
      <c r="R639" s="38" t="n">
        <v>1990.71</v>
      </c>
      <c r="S639" s="38" t="n">
        <v>1990.71</v>
      </c>
      <c r="T639" s="22" t="s">
        <v>188</v>
      </c>
      <c r="U639" s="39" t="n">
        <f aca="false">IF(R639="","",IF(F639="BUY",R639-S639,S639-R639))</f>
        <v>0</v>
      </c>
      <c r="V639" s="39" t="n">
        <f aca="false">IF(F639="BUY",S639-J639,J639-S639)</f>
        <v>-6.01999999999998</v>
      </c>
      <c r="W639" s="6" t="n">
        <v>-30.1</v>
      </c>
      <c r="X639" s="26" t="n">
        <f aca="false">IFERROR(W639/N639,0)</f>
        <v>-1.00333333333333</v>
      </c>
      <c r="Y639" s="22" t="str">
        <f aca="false">IF(W639&gt;0,"Win",IF(W639&lt;0,"Loss","Flat"))</f>
        <v>Loss</v>
      </c>
      <c r="Z639" s="24" t="n">
        <f aca="false">Summary!$C$5+SUM(W$2:W639)</f>
        <v>3413.33</v>
      </c>
      <c r="AA639" s="24" t="n">
        <f aca="false">MAX(AA638,Z639)</f>
        <v>5000</v>
      </c>
      <c r="AB639" s="24" t="n">
        <f aca="false">AA639-Z639</f>
        <v>1586.67</v>
      </c>
      <c r="AC639" s="23" t="n">
        <f aca="false">IFERROR(AB639/AA639,0)</f>
        <v>0.317334</v>
      </c>
      <c r="AD639" s="22" t="s">
        <v>876</v>
      </c>
    </row>
    <row r="640" customFormat="false" ht="15" hidden="false" customHeight="false" outlineLevel="0" collapsed="false">
      <c r="A640" s="22" t="n">
        <v>639</v>
      </c>
      <c r="B640" s="22" t="s">
        <v>138</v>
      </c>
      <c r="C640" s="37" t="n">
        <v>45226.3803009259</v>
      </c>
      <c r="D640" s="22" t="s">
        <v>206</v>
      </c>
      <c r="E640" s="22" t="n">
        <v>9</v>
      </c>
      <c r="F640" s="22" t="s">
        <v>181</v>
      </c>
      <c r="G640" s="22" t="s">
        <v>235</v>
      </c>
      <c r="H640" s="22" t="n">
        <v>0.05</v>
      </c>
      <c r="I640" s="38" t="n">
        <v>1989.84</v>
      </c>
      <c r="J640" s="38" t="n">
        <v>1989.87</v>
      </c>
      <c r="K640" s="39" t="n">
        <f aca="false">IF(F640="BUY",J640-I640,I640-J640)</f>
        <v>0.0299999999999727</v>
      </c>
      <c r="L640" s="38" t="n">
        <v>1983.84</v>
      </c>
      <c r="M640" s="39" t="n">
        <f aca="false">ABS(I640-L640)</f>
        <v>6</v>
      </c>
      <c r="N640" s="24" t="n">
        <f aca="false">M640*H640*Summary!$C$6</f>
        <v>30</v>
      </c>
      <c r="O640" s="37" t="n">
        <v>45226.5634027778</v>
      </c>
      <c r="P640" s="22" t="n">
        <f aca="false">ROUND((O640-C640)*86400,0)</f>
        <v>15820</v>
      </c>
      <c r="Q640" s="22" t="str">
        <f aca="false">IF(P640&lt;10,"a) &lt;10s",IF(P640&lt;60,"b) 10-60s",IF(P640&lt;600,"c) 1-10min","d) &gt;10min")))</f>
        <v>d) &gt;10min</v>
      </c>
      <c r="R640" s="38" t="n">
        <v>1983.84</v>
      </c>
      <c r="S640" s="38" t="n">
        <v>1983.84</v>
      </c>
      <c r="T640" s="22" t="s">
        <v>188</v>
      </c>
      <c r="U640" s="39" t="n">
        <f aca="false">IF(R640="","",IF(F640="BUY",R640-S640,S640-R640))</f>
        <v>0</v>
      </c>
      <c r="V640" s="39" t="n">
        <f aca="false">IF(F640="BUY",S640-J640,J640-S640)</f>
        <v>-6.02999999999997</v>
      </c>
      <c r="W640" s="6" t="n">
        <v>-30.15</v>
      </c>
      <c r="X640" s="26" t="n">
        <f aca="false">IFERROR(W640/N640,0)</f>
        <v>-1.005</v>
      </c>
      <c r="Y640" s="22" t="str">
        <f aca="false">IF(W640&gt;0,"Win",IF(W640&lt;0,"Loss","Flat"))</f>
        <v>Loss</v>
      </c>
      <c r="Z640" s="24" t="n">
        <f aca="false">Summary!$C$5+SUM(W$2:W640)</f>
        <v>3383.18</v>
      </c>
      <c r="AA640" s="24" t="n">
        <f aca="false">MAX(AA639,Z640)</f>
        <v>5000</v>
      </c>
      <c r="AB640" s="24" t="n">
        <f aca="false">AA640-Z640</f>
        <v>1616.82</v>
      </c>
      <c r="AC640" s="23" t="n">
        <f aca="false">IFERROR(AB640/AA640,0)</f>
        <v>0.323364</v>
      </c>
      <c r="AD640" s="22" t="s">
        <v>877</v>
      </c>
    </row>
    <row r="641" customFormat="false" ht="15" hidden="false" customHeight="false" outlineLevel="0" collapsed="false">
      <c r="A641" s="22" t="n">
        <v>640</v>
      </c>
      <c r="B641" s="22" t="s">
        <v>138</v>
      </c>
      <c r="C641" s="37" t="n">
        <v>45226.8610300926</v>
      </c>
      <c r="D641" s="22" t="s">
        <v>206</v>
      </c>
      <c r="E641" s="22" t="n">
        <v>20</v>
      </c>
      <c r="F641" s="22" t="s">
        <v>181</v>
      </c>
      <c r="G641" s="22" t="s">
        <v>243</v>
      </c>
      <c r="H641" s="22" t="n">
        <v>0.05</v>
      </c>
      <c r="I641" s="38" t="n">
        <v>1993.39</v>
      </c>
      <c r="J641" s="38" t="n">
        <v>1994.16</v>
      </c>
      <c r="K641" s="39" t="n">
        <f aca="false">IF(F641="BUY",J641-I641,I641-J641)</f>
        <v>0.769999999999982</v>
      </c>
      <c r="L641" s="38" t="n">
        <v>1987.39</v>
      </c>
      <c r="M641" s="39" t="n">
        <f aca="false">ABS(I641-L641)</f>
        <v>6</v>
      </c>
      <c r="N641" s="24" t="n">
        <f aca="false">M641*H641*Summary!$C$6</f>
        <v>30</v>
      </c>
      <c r="O641" s="37" t="n">
        <v>45226.9270833333</v>
      </c>
      <c r="P641" s="22" t="n">
        <f aca="false">ROUND((O641-C641)*86400,0)</f>
        <v>5707</v>
      </c>
      <c r="Q641" s="22" t="str">
        <f aca="false">IF(P641&lt;10,"a) &lt;10s",IF(P641&lt;60,"b) 10-60s",IF(P641&lt;600,"c) 1-10min","d) &gt;10min")))</f>
        <v>d) &gt;10min</v>
      </c>
      <c r="R641" s="38"/>
      <c r="S641" s="38" t="n">
        <v>2008.73</v>
      </c>
      <c r="T641" s="22" t="s">
        <v>191</v>
      </c>
      <c r="U641" s="39" t="str">
        <f aca="false">IF(R641="","",IF(F641="BUY",R641-S641,S641-R641))</f>
        <v/>
      </c>
      <c r="V641" s="39" t="n">
        <f aca="false">IF(F641="BUY",S641-J641,J641-S641)</f>
        <v>14.5699999999999</v>
      </c>
      <c r="W641" s="6" t="n">
        <v>72.85</v>
      </c>
      <c r="X641" s="26" t="n">
        <f aca="false">IFERROR(W641/N641,0)</f>
        <v>2.42833333333333</v>
      </c>
      <c r="Y641" s="22" t="str">
        <f aca="false">IF(W641&gt;0,"Win",IF(W641&lt;0,"Loss","Flat"))</f>
        <v>Win</v>
      </c>
      <c r="Z641" s="24" t="n">
        <f aca="false">Summary!$C$5+SUM(W$2:W641)</f>
        <v>3456.03</v>
      </c>
      <c r="AA641" s="24" t="n">
        <f aca="false">MAX(AA640,Z641)</f>
        <v>5000</v>
      </c>
      <c r="AB641" s="24" t="n">
        <f aca="false">AA641-Z641</f>
        <v>1543.97</v>
      </c>
      <c r="AC641" s="23" t="n">
        <f aca="false">IFERROR(AB641/AA641,0)</f>
        <v>0.308794</v>
      </c>
      <c r="AD641" s="22" t="s">
        <v>878</v>
      </c>
    </row>
    <row r="642" customFormat="false" ht="15" hidden="false" customHeight="false" outlineLevel="0" collapsed="false">
      <c r="A642" s="22" t="n">
        <v>641</v>
      </c>
      <c r="B642" s="22" t="s">
        <v>138</v>
      </c>
      <c r="C642" s="37" t="n">
        <v>45229.3805092593</v>
      </c>
      <c r="D642" s="22" t="s">
        <v>202</v>
      </c>
      <c r="E642" s="22" t="n">
        <v>9</v>
      </c>
      <c r="F642" s="22" t="s">
        <v>182</v>
      </c>
      <c r="G642" s="22" t="s">
        <v>241</v>
      </c>
      <c r="H642" s="22" t="n">
        <v>0.05</v>
      </c>
      <c r="I642" s="38" t="n">
        <v>1999.39</v>
      </c>
      <c r="J642" s="38" t="n">
        <v>1999.32</v>
      </c>
      <c r="K642" s="39" t="n">
        <f aca="false">IF(F642="BUY",J642-I642,I642-J642)</f>
        <v>0.0700000000001637</v>
      </c>
      <c r="L642" s="38" t="n">
        <v>2005.39</v>
      </c>
      <c r="M642" s="39" t="n">
        <f aca="false">ABS(I642-L642)</f>
        <v>6</v>
      </c>
      <c r="N642" s="24" t="n">
        <f aca="false">M642*H642*Summary!$C$6</f>
        <v>30</v>
      </c>
      <c r="O642" s="37" t="n">
        <v>45229.6467824074</v>
      </c>
      <c r="P642" s="22" t="n">
        <f aca="false">ROUND((O642-C642)*86400,0)</f>
        <v>23006</v>
      </c>
      <c r="Q642" s="22" t="str">
        <f aca="false">IF(P642&lt;10,"a) &lt;10s",IF(P642&lt;60,"b) 10-60s",IF(P642&lt;600,"c) 1-10min","d) &gt;10min")))</f>
        <v>d) &gt;10min</v>
      </c>
      <c r="R642" s="38" t="n">
        <v>1998.82</v>
      </c>
      <c r="S642" s="38" t="n">
        <v>1998.82</v>
      </c>
      <c r="T642" s="22" t="s">
        <v>189</v>
      </c>
      <c r="U642" s="39" t="n">
        <f aca="false">IF(R642="","",IF(F642="BUY",R642-S642,S642-R642))</f>
        <v>0</v>
      </c>
      <c r="V642" s="39" t="n">
        <f aca="false">IF(F642="BUY",S642-J642,J642-S642)</f>
        <v>0.5</v>
      </c>
      <c r="W642" s="6" t="n">
        <v>2.5</v>
      </c>
      <c r="X642" s="26" t="n">
        <f aca="false">IFERROR(W642/N642,0)</f>
        <v>0.0833333333333333</v>
      </c>
      <c r="Y642" s="22" t="str">
        <f aca="false">IF(W642&gt;0,"Win",IF(W642&lt;0,"Loss","Flat"))</f>
        <v>Win</v>
      </c>
      <c r="Z642" s="24" t="n">
        <f aca="false">Summary!$C$5+SUM(W$2:W642)</f>
        <v>3458.53</v>
      </c>
      <c r="AA642" s="24" t="n">
        <f aca="false">MAX(AA641,Z642)</f>
        <v>5000</v>
      </c>
      <c r="AB642" s="24" t="n">
        <f aca="false">AA642-Z642</f>
        <v>1541.47</v>
      </c>
      <c r="AC642" s="23" t="n">
        <f aca="false">IFERROR(AB642/AA642,0)</f>
        <v>0.308294</v>
      </c>
      <c r="AD642" s="22" t="s">
        <v>879</v>
      </c>
    </row>
    <row r="643" customFormat="false" ht="15" hidden="false" customHeight="false" outlineLevel="0" collapsed="false">
      <c r="A643" s="22" t="n">
        <v>642</v>
      </c>
      <c r="B643" s="22" t="s">
        <v>138</v>
      </c>
      <c r="C643" s="37" t="n">
        <v>45230.3222453704</v>
      </c>
      <c r="D643" s="22" t="s">
        <v>203</v>
      </c>
      <c r="E643" s="22" t="n">
        <v>7</v>
      </c>
      <c r="F643" s="22" t="s">
        <v>182</v>
      </c>
      <c r="G643" s="22" t="s">
        <v>237</v>
      </c>
      <c r="H643" s="22" t="n">
        <v>0.05</v>
      </c>
      <c r="I643" s="38" t="n">
        <v>1990.84</v>
      </c>
      <c r="J643" s="38" t="n">
        <v>1990.8</v>
      </c>
      <c r="K643" s="39" t="n">
        <f aca="false">IF(F643="BUY",J643-I643,I643-J643)</f>
        <v>0.0399999999999636</v>
      </c>
      <c r="L643" s="38" t="n">
        <v>1996.84</v>
      </c>
      <c r="M643" s="39" t="n">
        <f aca="false">ABS(I643-L643)</f>
        <v>6</v>
      </c>
      <c r="N643" s="24" t="n">
        <f aca="false">M643*H643*Summary!$C$6</f>
        <v>30</v>
      </c>
      <c r="O643" s="37" t="n">
        <v>45230.4417361111</v>
      </c>
      <c r="P643" s="22" t="n">
        <f aca="false">ROUND((O643-C643)*86400,0)</f>
        <v>10324</v>
      </c>
      <c r="Q643" s="22" t="str">
        <f aca="false">IF(P643&lt;10,"a) &lt;10s",IF(P643&lt;60,"b) 10-60s",IF(P643&lt;600,"c) 1-10min","d) &gt;10min")))</f>
        <v>d) &gt;10min</v>
      </c>
      <c r="R643" s="38" t="n">
        <v>1996.84</v>
      </c>
      <c r="S643" s="38" t="n">
        <v>1996.88</v>
      </c>
      <c r="T643" s="22" t="s">
        <v>188</v>
      </c>
      <c r="U643" s="39" t="n">
        <f aca="false">IF(R643="","",IF(F643="BUY",R643-S643,S643-R643))</f>
        <v>0.040000000000191</v>
      </c>
      <c r="V643" s="39" t="n">
        <f aca="false">IF(F643="BUY",S643-J643,J643-S643)</f>
        <v>-6.08000000000016</v>
      </c>
      <c r="W643" s="6" t="n">
        <v>-30.4</v>
      </c>
      <c r="X643" s="26" t="n">
        <f aca="false">IFERROR(W643/N643,0)</f>
        <v>-1.01333333333333</v>
      </c>
      <c r="Y643" s="22" t="str">
        <f aca="false">IF(W643&gt;0,"Win",IF(W643&lt;0,"Loss","Flat"))</f>
        <v>Loss</v>
      </c>
      <c r="Z643" s="24" t="n">
        <f aca="false">Summary!$C$5+SUM(W$2:W643)</f>
        <v>3428.13</v>
      </c>
      <c r="AA643" s="24" t="n">
        <f aca="false">MAX(AA642,Z643)</f>
        <v>5000</v>
      </c>
      <c r="AB643" s="24" t="n">
        <f aca="false">AA643-Z643</f>
        <v>1571.87</v>
      </c>
      <c r="AC643" s="23" t="n">
        <f aca="false">IFERROR(AB643/AA643,0)</f>
        <v>0.314374</v>
      </c>
      <c r="AD643" s="22" t="s">
        <v>880</v>
      </c>
    </row>
    <row r="644" customFormat="false" ht="15" hidden="false" customHeight="false" outlineLevel="0" collapsed="false">
      <c r="A644" s="22" t="n">
        <v>643</v>
      </c>
      <c r="B644" s="22" t="s">
        <v>138</v>
      </c>
      <c r="C644" s="37" t="n">
        <v>45230.7976388889</v>
      </c>
      <c r="D644" s="22" t="s">
        <v>203</v>
      </c>
      <c r="E644" s="22" t="n">
        <v>19</v>
      </c>
      <c r="F644" s="22" t="s">
        <v>182</v>
      </c>
      <c r="G644" s="22" t="s">
        <v>241</v>
      </c>
      <c r="H644" s="22" t="n">
        <v>0.05</v>
      </c>
      <c r="I644" s="38" t="n">
        <v>1990.48</v>
      </c>
      <c r="J644" s="38" t="n">
        <v>1989.94</v>
      </c>
      <c r="K644" s="39" t="n">
        <f aca="false">IF(F644="BUY",J644-I644,I644-J644)</f>
        <v>0.539999999999964</v>
      </c>
      <c r="L644" s="38" t="n">
        <v>1996.48</v>
      </c>
      <c r="M644" s="39" t="n">
        <f aca="false">ABS(I644-L644)</f>
        <v>6</v>
      </c>
      <c r="N644" s="24" t="n">
        <f aca="false">M644*H644*Summary!$C$6</f>
        <v>30</v>
      </c>
      <c r="O644" s="37" t="n">
        <v>45230.8006481482</v>
      </c>
      <c r="P644" s="22" t="n">
        <f aca="false">ROUND((O644-C644)*86400,0)</f>
        <v>260</v>
      </c>
      <c r="Q644" s="22" t="str">
        <f aca="false">IF(P644&lt;10,"a) &lt;10s",IF(P644&lt;60,"b) 10-60s",IF(P644&lt;600,"c) 1-10min","d) &gt;10min")))</f>
        <v>c) 1-10min</v>
      </c>
      <c r="R644" s="38" t="n">
        <v>1989.44</v>
      </c>
      <c r="S644" s="38" t="n">
        <v>1989.45</v>
      </c>
      <c r="T644" s="22" t="s">
        <v>189</v>
      </c>
      <c r="U644" s="39" t="n">
        <f aca="false">IF(R644="","",IF(F644="BUY",R644-S644,S644-R644))</f>
        <v>0.00999999999999091</v>
      </c>
      <c r="V644" s="39" t="n">
        <f aca="false">IF(F644="BUY",S644-J644,J644-S644)</f>
        <v>0.490000000000009</v>
      </c>
      <c r="W644" s="6" t="n">
        <v>2.45</v>
      </c>
      <c r="X644" s="26" t="n">
        <f aca="false">IFERROR(W644/N644,0)</f>
        <v>0.0816666666666667</v>
      </c>
      <c r="Y644" s="22" t="str">
        <f aca="false">IF(W644&gt;0,"Win",IF(W644&lt;0,"Loss","Flat"))</f>
        <v>Win</v>
      </c>
      <c r="Z644" s="24" t="n">
        <f aca="false">Summary!$C$5+SUM(W$2:W644)</f>
        <v>3430.58</v>
      </c>
      <c r="AA644" s="24" t="n">
        <f aca="false">MAX(AA643,Z644)</f>
        <v>5000</v>
      </c>
      <c r="AB644" s="24" t="n">
        <f aca="false">AA644-Z644</f>
        <v>1569.42</v>
      </c>
      <c r="AC644" s="23" t="n">
        <f aca="false">IFERROR(AB644/AA644,0)</f>
        <v>0.313884</v>
      </c>
      <c r="AD644" s="22" t="s">
        <v>881</v>
      </c>
    </row>
    <row r="645" customFormat="false" ht="15" hidden="false" customHeight="false" outlineLevel="0" collapsed="false">
      <c r="A645" s="22" t="n">
        <v>644</v>
      </c>
      <c r="B645" s="22" t="s">
        <v>139</v>
      </c>
      <c r="C645" s="37" t="n">
        <v>45231.1616898148</v>
      </c>
      <c r="D645" s="22" t="s">
        <v>204</v>
      </c>
      <c r="E645" s="22" t="n">
        <v>3</v>
      </c>
      <c r="F645" s="22" t="s">
        <v>182</v>
      </c>
      <c r="G645" s="22" t="s">
        <v>237</v>
      </c>
      <c r="H645" s="22" t="n">
        <v>0.05</v>
      </c>
      <c r="I645" s="38" t="n">
        <v>1978.74</v>
      </c>
      <c r="J645" s="38" t="n">
        <v>1978.72</v>
      </c>
      <c r="K645" s="39" t="n">
        <f aca="false">IF(F645="BUY",J645-I645,I645-J645)</f>
        <v>0.0199999999999818</v>
      </c>
      <c r="L645" s="38" t="n">
        <v>1984.74</v>
      </c>
      <c r="M645" s="39" t="n">
        <f aca="false">ABS(I645-L645)</f>
        <v>6</v>
      </c>
      <c r="N645" s="24" t="n">
        <f aca="false">M645*H645*Summary!$C$6</f>
        <v>30</v>
      </c>
      <c r="O645" s="37" t="n">
        <v>45231.3170138889</v>
      </c>
      <c r="P645" s="22" t="n">
        <f aca="false">ROUND((O645-C645)*86400,0)</f>
        <v>13420</v>
      </c>
      <c r="Q645" s="22" t="str">
        <f aca="false">IF(P645&lt;10,"a) &lt;10s",IF(P645&lt;60,"b) 10-60s",IF(P645&lt;600,"c) 1-10min","d) &gt;10min")))</f>
        <v>d) &gt;10min</v>
      </c>
      <c r="R645" s="38" t="n">
        <v>1978.22</v>
      </c>
      <c r="S645" s="38" t="n">
        <v>1978.23</v>
      </c>
      <c r="T645" s="22" t="s">
        <v>189</v>
      </c>
      <c r="U645" s="39" t="n">
        <f aca="false">IF(R645="","",IF(F645="BUY",R645-S645,S645-R645))</f>
        <v>0.00999999999999091</v>
      </c>
      <c r="V645" s="39" t="n">
        <f aca="false">IF(F645="BUY",S645-J645,J645-S645)</f>
        <v>0.490000000000009</v>
      </c>
      <c r="W645" s="6" t="n">
        <v>2.45</v>
      </c>
      <c r="X645" s="26" t="n">
        <f aca="false">IFERROR(W645/N645,0)</f>
        <v>0.0816666666666667</v>
      </c>
      <c r="Y645" s="22" t="str">
        <f aca="false">IF(W645&gt;0,"Win",IF(W645&lt;0,"Loss","Flat"))</f>
        <v>Win</v>
      </c>
      <c r="Z645" s="24" t="n">
        <f aca="false">Summary!$C$5+SUM(W$2:W645)</f>
        <v>3433.03</v>
      </c>
      <c r="AA645" s="24" t="n">
        <f aca="false">MAX(AA644,Z645)</f>
        <v>5000</v>
      </c>
      <c r="AB645" s="24" t="n">
        <f aca="false">AA645-Z645</f>
        <v>1566.97</v>
      </c>
      <c r="AC645" s="23" t="n">
        <f aca="false">IFERROR(AB645/AA645,0)</f>
        <v>0.313394</v>
      </c>
      <c r="AD645" s="22" t="s">
        <v>882</v>
      </c>
    </row>
    <row r="646" customFormat="false" ht="15" hidden="false" customHeight="false" outlineLevel="0" collapsed="false">
      <c r="A646" s="22" t="n">
        <v>645</v>
      </c>
      <c r="B646" s="22" t="s">
        <v>139</v>
      </c>
      <c r="C646" s="37" t="n">
        <v>45231.3750115741</v>
      </c>
      <c r="D646" s="22" t="s">
        <v>204</v>
      </c>
      <c r="E646" s="22" t="n">
        <v>9</v>
      </c>
      <c r="F646" s="22" t="s">
        <v>181</v>
      </c>
      <c r="G646" s="22" t="s">
        <v>235</v>
      </c>
      <c r="H646" s="22" t="n">
        <v>0.05</v>
      </c>
      <c r="I646" s="38" t="n">
        <v>1979.38</v>
      </c>
      <c r="J646" s="38" t="n">
        <v>1979.38</v>
      </c>
      <c r="K646" s="39" t="n">
        <f aca="false">IF(F646="BUY",J646-I646,I646-J646)</f>
        <v>0</v>
      </c>
      <c r="L646" s="38" t="n">
        <v>1973.38</v>
      </c>
      <c r="M646" s="39" t="n">
        <f aca="false">ABS(I646-L646)</f>
        <v>6</v>
      </c>
      <c r="N646" s="24" t="n">
        <f aca="false">M646*H646*Summary!$C$6</f>
        <v>30</v>
      </c>
      <c r="O646" s="37" t="n">
        <v>45231.7796759259</v>
      </c>
      <c r="P646" s="22" t="n">
        <f aca="false">ROUND((O646-C646)*86400,0)</f>
        <v>34963</v>
      </c>
      <c r="Q646" s="22" t="str">
        <f aca="false">IF(P646&lt;10,"a) &lt;10s",IF(P646&lt;60,"b) 10-60s",IF(P646&lt;600,"c) 1-10min","d) &gt;10min")))</f>
        <v>d) &gt;10min</v>
      </c>
      <c r="R646" s="38" t="n">
        <v>1979.88</v>
      </c>
      <c r="S646" s="38" t="n">
        <v>1979.81</v>
      </c>
      <c r="T646" s="22" t="s">
        <v>189</v>
      </c>
      <c r="U646" s="39" t="n">
        <f aca="false">IF(R646="","",IF(F646="BUY",R646-S646,S646-R646))</f>
        <v>0.0700000000001637</v>
      </c>
      <c r="V646" s="39" t="n">
        <f aca="false">IF(F646="BUY",S646-J646,J646-S646)</f>
        <v>0.429999999999836</v>
      </c>
      <c r="W646" s="6" t="n">
        <v>2.15</v>
      </c>
      <c r="X646" s="26" t="n">
        <f aca="false">IFERROR(W646/N646,0)</f>
        <v>0.0716666666666667</v>
      </c>
      <c r="Y646" s="22" t="str">
        <f aca="false">IF(W646&gt;0,"Win",IF(W646&lt;0,"Loss","Flat"))</f>
        <v>Win</v>
      </c>
      <c r="Z646" s="24" t="n">
        <f aca="false">Summary!$C$5+SUM(W$2:W646)</f>
        <v>3435.18</v>
      </c>
      <c r="AA646" s="24" t="n">
        <f aca="false">MAX(AA645,Z646)</f>
        <v>5000</v>
      </c>
      <c r="AB646" s="24" t="n">
        <f aca="false">AA646-Z646</f>
        <v>1564.82</v>
      </c>
      <c r="AC646" s="23" t="n">
        <f aca="false">IFERROR(AB646/AA646,0)</f>
        <v>0.312964</v>
      </c>
      <c r="AD646" s="22" t="s">
        <v>883</v>
      </c>
    </row>
    <row r="647" customFormat="false" ht="15" hidden="false" customHeight="false" outlineLevel="0" collapsed="false">
      <c r="A647" s="22" t="n">
        <v>646</v>
      </c>
      <c r="B647" s="22" t="s">
        <v>139</v>
      </c>
      <c r="C647" s="37" t="n">
        <v>45232.4342013889</v>
      </c>
      <c r="D647" s="22" t="s">
        <v>205</v>
      </c>
      <c r="E647" s="22" t="n">
        <v>10</v>
      </c>
      <c r="F647" s="22" t="s">
        <v>182</v>
      </c>
      <c r="G647" s="22" t="s">
        <v>241</v>
      </c>
      <c r="H647" s="22" t="n">
        <v>0.05</v>
      </c>
      <c r="I647" s="38" t="n">
        <v>1984.1</v>
      </c>
      <c r="J647" s="38" t="n">
        <v>1984.06</v>
      </c>
      <c r="K647" s="39" t="n">
        <f aca="false">IF(F647="BUY",J647-I647,I647-J647)</f>
        <v>0.0399999999999636</v>
      </c>
      <c r="L647" s="38" t="n">
        <v>1990.1</v>
      </c>
      <c r="M647" s="39" t="n">
        <f aca="false">ABS(I647-L647)</f>
        <v>6</v>
      </c>
      <c r="N647" s="24" t="n">
        <f aca="false">M647*H647*Summary!$C$6</f>
        <v>30</v>
      </c>
      <c r="O647" s="37" t="n">
        <v>45232.5924421296</v>
      </c>
      <c r="P647" s="22" t="n">
        <f aca="false">ROUND((O647-C647)*86400,0)</f>
        <v>13672</v>
      </c>
      <c r="Q647" s="22" t="str">
        <f aca="false">IF(P647&lt;10,"a) &lt;10s",IF(P647&lt;60,"b) 10-60s",IF(P647&lt;600,"c) 1-10min","d) &gt;10min")))</f>
        <v>d) &gt;10min</v>
      </c>
      <c r="R647" s="38" t="n">
        <v>1990.1</v>
      </c>
      <c r="S647" s="38" t="n">
        <v>1990.1</v>
      </c>
      <c r="T647" s="22" t="s">
        <v>188</v>
      </c>
      <c r="U647" s="39" t="n">
        <f aca="false">IF(R647="","",IF(F647="BUY",R647-S647,S647-R647))</f>
        <v>0</v>
      </c>
      <c r="V647" s="39" t="n">
        <f aca="false">IF(F647="BUY",S647-J647,J647-S647)</f>
        <v>-6.03999999999996</v>
      </c>
      <c r="W647" s="6" t="n">
        <v>-30.2</v>
      </c>
      <c r="X647" s="26" t="n">
        <f aca="false">IFERROR(W647/N647,0)</f>
        <v>-1.00666666666667</v>
      </c>
      <c r="Y647" s="22" t="str">
        <f aca="false">IF(W647&gt;0,"Win",IF(W647&lt;0,"Loss","Flat"))</f>
        <v>Loss</v>
      </c>
      <c r="Z647" s="24" t="n">
        <f aca="false">Summary!$C$5+SUM(W$2:W647)</f>
        <v>3404.98</v>
      </c>
      <c r="AA647" s="24" t="n">
        <f aca="false">MAX(AA646,Z647)</f>
        <v>5000</v>
      </c>
      <c r="AB647" s="24" t="n">
        <f aca="false">AA647-Z647</f>
        <v>1595.02</v>
      </c>
      <c r="AC647" s="23" t="n">
        <f aca="false">IFERROR(AB647/AA647,0)</f>
        <v>0.319004</v>
      </c>
      <c r="AD647" s="22" t="s">
        <v>884</v>
      </c>
    </row>
    <row r="648" customFormat="false" ht="15" hidden="false" customHeight="false" outlineLevel="0" collapsed="false">
      <c r="A648" s="22" t="n">
        <v>647</v>
      </c>
      <c r="B648" s="22" t="s">
        <v>139</v>
      </c>
      <c r="C648" s="37" t="n">
        <v>45233.4492361111</v>
      </c>
      <c r="D648" s="22" t="s">
        <v>206</v>
      </c>
      <c r="E648" s="22" t="n">
        <v>10</v>
      </c>
      <c r="F648" s="22" t="s">
        <v>182</v>
      </c>
      <c r="G648" s="22" t="s">
        <v>241</v>
      </c>
      <c r="H648" s="22" t="n">
        <v>0.05</v>
      </c>
      <c r="I648" s="38" t="n">
        <v>1985.38</v>
      </c>
      <c r="J648" s="38" t="n">
        <v>1985.36</v>
      </c>
      <c r="K648" s="39" t="n">
        <f aca="false">IF(F648="BUY",J648-I648,I648-J648)</f>
        <v>0.0200000000002092</v>
      </c>
      <c r="L648" s="38" t="n">
        <v>1991.38</v>
      </c>
      <c r="M648" s="39" t="n">
        <f aca="false">ABS(I648-L648)</f>
        <v>6</v>
      </c>
      <c r="N648" s="24" t="n">
        <f aca="false">M648*H648*Summary!$C$6</f>
        <v>30</v>
      </c>
      <c r="O648" s="37" t="n">
        <v>45233.6458564815</v>
      </c>
      <c r="P648" s="22" t="n">
        <f aca="false">ROUND((O648-C648)*86400,0)</f>
        <v>16988</v>
      </c>
      <c r="Q648" s="22" t="str">
        <f aca="false">IF(P648&lt;10,"a) &lt;10s",IF(P648&lt;60,"b) 10-60s",IF(P648&lt;600,"c) 1-10min","d) &gt;10min")))</f>
        <v>d) &gt;10min</v>
      </c>
      <c r="R648" s="38" t="n">
        <v>1991.38</v>
      </c>
      <c r="S648" s="38" t="n">
        <v>1991.42</v>
      </c>
      <c r="T648" s="22" t="s">
        <v>188</v>
      </c>
      <c r="U648" s="39" t="n">
        <f aca="false">IF(R648="","",IF(F648="BUY",R648-S648,S648-R648))</f>
        <v>0.0399999999999636</v>
      </c>
      <c r="V648" s="39" t="n">
        <f aca="false">IF(F648="BUY",S648-J648,J648-S648)</f>
        <v>-6.06000000000017</v>
      </c>
      <c r="W648" s="6" t="n">
        <v>-30.3</v>
      </c>
      <c r="X648" s="26" t="n">
        <f aca="false">IFERROR(W648/N648,0)</f>
        <v>-1.01</v>
      </c>
      <c r="Y648" s="22" t="str">
        <f aca="false">IF(W648&gt;0,"Win",IF(W648&lt;0,"Loss","Flat"))</f>
        <v>Loss</v>
      </c>
      <c r="Z648" s="24" t="n">
        <f aca="false">Summary!$C$5+SUM(W$2:W648)</f>
        <v>3374.68</v>
      </c>
      <c r="AA648" s="24" t="n">
        <f aca="false">MAX(AA647,Z648)</f>
        <v>5000</v>
      </c>
      <c r="AB648" s="24" t="n">
        <f aca="false">AA648-Z648</f>
        <v>1625.32</v>
      </c>
      <c r="AC648" s="23" t="n">
        <f aca="false">IFERROR(AB648/AA648,0)</f>
        <v>0.325064</v>
      </c>
      <c r="AD648" s="22" t="s">
        <v>885</v>
      </c>
    </row>
    <row r="649" customFormat="false" ht="15" hidden="false" customHeight="false" outlineLevel="0" collapsed="false">
      <c r="A649" s="22" t="n">
        <v>648</v>
      </c>
      <c r="B649" s="22" t="s">
        <v>139</v>
      </c>
      <c r="C649" s="37" t="n">
        <v>45236.2372453704</v>
      </c>
      <c r="D649" s="22" t="s">
        <v>202</v>
      </c>
      <c r="E649" s="22" t="n">
        <v>5</v>
      </c>
      <c r="F649" s="22" t="s">
        <v>182</v>
      </c>
      <c r="G649" s="22" t="s">
        <v>237</v>
      </c>
      <c r="H649" s="22" t="n">
        <v>0.05</v>
      </c>
      <c r="I649" s="38" t="n">
        <v>1983.16</v>
      </c>
      <c r="J649" s="38" t="n">
        <v>1983.16</v>
      </c>
      <c r="K649" s="39" t="n">
        <f aca="false">IF(F649="BUY",J649-I649,I649-J649)</f>
        <v>0</v>
      </c>
      <c r="L649" s="38" t="n">
        <v>1989.16</v>
      </c>
      <c r="M649" s="39" t="n">
        <f aca="false">ABS(I649-L649)</f>
        <v>6</v>
      </c>
      <c r="N649" s="24" t="n">
        <f aca="false">M649*H649*Summary!$C$6</f>
        <v>30</v>
      </c>
      <c r="O649" s="37" t="n">
        <v>45236.6491550926</v>
      </c>
      <c r="P649" s="22" t="n">
        <f aca="false">ROUND((O649-C649)*86400,0)</f>
        <v>35589</v>
      </c>
      <c r="Q649" s="22" t="str">
        <f aca="false">IF(P649&lt;10,"a) &lt;10s",IF(P649&lt;60,"b) 10-60s",IF(P649&lt;600,"c) 1-10min","d) &gt;10min")))</f>
        <v>d) &gt;10min</v>
      </c>
      <c r="R649" s="38" t="n">
        <v>1989.16</v>
      </c>
      <c r="S649" s="38" t="n">
        <v>1989.19</v>
      </c>
      <c r="T649" s="22" t="s">
        <v>188</v>
      </c>
      <c r="U649" s="39" t="n">
        <f aca="false">IF(R649="","",IF(F649="BUY",R649-S649,S649-R649))</f>
        <v>0.0299999999999727</v>
      </c>
      <c r="V649" s="39" t="n">
        <f aca="false">IF(F649="BUY",S649-J649,J649-S649)</f>
        <v>-6.02999999999997</v>
      </c>
      <c r="W649" s="6" t="n">
        <v>-30.15</v>
      </c>
      <c r="X649" s="26" t="n">
        <f aca="false">IFERROR(W649/N649,0)</f>
        <v>-1.005</v>
      </c>
      <c r="Y649" s="22" t="str">
        <f aca="false">IF(W649&gt;0,"Win",IF(W649&lt;0,"Loss","Flat"))</f>
        <v>Loss</v>
      </c>
      <c r="Z649" s="24" t="n">
        <f aca="false">Summary!$C$5+SUM(W$2:W649)</f>
        <v>3344.53</v>
      </c>
      <c r="AA649" s="24" t="n">
        <f aca="false">MAX(AA648,Z649)</f>
        <v>5000</v>
      </c>
      <c r="AB649" s="24" t="n">
        <f aca="false">AA649-Z649</f>
        <v>1655.47</v>
      </c>
      <c r="AC649" s="23" t="n">
        <f aca="false">IFERROR(AB649/AA649,0)</f>
        <v>0.331094</v>
      </c>
      <c r="AD649" s="22" t="s">
        <v>886</v>
      </c>
    </row>
    <row r="650" customFormat="false" ht="15" hidden="false" customHeight="false" outlineLevel="0" collapsed="false">
      <c r="A650" s="22" t="n">
        <v>649</v>
      </c>
      <c r="B650" s="22" t="s">
        <v>139</v>
      </c>
      <c r="C650" s="37" t="n">
        <v>45238.426712963</v>
      </c>
      <c r="D650" s="22" t="s">
        <v>204</v>
      </c>
      <c r="E650" s="22" t="n">
        <v>10</v>
      </c>
      <c r="F650" s="22" t="s">
        <v>181</v>
      </c>
      <c r="G650" s="22" t="s">
        <v>235</v>
      </c>
      <c r="H650" s="22" t="n">
        <v>0.05</v>
      </c>
      <c r="I650" s="38" t="n">
        <v>1969.06</v>
      </c>
      <c r="J650" s="38" t="n">
        <v>1969.13</v>
      </c>
      <c r="K650" s="39" t="n">
        <f aca="false">IF(F650="BUY",J650-I650,I650-J650)</f>
        <v>0.0700000000001637</v>
      </c>
      <c r="L650" s="38" t="n">
        <v>1963.06</v>
      </c>
      <c r="M650" s="39" t="n">
        <f aca="false">ABS(I650-L650)</f>
        <v>6</v>
      </c>
      <c r="N650" s="24" t="n">
        <f aca="false">M650*H650*Summary!$C$6</f>
        <v>30</v>
      </c>
      <c r="O650" s="37" t="n">
        <v>45238.5102083333</v>
      </c>
      <c r="P650" s="22" t="n">
        <f aca="false">ROUND((O650-C650)*86400,0)</f>
        <v>7214</v>
      </c>
      <c r="Q650" s="22" t="str">
        <f aca="false">IF(P650&lt;10,"a) &lt;10s",IF(P650&lt;60,"b) 10-60s",IF(P650&lt;600,"c) 1-10min","d) &gt;10min")))</f>
        <v>d) &gt;10min</v>
      </c>
      <c r="R650" s="38" t="n">
        <v>1963.06</v>
      </c>
      <c r="S650" s="38" t="n">
        <v>1963.05</v>
      </c>
      <c r="T650" s="22" t="s">
        <v>188</v>
      </c>
      <c r="U650" s="39" t="n">
        <f aca="false">IF(R650="","",IF(F650="BUY",R650-S650,S650-R650))</f>
        <v>0.00999999999999091</v>
      </c>
      <c r="V650" s="39" t="n">
        <f aca="false">IF(F650="BUY",S650-J650,J650-S650)</f>
        <v>-6.08000000000016</v>
      </c>
      <c r="W650" s="6" t="n">
        <v>-30.4</v>
      </c>
      <c r="X650" s="26" t="n">
        <f aca="false">IFERROR(W650/N650,0)</f>
        <v>-1.01333333333333</v>
      </c>
      <c r="Y650" s="22" t="str">
        <f aca="false">IF(W650&gt;0,"Win",IF(W650&lt;0,"Loss","Flat"))</f>
        <v>Loss</v>
      </c>
      <c r="Z650" s="24" t="n">
        <f aca="false">Summary!$C$5+SUM(W$2:W650)</f>
        <v>3314.13</v>
      </c>
      <c r="AA650" s="24" t="n">
        <f aca="false">MAX(AA649,Z650)</f>
        <v>5000</v>
      </c>
      <c r="AB650" s="24" t="n">
        <f aca="false">AA650-Z650</f>
        <v>1685.87</v>
      </c>
      <c r="AC650" s="23" t="n">
        <f aca="false">IFERROR(AB650/AA650,0)</f>
        <v>0.337174</v>
      </c>
      <c r="AD650" s="22" t="s">
        <v>887</v>
      </c>
    </row>
    <row r="651" customFormat="false" ht="15" hidden="false" customHeight="false" outlineLevel="0" collapsed="false">
      <c r="A651" s="22" t="n">
        <v>650</v>
      </c>
      <c r="B651" s="22" t="s">
        <v>139</v>
      </c>
      <c r="C651" s="37" t="n">
        <v>45238.724837963</v>
      </c>
      <c r="D651" s="22" t="s">
        <v>204</v>
      </c>
      <c r="E651" s="22" t="n">
        <v>17</v>
      </c>
      <c r="F651" s="22" t="s">
        <v>182</v>
      </c>
      <c r="G651" s="22" t="s">
        <v>237</v>
      </c>
      <c r="H651" s="22" t="n">
        <v>0.05</v>
      </c>
      <c r="I651" s="38" t="n">
        <v>1956.6</v>
      </c>
      <c r="J651" s="38" t="n">
        <v>1956.38</v>
      </c>
      <c r="K651" s="39" t="n">
        <f aca="false">IF(F651="BUY",J651-I651,I651-J651)</f>
        <v>0.2199999999998</v>
      </c>
      <c r="L651" s="38" t="n">
        <v>1962.6</v>
      </c>
      <c r="M651" s="39" t="n">
        <f aca="false">ABS(I651-L651)</f>
        <v>6</v>
      </c>
      <c r="N651" s="24" t="n">
        <f aca="false">M651*H651*Summary!$C$6</f>
        <v>30</v>
      </c>
      <c r="O651" s="37" t="n">
        <v>45238.7457175926</v>
      </c>
      <c r="P651" s="22" t="n">
        <f aca="false">ROUND((O651-C651)*86400,0)</f>
        <v>1804</v>
      </c>
      <c r="Q651" s="22" t="str">
        <f aca="false">IF(P651&lt;10,"a) &lt;10s",IF(P651&lt;60,"b) 10-60s",IF(P651&lt;600,"c) 1-10min","d) &gt;10min")))</f>
        <v>d) &gt;10min</v>
      </c>
      <c r="R651" s="38" t="n">
        <v>1955.88</v>
      </c>
      <c r="S651" s="38" t="n">
        <v>1955.89</v>
      </c>
      <c r="T651" s="22" t="s">
        <v>189</v>
      </c>
      <c r="U651" s="39" t="n">
        <f aca="false">IF(R651="","",IF(F651="BUY",R651-S651,S651-R651))</f>
        <v>0.00999999999999091</v>
      </c>
      <c r="V651" s="39" t="n">
        <f aca="false">IF(F651="BUY",S651-J651,J651-S651)</f>
        <v>0.490000000000009</v>
      </c>
      <c r="W651" s="6" t="n">
        <v>2.45</v>
      </c>
      <c r="X651" s="26" t="n">
        <f aca="false">IFERROR(W651/N651,0)</f>
        <v>0.0816666666666667</v>
      </c>
      <c r="Y651" s="22" t="str">
        <f aca="false">IF(W651&gt;0,"Win",IF(W651&lt;0,"Loss","Flat"))</f>
        <v>Win</v>
      </c>
      <c r="Z651" s="24" t="n">
        <f aca="false">Summary!$C$5+SUM(W$2:W651)</f>
        <v>3316.58</v>
      </c>
      <c r="AA651" s="24" t="n">
        <f aca="false">MAX(AA650,Z651)</f>
        <v>5000</v>
      </c>
      <c r="AB651" s="24" t="n">
        <f aca="false">AA651-Z651</f>
        <v>1683.42</v>
      </c>
      <c r="AC651" s="23" t="n">
        <f aca="false">IFERROR(AB651/AA651,0)</f>
        <v>0.336684</v>
      </c>
      <c r="AD651" s="22" t="s">
        <v>888</v>
      </c>
    </row>
    <row r="652" customFormat="false" ht="15" hidden="false" customHeight="false" outlineLevel="0" collapsed="false">
      <c r="A652" s="22" t="n">
        <v>651</v>
      </c>
      <c r="B652" s="22" t="s">
        <v>139</v>
      </c>
      <c r="C652" s="37" t="n">
        <v>45239.3915740741</v>
      </c>
      <c r="D652" s="22" t="s">
        <v>205</v>
      </c>
      <c r="E652" s="22" t="n">
        <v>9</v>
      </c>
      <c r="F652" s="22" t="s">
        <v>181</v>
      </c>
      <c r="G652" s="22" t="s">
        <v>235</v>
      </c>
      <c r="H652" s="22" t="n">
        <v>0.05</v>
      </c>
      <c r="I652" s="38" t="n">
        <v>1950.33</v>
      </c>
      <c r="J652" s="38" t="n">
        <v>1950.4</v>
      </c>
      <c r="K652" s="39" t="n">
        <f aca="false">IF(F652="BUY",J652-I652,I652-J652)</f>
        <v>0.0700000000001637</v>
      </c>
      <c r="L652" s="38" t="n">
        <v>1944.33</v>
      </c>
      <c r="M652" s="39" t="n">
        <f aca="false">ABS(I652-L652)</f>
        <v>6</v>
      </c>
      <c r="N652" s="24" t="n">
        <f aca="false">M652*H652*Summary!$C$6</f>
        <v>30</v>
      </c>
      <c r="O652" s="37" t="n">
        <v>45239.9270833333</v>
      </c>
      <c r="P652" s="22" t="n">
        <f aca="false">ROUND((O652-C652)*86400,0)</f>
        <v>46268</v>
      </c>
      <c r="Q652" s="22" t="str">
        <f aca="false">IF(P652&lt;10,"a) &lt;10s",IF(P652&lt;60,"b) 10-60s",IF(P652&lt;600,"c) 1-10min","d) &gt;10min")))</f>
        <v>d) &gt;10min</v>
      </c>
      <c r="R652" s="38"/>
      <c r="S652" s="38" t="n">
        <v>1959.23</v>
      </c>
      <c r="T652" s="22" t="s">
        <v>191</v>
      </c>
      <c r="U652" s="39" t="str">
        <f aca="false">IF(R652="","",IF(F652="BUY",R652-S652,S652-R652))</f>
        <v/>
      </c>
      <c r="V652" s="39" t="n">
        <f aca="false">IF(F652="BUY",S652-J652,J652-S652)</f>
        <v>8.82999999999993</v>
      </c>
      <c r="W652" s="6" t="n">
        <v>44.15</v>
      </c>
      <c r="X652" s="26" t="n">
        <f aca="false">IFERROR(W652/N652,0)</f>
        <v>1.47166666666667</v>
      </c>
      <c r="Y652" s="22" t="str">
        <f aca="false">IF(W652&gt;0,"Win",IF(W652&lt;0,"Loss","Flat"))</f>
        <v>Win</v>
      </c>
      <c r="Z652" s="24" t="n">
        <f aca="false">Summary!$C$5+SUM(W$2:W652)</f>
        <v>3360.73</v>
      </c>
      <c r="AA652" s="24" t="n">
        <f aca="false">MAX(AA651,Z652)</f>
        <v>5000</v>
      </c>
      <c r="AB652" s="24" t="n">
        <f aca="false">AA652-Z652</f>
        <v>1639.27</v>
      </c>
      <c r="AC652" s="23" t="n">
        <f aca="false">IFERROR(AB652/AA652,0)</f>
        <v>0.327854</v>
      </c>
      <c r="AD652" s="22" t="s">
        <v>889</v>
      </c>
    </row>
    <row r="653" customFormat="false" ht="15" hidden="false" customHeight="false" outlineLevel="0" collapsed="false">
      <c r="A653" s="22" t="n">
        <v>652</v>
      </c>
      <c r="B653" s="22" t="s">
        <v>139</v>
      </c>
      <c r="C653" s="37" t="n">
        <v>45240.381875</v>
      </c>
      <c r="D653" s="22" t="s">
        <v>206</v>
      </c>
      <c r="E653" s="22" t="n">
        <v>9</v>
      </c>
      <c r="F653" s="22" t="s">
        <v>182</v>
      </c>
      <c r="G653" s="22" t="s">
        <v>241</v>
      </c>
      <c r="H653" s="22" t="n">
        <v>0.05</v>
      </c>
      <c r="I653" s="38" t="n">
        <v>1955.52</v>
      </c>
      <c r="J653" s="38" t="n">
        <v>1955.51</v>
      </c>
      <c r="K653" s="39" t="n">
        <f aca="false">IF(F653="BUY",J653-I653,I653-J653)</f>
        <v>0.00999999999999091</v>
      </c>
      <c r="L653" s="38" t="n">
        <v>1961.52</v>
      </c>
      <c r="M653" s="39" t="n">
        <f aca="false">ABS(I653-L653)</f>
        <v>6</v>
      </c>
      <c r="N653" s="24" t="n">
        <f aca="false">M653*H653*Summary!$C$6</f>
        <v>30</v>
      </c>
      <c r="O653" s="37" t="n">
        <v>45240.9271527778</v>
      </c>
      <c r="P653" s="22" t="n">
        <f aca="false">ROUND((O653-C653)*86400,0)</f>
        <v>47112</v>
      </c>
      <c r="Q653" s="22" t="str">
        <f aca="false">IF(P653&lt;10,"a) &lt;10s",IF(P653&lt;60,"b) 10-60s",IF(P653&lt;600,"c) 1-10min","d) &gt;10min")))</f>
        <v>d) &gt;10min</v>
      </c>
      <c r="R653" s="38"/>
      <c r="S653" s="38" t="n">
        <v>1936.23</v>
      </c>
      <c r="T653" s="22" t="s">
        <v>191</v>
      </c>
      <c r="U653" s="39" t="str">
        <f aca="false">IF(R653="","",IF(F653="BUY",R653-S653,S653-R653))</f>
        <v/>
      </c>
      <c r="V653" s="39" t="n">
        <f aca="false">IF(F653="BUY",S653-J653,J653-S653)</f>
        <v>19.28</v>
      </c>
      <c r="W653" s="6" t="n">
        <v>96.4</v>
      </c>
      <c r="X653" s="26" t="n">
        <f aca="false">IFERROR(W653/N653,0)</f>
        <v>3.21333333333333</v>
      </c>
      <c r="Y653" s="22" t="str">
        <f aca="false">IF(W653&gt;0,"Win",IF(W653&lt;0,"Loss","Flat"))</f>
        <v>Win</v>
      </c>
      <c r="Z653" s="24" t="n">
        <f aca="false">Summary!$C$5+SUM(W$2:W653)</f>
        <v>3457.13</v>
      </c>
      <c r="AA653" s="24" t="n">
        <f aca="false">MAX(AA652,Z653)</f>
        <v>5000</v>
      </c>
      <c r="AB653" s="24" t="n">
        <f aca="false">AA653-Z653</f>
        <v>1542.87</v>
      </c>
      <c r="AC653" s="23" t="n">
        <f aca="false">IFERROR(AB653/AA653,0)</f>
        <v>0.308574</v>
      </c>
      <c r="AD653" s="22" t="s">
        <v>890</v>
      </c>
    </row>
    <row r="654" customFormat="false" ht="15" hidden="false" customHeight="false" outlineLevel="0" collapsed="false">
      <c r="A654" s="22" t="n">
        <v>653</v>
      </c>
      <c r="B654" s="22" t="s">
        <v>139</v>
      </c>
      <c r="C654" s="37" t="n">
        <v>45243.3986111111</v>
      </c>
      <c r="D654" s="22" t="s">
        <v>202</v>
      </c>
      <c r="E654" s="22" t="n">
        <v>9</v>
      </c>
      <c r="F654" s="22" t="s">
        <v>181</v>
      </c>
      <c r="G654" s="22" t="s">
        <v>235</v>
      </c>
      <c r="H654" s="22" t="n">
        <v>0.05</v>
      </c>
      <c r="I654" s="38" t="n">
        <v>1940.05</v>
      </c>
      <c r="J654" s="38" t="n">
        <v>1940.06</v>
      </c>
      <c r="K654" s="39" t="n">
        <f aca="false">IF(F654="BUY",J654-I654,I654-J654)</f>
        <v>0.00999999999999091</v>
      </c>
      <c r="L654" s="38" t="n">
        <v>1934.05</v>
      </c>
      <c r="M654" s="39" t="n">
        <f aca="false">ABS(I654-L654)</f>
        <v>6</v>
      </c>
      <c r="N654" s="24" t="n">
        <f aca="false">M654*H654*Summary!$C$6</f>
        <v>30</v>
      </c>
      <c r="O654" s="37" t="n">
        <v>45243.6290393519</v>
      </c>
      <c r="P654" s="22" t="n">
        <f aca="false">ROUND((O654-C654)*86400,0)</f>
        <v>19909</v>
      </c>
      <c r="Q654" s="22" t="str">
        <f aca="false">IF(P654&lt;10,"a) &lt;10s",IF(P654&lt;60,"b) 10-60s",IF(P654&lt;600,"c) 1-10min","d) &gt;10min")))</f>
        <v>d) &gt;10min</v>
      </c>
      <c r="R654" s="38" t="n">
        <v>1934.05</v>
      </c>
      <c r="S654" s="38" t="n">
        <v>1934.05</v>
      </c>
      <c r="T654" s="22" t="s">
        <v>188</v>
      </c>
      <c r="U654" s="39" t="n">
        <f aca="false">IF(R654="","",IF(F654="BUY",R654-S654,S654-R654))</f>
        <v>0</v>
      </c>
      <c r="V654" s="39" t="n">
        <f aca="false">IF(F654="BUY",S654-J654,J654-S654)</f>
        <v>-6.00999999999999</v>
      </c>
      <c r="W654" s="6" t="n">
        <v>-30.05</v>
      </c>
      <c r="X654" s="26" t="n">
        <f aca="false">IFERROR(W654/N654,0)</f>
        <v>-1.00166666666667</v>
      </c>
      <c r="Y654" s="22" t="str">
        <f aca="false">IF(W654&gt;0,"Win",IF(W654&lt;0,"Loss","Flat"))</f>
        <v>Loss</v>
      </c>
      <c r="Z654" s="24" t="n">
        <f aca="false">Summary!$C$5+SUM(W$2:W654)</f>
        <v>3427.08</v>
      </c>
      <c r="AA654" s="24" t="n">
        <f aca="false">MAX(AA653,Z654)</f>
        <v>5000</v>
      </c>
      <c r="AB654" s="24" t="n">
        <f aca="false">AA654-Z654</f>
        <v>1572.92</v>
      </c>
      <c r="AC654" s="23" t="n">
        <f aca="false">IFERROR(AB654/AA654,0)</f>
        <v>0.314584</v>
      </c>
      <c r="AD654" s="22" t="s">
        <v>891</v>
      </c>
    </row>
    <row r="655" customFormat="false" ht="15" hidden="false" customHeight="false" outlineLevel="0" collapsed="false">
      <c r="A655" s="22" t="n">
        <v>654</v>
      </c>
      <c r="B655" s="22" t="s">
        <v>139</v>
      </c>
      <c r="C655" s="37" t="n">
        <v>45243.7005787037</v>
      </c>
      <c r="D655" s="22" t="s">
        <v>202</v>
      </c>
      <c r="E655" s="22" t="n">
        <v>16</v>
      </c>
      <c r="F655" s="22" t="s">
        <v>182</v>
      </c>
      <c r="G655" s="22" t="s">
        <v>237</v>
      </c>
      <c r="H655" s="22" t="n">
        <v>0.05</v>
      </c>
      <c r="I655" s="38" t="n">
        <v>1932.87</v>
      </c>
      <c r="J655" s="38" t="n">
        <v>1932.8</v>
      </c>
      <c r="K655" s="39" t="n">
        <f aca="false">IF(F655="BUY",J655-I655,I655-J655)</f>
        <v>0.0699999999999363</v>
      </c>
      <c r="L655" s="38" t="n">
        <v>1938.87</v>
      </c>
      <c r="M655" s="39" t="n">
        <f aca="false">ABS(I655-L655)</f>
        <v>6</v>
      </c>
      <c r="N655" s="24" t="n">
        <f aca="false">M655*H655*Summary!$C$6</f>
        <v>30</v>
      </c>
      <c r="O655" s="37" t="n">
        <v>45243.7491782407</v>
      </c>
      <c r="P655" s="22" t="n">
        <f aca="false">ROUND((O655-C655)*86400,0)</f>
        <v>4199</v>
      </c>
      <c r="Q655" s="22" t="str">
        <f aca="false">IF(P655&lt;10,"a) &lt;10s",IF(P655&lt;60,"b) 10-60s",IF(P655&lt;600,"c) 1-10min","d) &gt;10min")))</f>
        <v>d) &gt;10min</v>
      </c>
      <c r="R655" s="38" t="n">
        <v>1938.87</v>
      </c>
      <c r="S655" s="38" t="n">
        <v>1938.88</v>
      </c>
      <c r="T655" s="22" t="s">
        <v>188</v>
      </c>
      <c r="U655" s="39" t="n">
        <f aca="false">IF(R655="","",IF(F655="BUY",R655-S655,S655-R655))</f>
        <v>0.0100000000002183</v>
      </c>
      <c r="V655" s="39" t="n">
        <f aca="false">IF(F655="BUY",S655-J655,J655-S655)</f>
        <v>-6.08000000000016</v>
      </c>
      <c r="W655" s="6" t="n">
        <v>-30.4</v>
      </c>
      <c r="X655" s="26" t="n">
        <f aca="false">IFERROR(W655/N655,0)</f>
        <v>-1.01333333333333</v>
      </c>
      <c r="Y655" s="22" t="str">
        <f aca="false">IF(W655&gt;0,"Win",IF(W655&lt;0,"Loss","Flat"))</f>
        <v>Loss</v>
      </c>
      <c r="Z655" s="24" t="n">
        <f aca="false">Summary!$C$5+SUM(W$2:W655)</f>
        <v>3396.68</v>
      </c>
      <c r="AA655" s="24" t="n">
        <f aca="false">MAX(AA654,Z655)</f>
        <v>5000</v>
      </c>
      <c r="AB655" s="24" t="n">
        <f aca="false">AA655-Z655</f>
        <v>1603.32</v>
      </c>
      <c r="AC655" s="23" t="n">
        <f aca="false">IFERROR(AB655/AA655,0)</f>
        <v>0.320664</v>
      </c>
      <c r="AD655" s="22" t="s">
        <v>892</v>
      </c>
    </row>
    <row r="656" customFormat="false" ht="15" hidden="false" customHeight="false" outlineLevel="0" collapsed="false">
      <c r="A656" s="22" t="n">
        <v>655</v>
      </c>
      <c r="B656" s="22" t="s">
        <v>139</v>
      </c>
      <c r="C656" s="37" t="n">
        <v>45244.3811226852</v>
      </c>
      <c r="D656" s="22" t="s">
        <v>203</v>
      </c>
      <c r="E656" s="22" t="n">
        <v>9</v>
      </c>
      <c r="F656" s="22" t="s">
        <v>181</v>
      </c>
      <c r="G656" s="22" t="s">
        <v>235</v>
      </c>
      <c r="H656" s="22" t="n">
        <v>0.05</v>
      </c>
      <c r="I656" s="38" t="n">
        <v>1945.86</v>
      </c>
      <c r="J656" s="38" t="n">
        <v>1945.87</v>
      </c>
      <c r="K656" s="39" t="n">
        <f aca="false">IF(F656="BUY",J656-I656,I656-J656)</f>
        <v>0.00999999999999091</v>
      </c>
      <c r="L656" s="38" t="n">
        <v>1939.86</v>
      </c>
      <c r="M656" s="39" t="n">
        <f aca="false">ABS(I656-L656)</f>
        <v>6</v>
      </c>
      <c r="N656" s="24" t="n">
        <f aca="false">M656*H656*Summary!$C$6</f>
        <v>30</v>
      </c>
      <c r="O656" s="37" t="n">
        <v>45244.5230902778</v>
      </c>
      <c r="P656" s="22" t="n">
        <f aca="false">ROUND((O656-C656)*86400,0)</f>
        <v>12266</v>
      </c>
      <c r="Q656" s="22" t="str">
        <f aca="false">IF(P656&lt;10,"a) &lt;10s",IF(P656&lt;60,"b) 10-60s",IF(P656&lt;600,"c) 1-10min","d) &gt;10min")))</f>
        <v>d) &gt;10min</v>
      </c>
      <c r="R656" s="38" t="n">
        <v>1946.37</v>
      </c>
      <c r="S656" s="38" t="n">
        <v>1946.35</v>
      </c>
      <c r="T656" s="22" t="s">
        <v>189</v>
      </c>
      <c r="U656" s="39" t="n">
        <f aca="false">IF(R656="","",IF(F656="BUY",R656-S656,S656-R656))</f>
        <v>0.0199999999999818</v>
      </c>
      <c r="V656" s="39" t="n">
        <f aca="false">IF(F656="BUY",S656-J656,J656-S656)</f>
        <v>0.480000000000018</v>
      </c>
      <c r="W656" s="6" t="n">
        <v>2.4</v>
      </c>
      <c r="X656" s="26" t="n">
        <f aca="false">IFERROR(W656/N656,0)</f>
        <v>0.08</v>
      </c>
      <c r="Y656" s="22" t="str">
        <f aca="false">IF(W656&gt;0,"Win",IF(W656&lt;0,"Loss","Flat"))</f>
        <v>Win</v>
      </c>
      <c r="Z656" s="24" t="n">
        <f aca="false">Summary!$C$5+SUM(W$2:W656)</f>
        <v>3399.08</v>
      </c>
      <c r="AA656" s="24" t="n">
        <f aca="false">MAX(AA655,Z656)</f>
        <v>5000</v>
      </c>
      <c r="AB656" s="24" t="n">
        <f aca="false">AA656-Z656</f>
        <v>1600.92</v>
      </c>
      <c r="AC656" s="23" t="n">
        <f aca="false">IFERROR(AB656/AA656,0)</f>
        <v>0.320184</v>
      </c>
      <c r="AD656" s="22" t="s">
        <v>893</v>
      </c>
    </row>
    <row r="657" customFormat="false" ht="15" hidden="false" customHeight="false" outlineLevel="0" collapsed="false">
      <c r="A657" s="22" t="n">
        <v>656</v>
      </c>
      <c r="B657" s="22" t="s">
        <v>139</v>
      </c>
      <c r="C657" s="37" t="n">
        <v>45244.6458449074</v>
      </c>
      <c r="D657" s="22" t="s">
        <v>203</v>
      </c>
      <c r="E657" s="22" t="n">
        <v>15</v>
      </c>
      <c r="F657" s="22" t="s">
        <v>181</v>
      </c>
      <c r="G657" s="22" t="s">
        <v>243</v>
      </c>
      <c r="H657" s="22" t="n">
        <v>0.05</v>
      </c>
      <c r="I657" s="38" t="n">
        <v>1949.12</v>
      </c>
      <c r="J657" s="38" t="n">
        <v>1950</v>
      </c>
      <c r="K657" s="39" t="n">
        <f aca="false">IF(F657="BUY",J657-I657,I657-J657)</f>
        <v>0.880000000000109</v>
      </c>
      <c r="L657" s="38" t="n">
        <v>1943.12</v>
      </c>
      <c r="M657" s="39" t="n">
        <f aca="false">ABS(I657-L657)</f>
        <v>6</v>
      </c>
      <c r="N657" s="24" t="n">
        <f aca="false">M657*H657*Summary!$C$6</f>
        <v>30</v>
      </c>
      <c r="O657" s="37" t="n">
        <v>45244.9271875</v>
      </c>
      <c r="P657" s="22" t="n">
        <f aca="false">ROUND((O657-C657)*86400,0)</f>
        <v>24308</v>
      </c>
      <c r="Q657" s="22" t="str">
        <f aca="false">IF(P657&lt;10,"a) &lt;10s",IF(P657&lt;60,"b) 10-60s",IF(P657&lt;600,"c) 1-10min","d) &gt;10min")))</f>
        <v>d) &gt;10min</v>
      </c>
      <c r="R657" s="38"/>
      <c r="S657" s="38" t="n">
        <v>1963.54</v>
      </c>
      <c r="T657" s="22" t="s">
        <v>191</v>
      </c>
      <c r="U657" s="39" t="str">
        <f aca="false">IF(R657="","",IF(F657="BUY",R657-S657,S657-R657))</f>
        <v/>
      </c>
      <c r="V657" s="39" t="n">
        <f aca="false">IF(F657="BUY",S657-J657,J657-S657)</f>
        <v>13.54</v>
      </c>
      <c r="W657" s="6" t="n">
        <v>67.7</v>
      </c>
      <c r="X657" s="26" t="n">
        <f aca="false">IFERROR(W657/N657,0)</f>
        <v>2.25666666666667</v>
      </c>
      <c r="Y657" s="22" t="str">
        <f aca="false">IF(W657&gt;0,"Win",IF(W657&lt;0,"Loss","Flat"))</f>
        <v>Win</v>
      </c>
      <c r="Z657" s="24" t="n">
        <f aca="false">Summary!$C$5+SUM(W$2:W657)</f>
        <v>3466.78</v>
      </c>
      <c r="AA657" s="24" t="n">
        <f aca="false">MAX(AA656,Z657)</f>
        <v>5000</v>
      </c>
      <c r="AB657" s="24" t="n">
        <f aca="false">AA657-Z657</f>
        <v>1533.22</v>
      </c>
      <c r="AC657" s="23" t="n">
        <f aca="false">IFERROR(AB657/AA657,0)</f>
        <v>0.306644</v>
      </c>
      <c r="AD657" s="22" t="s">
        <v>894</v>
      </c>
    </row>
    <row r="658" customFormat="false" ht="15" hidden="false" customHeight="false" outlineLevel="0" collapsed="false">
      <c r="A658" s="22" t="n">
        <v>657</v>
      </c>
      <c r="B658" s="22" t="s">
        <v>139</v>
      </c>
      <c r="C658" s="37" t="n">
        <v>45245.3750925926</v>
      </c>
      <c r="D658" s="22" t="s">
        <v>204</v>
      </c>
      <c r="E658" s="22" t="n">
        <v>9</v>
      </c>
      <c r="F658" s="22" t="s">
        <v>181</v>
      </c>
      <c r="G658" s="22" t="s">
        <v>235</v>
      </c>
      <c r="H658" s="22" t="n">
        <v>0.05</v>
      </c>
      <c r="I658" s="38" t="n">
        <v>1970.45</v>
      </c>
      <c r="J658" s="38" t="n">
        <v>1970.55</v>
      </c>
      <c r="K658" s="39" t="n">
        <f aca="false">IF(F658="BUY",J658-I658,I658-J658)</f>
        <v>0.0999999999999091</v>
      </c>
      <c r="L658" s="38" t="n">
        <v>1964.45</v>
      </c>
      <c r="M658" s="39" t="n">
        <f aca="false">ABS(I658-L658)</f>
        <v>6</v>
      </c>
      <c r="N658" s="24" t="n">
        <f aca="false">M658*H658*Summary!$C$6</f>
        <v>30</v>
      </c>
      <c r="O658" s="37" t="n">
        <v>45245.5987152778</v>
      </c>
      <c r="P658" s="22" t="n">
        <f aca="false">ROUND((O658-C658)*86400,0)</f>
        <v>19321</v>
      </c>
      <c r="Q658" s="22" t="str">
        <f aca="false">IF(P658&lt;10,"a) &lt;10s",IF(P658&lt;60,"b) 10-60s",IF(P658&lt;600,"c) 1-10min","d) &gt;10min")))</f>
        <v>d) &gt;10min</v>
      </c>
      <c r="R658" s="38" t="n">
        <v>1971.05</v>
      </c>
      <c r="S658" s="38" t="n">
        <v>1971.05</v>
      </c>
      <c r="T658" s="22" t="s">
        <v>189</v>
      </c>
      <c r="U658" s="39" t="n">
        <f aca="false">IF(R658="","",IF(F658="BUY",R658-S658,S658-R658))</f>
        <v>0</v>
      </c>
      <c r="V658" s="39" t="n">
        <f aca="false">IF(F658="BUY",S658-J658,J658-S658)</f>
        <v>0.5</v>
      </c>
      <c r="W658" s="6" t="n">
        <v>2.5</v>
      </c>
      <c r="X658" s="26" t="n">
        <f aca="false">IFERROR(W658/N658,0)</f>
        <v>0.0833333333333333</v>
      </c>
      <c r="Y658" s="22" t="str">
        <f aca="false">IF(W658&gt;0,"Win",IF(W658&lt;0,"Loss","Flat"))</f>
        <v>Win</v>
      </c>
      <c r="Z658" s="24" t="n">
        <f aca="false">Summary!$C$5+SUM(W$2:W658)</f>
        <v>3469.28</v>
      </c>
      <c r="AA658" s="24" t="n">
        <f aca="false">MAX(AA657,Z658)</f>
        <v>5000</v>
      </c>
      <c r="AB658" s="24" t="n">
        <f aca="false">AA658-Z658</f>
        <v>1530.72</v>
      </c>
      <c r="AC658" s="23" t="n">
        <f aca="false">IFERROR(AB658/AA658,0)</f>
        <v>0.306144</v>
      </c>
      <c r="AD658" s="22" t="s">
        <v>895</v>
      </c>
    </row>
    <row r="659" customFormat="false" ht="15" hidden="false" customHeight="false" outlineLevel="0" collapsed="false">
      <c r="A659" s="22" t="n">
        <v>658</v>
      </c>
      <c r="B659" s="22" t="s">
        <v>139</v>
      </c>
      <c r="C659" s="37" t="n">
        <v>45246.3753587963</v>
      </c>
      <c r="D659" s="22" t="s">
        <v>205</v>
      </c>
      <c r="E659" s="22" t="n">
        <v>9</v>
      </c>
      <c r="F659" s="22" t="s">
        <v>181</v>
      </c>
      <c r="G659" s="22" t="s">
        <v>235</v>
      </c>
      <c r="H659" s="22" t="n">
        <v>0.05</v>
      </c>
      <c r="I659" s="38" t="n">
        <v>1967.26</v>
      </c>
      <c r="J659" s="38" t="n">
        <v>1967.26</v>
      </c>
      <c r="K659" s="39" t="n">
        <f aca="false">IF(F659="BUY",J659-I659,I659-J659)</f>
        <v>0</v>
      </c>
      <c r="L659" s="38" t="n">
        <v>1961.26</v>
      </c>
      <c r="M659" s="39" t="n">
        <f aca="false">ABS(I659-L659)</f>
        <v>6</v>
      </c>
      <c r="N659" s="24" t="n">
        <f aca="false">M659*H659*Summary!$C$6</f>
        <v>30</v>
      </c>
      <c r="O659" s="37" t="n">
        <v>45246.9271180556</v>
      </c>
      <c r="P659" s="22" t="n">
        <f aca="false">ROUND((O659-C659)*86400,0)</f>
        <v>47672</v>
      </c>
      <c r="Q659" s="22" t="str">
        <f aca="false">IF(P659&lt;10,"a) &lt;10s",IF(P659&lt;60,"b) 10-60s",IF(P659&lt;600,"c) 1-10min","d) &gt;10min")))</f>
        <v>d) &gt;10min</v>
      </c>
      <c r="R659" s="38"/>
      <c r="S659" s="38" t="n">
        <v>1982.46</v>
      </c>
      <c r="T659" s="22" t="s">
        <v>191</v>
      </c>
      <c r="U659" s="39" t="str">
        <f aca="false">IF(R659="","",IF(F659="BUY",R659-S659,S659-R659))</f>
        <v/>
      </c>
      <c r="V659" s="39" t="n">
        <f aca="false">IF(F659="BUY",S659-J659,J659-S659)</f>
        <v>15.2</v>
      </c>
      <c r="W659" s="6" t="n">
        <v>76</v>
      </c>
      <c r="X659" s="26" t="n">
        <f aca="false">IFERROR(W659/N659,0)</f>
        <v>2.53333333333333</v>
      </c>
      <c r="Y659" s="22" t="str">
        <f aca="false">IF(W659&gt;0,"Win",IF(W659&lt;0,"Loss","Flat"))</f>
        <v>Win</v>
      </c>
      <c r="Z659" s="24" t="n">
        <f aca="false">Summary!$C$5+SUM(W$2:W659)</f>
        <v>3545.28</v>
      </c>
      <c r="AA659" s="24" t="n">
        <f aca="false">MAX(AA658,Z659)</f>
        <v>5000</v>
      </c>
      <c r="AB659" s="24" t="n">
        <f aca="false">AA659-Z659</f>
        <v>1454.72</v>
      </c>
      <c r="AC659" s="23" t="n">
        <f aca="false">IFERROR(AB659/AA659,0)</f>
        <v>0.290944</v>
      </c>
      <c r="AD659" s="22" t="s">
        <v>896</v>
      </c>
    </row>
    <row r="660" customFormat="false" ht="15" hidden="false" customHeight="false" outlineLevel="0" collapsed="false">
      <c r="A660" s="22" t="n">
        <v>659</v>
      </c>
      <c r="B660" s="22" t="s">
        <v>139</v>
      </c>
      <c r="C660" s="37" t="n">
        <v>45247.3988425926</v>
      </c>
      <c r="D660" s="22" t="s">
        <v>206</v>
      </c>
      <c r="E660" s="22" t="n">
        <v>9</v>
      </c>
      <c r="F660" s="22" t="s">
        <v>181</v>
      </c>
      <c r="G660" s="22" t="s">
        <v>235</v>
      </c>
      <c r="H660" s="22" t="n">
        <v>0.05</v>
      </c>
      <c r="I660" s="38" t="n">
        <v>1986</v>
      </c>
      <c r="J660" s="38" t="n">
        <v>1986</v>
      </c>
      <c r="K660" s="39" t="n">
        <f aca="false">IF(F660="BUY",J660-I660,I660-J660)</f>
        <v>0</v>
      </c>
      <c r="L660" s="38" t="n">
        <v>1980</v>
      </c>
      <c r="M660" s="39" t="n">
        <f aca="false">ABS(I660-L660)</f>
        <v>6</v>
      </c>
      <c r="N660" s="24" t="n">
        <f aca="false">M660*H660*Summary!$C$6</f>
        <v>30</v>
      </c>
      <c r="O660" s="37" t="n">
        <v>45247.4464699074</v>
      </c>
      <c r="P660" s="22" t="n">
        <f aca="false">ROUND((O660-C660)*86400,0)</f>
        <v>4115</v>
      </c>
      <c r="Q660" s="22" t="str">
        <f aca="false">IF(P660&lt;10,"a) &lt;10s",IF(P660&lt;60,"b) 10-60s",IF(P660&lt;600,"c) 1-10min","d) &gt;10min")))</f>
        <v>d) &gt;10min</v>
      </c>
      <c r="R660" s="38" t="n">
        <v>1986.5</v>
      </c>
      <c r="S660" s="38" t="n">
        <v>1986.47</v>
      </c>
      <c r="T660" s="22" t="s">
        <v>189</v>
      </c>
      <c r="U660" s="39" t="n">
        <f aca="false">IF(R660="","",IF(F660="BUY",R660-S660,S660-R660))</f>
        <v>0.0299999999999727</v>
      </c>
      <c r="V660" s="39" t="n">
        <f aca="false">IF(F660="BUY",S660-J660,J660-S660)</f>
        <v>0.470000000000027</v>
      </c>
      <c r="W660" s="6" t="n">
        <v>2.35</v>
      </c>
      <c r="X660" s="26" t="n">
        <f aca="false">IFERROR(W660/N660,0)</f>
        <v>0.0783333333333333</v>
      </c>
      <c r="Y660" s="22" t="str">
        <f aca="false">IF(W660&gt;0,"Win",IF(W660&lt;0,"Loss","Flat"))</f>
        <v>Win</v>
      </c>
      <c r="Z660" s="24" t="n">
        <f aca="false">Summary!$C$5+SUM(W$2:W660)</f>
        <v>3547.63</v>
      </c>
      <c r="AA660" s="24" t="n">
        <f aca="false">MAX(AA659,Z660)</f>
        <v>5000</v>
      </c>
      <c r="AB660" s="24" t="n">
        <f aca="false">AA660-Z660</f>
        <v>1452.37</v>
      </c>
      <c r="AC660" s="23" t="n">
        <f aca="false">IFERROR(AB660/AA660,0)</f>
        <v>0.290474</v>
      </c>
      <c r="AD660" s="22" t="s">
        <v>897</v>
      </c>
    </row>
    <row r="661" customFormat="false" ht="15" hidden="false" customHeight="false" outlineLevel="0" collapsed="false">
      <c r="A661" s="22" t="n">
        <v>660</v>
      </c>
      <c r="B661" s="22" t="s">
        <v>139</v>
      </c>
      <c r="C661" s="37" t="n">
        <v>45250.3970949074</v>
      </c>
      <c r="D661" s="22" t="s">
        <v>202</v>
      </c>
      <c r="E661" s="22" t="n">
        <v>9</v>
      </c>
      <c r="F661" s="22" t="s">
        <v>182</v>
      </c>
      <c r="G661" s="22" t="s">
        <v>241</v>
      </c>
      <c r="H661" s="22" t="n">
        <v>0.05</v>
      </c>
      <c r="I661" s="38" t="n">
        <v>1978.68</v>
      </c>
      <c r="J661" s="38" t="n">
        <v>1978.67</v>
      </c>
      <c r="K661" s="39" t="n">
        <f aca="false">IF(F661="BUY",J661-I661,I661-J661)</f>
        <v>0.00999999999999091</v>
      </c>
      <c r="L661" s="38" t="n">
        <v>1984.68</v>
      </c>
      <c r="M661" s="39" t="n">
        <f aca="false">ABS(I661-L661)</f>
        <v>6</v>
      </c>
      <c r="N661" s="24" t="n">
        <f aca="false">M661*H661*Summary!$C$6</f>
        <v>30</v>
      </c>
      <c r="O661" s="37" t="n">
        <v>45250.4437962963</v>
      </c>
      <c r="P661" s="22" t="n">
        <f aca="false">ROUND((O661-C661)*86400,0)</f>
        <v>4035</v>
      </c>
      <c r="Q661" s="22" t="str">
        <f aca="false">IF(P661&lt;10,"a) &lt;10s",IF(P661&lt;60,"b) 10-60s",IF(P661&lt;600,"c) 1-10min","d) &gt;10min")))</f>
        <v>d) &gt;10min</v>
      </c>
      <c r="R661" s="38" t="n">
        <v>1978.17</v>
      </c>
      <c r="S661" s="38" t="n">
        <v>1978.17</v>
      </c>
      <c r="T661" s="22" t="s">
        <v>189</v>
      </c>
      <c r="U661" s="39" t="n">
        <f aca="false">IF(R661="","",IF(F661="BUY",R661-S661,S661-R661))</f>
        <v>0</v>
      </c>
      <c r="V661" s="39" t="n">
        <f aca="false">IF(F661="BUY",S661-J661,J661-S661)</f>
        <v>0.5</v>
      </c>
      <c r="W661" s="6" t="n">
        <v>2.5</v>
      </c>
      <c r="X661" s="26" t="n">
        <f aca="false">IFERROR(W661/N661,0)</f>
        <v>0.0833333333333333</v>
      </c>
      <c r="Y661" s="22" t="str">
        <f aca="false">IF(W661&gt;0,"Win",IF(W661&lt;0,"Loss","Flat"))</f>
        <v>Win</v>
      </c>
      <c r="Z661" s="24" t="n">
        <f aca="false">Summary!$C$5+SUM(W$2:W661)</f>
        <v>3550.13</v>
      </c>
      <c r="AA661" s="24" t="n">
        <f aca="false">MAX(AA660,Z661)</f>
        <v>5000</v>
      </c>
      <c r="AB661" s="24" t="n">
        <f aca="false">AA661-Z661</f>
        <v>1449.87</v>
      </c>
      <c r="AC661" s="23" t="n">
        <f aca="false">IFERROR(AB661/AA661,0)</f>
        <v>0.289974</v>
      </c>
      <c r="AD661" s="22" t="s">
        <v>898</v>
      </c>
    </row>
    <row r="662" customFormat="false" ht="15" hidden="false" customHeight="false" outlineLevel="0" collapsed="false">
      <c r="A662" s="22" t="n">
        <v>661</v>
      </c>
      <c r="B662" s="22" t="s">
        <v>139</v>
      </c>
      <c r="C662" s="37" t="n">
        <v>45251.1171180556</v>
      </c>
      <c r="D662" s="22" t="s">
        <v>203</v>
      </c>
      <c r="E662" s="22" t="n">
        <v>2</v>
      </c>
      <c r="F662" s="22" t="s">
        <v>181</v>
      </c>
      <c r="G662" s="22" t="s">
        <v>243</v>
      </c>
      <c r="H662" s="22" t="n">
        <v>0.05</v>
      </c>
      <c r="I662" s="38" t="n">
        <v>1985.09</v>
      </c>
      <c r="J662" s="38" t="n">
        <v>1985.33</v>
      </c>
      <c r="K662" s="39" t="n">
        <f aca="false">IF(F662="BUY",J662-I662,I662-J662)</f>
        <v>0.240000000000009</v>
      </c>
      <c r="L662" s="38" t="n">
        <v>1979.09</v>
      </c>
      <c r="M662" s="39" t="n">
        <f aca="false">ABS(I662-L662)</f>
        <v>6</v>
      </c>
      <c r="N662" s="24" t="n">
        <f aca="false">M662*H662*Summary!$C$6</f>
        <v>30</v>
      </c>
      <c r="O662" s="37" t="n">
        <v>45251.4760763889</v>
      </c>
      <c r="P662" s="22" t="n">
        <f aca="false">ROUND((O662-C662)*86400,0)</f>
        <v>31014</v>
      </c>
      <c r="Q662" s="22" t="str">
        <f aca="false">IF(P662&lt;10,"a) &lt;10s",IF(P662&lt;60,"b) 10-60s",IF(P662&lt;600,"c) 1-10min","d) &gt;10min")))</f>
        <v>d) &gt;10min</v>
      </c>
      <c r="R662" s="38" t="n">
        <v>1985.83</v>
      </c>
      <c r="S662" s="38" t="n">
        <v>1985.83</v>
      </c>
      <c r="T662" s="22" t="s">
        <v>189</v>
      </c>
      <c r="U662" s="39" t="n">
        <f aca="false">IF(R662="","",IF(F662="BUY",R662-S662,S662-R662))</f>
        <v>0</v>
      </c>
      <c r="V662" s="39" t="n">
        <f aca="false">IF(F662="BUY",S662-J662,J662-S662)</f>
        <v>0.5</v>
      </c>
      <c r="W662" s="6" t="n">
        <v>2.5</v>
      </c>
      <c r="X662" s="26" t="n">
        <f aca="false">IFERROR(W662/N662,0)</f>
        <v>0.0833333333333333</v>
      </c>
      <c r="Y662" s="22" t="str">
        <f aca="false">IF(W662&gt;0,"Win",IF(W662&lt;0,"Loss","Flat"))</f>
        <v>Win</v>
      </c>
      <c r="Z662" s="24" t="n">
        <f aca="false">Summary!$C$5+SUM(W$2:W662)</f>
        <v>3552.63</v>
      </c>
      <c r="AA662" s="24" t="n">
        <f aca="false">MAX(AA661,Z662)</f>
        <v>5000</v>
      </c>
      <c r="AB662" s="24" t="n">
        <f aca="false">AA662-Z662</f>
        <v>1447.37</v>
      </c>
      <c r="AC662" s="23" t="n">
        <f aca="false">IFERROR(AB662/AA662,0)</f>
        <v>0.289474</v>
      </c>
      <c r="AD662" s="22" t="s">
        <v>899</v>
      </c>
    </row>
    <row r="663" customFormat="false" ht="15" hidden="false" customHeight="false" outlineLevel="0" collapsed="false">
      <c r="A663" s="22" t="n">
        <v>662</v>
      </c>
      <c r="B663" s="22" t="s">
        <v>139</v>
      </c>
      <c r="C663" s="37" t="n">
        <v>45252.375625</v>
      </c>
      <c r="D663" s="22" t="s">
        <v>204</v>
      </c>
      <c r="E663" s="22" t="n">
        <v>9</v>
      </c>
      <c r="F663" s="22" t="s">
        <v>181</v>
      </c>
      <c r="G663" s="22" t="s">
        <v>235</v>
      </c>
      <c r="H663" s="22" t="n">
        <v>0.05</v>
      </c>
      <c r="I663" s="38" t="n">
        <v>2001.21</v>
      </c>
      <c r="J663" s="38" t="n">
        <v>2001.23</v>
      </c>
      <c r="K663" s="39" t="n">
        <f aca="false">IF(F663="BUY",J663-I663,I663-J663)</f>
        <v>0.0199999999999818</v>
      </c>
      <c r="L663" s="38" t="n">
        <v>1995.21</v>
      </c>
      <c r="M663" s="39" t="n">
        <f aca="false">ABS(I663-L663)</f>
        <v>6</v>
      </c>
      <c r="N663" s="24" t="n">
        <f aca="false">M663*H663*Summary!$C$6</f>
        <v>30</v>
      </c>
      <c r="O663" s="37" t="n">
        <v>45252.3969907407</v>
      </c>
      <c r="P663" s="22" t="n">
        <f aca="false">ROUND((O663-C663)*86400,0)</f>
        <v>1846</v>
      </c>
      <c r="Q663" s="22" t="str">
        <f aca="false">IF(P663&lt;10,"a) &lt;10s",IF(P663&lt;60,"b) 10-60s",IF(P663&lt;600,"c) 1-10min","d) &gt;10min")))</f>
        <v>d) &gt;10min</v>
      </c>
      <c r="R663" s="38" t="n">
        <v>2001.73</v>
      </c>
      <c r="S663" s="38" t="n">
        <v>2001.73</v>
      </c>
      <c r="T663" s="22" t="s">
        <v>189</v>
      </c>
      <c r="U663" s="39" t="n">
        <f aca="false">IF(R663="","",IF(F663="BUY",R663-S663,S663-R663))</f>
        <v>0</v>
      </c>
      <c r="V663" s="39" t="n">
        <f aca="false">IF(F663="BUY",S663-J663,J663-S663)</f>
        <v>0.5</v>
      </c>
      <c r="W663" s="6" t="n">
        <v>2.5</v>
      </c>
      <c r="X663" s="26" t="n">
        <f aca="false">IFERROR(W663/N663,0)</f>
        <v>0.0833333333333333</v>
      </c>
      <c r="Y663" s="22" t="str">
        <f aca="false">IF(W663&gt;0,"Win",IF(W663&lt;0,"Loss","Flat"))</f>
        <v>Win</v>
      </c>
      <c r="Z663" s="24" t="n">
        <f aca="false">Summary!$C$5+SUM(W$2:W663)</f>
        <v>3555.13</v>
      </c>
      <c r="AA663" s="24" t="n">
        <f aca="false">MAX(AA662,Z663)</f>
        <v>5000</v>
      </c>
      <c r="AB663" s="24" t="n">
        <f aca="false">AA663-Z663</f>
        <v>1444.87</v>
      </c>
      <c r="AC663" s="23" t="n">
        <f aca="false">IFERROR(AB663/AA663,0)</f>
        <v>0.288974</v>
      </c>
      <c r="AD663" s="22" t="s">
        <v>900</v>
      </c>
    </row>
    <row r="664" customFormat="false" ht="15" hidden="false" customHeight="false" outlineLevel="0" collapsed="false">
      <c r="A664" s="22" t="n">
        <v>663</v>
      </c>
      <c r="B664" s="22" t="s">
        <v>139</v>
      </c>
      <c r="C664" s="37" t="n">
        <v>45253.3803356482</v>
      </c>
      <c r="D664" s="22" t="s">
        <v>205</v>
      </c>
      <c r="E664" s="22" t="n">
        <v>9</v>
      </c>
      <c r="F664" s="22" t="s">
        <v>182</v>
      </c>
      <c r="G664" s="22" t="s">
        <v>241</v>
      </c>
      <c r="H664" s="22" t="n">
        <v>0.05</v>
      </c>
      <c r="I664" s="38" t="n">
        <v>1994.27</v>
      </c>
      <c r="J664" s="38" t="n">
        <v>1994.2</v>
      </c>
      <c r="K664" s="39" t="n">
        <f aca="false">IF(F664="BUY",J664-I664,I664-J664)</f>
        <v>0.0699999999999363</v>
      </c>
      <c r="L664" s="38" t="n">
        <v>2000.27</v>
      </c>
      <c r="M664" s="39" t="n">
        <f aca="false">ABS(I664-L664)</f>
        <v>6</v>
      </c>
      <c r="N664" s="24" t="n">
        <f aca="false">M664*H664*Summary!$C$6</f>
        <v>30</v>
      </c>
      <c r="O664" s="37" t="n">
        <v>45253.6688773148</v>
      </c>
      <c r="P664" s="22" t="n">
        <f aca="false">ROUND((O664-C664)*86400,0)</f>
        <v>24930</v>
      </c>
      <c r="Q664" s="22" t="str">
        <f aca="false">IF(P664&lt;10,"a) &lt;10s",IF(P664&lt;60,"b) 10-60s",IF(P664&lt;600,"c) 1-10min","d) &gt;10min")))</f>
        <v>d) &gt;10min</v>
      </c>
      <c r="R664" s="38" t="n">
        <v>1993.7</v>
      </c>
      <c r="S664" s="38" t="n">
        <v>1993.71</v>
      </c>
      <c r="T664" s="22" t="s">
        <v>189</v>
      </c>
      <c r="U664" s="39" t="n">
        <f aca="false">IF(R664="","",IF(F664="BUY",R664-S664,S664-R664))</f>
        <v>0.00999999999999091</v>
      </c>
      <c r="V664" s="39" t="n">
        <f aca="false">IF(F664="BUY",S664-J664,J664-S664)</f>
        <v>0.490000000000009</v>
      </c>
      <c r="W664" s="6" t="n">
        <v>2.45</v>
      </c>
      <c r="X664" s="26" t="n">
        <f aca="false">IFERROR(W664/N664,0)</f>
        <v>0.0816666666666667</v>
      </c>
      <c r="Y664" s="22" t="str">
        <f aca="false">IF(W664&gt;0,"Win",IF(W664&lt;0,"Loss","Flat"))</f>
        <v>Win</v>
      </c>
      <c r="Z664" s="24" t="n">
        <f aca="false">Summary!$C$5+SUM(W$2:W664)</f>
        <v>3557.58</v>
      </c>
      <c r="AA664" s="24" t="n">
        <f aca="false">MAX(AA663,Z664)</f>
        <v>5000</v>
      </c>
      <c r="AB664" s="24" t="n">
        <f aca="false">AA664-Z664</f>
        <v>1442.42</v>
      </c>
      <c r="AC664" s="23" t="n">
        <f aca="false">IFERROR(AB664/AA664,0)</f>
        <v>0.288484</v>
      </c>
      <c r="AD664" s="22" t="s">
        <v>901</v>
      </c>
    </row>
    <row r="665" customFormat="false" ht="15" hidden="false" customHeight="false" outlineLevel="0" collapsed="false">
      <c r="A665" s="22" t="n">
        <v>664</v>
      </c>
      <c r="B665" s="22" t="s">
        <v>139</v>
      </c>
      <c r="C665" s="37" t="n">
        <v>45254.3863773148</v>
      </c>
      <c r="D665" s="22" t="s">
        <v>206</v>
      </c>
      <c r="E665" s="22" t="n">
        <v>9</v>
      </c>
      <c r="F665" s="22" t="s">
        <v>182</v>
      </c>
      <c r="G665" s="22" t="s">
        <v>241</v>
      </c>
      <c r="H665" s="22" t="n">
        <v>0.05</v>
      </c>
      <c r="I665" s="38" t="n">
        <v>1992.36</v>
      </c>
      <c r="J665" s="38" t="n">
        <v>1992.36</v>
      </c>
      <c r="K665" s="39" t="n">
        <f aca="false">IF(F665="BUY",J665-I665,I665-J665)</f>
        <v>0</v>
      </c>
      <c r="L665" s="38" t="n">
        <v>1998.36</v>
      </c>
      <c r="M665" s="39" t="n">
        <f aca="false">ABS(I665-L665)</f>
        <v>6</v>
      </c>
      <c r="N665" s="24" t="n">
        <f aca="false">M665*H665*Summary!$C$6</f>
        <v>30</v>
      </c>
      <c r="O665" s="37" t="n">
        <v>45254.6492708333</v>
      </c>
      <c r="P665" s="22" t="n">
        <f aca="false">ROUND((O665-C665)*86400,0)</f>
        <v>22714</v>
      </c>
      <c r="Q665" s="22" t="str">
        <f aca="false">IF(P665&lt;10,"a) &lt;10s",IF(P665&lt;60,"b) 10-60s",IF(P665&lt;600,"c) 1-10min","d) &gt;10min")))</f>
        <v>d) &gt;10min</v>
      </c>
      <c r="R665" s="38" t="n">
        <v>1998.36</v>
      </c>
      <c r="S665" s="38" t="n">
        <v>1998.37</v>
      </c>
      <c r="T665" s="22" t="s">
        <v>188</v>
      </c>
      <c r="U665" s="39" t="n">
        <f aca="false">IF(R665="","",IF(F665="BUY",R665-S665,S665-R665))</f>
        <v>0.00999999999999091</v>
      </c>
      <c r="V665" s="39" t="n">
        <f aca="false">IF(F665="BUY",S665-J665,J665-S665)</f>
        <v>-6.00999999999999</v>
      </c>
      <c r="W665" s="6" t="n">
        <v>-30.05</v>
      </c>
      <c r="X665" s="26" t="n">
        <f aca="false">IFERROR(W665/N665,0)</f>
        <v>-1.00166666666667</v>
      </c>
      <c r="Y665" s="22" t="str">
        <f aca="false">IF(W665&gt;0,"Win",IF(W665&lt;0,"Loss","Flat"))</f>
        <v>Loss</v>
      </c>
      <c r="Z665" s="24" t="n">
        <f aca="false">Summary!$C$5+SUM(W$2:W665)</f>
        <v>3527.53</v>
      </c>
      <c r="AA665" s="24" t="n">
        <f aca="false">MAX(AA664,Z665)</f>
        <v>5000</v>
      </c>
      <c r="AB665" s="24" t="n">
        <f aca="false">AA665-Z665</f>
        <v>1472.47</v>
      </c>
      <c r="AC665" s="23" t="n">
        <f aca="false">IFERROR(AB665/AA665,0)</f>
        <v>0.294494</v>
      </c>
      <c r="AD665" s="22" t="s">
        <v>902</v>
      </c>
    </row>
    <row r="666" customFormat="false" ht="15" hidden="false" customHeight="false" outlineLevel="0" collapsed="false">
      <c r="A666" s="22" t="n">
        <v>665</v>
      </c>
      <c r="B666" s="22" t="s">
        <v>139</v>
      </c>
      <c r="C666" s="37" t="n">
        <v>45254.6492708333</v>
      </c>
      <c r="D666" s="22" t="s">
        <v>206</v>
      </c>
      <c r="E666" s="22" t="n">
        <v>15</v>
      </c>
      <c r="F666" s="22" t="s">
        <v>181</v>
      </c>
      <c r="G666" s="22" t="s">
        <v>243</v>
      </c>
      <c r="H666" s="22" t="n">
        <v>0.05</v>
      </c>
      <c r="I666" s="38" t="n">
        <v>1998.41</v>
      </c>
      <c r="J666" s="38" t="n">
        <v>1998.42</v>
      </c>
      <c r="K666" s="39" t="n">
        <f aca="false">IF(F666="BUY",J666-I666,I666-J666)</f>
        <v>0.00999999999999091</v>
      </c>
      <c r="L666" s="38" t="n">
        <v>1992.41</v>
      </c>
      <c r="M666" s="39" t="n">
        <f aca="false">ABS(I666-L666)</f>
        <v>6</v>
      </c>
      <c r="N666" s="24" t="n">
        <f aca="false">M666*H666*Summary!$C$6</f>
        <v>30</v>
      </c>
      <c r="O666" s="37" t="n">
        <v>45254.6618287037</v>
      </c>
      <c r="P666" s="22" t="n">
        <f aca="false">ROUND((O666-C666)*86400,0)</f>
        <v>1085</v>
      </c>
      <c r="Q666" s="22" t="str">
        <f aca="false">IF(P666&lt;10,"a) &lt;10s",IF(P666&lt;60,"b) 10-60s",IF(P666&lt;600,"c) 1-10min","d) &gt;10min")))</f>
        <v>d) &gt;10min</v>
      </c>
      <c r="R666" s="38" t="n">
        <v>1998.92</v>
      </c>
      <c r="S666" s="38" t="n">
        <v>1998.92</v>
      </c>
      <c r="T666" s="22" t="s">
        <v>189</v>
      </c>
      <c r="U666" s="39" t="n">
        <f aca="false">IF(R666="","",IF(F666="BUY",R666-S666,S666-R666))</f>
        <v>0</v>
      </c>
      <c r="V666" s="39" t="n">
        <f aca="false">IF(F666="BUY",S666-J666,J666-S666)</f>
        <v>0.5</v>
      </c>
      <c r="W666" s="6" t="n">
        <v>2.5</v>
      </c>
      <c r="X666" s="26" t="n">
        <f aca="false">IFERROR(W666/N666,0)</f>
        <v>0.0833333333333333</v>
      </c>
      <c r="Y666" s="22" t="str">
        <f aca="false">IF(W666&gt;0,"Win",IF(W666&lt;0,"Loss","Flat"))</f>
        <v>Win</v>
      </c>
      <c r="Z666" s="24" t="n">
        <f aca="false">Summary!$C$5+SUM(W$2:W666)</f>
        <v>3530.03</v>
      </c>
      <c r="AA666" s="24" t="n">
        <f aca="false">MAX(AA665,Z666)</f>
        <v>5000</v>
      </c>
      <c r="AB666" s="24" t="n">
        <f aca="false">AA666-Z666</f>
        <v>1469.97</v>
      </c>
      <c r="AC666" s="23" t="n">
        <f aca="false">IFERROR(AB666/AA666,0)</f>
        <v>0.293994</v>
      </c>
      <c r="AD666" s="22" t="s">
        <v>903</v>
      </c>
    </row>
    <row r="667" customFormat="false" ht="15" hidden="false" customHeight="false" outlineLevel="0" collapsed="false">
      <c r="A667" s="22" t="n">
        <v>666</v>
      </c>
      <c r="B667" s="22" t="s">
        <v>139</v>
      </c>
      <c r="C667" s="37" t="n">
        <v>45257.0901273148</v>
      </c>
      <c r="D667" s="22" t="s">
        <v>202</v>
      </c>
      <c r="E667" s="22" t="n">
        <v>2</v>
      </c>
      <c r="F667" s="22" t="s">
        <v>181</v>
      </c>
      <c r="G667" s="22" t="s">
        <v>243</v>
      </c>
      <c r="H667" s="22" t="n">
        <v>0.05</v>
      </c>
      <c r="I667" s="38" t="n">
        <v>2003.52</v>
      </c>
      <c r="J667" s="38" t="n">
        <v>2003.58</v>
      </c>
      <c r="K667" s="39" t="n">
        <f aca="false">IF(F667="BUY",J667-I667,I667-J667)</f>
        <v>0.0599999999999454</v>
      </c>
      <c r="L667" s="38" t="n">
        <v>1997.52</v>
      </c>
      <c r="M667" s="39" t="n">
        <f aca="false">ABS(I667-L667)</f>
        <v>6</v>
      </c>
      <c r="N667" s="24" t="n">
        <f aca="false">M667*H667*Summary!$C$6</f>
        <v>30</v>
      </c>
      <c r="O667" s="37" t="n">
        <v>45257.9270833333</v>
      </c>
      <c r="P667" s="22" t="n">
        <f aca="false">ROUND((O667-C667)*86400,0)</f>
        <v>72313</v>
      </c>
      <c r="Q667" s="22" t="str">
        <f aca="false">IF(P667&lt;10,"a) &lt;10s",IF(P667&lt;60,"b) 10-60s",IF(P667&lt;600,"c) 1-10min","d) &gt;10min")))</f>
        <v>d) &gt;10min</v>
      </c>
      <c r="R667" s="38"/>
      <c r="S667" s="38" t="n">
        <v>2013.11</v>
      </c>
      <c r="T667" s="22" t="s">
        <v>191</v>
      </c>
      <c r="U667" s="39" t="str">
        <f aca="false">IF(R667="","",IF(F667="BUY",R667-S667,S667-R667))</f>
        <v/>
      </c>
      <c r="V667" s="39" t="n">
        <f aca="false">IF(F667="BUY",S667-J667,J667-S667)</f>
        <v>9.52999999999997</v>
      </c>
      <c r="W667" s="6" t="n">
        <v>47.65</v>
      </c>
      <c r="X667" s="26" t="n">
        <f aca="false">IFERROR(W667/N667,0)</f>
        <v>1.58833333333333</v>
      </c>
      <c r="Y667" s="22" t="str">
        <f aca="false">IF(W667&gt;0,"Win",IF(W667&lt;0,"Loss","Flat"))</f>
        <v>Win</v>
      </c>
      <c r="Z667" s="24" t="n">
        <f aca="false">Summary!$C$5+SUM(W$2:W667)</f>
        <v>3577.68</v>
      </c>
      <c r="AA667" s="24" t="n">
        <f aca="false">MAX(AA666,Z667)</f>
        <v>5000</v>
      </c>
      <c r="AB667" s="24" t="n">
        <f aca="false">AA667-Z667</f>
        <v>1422.32</v>
      </c>
      <c r="AC667" s="23" t="n">
        <f aca="false">IFERROR(AB667/AA667,0)</f>
        <v>0.284464</v>
      </c>
      <c r="AD667" s="22" t="s">
        <v>904</v>
      </c>
    </row>
    <row r="668" customFormat="false" ht="15" hidden="false" customHeight="false" outlineLevel="0" collapsed="false">
      <c r="A668" s="22" t="n">
        <v>667</v>
      </c>
      <c r="B668" s="22" t="s">
        <v>139</v>
      </c>
      <c r="C668" s="37" t="n">
        <v>45258.118587963</v>
      </c>
      <c r="D668" s="22" t="s">
        <v>203</v>
      </c>
      <c r="E668" s="22" t="n">
        <v>2</v>
      </c>
      <c r="F668" s="22" t="s">
        <v>181</v>
      </c>
      <c r="G668" s="22" t="s">
        <v>243</v>
      </c>
      <c r="H668" s="22" t="n">
        <v>0.05</v>
      </c>
      <c r="I668" s="38" t="n">
        <v>2018.09</v>
      </c>
      <c r="J668" s="38" t="n">
        <v>2018.11</v>
      </c>
      <c r="K668" s="39" t="n">
        <f aca="false">IF(F668="BUY",J668-I668,I668-J668)</f>
        <v>0.0199999999999818</v>
      </c>
      <c r="L668" s="38" t="n">
        <v>2012.09</v>
      </c>
      <c r="M668" s="39" t="n">
        <f aca="false">ABS(I668-L668)</f>
        <v>6</v>
      </c>
      <c r="N668" s="24" t="n">
        <f aca="false">M668*H668*Summary!$C$6</f>
        <v>30</v>
      </c>
      <c r="O668" s="37" t="n">
        <v>45258.4101273148</v>
      </c>
      <c r="P668" s="22" t="n">
        <f aca="false">ROUND((O668-C668)*86400,0)</f>
        <v>25189</v>
      </c>
      <c r="Q668" s="22" t="str">
        <f aca="false">IF(P668&lt;10,"a) &lt;10s",IF(P668&lt;60,"b) 10-60s",IF(P668&lt;600,"c) 1-10min","d) &gt;10min")))</f>
        <v>d) &gt;10min</v>
      </c>
      <c r="R668" s="38" t="n">
        <v>2012.09</v>
      </c>
      <c r="S668" s="38" t="n">
        <v>2012.02</v>
      </c>
      <c r="T668" s="22" t="s">
        <v>188</v>
      </c>
      <c r="U668" s="39" t="n">
        <f aca="false">IF(R668="","",IF(F668="BUY",R668-S668,S668-R668))</f>
        <v>0.0699999999999363</v>
      </c>
      <c r="V668" s="39" t="n">
        <f aca="false">IF(F668="BUY",S668-J668,J668-S668)</f>
        <v>-6.08999999999992</v>
      </c>
      <c r="W668" s="6" t="n">
        <v>-30.45</v>
      </c>
      <c r="X668" s="26" t="n">
        <f aca="false">IFERROR(W668/N668,0)</f>
        <v>-1.015</v>
      </c>
      <c r="Y668" s="22" t="str">
        <f aca="false">IF(W668&gt;0,"Win",IF(W668&lt;0,"Loss","Flat"))</f>
        <v>Loss</v>
      </c>
      <c r="Z668" s="24" t="n">
        <f aca="false">Summary!$C$5+SUM(W$2:W668)</f>
        <v>3547.23</v>
      </c>
      <c r="AA668" s="24" t="n">
        <f aca="false">MAX(AA667,Z668)</f>
        <v>5000</v>
      </c>
      <c r="AB668" s="24" t="n">
        <f aca="false">AA668-Z668</f>
        <v>1452.77</v>
      </c>
      <c r="AC668" s="23" t="n">
        <f aca="false">IFERROR(AB668/AA668,0)</f>
        <v>0.290554</v>
      </c>
      <c r="AD668" s="22" t="s">
        <v>905</v>
      </c>
    </row>
    <row r="669" customFormat="false" ht="15" hidden="false" customHeight="false" outlineLevel="0" collapsed="false">
      <c r="A669" s="22" t="n">
        <v>668</v>
      </c>
      <c r="B669" s="22" t="s">
        <v>139</v>
      </c>
      <c r="C669" s="37" t="n">
        <v>45258.4719097222</v>
      </c>
      <c r="D669" s="22" t="s">
        <v>203</v>
      </c>
      <c r="E669" s="22" t="n">
        <v>11</v>
      </c>
      <c r="F669" s="22" t="s">
        <v>181</v>
      </c>
      <c r="G669" s="22" t="s">
        <v>235</v>
      </c>
      <c r="H669" s="22" t="n">
        <v>0.05</v>
      </c>
      <c r="I669" s="38" t="n">
        <v>2016.74</v>
      </c>
      <c r="J669" s="38" t="n">
        <v>2016.75</v>
      </c>
      <c r="K669" s="39" t="n">
        <f aca="false">IF(F669="BUY",J669-I669,I669-J669)</f>
        <v>0.00999999999999091</v>
      </c>
      <c r="L669" s="38" t="n">
        <v>2010.74</v>
      </c>
      <c r="M669" s="39" t="n">
        <f aca="false">ABS(I669-L669)</f>
        <v>6</v>
      </c>
      <c r="N669" s="24" t="n">
        <f aca="false">M669*H669*Summary!$C$6</f>
        <v>30</v>
      </c>
      <c r="O669" s="37" t="n">
        <v>45258.9270833333</v>
      </c>
      <c r="P669" s="22" t="n">
        <f aca="false">ROUND((O669-C669)*86400,0)</f>
        <v>39327</v>
      </c>
      <c r="Q669" s="22" t="str">
        <f aca="false">IF(P669&lt;10,"a) &lt;10s",IF(P669&lt;60,"b) 10-60s",IF(P669&lt;600,"c) 1-10min","d) &gt;10min")))</f>
        <v>d) &gt;10min</v>
      </c>
      <c r="R669" s="38"/>
      <c r="S669" s="38" t="n">
        <v>2040.23</v>
      </c>
      <c r="T669" s="22" t="s">
        <v>191</v>
      </c>
      <c r="U669" s="39" t="str">
        <f aca="false">IF(R669="","",IF(F669="BUY",R669-S669,S669-R669))</f>
        <v/>
      </c>
      <c r="V669" s="39" t="n">
        <f aca="false">IF(F669="BUY",S669-J669,J669-S669)</f>
        <v>23.48</v>
      </c>
      <c r="W669" s="6" t="n">
        <v>117.4</v>
      </c>
      <c r="X669" s="26" t="n">
        <f aca="false">IFERROR(W669/N669,0)</f>
        <v>3.91333333333333</v>
      </c>
      <c r="Y669" s="22" t="str">
        <f aca="false">IF(W669&gt;0,"Win",IF(W669&lt;0,"Loss","Flat"))</f>
        <v>Win</v>
      </c>
      <c r="Z669" s="24" t="n">
        <f aca="false">Summary!$C$5+SUM(W$2:W669)</f>
        <v>3664.63</v>
      </c>
      <c r="AA669" s="24" t="n">
        <f aca="false">MAX(AA668,Z669)</f>
        <v>5000</v>
      </c>
      <c r="AB669" s="24" t="n">
        <f aca="false">AA669-Z669</f>
        <v>1335.37</v>
      </c>
      <c r="AC669" s="23" t="n">
        <f aca="false">IFERROR(AB669/AA669,0)</f>
        <v>0.267074</v>
      </c>
      <c r="AD669" s="22" t="s">
        <v>906</v>
      </c>
    </row>
    <row r="670" customFormat="false" ht="15" hidden="false" customHeight="false" outlineLevel="0" collapsed="false">
      <c r="A670" s="22" t="n">
        <v>669</v>
      </c>
      <c r="B670" s="22" t="s">
        <v>139</v>
      </c>
      <c r="C670" s="37" t="n">
        <v>45259.0614236111</v>
      </c>
      <c r="D670" s="22" t="s">
        <v>204</v>
      </c>
      <c r="E670" s="22" t="n">
        <v>1</v>
      </c>
      <c r="F670" s="22" t="s">
        <v>181</v>
      </c>
      <c r="G670" s="22" t="s">
        <v>243</v>
      </c>
      <c r="H670" s="22" t="n">
        <v>0.06</v>
      </c>
      <c r="I670" s="38" t="n">
        <v>2042.92</v>
      </c>
      <c r="J670" s="38" t="n">
        <v>2042.95</v>
      </c>
      <c r="K670" s="39" t="n">
        <f aca="false">IF(F670="BUY",J670-I670,I670-J670)</f>
        <v>0.0299999999999727</v>
      </c>
      <c r="L670" s="38" t="n">
        <v>2036.92</v>
      </c>
      <c r="M670" s="39" t="n">
        <f aca="false">ABS(I670-L670)</f>
        <v>6</v>
      </c>
      <c r="N670" s="24" t="n">
        <f aca="false">M670*H670*Summary!$C$6</f>
        <v>36</v>
      </c>
      <c r="O670" s="37" t="n">
        <v>45259.0911805556</v>
      </c>
      <c r="P670" s="22" t="n">
        <f aca="false">ROUND((O670-C670)*86400,0)</f>
        <v>2571</v>
      </c>
      <c r="Q670" s="22" t="str">
        <f aca="false">IF(P670&lt;10,"a) &lt;10s",IF(P670&lt;60,"b) 10-60s",IF(P670&lt;600,"c) 1-10min","d) &gt;10min")))</f>
        <v>d) &gt;10min</v>
      </c>
      <c r="R670" s="38" t="n">
        <v>2043.45</v>
      </c>
      <c r="S670" s="38" t="n">
        <v>2043.44</v>
      </c>
      <c r="T670" s="22" t="s">
        <v>189</v>
      </c>
      <c r="U670" s="39" t="n">
        <f aca="false">IF(R670="","",IF(F670="BUY",R670-S670,S670-R670))</f>
        <v>0.00999999999999091</v>
      </c>
      <c r="V670" s="39" t="n">
        <f aca="false">IF(F670="BUY",S670-J670,J670-S670)</f>
        <v>0.490000000000009</v>
      </c>
      <c r="W670" s="6" t="n">
        <v>2.94</v>
      </c>
      <c r="X670" s="26" t="n">
        <f aca="false">IFERROR(W670/N670,0)</f>
        <v>0.0816666666666667</v>
      </c>
      <c r="Y670" s="22" t="str">
        <f aca="false">IF(W670&gt;0,"Win",IF(W670&lt;0,"Loss","Flat"))</f>
        <v>Win</v>
      </c>
      <c r="Z670" s="24" t="n">
        <f aca="false">Summary!$C$5+SUM(W$2:W670)</f>
        <v>3667.57</v>
      </c>
      <c r="AA670" s="24" t="n">
        <f aca="false">MAX(AA669,Z670)</f>
        <v>5000</v>
      </c>
      <c r="AB670" s="24" t="n">
        <f aca="false">AA670-Z670</f>
        <v>1332.43</v>
      </c>
      <c r="AC670" s="23" t="n">
        <f aca="false">IFERROR(AB670/AA670,0)</f>
        <v>0.266486</v>
      </c>
      <c r="AD670" s="22" t="s">
        <v>907</v>
      </c>
    </row>
    <row r="671" customFormat="false" ht="15" hidden="false" customHeight="false" outlineLevel="0" collapsed="false">
      <c r="A671" s="22" t="n">
        <v>670</v>
      </c>
      <c r="B671" s="22" t="s">
        <v>139</v>
      </c>
      <c r="C671" s="37" t="n">
        <v>45259.3820949074</v>
      </c>
      <c r="D671" s="22" t="s">
        <v>204</v>
      </c>
      <c r="E671" s="22" t="n">
        <v>9</v>
      </c>
      <c r="F671" s="22" t="s">
        <v>182</v>
      </c>
      <c r="G671" s="22" t="s">
        <v>241</v>
      </c>
      <c r="H671" s="22" t="n">
        <v>0.06</v>
      </c>
      <c r="I671" s="38" t="n">
        <v>2043.07</v>
      </c>
      <c r="J671" s="38" t="n">
        <v>2043.06</v>
      </c>
      <c r="K671" s="39" t="n">
        <f aca="false">IF(F671="BUY",J671-I671,I671-J671)</f>
        <v>0.00999999999999091</v>
      </c>
      <c r="L671" s="38" t="n">
        <v>2049.07</v>
      </c>
      <c r="M671" s="39" t="n">
        <f aca="false">ABS(I671-L671)</f>
        <v>6.00000000000023</v>
      </c>
      <c r="N671" s="24" t="n">
        <f aca="false">M671*H671*Summary!$C$6</f>
        <v>36.0000000000014</v>
      </c>
      <c r="O671" s="37" t="n">
        <v>45259.6955092593</v>
      </c>
      <c r="P671" s="22" t="n">
        <f aca="false">ROUND((O671-C671)*86400,0)</f>
        <v>27079</v>
      </c>
      <c r="Q671" s="22" t="str">
        <f aca="false">IF(P671&lt;10,"a) &lt;10s",IF(P671&lt;60,"b) 10-60s",IF(P671&lt;600,"c) 1-10min","d) &gt;10min")))</f>
        <v>d) &gt;10min</v>
      </c>
      <c r="R671" s="38" t="n">
        <v>2042.56</v>
      </c>
      <c r="S671" s="38" t="n">
        <v>2044.77</v>
      </c>
      <c r="T671" s="22" t="s">
        <v>189</v>
      </c>
      <c r="U671" s="39" t="n">
        <f aca="false">IF(R671="","",IF(F671="BUY",R671-S671,S671-R671))</f>
        <v>2.21000000000004</v>
      </c>
      <c r="V671" s="39" t="n">
        <f aca="false">IF(F671="BUY",S671-J671,J671-S671)</f>
        <v>-1.71000000000004</v>
      </c>
      <c r="W671" s="6" t="n">
        <v>-10.26</v>
      </c>
      <c r="X671" s="26" t="n">
        <f aca="false">IFERROR(W671/N671,0)</f>
        <v>-0.284999999999989</v>
      </c>
      <c r="Y671" s="22" t="str">
        <f aca="false">IF(W671&gt;0,"Win",IF(W671&lt;0,"Loss","Flat"))</f>
        <v>Loss</v>
      </c>
      <c r="Z671" s="24" t="n">
        <f aca="false">Summary!$C$5+SUM(W$2:W671)</f>
        <v>3657.31</v>
      </c>
      <c r="AA671" s="24" t="n">
        <f aca="false">MAX(AA670,Z671)</f>
        <v>5000</v>
      </c>
      <c r="AB671" s="24" t="n">
        <f aca="false">AA671-Z671</f>
        <v>1342.69</v>
      </c>
      <c r="AC671" s="23" t="n">
        <f aca="false">IFERROR(AB671/AA671,0)</f>
        <v>0.268538</v>
      </c>
      <c r="AD671" s="22" t="s">
        <v>908</v>
      </c>
    </row>
    <row r="672" customFormat="false" ht="15" hidden="false" customHeight="false" outlineLevel="0" collapsed="false">
      <c r="A672" s="22" t="n">
        <v>671</v>
      </c>
      <c r="B672" s="22" t="s">
        <v>139</v>
      </c>
      <c r="C672" s="37" t="n">
        <v>45260.4468634259</v>
      </c>
      <c r="D672" s="22" t="s">
        <v>205</v>
      </c>
      <c r="E672" s="22" t="n">
        <v>10</v>
      </c>
      <c r="F672" s="22" t="s">
        <v>182</v>
      </c>
      <c r="G672" s="22" t="s">
        <v>241</v>
      </c>
      <c r="H672" s="22" t="n">
        <v>0.06</v>
      </c>
      <c r="I672" s="38" t="n">
        <v>2041.26</v>
      </c>
      <c r="J672" s="38" t="n">
        <v>2041.14</v>
      </c>
      <c r="K672" s="39" t="n">
        <f aca="false">IF(F672="BUY",J672-I672,I672-J672)</f>
        <v>0.119999999999891</v>
      </c>
      <c r="L672" s="38" t="n">
        <v>2047.26</v>
      </c>
      <c r="M672" s="39" t="n">
        <f aca="false">ABS(I672-L672)</f>
        <v>6</v>
      </c>
      <c r="N672" s="24" t="n">
        <f aca="false">M672*H672*Summary!$C$6</f>
        <v>36</v>
      </c>
      <c r="O672" s="37" t="n">
        <v>45260.5332175926</v>
      </c>
      <c r="P672" s="22" t="n">
        <f aca="false">ROUND((O672-C672)*86400,0)</f>
        <v>7461</v>
      </c>
      <c r="Q672" s="22" t="str">
        <f aca="false">IF(P672&lt;10,"a) &lt;10s",IF(P672&lt;60,"b) 10-60s",IF(P672&lt;600,"c) 1-10min","d) &gt;10min")))</f>
        <v>d) &gt;10min</v>
      </c>
      <c r="R672" s="38" t="n">
        <v>2040.64</v>
      </c>
      <c r="S672" s="38" t="n">
        <v>2040.67</v>
      </c>
      <c r="T672" s="22" t="s">
        <v>189</v>
      </c>
      <c r="U672" s="39" t="n">
        <f aca="false">IF(R672="","",IF(F672="BUY",R672-S672,S672-R672))</f>
        <v>0.0299999999999727</v>
      </c>
      <c r="V672" s="39" t="n">
        <f aca="false">IF(F672="BUY",S672-J672,J672-S672)</f>
        <v>0.470000000000027</v>
      </c>
      <c r="W672" s="6" t="n">
        <v>2.82</v>
      </c>
      <c r="X672" s="26" t="n">
        <f aca="false">IFERROR(W672/N672,0)</f>
        <v>0.0783333333333333</v>
      </c>
      <c r="Y672" s="22" t="str">
        <f aca="false">IF(W672&gt;0,"Win",IF(W672&lt;0,"Loss","Flat"))</f>
        <v>Win</v>
      </c>
      <c r="Z672" s="24" t="n">
        <f aca="false">Summary!$C$5+SUM(W$2:W672)</f>
        <v>3660.13</v>
      </c>
      <c r="AA672" s="24" t="n">
        <f aca="false">MAX(AA671,Z672)</f>
        <v>5000</v>
      </c>
      <c r="AB672" s="24" t="n">
        <f aca="false">AA672-Z672</f>
        <v>1339.87</v>
      </c>
      <c r="AC672" s="23" t="n">
        <f aca="false">IFERROR(AB672/AA672,0)</f>
        <v>0.267974</v>
      </c>
      <c r="AD672" s="22" t="s">
        <v>909</v>
      </c>
    </row>
    <row r="673" customFormat="false" ht="15" hidden="false" customHeight="false" outlineLevel="0" collapsed="false">
      <c r="A673" s="22" t="n">
        <v>672</v>
      </c>
      <c r="B673" s="22" t="s">
        <v>139</v>
      </c>
      <c r="C673" s="37" t="n">
        <v>45260.6628587963</v>
      </c>
      <c r="D673" s="22" t="s">
        <v>205</v>
      </c>
      <c r="E673" s="22" t="n">
        <v>15</v>
      </c>
      <c r="F673" s="22" t="s">
        <v>182</v>
      </c>
      <c r="G673" s="22" t="s">
        <v>237</v>
      </c>
      <c r="H673" s="22" t="n">
        <v>0.06</v>
      </c>
      <c r="I673" s="38" t="n">
        <v>2035.21</v>
      </c>
      <c r="J673" s="38" t="n">
        <v>2035</v>
      </c>
      <c r="K673" s="39" t="n">
        <f aca="false">IF(F673="BUY",J673-I673,I673-J673)</f>
        <v>0.210000000000036</v>
      </c>
      <c r="L673" s="38" t="n">
        <v>2041.21</v>
      </c>
      <c r="M673" s="39" t="n">
        <f aca="false">ABS(I673-L673)</f>
        <v>6</v>
      </c>
      <c r="N673" s="24" t="n">
        <f aca="false">M673*H673*Summary!$C$6</f>
        <v>36</v>
      </c>
      <c r="O673" s="37" t="n">
        <v>45260.6690740741</v>
      </c>
      <c r="P673" s="22" t="n">
        <f aca="false">ROUND((O673-C673)*86400,0)</f>
        <v>537</v>
      </c>
      <c r="Q673" s="22" t="str">
        <f aca="false">IF(P673&lt;10,"a) &lt;10s",IF(P673&lt;60,"b) 10-60s",IF(P673&lt;600,"c) 1-10min","d) &gt;10min")))</f>
        <v>c) 1-10min</v>
      </c>
      <c r="R673" s="38" t="n">
        <v>2034.5</v>
      </c>
      <c r="S673" s="38" t="n">
        <v>2034.5</v>
      </c>
      <c r="T673" s="22" t="s">
        <v>189</v>
      </c>
      <c r="U673" s="39" t="n">
        <f aca="false">IF(R673="","",IF(F673="BUY",R673-S673,S673-R673))</f>
        <v>0</v>
      </c>
      <c r="V673" s="39" t="n">
        <f aca="false">IF(F673="BUY",S673-J673,J673-S673)</f>
        <v>0.5</v>
      </c>
      <c r="W673" s="6" t="n">
        <v>3</v>
      </c>
      <c r="X673" s="26" t="n">
        <f aca="false">IFERROR(W673/N673,0)</f>
        <v>0.0833333333333333</v>
      </c>
      <c r="Y673" s="22" t="str">
        <f aca="false">IF(W673&gt;0,"Win",IF(W673&lt;0,"Loss","Flat"))</f>
        <v>Win</v>
      </c>
      <c r="Z673" s="24" t="n">
        <f aca="false">Summary!$C$5+SUM(W$2:W673)</f>
        <v>3663.13</v>
      </c>
      <c r="AA673" s="24" t="n">
        <f aca="false">MAX(AA672,Z673)</f>
        <v>5000</v>
      </c>
      <c r="AB673" s="24" t="n">
        <f aca="false">AA673-Z673</f>
        <v>1336.87</v>
      </c>
      <c r="AC673" s="23" t="n">
        <f aca="false">IFERROR(AB673/AA673,0)</f>
        <v>0.267374</v>
      </c>
      <c r="AD673" s="22" t="s">
        <v>910</v>
      </c>
    </row>
    <row r="674" customFormat="false" ht="15" hidden="false" customHeight="false" outlineLevel="0" collapsed="false">
      <c r="A674" s="22" t="n">
        <v>673</v>
      </c>
      <c r="B674" s="22" t="s">
        <v>140</v>
      </c>
      <c r="C674" s="37" t="n">
        <v>45261.4122106481</v>
      </c>
      <c r="D674" s="22" t="s">
        <v>206</v>
      </c>
      <c r="E674" s="22" t="n">
        <v>9</v>
      </c>
      <c r="F674" s="22" t="s">
        <v>182</v>
      </c>
      <c r="G674" s="22" t="s">
        <v>241</v>
      </c>
      <c r="H674" s="22" t="n">
        <v>0.06</v>
      </c>
      <c r="I674" s="38" t="n">
        <v>2039.67</v>
      </c>
      <c r="J674" s="38" t="n">
        <v>2039.64</v>
      </c>
      <c r="K674" s="39" t="n">
        <f aca="false">IF(F674="BUY",J674-I674,I674-J674)</f>
        <v>0.0299999999999727</v>
      </c>
      <c r="L674" s="38" t="n">
        <v>2045.67</v>
      </c>
      <c r="M674" s="39" t="n">
        <f aca="false">ABS(I674-L674)</f>
        <v>6</v>
      </c>
      <c r="N674" s="24" t="n">
        <f aca="false">M674*H674*Summary!$C$6</f>
        <v>36</v>
      </c>
      <c r="O674" s="37" t="n">
        <v>45261.4564699074</v>
      </c>
      <c r="P674" s="22" t="n">
        <f aca="false">ROUND((O674-C674)*86400,0)</f>
        <v>3824</v>
      </c>
      <c r="Q674" s="22" t="str">
        <f aca="false">IF(P674&lt;10,"a) &lt;10s",IF(P674&lt;60,"b) 10-60s",IF(P674&lt;600,"c) 1-10min","d) &gt;10min")))</f>
        <v>d) &gt;10min</v>
      </c>
      <c r="R674" s="38" t="n">
        <v>2045.67</v>
      </c>
      <c r="S674" s="38" t="n">
        <v>2045.75</v>
      </c>
      <c r="T674" s="22" t="s">
        <v>188</v>
      </c>
      <c r="U674" s="39" t="n">
        <f aca="false">IF(R674="","",IF(F674="BUY",R674-S674,S674-R674))</f>
        <v>0.0799999999999272</v>
      </c>
      <c r="V674" s="39" t="n">
        <f aca="false">IF(F674="BUY",S674-J674,J674-S674)</f>
        <v>-6.1099999999999</v>
      </c>
      <c r="W674" s="6" t="n">
        <v>-36.66</v>
      </c>
      <c r="X674" s="26" t="n">
        <f aca="false">IFERROR(W674/N674,0)</f>
        <v>-1.01833333333333</v>
      </c>
      <c r="Y674" s="22" t="str">
        <f aca="false">IF(W674&gt;0,"Win",IF(W674&lt;0,"Loss","Flat"))</f>
        <v>Loss</v>
      </c>
      <c r="Z674" s="24" t="n">
        <f aca="false">Summary!$C$5+SUM(W$2:W674)</f>
        <v>3626.47</v>
      </c>
      <c r="AA674" s="24" t="n">
        <f aca="false">MAX(AA673,Z674)</f>
        <v>5000</v>
      </c>
      <c r="AB674" s="24" t="n">
        <f aca="false">AA674-Z674</f>
        <v>1373.53</v>
      </c>
      <c r="AC674" s="23" t="n">
        <f aca="false">IFERROR(AB674/AA674,0)</f>
        <v>0.274706</v>
      </c>
      <c r="AD674" s="22" t="s">
        <v>911</v>
      </c>
    </row>
    <row r="675" customFormat="false" ht="15" hidden="false" customHeight="false" outlineLevel="0" collapsed="false">
      <c r="A675" s="22" t="n">
        <v>674</v>
      </c>
      <c r="B675" s="22" t="s">
        <v>140</v>
      </c>
      <c r="C675" s="37" t="n">
        <v>45261.4790740741</v>
      </c>
      <c r="D675" s="22" t="s">
        <v>206</v>
      </c>
      <c r="E675" s="22" t="n">
        <v>11</v>
      </c>
      <c r="F675" s="22" t="s">
        <v>181</v>
      </c>
      <c r="G675" s="22" t="s">
        <v>243</v>
      </c>
      <c r="H675" s="22" t="n">
        <v>0.06</v>
      </c>
      <c r="I675" s="38" t="n">
        <v>2047.12</v>
      </c>
      <c r="J675" s="38" t="n">
        <v>2047.13</v>
      </c>
      <c r="K675" s="39" t="n">
        <f aca="false">IF(F675="BUY",J675-I675,I675-J675)</f>
        <v>0.0100000000002183</v>
      </c>
      <c r="L675" s="38" t="n">
        <v>2041.12</v>
      </c>
      <c r="M675" s="39" t="n">
        <f aca="false">ABS(I675-L675)</f>
        <v>6</v>
      </c>
      <c r="N675" s="24" t="n">
        <f aca="false">M675*H675*Summary!$C$6</f>
        <v>36</v>
      </c>
      <c r="O675" s="37" t="n">
        <v>45261.4890162037</v>
      </c>
      <c r="P675" s="22" t="n">
        <f aca="false">ROUND((O675-C675)*86400,0)</f>
        <v>859</v>
      </c>
      <c r="Q675" s="22" t="str">
        <f aca="false">IF(P675&lt;10,"a) &lt;10s",IF(P675&lt;60,"b) 10-60s",IF(P675&lt;600,"c) 1-10min","d) &gt;10min")))</f>
        <v>d) &gt;10min</v>
      </c>
      <c r="R675" s="38" t="n">
        <v>2047.63</v>
      </c>
      <c r="S675" s="38" t="n">
        <v>2047.59</v>
      </c>
      <c r="T675" s="22" t="s">
        <v>189</v>
      </c>
      <c r="U675" s="39" t="n">
        <f aca="false">IF(R675="","",IF(F675="BUY",R675-S675,S675-R675))</f>
        <v>0.040000000000191</v>
      </c>
      <c r="V675" s="39" t="n">
        <f aca="false">IF(F675="BUY",S675-J675,J675-S675)</f>
        <v>0.459999999999809</v>
      </c>
      <c r="W675" s="6" t="n">
        <v>2.76</v>
      </c>
      <c r="X675" s="26" t="n">
        <f aca="false">IFERROR(W675/N675,0)</f>
        <v>0.0766666666666667</v>
      </c>
      <c r="Y675" s="22" t="str">
        <f aca="false">IF(W675&gt;0,"Win",IF(W675&lt;0,"Loss","Flat"))</f>
        <v>Win</v>
      </c>
      <c r="Z675" s="24" t="n">
        <f aca="false">Summary!$C$5+SUM(W$2:W675)</f>
        <v>3629.23</v>
      </c>
      <c r="AA675" s="24" t="n">
        <f aca="false">MAX(AA674,Z675)</f>
        <v>5000</v>
      </c>
      <c r="AB675" s="24" t="n">
        <f aca="false">AA675-Z675</f>
        <v>1370.77</v>
      </c>
      <c r="AC675" s="23" t="n">
        <f aca="false">IFERROR(AB675/AA675,0)</f>
        <v>0.274154</v>
      </c>
      <c r="AD675" s="22" t="s">
        <v>912</v>
      </c>
    </row>
    <row r="676" customFormat="false" ht="15" hidden="false" customHeight="false" outlineLevel="0" collapsed="false">
      <c r="A676" s="22" t="n">
        <v>675</v>
      </c>
      <c r="B676" s="22" t="s">
        <v>140</v>
      </c>
      <c r="C676" s="37" t="n">
        <v>45264.3793402778</v>
      </c>
      <c r="D676" s="22" t="s">
        <v>202</v>
      </c>
      <c r="E676" s="22" t="n">
        <v>9</v>
      </c>
      <c r="F676" s="22" t="s">
        <v>182</v>
      </c>
      <c r="G676" s="22" t="s">
        <v>241</v>
      </c>
      <c r="H676" s="22" t="n">
        <v>0.06</v>
      </c>
      <c r="I676" s="38" t="n">
        <v>2073.71</v>
      </c>
      <c r="J676" s="38" t="n">
        <v>2073.66</v>
      </c>
      <c r="K676" s="39" t="n">
        <f aca="false">IF(F676="BUY",J676-I676,I676-J676)</f>
        <v>0.0500000000001819</v>
      </c>
      <c r="L676" s="38" t="n">
        <v>2079.71</v>
      </c>
      <c r="M676" s="39" t="n">
        <f aca="false">ABS(I676-L676)</f>
        <v>6</v>
      </c>
      <c r="N676" s="24" t="n">
        <f aca="false">M676*H676*Summary!$C$6</f>
        <v>36</v>
      </c>
      <c r="O676" s="37" t="n">
        <v>45264.4790509259</v>
      </c>
      <c r="P676" s="22" t="n">
        <f aca="false">ROUND((O676-C676)*86400,0)</f>
        <v>8615</v>
      </c>
      <c r="Q676" s="22" t="str">
        <f aca="false">IF(P676&lt;10,"a) &lt;10s",IF(P676&lt;60,"b) 10-60s",IF(P676&lt;600,"c) 1-10min","d) &gt;10min")))</f>
        <v>d) &gt;10min</v>
      </c>
      <c r="R676" s="38" t="n">
        <v>2073.16</v>
      </c>
      <c r="S676" s="38" t="n">
        <v>2073.2</v>
      </c>
      <c r="T676" s="22" t="s">
        <v>189</v>
      </c>
      <c r="U676" s="39" t="n">
        <f aca="false">IF(R676="","",IF(F676="BUY",R676-S676,S676-R676))</f>
        <v>0.0399999999999636</v>
      </c>
      <c r="V676" s="39" t="n">
        <f aca="false">IF(F676="BUY",S676-J676,J676-S676)</f>
        <v>0.460000000000036</v>
      </c>
      <c r="W676" s="6" t="n">
        <v>2.76</v>
      </c>
      <c r="X676" s="26" t="n">
        <f aca="false">IFERROR(W676/N676,0)</f>
        <v>0.0766666666666667</v>
      </c>
      <c r="Y676" s="22" t="str">
        <f aca="false">IF(W676&gt;0,"Win",IF(W676&lt;0,"Loss","Flat"))</f>
        <v>Win</v>
      </c>
      <c r="Z676" s="24" t="n">
        <f aca="false">Summary!$C$5+SUM(W$2:W676)</f>
        <v>3631.99</v>
      </c>
      <c r="AA676" s="24" t="n">
        <f aca="false">MAX(AA675,Z676)</f>
        <v>5000</v>
      </c>
      <c r="AB676" s="24" t="n">
        <f aca="false">AA676-Z676</f>
        <v>1368.01</v>
      </c>
      <c r="AC676" s="23" t="n">
        <f aca="false">IFERROR(AB676/AA676,0)</f>
        <v>0.273602</v>
      </c>
      <c r="AD676" s="22" t="s">
        <v>913</v>
      </c>
    </row>
    <row r="677" customFormat="false" ht="15" hidden="false" customHeight="false" outlineLevel="0" collapsed="false">
      <c r="A677" s="22" t="n">
        <v>676</v>
      </c>
      <c r="B677" s="22" t="s">
        <v>140</v>
      </c>
      <c r="C677" s="37" t="n">
        <v>45264.7262615741</v>
      </c>
      <c r="D677" s="22" t="s">
        <v>202</v>
      </c>
      <c r="E677" s="22" t="n">
        <v>17</v>
      </c>
      <c r="F677" s="22" t="s">
        <v>182</v>
      </c>
      <c r="G677" s="22" t="s">
        <v>237</v>
      </c>
      <c r="H677" s="22" t="n">
        <v>0.06</v>
      </c>
      <c r="I677" s="38" t="n">
        <v>2033.81</v>
      </c>
      <c r="J677" s="38" t="n">
        <v>2033.53</v>
      </c>
      <c r="K677" s="39" t="n">
        <f aca="false">IF(F677="BUY",J677-I677,I677-J677)</f>
        <v>0.279999999999973</v>
      </c>
      <c r="L677" s="38" t="n">
        <v>2039.81</v>
      </c>
      <c r="M677" s="39" t="n">
        <f aca="false">ABS(I677-L677)</f>
        <v>6</v>
      </c>
      <c r="N677" s="24" t="n">
        <f aca="false">M677*H677*Summary!$C$6</f>
        <v>36</v>
      </c>
      <c r="O677" s="37" t="n">
        <v>45264.72875</v>
      </c>
      <c r="P677" s="22" t="n">
        <f aca="false">ROUND((O677-C677)*86400,0)</f>
        <v>215</v>
      </c>
      <c r="Q677" s="22" t="str">
        <f aca="false">IF(P677&lt;10,"a) &lt;10s",IF(P677&lt;60,"b) 10-60s",IF(P677&lt;600,"c) 1-10min","d) &gt;10min")))</f>
        <v>c) 1-10min</v>
      </c>
      <c r="R677" s="38" t="n">
        <v>2033.03</v>
      </c>
      <c r="S677" s="38" t="n">
        <v>2033.05</v>
      </c>
      <c r="T677" s="22" t="s">
        <v>189</v>
      </c>
      <c r="U677" s="39" t="n">
        <f aca="false">IF(R677="","",IF(F677="BUY",R677-S677,S677-R677))</f>
        <v>0.0199999999999818</v>
      </c>
      <c r="V677" s="39" t="n">
        <f aca="false">IF(F677="BUY",S677-J677,J677-S677)</f>
        <v>0.480000000000018</v>
      </c>
      <c r="W677" s="6" t="n">
        <v>2.88</v>
      </c>
      <c r="X677" s="26" t="n">
        <f aca="false">IFERROR(W677/N677,0)</f>
        <v>0.08</v>
      </c>
      <c r="Y677" s="22" t="str">
        <f aca="false">IF(W677&gt;0,"Win",IF(W677&lt;0,"Loss","Flat"))</f>
        <v>Win</v>
      </c>
      <c r="Z677" s="24" t="n">
        <f aca="false">Summary!$C$5+SUM(W$2:W677)</f>
        <v>3634.87</v>
      </c>
      <c r="AA677" s="24" t="n">
        <f aca="false">MAX(AA676,Z677)</f>
        <v>5000</v>
      </c>
      <c r="AB677" s="24" t="n">
        <f aca="false">AA677-Z677</f>
        <v>1365.13</v>
      </c>
      <c r="AC677" s="23" t="n">
        <f aca="false">IFERROR(AB677/AA677,0)</f>
        <v>0.273026</v>
      </c>
      <c r="AD677" s="22" t="s">
        <v>914</v>
      </c>
    </row>
    <row r="678" customFormat="false" ht="15" hidden="false" customHeight="false" outlineLevel="0" collapsed="false">
      <c r="A678" s="22" t="n">
        <v>677</v>
      </c>
      <c r="B678" s="22" t="s">
        <v>140</v>
      </c>
      <c r="C678" s="37" t="n">
        <v>45265.3783449074</v>
      </c>
      <c r="D678" s="22" t="s">
        <v>203</v>
      </c>
      <c r="E678" s="22" t="n">
        <v>9</v>
      </c>
      <c r="F678" s="22" t="s">
        <v>181</v>
      </c>
      <c r="G678" s="22" t="s">
        <v>235</v>
      </c>
      <c r="H678" s="22" t="n">
        <v>0.06</v>
      </c>
      <c r="I678" s="38" t="n">
        <v>2034.48</v>
      </c>
      <c r="J678" s="38" t="n">
        <v>2034.5</v>
      </c>
      <c r="K678" s="39" t="n">
        <f aca="false">IF(F678="BUY",J678-I678,I678-J678)</f>
        <v>0.0199999999999818</v>
      </c>
      <c r="L678" s="38" t="n">
        <v>2028.48</v>
      </c>
      <c r="M678" s="39" t="n">
        <f aca="false">ABS(I678-L678)</f>
        <v>6</v>
      </c>
      <c r="N678" s="24" t="n">
        <f aca="false">M678*H678*Summary!$C$6</f>
        <v>36</v>
      </c>
      <c r="O678" s="37" t="n">
        <v>45265.4475347222</v>
      </c>
      <c r="P678" s="22" t="n">
        <f aca="false">ROUND((O678-C678)*86400,0)</f>
        <v>5978</v>
      </c>
      <c r="Q678" s="22" t="str">
        <f aca="false">IF(P678&lt;10,"a) &lt;10s",IF(P678&lt;60,"b) 10-60s",IF(P678&lt;600,"c) 1-10min","d) &gt;10min")))</f>
        <v>d) &gt;10min</v>
      </c>
      <c r="R678" s="38" t="n">
        <v>2035</v>
      </c>
      <c r="S678" s="38" t="n">
        <v>2035</v>
      </c>
      <c r="T678" s="22" t="s">
        <v>189</v>
      </c>
      <c r="U678" s="39" t="n">
        <f aca="false">IF(R678="","",IF(F678="BUY",R678-S678,S678-R678))</f>
        <v>0</v>
      </c>
      <c r="V678" s="39" t="n">
        <f aca="false">IF(F678="BUY",S678-J678,J678-S678)</f>
        <v>0.5</v>
      </c>
      <c r="W678" s="6" t="n">
        <v>3</v>
      </c>
      <c r="X678" s="26" t="n">
        <f aca="false">IFERROR(W678/N678,0)</f>
        <v>0.0833333333333333</v>
      </c>
      <c r="Y678" s="22" t="str">
        <f aca="false">IF(W678&gt;0,"Win",IF(W678&lt;0,"Loss","Flat"))</f>
        <v>Win</v>
      </c>
      <c r="Z678" s="24" t="n">
        <f aca="false">Summary!$C$5+SUM(W$2:W678)</f>
        <v>3637.87</v>
      </c>
      <c r="AA678" s="24" t="n">
        <f aca="false">MAX(AA677,Z678)</f>
        <v>5000</v>
      </c>
      <c r="AB678" s="24" t="n">
        <f aca="false">AA678-Z678</f>
        <v>1362.13</v>
      </c>
      <c r="AC678" s="23" t="n">
        <f aca="false">IFERROR(AB678/AA678,0)</f>
        <v>0.272426</v>
      </c>
      <c r="AD678" s="22" t="s">
        <v>915</v>
      </c>
    </row>
    <row r="679" customFormat="false" ht="15" hidden="false" customHeight="false" outlineLevel="0" collapsed="false">
      <c r="A679" s="22" t="n">
        <v>678</v>
      </c>
      <c r="B679" s="22" t="s">
        <v>140</v>
      </c>
      <c r="C679" s="37" t="n">
        <v>45265.6984375</v>
      </c>
      <c r="D679" s="22" t="s">
        <v>203</v>
      </c>
      <c r="E679" s="22" t="n">
        <v>16</v>
      </c>
      <c r="F679" s="22" t="s">
        <v>182</v>
      </c>
      <c r="G679" s="22" t="s">
        <v>237</v>
      </c>
      <c r="H679" s="22" t="n">
        <v>0.06</v>
      </c>
      <c r="I679" s="38" t="n">
        <v>2019.93</v>
      </c>
      <c r="J679" s="38" t="n">
        <v>2019.79</v>
      </c>
      <c r="K679" s="39" t="n">
        <f aca="false">IF(F679="BUY",J679-I679,I679-J679)</f>
        <v>0.1400000000001</v>
      </c>
      <c r="L679" s="38" t="n">
        <v>2025.93</v>
      </c>
      <c r="M679" s="39" t="n">
        <f aca="false">ABS(I679-L679)</f>
        <v>6</v>
      </c>
      <c r="N679" s="24" t="n">
        <f aca="false">M679*H679*Summary!$C$6</f>
        <v>36</v>
      </c>
      <c r="O679" s="37" t="n">
        <v>45265.6988773148</v>
      </c>
      <c r="P679" s="22" t="n">
        <f aca="false">ROUND((O679-C679)*86400,0)</f>
        <v>38</v>
      </c>
      <c r="Q679" s="22" t="str">
        <f aca="false">IF(P679&lt;10,"a) &lt;10s",IF(P679&lt;60,"b) 10-60s",IF(P679&lt;600,"c) 1-10min","d) &gt;10min")))</f>
        <v>b) 10-60s</v>
      </c>
      <c r="R679" s="38" t="n">
        <v>2019.29</v>
      </c>
      <c r="S679" s="38" t="n">
        <v>2019.34</v>
      </c>
      <c r="T679" s="22" t="s">
        <v>189</v>
      </c>
      <c r="U679" s="39" t="n">
        <f aca="false">IF(R679="","",IF(F679="BUY",R679-S679,S679-R679))</f>
        <v>0.0499999999999545</v>
      </c>
      <c r="V679" s="39" t="n">
        <f aca="false">IF(F679="BUY",S679-J679,J679-S679)</f>
        <v>0.450000000000046</v>
      </c>
      <c r="W679" s="6" t="n">
        <v>2.7</v>
      </c>
      <c r="X679" s="26" t="n">
        <f aca="false">IFERROR(W679/N679,0)</f>
        <v>0.075</v>
      </c>
      <c r="Y679" s="22" t="str">
        <f aca="false">IF(W679&gt;0,"Win",IF(W679&lt;0,"Loss","Flat"))</f>
        <v>Win</v>
      </c>
      <c r="Z679" s="24" t="n">
        <f aca="false">Summary!$C$5+SUM(W$2:W679)</f>
        <v>3640.57</v>
      </c>
      <c r="AA679" s="24" t="n">
        <f aca="false">MAX(AA678,Z679)</f>
        <v>5000</v>
      </c>
      <c r="AB679" s="24" t="n">
        <f aca="false">AA679-Z679</f>
        <v>1359.43</v>
      </c>
      <c r="AC679" s="23" t="n">
        <f aca="false">IFERROR(AB679/AA679,0)</f>
        <v>0.271886</v>
      </c>
      <c r="AD679" s="22" t="s">
        <v>916</v>
      </c>
    </row>
    <row r="680" customFormat="false" ht="15" hidden="false" customHeight="false" outlineLevel="0" collapsed="false">
      <c r="A680" s="22" t="n">
        <v>679</v>
      </c>
      <c r="B680" s="22" t="s">
        <v>140</v>
      </c>
      <c r="C680" s="37" t="n">
        <v>45266.3761226852</v>
      </c>
      <c r="D680" s="22" t="s">
        <v>204</v>
      </c>
      <c r="E680" s="22" t="n">
        <v>9</v>
      </c>
      <c r="F680" s="22" t="s">
        <v>181</v>
      </c>
      <c r="G680" s="22" t="s">
        <v>235</v>
      </c>
      <c r="H680" s="22" t="n">
        <v>0.06</v>
      </c>
      <c r="I680" s="38" t="n">
        <v>2027.03</v>
      </c>
      <c r="J680" s="38" t="n">
        <v>2027.04</v>
      </c>
      <c r="K680" s="39" t="n">
        <f aca="false">IF(F680="BUY",J680-I680,I680-J680)</f>
        <v>0.00999999999999091</v>
      </c>
      <c r="L680" s="38" t="n">
        <v>2021.03</v>
      </c>
      <c r="M680" s="39" t="n">
        <f aca="false">ABS(I680-L680)</f>
        <v>6</v>
      </c>
      <c r="N680" s="24" t="n">
        <f aca="false">M680*H680*Summary!$C$6</f>
        <v>36</v>
      </c>
      <c r="O680" s="37" t="n">
        <v>45266.4472337963</v>
      </c>
      <c r="P680" s="22" t="n">
        <f aca="false">ROUND((O680-C680)*86400,0)</f>
        <v>6144</v>
      </c>
      <c r="Q680" s="22" t="str">
        <f aca="false">IF(P680&lt;10,"a) &lt;10s",IF(P680&lt;60,"b) 10-60s",IF(P680&lt;600,"c) 1-10min","d) &gt;10min")))</f>
        <v>d) &gt;10min</v>
      </c>
      <c r="R680" s="38" t="n">
        <v>2027.54</v>
      </c>
      <c r="S680" s="38" t="n">
        <v>2027.54</v>
      </c>
      <c r="T680" s="22" t="s">
        <v>189</v>
      </c>
      <c r="U680" s="39" t="n">
        <f aca="false">IF(R680="","",IF(F680="BUY",R680-S680,S680-R680))</f>
        <v>0</v>
      </c>
      <c r="V680" s="39" t="n">
        <f aca="false">IF(F680="BUY",S680-J680,J680-S680)</f>
        <v>0.5</v>
      </c>
      <c r="W680" s="6" t="n">
        <v>3</v>
      </c>
      <c r="X680" s="26" t="n">
        <f aca="false">IFERROR(W680/N680,0)</f>
        <v>0.0833333333333333</v>
      </c>
      <c r="Y680" s="22" t="str">
        <f aca="false">IF(W680&gt;0,"Win",IF(W680&lt;0,"Loss","Flat"))</f>
        <v>Win</v>
      </c>
      <c r="Z680" s="24" t="n">
        <f aca="false">Summary!$C$5+SUM(W$2:W680)</f>
        <v>3643.57</v>
      </c>
      <c r="AA680" s="24" t="n">
        <f aca="false">MAX(AA679,Z680)</f>
        <v>5000</v>
      </c>
      <c r="AB680" s="24" t="n">
        <f aca="false">AA680-Z680</f>
        <v>1356.43</v>
      </c>
      <c r="AC680" s="23" t="n">
        <f aca="false">IFERROR(AB680/AA680,0)</f>
        <v>0.271286</v>
      </c>
      <c r="AD680" s="22" t="s">
        <v>917</v>
      </c>
    </row>
    <row r="681" customFormat="false" ht="15" hidden="false" customHeight="false" outlineLevel="0" collapsed="false">
      <c r="A681" s="22" t="n">
        <v>680</v>
      </c>
      <c r="B681" s="22" t="s">
        <v>140</v>
      </c>
      <c r="C681" s="37" t="n">
        <v>45267.649849537</v>
      </c>
      <c r="D681" s="22" t="s">
        <v>205</v>
      </c>
      <c r="E681" s="22" t="n">
        <v>15</v>
      </c>
      <c r="F681" s="22" t="s">
        <v>181</v>
      </c>
      <c r="G681" s="22" t="s">
        <v>243</v>
      </c>
      <c r="H681" s="22" t="n">
        <v>0.06</v>
      </c>
      <c r="I681" s="38" t="n">
        <v>2035.79</v>
      </c>
      <c r="J681" s="38" t="n">
        <v>2035.81</v>
      </c>
      <c r="K681" s="39" t="n">
        <f aca="false">IF(F681="BUY",J681-I681,I681-J681)</f>
        <v>0.0199999999999818</v>
      </c>
      <c r="L681" s="38" t="n">
        <v>2029.79</v>
      </c>
      <c r="M681" s="39" t="n">
        <f aca="false">ABS(I681-L681)</f>
        <v>6</v>
      </c>
      <c r="N681" s="24" t="n">
        <f aca="false">M681*H681*Summary!$C$6</f>
        <v>36</v>
      </c>
      <c r="O681" s="37" t="n">
        <v>45267.6690046296</v>
      </c>
      <c r="P681" s="22" t="n">
        <f aca="false">ROUND((O681-C681)*86400,0)</f>
        <v>1655</v>
      </c>
      <c r="Q681" s="22" t="str">
        <f aca="false">IF(P681&lt;10,"a) &lt;10s",IF(P681&lt;60,"b) 10-60s",IF(P681&lt;600,"c) 1-10min","d) &gt;10min")))</f>
        <v>d) &gt;10min</v>
      </c>
      <c r="R681" s="38" t="n">
        <v>2036.31</v>
      </c>
      <c r="S681" s="38" t="n">
        <v>2036.25</v>
      </c>
      <c r="T681" s="22" t="s">
        <v>189</v>
      </c>
      <c r="U681" s="39" t="n">
        <f aca="false">IF(R681="","",IF(F681="BUY",R681-S681,S681-R681))</f>
        <v>0.0599999999999454</v>
      </c>
      <c r="V681" s="39" t="n">
        <f aca="false">IF(F681="BUY",S681-J681,J681-S681)</f>
        <v>0.440000000000055</v>
      </c>
      <c r="W681" s="6" t="n">
        <v>2.64</v>
      </c>
      <c r="X681" s="26" t="n">
        <f aca="false">IFERROR(W681/N681,0)</f>
        <v>0.0733333333333333</v>
      </c>
      <c r="Y681" s="22" t="str">
        <f aca="false">IF(W681&gt;0,"Win",IF(W681&lt;0,"Loss","Flat"))</f>
        <v>Win</v>
      </c>
      <c r="Z681" s="24" t="n">
        <f aca="false">Summary!$C$5+SUM(W$2:W681)</f>
        <v>3646.21</v>
      </c>
      <c r="AA681" s="24" t="n">
        <f aca="false">MAX(AA680,Z681)</f>
        <v>5000</v>
      </c>
      <c r="AB681" s="24" t="n">
        <f aca="false">AA681-Z681</f>
        <v>1353.79</v>
      </c>
      <c r="AC681" s="23" t="n">
        <f aca="false">IFERROR(AB681/AA681,0)</f>
        <v>0.270758</v>
      </c>
      <c r="AD681" s="22" t="s">
        <v>918</v>
      </c>
    </row>
    <row r="682" customFormat="false" ht="15" hidden="false" customHeight="false" outlineLevel="0" collapsed="false">
      <c r="A682" s="22" t="n">
        <v>681</v>
      </c>
      <c r="B682" s="22" t="s">
        <v>140</v>
      </c>
      <c r="C682" s="37" t="n">
        <v>45267.6983101852</v>
      </c>
      <c r="D682" s="22" t="s">
        <v>205</v>
      </c>
      <c r="E682" s="22" t="n">
        <v>16</v>
      </c>
      <c r="F682" s="22" t="s">
        <v>182</v>
      </c>
      <c r="G682" s="22" t="s">
        <v>241</v>
      </c>
      <c r="H682" s="22" t="n">
        <v>0.06</v>
      </c>
      <c r="I682" s="38" t="n">
        <v>2025.16</v>
      </c>
      <c r="J682" s="38" t="n">
        <v>2025.12</v>
      </c>
      <c r="K682" s="39" t="n">
        <f aca="false">IF(F682="BUY",J682-I682,I682-J682)</f>
        <v>0.040000000000191</v>
      </c>
      <c r="L682" s="38" t="n">
        <v>2031.16</v>
      </c>
      <c r="M682" s="39" t="n">
        <f aca="false">ABS(I682-L682)</f>
        <v>6</v>
      </c>
      <c r="N682" s="24" t="n">
        <f aca="false">M682*H682*Summary!$C$6</f>
        <v>36</v>
      </c>
      <c r="O682" s="37" t="n">
        <v>45267.7349884259</v>
      </c>
      <c r="P682" s="22" t="n">
        <f aca="false">ROUND((O682-C682)*86400,0)</f>
        <v>3169</v>
      </c>
      <c r="Q682" s="22" t="str">
        <f aca="false">IF(P682&lt;10,"a) &lt;10s",IF(P682&lt;60,"b) 10-60s",IF(P682&lt;600,"c) 1-10min","d) &gt;10min")))</f>
        <v>d) &gt;10min</v>
      </c>
      <c r="R682" s="38" t="n">
        <v>2031.16</v>
      </c>
      <c r="S682" s="38" t="n">
        <v>2031.16</v>
      </c>
      <c r="T682" s="22" t="s">
        <v>188</v>
      </c>
      <c r="U682" s="39" t="n">
        <f aca="false">IF(R682="","",IF(F682="BUY",R682-S682,S682-R682))</f>
        <v>0</v>
      </c>
      <c r="V682" s="39" t="n">
        <f aca="false">IF(F682="BUY",S682-J682,J682-S682)</f>
        <v>-6.04000000000019</v>
      </c>
      <c r="W682" s="6" t="n">
        <v>-36.24</v>
      </c>
      <c r="X682" s="26" t="n">
        <f aca="false">IFERROR(W682/N682,0)</f>
        <v>-1.00666666666667</v>
      </c>
      <c r="Y682" s="22" t="str">
        <f aca="false">IF(W682&gt;0,"Win",IF(W682&lt;0,"Loss","Flat"))</f>
        <v>Loss</v>
      </c>
      <c r="Z682" s="24" t="n">
        <f aca="false">Summary!$C$5+SUM(W$2:W682)</f>
        <v>3609.97</v>
      </c>
      <c r="AA682" s="24" t="n">
        <f aca="false">MAX(AA681,Z682)</f>
        <v>5000</v>
      </c>
      <c r="AB682" s="24" t="n">
        <f aca="false">AA682-Z682</f>
        <v>1390.03</v>
      </c>
      <c r="AC682" s="23" t="n">
        <f aca="false">IFERROR(AB682/AA682,0)</f>
        <v>0.278006</v>
      </c>
      <c r="AD682" s="22" t="s">
        <v>919</v>
      </c>
    </row>
    <row r="683" customFormat="false" ht="15" hidden="false" customHeight="false" outlineLevel="0" collapsed="false">
      <c r="A683" s="22" t="n">
        <v>682</v>
      </c>
      <c r="B683" s="22" t="s">
        <v>140</v>
      </c>
      <c r="C683" s="37" t="n">
        <v>45268.4199421296</v>
      </c>
      <c r="D683" s="22" t="s">
        <v>206</v>
      </c>
      <c r="E683" s="22" t="n">
        <v>10</v>
      </c>
      <c r="F683" s="22" t="s">
        <v>182</v>
      </c>
      <c r="G683" s="22" t="s">
        <v>241</v>
      </c>
      <c r="H683" s="22" t="n">
        <v>0.06</v>
      </c>
      <c r="I683" s="38" t="n">
        <v>2028.78</v>
      </c>
      <c r="J683" s="38" t="n">
        <v>2028.78</v>
      </c>
      <c r="K683" s="39" t="n">
        <f aca="false">IF(F683="BUY",J683-I683,I683-J683)</f>
        <v>0</v>
      </c>
      <c r="L683" s="38" t="n">
        <v>2034.78</v>
      </c>
      <c r="M683" s="39" t="n">
        <f aca="false">ABS(I683-L683)</f>
        <v>6</v>
      </c>
      <c r="N683" s="24" t="n">
        <f aca="false">M683*H683*Summary!$C$6</f>
        <v>36</v>
      </c>
      <c r="O683" s="37" t="n">
        <v>45268.45625</v>
      </c>
      <c r="P683" s="22" t="n">
        <f aca="false">ROUND((O683-C683)*86400,0)</f>
        <v>3137</v>
      </c>
      <c r="Q683" s="22" t="str">
        <f aca="false">IF(P683&lt;10,"a) &lt;10s",IF(P683&lt;60,"b) 10-60s",IF(P683&lt;600,"c) 1-10min","d) &gt;10min")))</f>
        <v>d) &gt;10min</v>
      </c>
      <c r="R683" s="38" t="n">
        <v>2028.28</v>
      </c>
      <c r="S683" s="38" t="n">
        <v>2028.31</v>
      </c>
      <c r="T683" s="22" t="s">
        <v>189</v>
      </c>
      <c r="U683" s="39" t="n">
        <f aca="false">IF(R683="","",IF(F683="BUY",R683-S683,S683-R683))</f>
        <v>0.0299999999999727</v>
      </c>
      <c r="V683" s="39" t="n">
        <f aca="false">IF(F683="BUY",S683-J683,J683-S683)</f>
        <v>0.470000000000027</v>
      </c>
      <c r="W683" s="6" t="n">
        <v>2.82</v>
      </c>
      <c r="X683" s="26" t="n">
        <f aca="false">IFERROR(W683/N683,0)</f>
        <v>0.0783333333333333</v>
      </c>
      <c r="Y683" s="22" t="str">
        <f aca="false">IF(W683&gt;0,"Win",IF(W683&lt;0,"Loss","Flat"))</f>
        <v>Win</v>
      </c>
      <c r="Z683" s="24" t="n">
        <f aca="false">Summary!$C$5+SUM(W$2:W683)</f>
        <v>3612.79</v>
      </c>
      <c r="AA683" s="24" t="n">
        <f aca="false">MAX(AA682,Z683)</f>
        <v>5000</v>
      </c>
      <c r="AB683" s="24" t="n">
        <f aca="false">AA683-Z683</f>
        <v>1387.21</v>
      </c>
      <c r="AC683" s="23" t="n">
        <f aca="false">IFERROR(AB683/AA683,0)</f>
        <v>0.277442</v>
      </c>
      <c r="AD683" s="22" t="s">
        <v>920</v>
      </c>
    </row>
    <row r="684" customFormat="false" ht="15" hidden="false" customHeight="false" outlineLevel="0" collapsed="false">
      <c r="A684" s="22" t="n">
        <v>683</v>
      </c>
      <c r="B684" s="22" t="s">
        <v>140</v>
      </c>
      <c r="C684" s="37" t="n">
        <v>45268.6460532407</v>
      </c>
      <c r="D684" s="22" t="s">
        <v>206</v>
      </c>
      <c r="E684" s="22" t="n">
        <v>15</v>
      </c>
      <c r="F684" s="22" t="s">
        <v>182</v>
      </c>
      <c r="G684" s="22" t="s">
        <v>237</v>
      </c>
      <c r="H684" s="22" t="n">
        <v>0.06</v>
      </c>
      <c r="I684" s="38" t="n">
        <v>2020.08</v>
      </c>
      <c r="J684" s="38" t="n">
        <v>2020.01</v>
      </c>
      <c r="K684" s="39" t="n">
        <f aca="false">IF(F684="BUY",J684-I684,I684-J684)</f>
        <v>0.0699999999999363</v>
      </c>
      <c r="L684" s="38" t="n">
        <v>2026.08</v>
      </c>
      <c r="M684" s="39" t="n">
        <f aca="false">ABS(I684-L684)</f>
        <v>6</v>
      </c>
      <c r="N684" s="24" t="n">
        <f aca="false">M684*H684*Summary!$C$6</f>
        <v>36</v>
      </c>
      <c r="O684" s="37" t="n">
        <v>45268.6476388889</v>
      </c>
      <c r="P684" s="22" t="n">
        <f aca="false">ROUND((O684-C684)*86400,0)</f>
        <v>137</v>
      </c>
      <c r="Q684" s="22" t="str">
        <f aca="false">IF(P684&lt;10,"a) &lt;10s",IF(P684&lt;60,"b) 10-60s",IF(P684&lt;600,"c) 1-10min","d) &gt;10min")))</f>
        <v>c) 1-10min</v>
      </c>
      <c r="R684" s="38" t="n">
        <v>2019.51</v>
      </c>
      <c r="S684" s="38" t="n">
        <v>2019.51</v>
      </c>
      <c r="T684" s="22" t="s">
        <v>189</v>
      </c>
      <c r="U684" s="39" t="n">
        <f aca="false">IF(R684="","",IF(F684="BUY",R684-S684,S684-R684))</f>
        <v>0</v>
      </c>
      <c r="V684" s="39" t="n">
        <f aca="false">IF(F684="BUY",S684-J684,J684-S684)</f>
        <v>0.5</v>
      </c>
      <c r="W684" s="6" t="n">
        <v>3</v>
      </c>
      <c r="X684" s="26" t="n">
        <f aca="false">IFERROR(W684/N684,0)</f>
        <v>0.0833333333333333</v>
      </c>
      <c r="Y684" s="22" t="str">
        <f aca="false">IF(W684&gt;0,"Win",IF(W684&lt;0,"Loss","Flat"))</f>
        <v>Win</v>
      </c>
      <c r="Z684" s="24" t="n">
        <f aca="false">Summary!$C$5+SUM(W$2:W684)</f>
        <v>3615.79</v>
      </c>
      <c r="AA684" s="24" t="n">
        <f aca="false">MAX(AA683,Z684)</f>
        <v>5000</v>
      </c>
      <c r="AB684" s="24" t="n">
        <f aca="false">AA684-Z684</f>
        <v>1384.21</v>
      </c>
      <c r="AC684" s="23" t="n">
        <f aca="false">IFERROR(AB684/AA684,0)</f>
        <v>0.276842</v>
      </c>
      <c r="AD684" s="22" t="s">
        <v>921</v>
      </c>
    </row>
    <row r="685" customFormat="false" ht="15" hidden="false" customHeight="false" outlineLevel="0" collapsed="false">
      <c r="A685" s="22" t="n">
        <v>684</v>
      </c>
      <c r="B685" s="22" t="s">
        <v>140</v>
      </c>
      <c r="C685" s="37" t="n">
        <v>45271.3900694445</v>
      </c>
      <c r="D685" s="22" t="s">
        <v>202</v>
      </c>
      <c r="E685" s="22" t="n">
        <v>9</v>
      </c>
      <c r="F685" s="22" t="s">
        <v>181</v>
      </c>
      <c r="G685" s="22" t="s">
        <v>235</v>
      </c>
      <c r="H685" s="22" t="n">
        <v>0.06</v>
      </c>
      <c r="I685" s="38" t="n">
        <v>1999.91</v>
      </c>
      <c r="J685" s="38" t="n">
        <v>1999.94</v>
      </c>
      <c r="K685" s="39" t="n">
        <f aca="false">IF(F685="BUY",J685-I685,I685-J685)</f>
        <v>0.0299999999999727</v>
      </c>
      <c r="L685" s="38" t="n">
        <v>1993.91</v>
      </c>
      <c r="M685" s="39" t="n">
        <f aca="false">ABS(I685-L685)</f>
        <v>6</v>
      </c>
      <c r="N685" s="24" t="n">
        <f aca="false">M685*H685*Summary!$C$6</f>
        <v>36</v>
      </c>
      <c r="O685" s="37" t="n">
        <v>45271.4141435185</v>
      </c>
      <c r="P685" s="22" t="n">
        <f aca="false">ROUND((O685-C685)*86400,0)</f>
        <v>2080</v>
      </c>
      <c r="Q685" s="22" t="str">
        <f aca="false">IF(P685&lt;10,"a) &lt;10s",IF(P685&lt;60,"b) 10-60s",IF(P685&lt;600,"c) 1-10min","d) &gt;10min")))</f>
        <v>d) &gt;10min</v>
      </c>
      <c r="R685" s="38" t="n">
        <v>1993.91</v>
      </c>
      <c r="S685" s="38" t="n">
        <v>1993.82</v>
      </c>
      <c r="T685" s="22" t="s">
        <v>188</v>
      </c>
      <c r="U685" s="39" t="n">
        <f aca="false">IF(R685="","",IF(F685="BUY",R685-S685,S685-R685))</f>
        <v>0.0900000000001455</v>
      </c>
      <c r="V685" s="39" t="n">
        <f aca="false">IF(F685="BUY",S685-J685,J685-S685)</f>
        <v>-6.12000000000012</v>
      </c>
      <c r="W685" s="6" t="n">
        <v>-36.72</v>
      </c>
      <c r="X685" s="26" t="n">
        <f aca="false">IFERROR(W685/N685,0)</f>
        <v>-1.02</v>
      </c>
      <c r="Y685" s="22" t="str">
        <f aca="false">IF(W685&gt;0,"Win",IF(W685&lt;0,"Loss","Flat"))</f>
        <v>Loss</v>
      </c>
      <c r="Z685" s="24" t="n">
        <f aca="false">Summary!$C$5+SUM(W$2:W685)</f>
        <v>3579.07</v>
      </c>
      <c r="AA685" s="24" t="n">
        <f aca="false">MAX(AA684,Z685)</f>
        <v>5000</v>
      </c>
      <c r="AB685" s="24" t="n">
        <f aca="false">AA685-Z685</f>
        <v>1420.93</v>
      </c>
      <c r="AC685" s="23" t="n">
        <f aca="false">IFERROR(AB685/AA685,0)</f>
        <v>0.284186</v>
      </c>
      <c r="AD685" s="22" t="s">
        <v>922</v>
      </c>
    </row>
    <row r="686" customFormat="false" ht="15" hidden="false" customHeight="false" outlineLevel="0" collapsed="false">
      <c r="A686" s="22" t="n">
        <v>685</v>
      </c>
      <c r="B686" s="22" t="s">
        <v>140</v>
      </c>
      <c r="C686" s="37" t="n">
        <v>45272.3764236111</v>
      </c>
      <c r="D686" s="22" t="s">
        <v>203</v>
      </c>
      <c r="E686" s="22" t="n">
        <v>9</v>
      </c>
      <c r="F686" s="22" t="s">
        <v>181</v>
      </c>
      <c r="G686" s="22" t="s">
        <v>235</v>
      </c>
      <c r="H686" s="22" t="n">
        <v>0.05</v>
      </c>
      <c r="I686" s="38" t="n">
        <v>1988.72</v>
      </c>
      <c r="J686" s="38" t="n">
        <v>1988.72</v>
      </c>
      <c r="K686" s="39" t="n">
        <f aca="false">IF(F686="BUY",J686-I686,I686-J686)</f>
        <v>0</v>
      </c>
      <c r="L686" s="38" t="n">
        <v>1982.72</v>
      </c>
      <c r="M686" s="39" t="n">
        <f aca="false">ABS(I686-L686)</f>
        <v>6</v>
      </c>
      <c r="N686" s="24" t="n">
        <f aca="false">M686*H686*Summary!$C$6</f>
        <v>30</v>
      </c>
      <c r="O686" s="37" t="n">
        <v>45272.4755902778</v>
      </c>
      <c r="P686" s="22" t="n">
        <f aca="false">ROUND((O686-C686)*86400,0)</f>
        <v>8568</v>
      </c>
      <c r="Q686" s="22" t="str">
        <f aca="false">IF(P686&lt;10,"a) &lt;10s",IF(P686&lt;60,"b) 10-60s",IF(P686&lt;600,"c) 1-10min","d) &gt;10min")))</f>
        <v>d) &gt;10min</v>
      </c>
      <c r="R686" s="38" t="n">
        <v>1982.72</v>
      </c>
      <c r="S686" s="38" t="n">
        <v>1982.72</v>
      </c>
      <c r="T686" s="22" t="s">
        <v>188</v>
      </c>
      <c r="U686" s="39" t="n">
        <f aca="false">IF(R686="","",IF(F686="BUY",R686-S686,S686-R686))</f>
        <v>0</v>
      </c>
      <c r="V686" s="39" t="n">
        <f aca="false">IF(F686="BUY",S686-J686,J686-S686)</f>
        <v>-6</v>
      </c>
      <c r="W686" s="6" t="n">
        <v>-30</v>
      </c>
      <c r="X686" s="26" t="n">
        <f aca="false">IFERROR(W686/N686,0)</f>
        <v>-1</v>
      </c>
      <c r="Y686" s="22" t="str">
        <f aca="false">IF(W686&gt;0,"Win",IF(W686&lt;0,"Loss","Flat"))</f>
        <v>Loss</v>
      </c>
      <c r="Z686" s="24" t="n">
        <f aca="false">Summary!$C$5+SUM(W$2:W686)</f>
        <v>3549.07</v>
      </c>
      <c r="AA686" s="24" t="n">
        <f aca="false">MAX(AA685,Z686)</f>
        <v>5000</v>
      </c>
      <c r="AB686" s="24" t="n">
        <f aca="false">AA686-Z686</f>
        <v>1450.93</v>
      </c>
      <c r="AC686" s="23" t="n">
        <f aca="false">IFERROR(AB686/AA686,0)</f>
        <v>0.290186</v>
      </c>
      <c r="AD686" s="22" t="s">
        <v>923</v>
      </c>
    </row>
    <row r="687" customFormat="false" ht="15" hidden="false" customHeight="false" outlineLevel="0" collapsed="false">
      <c r="A687" s="22" t="n">
        <v>686</v>
      </c>
      <c r="B687" s="22" t="s">
        <v>140</v>
      </c>
      <c r="C687" s="37" t="n">
        <v>45273.3418634259</v>
      </c>
      <c r="D687" s="22" t="s">
        <v>204</v>
      </c>
      <c r="E687" s="22" t="n">
        <v>8</v>
      </c>
      <c r="F687" s="22" t="s">
        <v>182</v>
      </c>
      <c r="G687" s="22" t="s">
        <v>237</v>
      </c>
      <c r="H687" s="22" t="n">
        <v>0.05</v>
      </c>
      <c r="I687" s="38" t="n">
        <v>1977.12</v>
      </c>
      <c r="J687" s="38" t="n">
        <v>1977.12</v>
      </c>
      <c r="K687" s="39" t="n">
        <f aca="false">IF(F687="BUY",J687-I687,I687-J687)</f>
        <v>0</v>
      </c>
      <c r="L687" s="38" t="n">
        <v>1983.12</v>
      </c>
      <c r="M687" s="39" t="n">
        <f aca="false">ABS(I687-L687)</f>
        <v>6</v>
      </c>
      <c r="N687" s="24" t="n">
        <f aca="false">M687*H687*Summary!$C$6</f>
        <v>30</v>
      </c>
      <c r="O687" s="37" t="n">
        <v>45273.3853009259</v>
      </c>
      <c r="P687" s="22" t="n">
        <f aca="false">ROUND((O687-C687)*86400,0)</f>
        <v>3753</v>
      </c>
      <c r="Q687" s="22" t="str">
        <f aca="false">IF(P687&lt;10,"a) &lt;10s",IF(P687&lt;60,"b) 10-60s",IF(P687&lt;600,"c) 1-10min","d) &gt;10min")))</f>
        <v>d) &gt;10min</v>
      </c>
      <c r="R687" s="38" t="n">
        <v>1976.62</v>
      </c>
      <c r="S687" s="38" t="n">
        <v>1976.63</v>
      </c>
      <c r="T687" s="22" t="s">
        <v>189</v>
      </c>
      <c r="U687" s="39" t="n">
        <f aca="false">IF(R687="","",IF(F687="BUY",R687-S687,S687-R687))</f>
        <v>0.0100000000002183</v>
      </c>
      <c r="V687" s="39" t="n">
        <f aca="false">IF(F687="BUY",S687-J687,J687-S687)</f>
        <v>0.489999999999782</v>
      </c>
      <c r="W687" s="6" t="n">
        <v>2.45</v>
      </c>
      <c r="X687" s="26" t="n">
        <f aca="false">IFERROR(W687/N687,0)</f>
        <v>0.0816666666666667</v>
      </c>
      <c r="Y687" s="22" t="str">
        <f aca="false">IF(W687&gt;0,"Win",IF(W687&lt;0,"Loss","Flat"))</f>
        <v>Win</v>
      </c>
      <c r="Z687" s="24" t="n">
        <f aca="false">Summary!$C$5+SUM(W$2:W687)</f>
        <v>3551.52</v>
      </c>
      <c r="AA687" s="24" t="n">
        <f aca="false">MAX(AA686,Z687)</f>
        <v>5000</v>
      </c>
      <c r="AB687" s="24" t="n">
        <f aca="false">AA687-Z687</f>
        <v>1448.48</v>
      </c>
      <c r="AC687" s="23" t="n">
        <f aca="false">IFERROR(AB687/AA687,0)</f>
        <v>0.289696</v>
      </c>
      <c r="AD687" s="22" t="s">
        <v>924</v>
      </c>
    </row>
    <row r="688" customFormat="false" ht="15" hidden="false" customHeight="false" outlineLevel="0" collapsed="false">
      <c r="A688" s="22" t="n">
        <v>687</v>
      </c>
      <c r="B688" s="22" t="s">
        <v>140</v>
      </c>
      <c r="C688" s="37" t="n">
        <v>45273.3981481482</v>
      </c>
      <c r="D688" s="22" t="s">
        <v>204</v>
      </c>
      <c r="E688" s="22" t="n">
        <v>9</v>
      </c>
      <c r="F688" s="22" t="s">
        <v>181</v>
      </c>
      <c r="G688" s="22" t="s">
        <v>235</v>
      </c>
      <c r="H688" s="22" t="n">
        <v>0.05</v>
      </c>
      <c r="I688" s="38" t="n">
        <v>1979.63</v>
      </c>
      <c r="J688" s="38" t="n">
        <v>1979.65</v>
      </c>
      <c r="K688" s="39" t="n">
        <f aca="false">IF(F688="BUY",J688-I688,I688-J688)</f>
        <v>0.0199999999999818</v>
      </c>
      <c r="L688" s="38" t="n">
        <v>1973.63</v>
      </c>
      <c r="M688" s="39" t="n">
        <f aca="false">ABS(I688-L688)</f>
        <v>6</v>
      </c>
      <c r="N688" s="24" t="n">
        <f aca="false">M688*H688*Summary!$C$6</f>
        <v>30</v>
      </c>
      <c r="O688" s="37" t="n">
        <v>45273.455462963</v>
      </c>
      <c r="P688" s="22" t="n">
        <f aca="false">ROUND((O688-C688)*86400,0)</f>
        <v>4952</v>
      </c>
      <c r="Q688" s="22" t="str">
        <f aca="false">IF(P688&lt;10,"a) &lt;10s",IF(P688&lt;60,"b) 10-60s",IF(P688&lt;600,"c) 1-10min","d) &gt;10min")))</f>
        <v>d) &gt;10min</v>
      </c>
      <c r="R688" s="38" t="n">
        <v>1980.15</v>
      </c>
      <c r="S688" s="38" t="n">
        <v>1980.13</v>
      </c>
      <c r="T688" s="22" t="s">
        <v>189</v>
      </c>
      <c r="U688" s="39" t="n">
        <f aca="false">IF(R688="","",IF(F688="BUY",R688-S688,S688-R688))</f>
        <v>0.0199999999999818</v>
      </c>
      <c r="V688" s="39" t="n">
        <f aca="false">IF(F688="BUY",S688-J688,J688-S688)</f>
        <v>0.480000000000018</v>
      </c>
      <c r="W688" s="6" t="n">
        <v>2.4</v>
      </c>
      <c r="X688" s="26" t="n">
        <f aca="false">IFERROR(W688/N688,0)</f>
        <v>0.08</v>
      </c>
      <c r="Y688" s="22" t="str">
        <f aca="false">IF(W688&gt;0,"Win",IF(W688&lt;0,"Loss","Flat"))</f>
        <v>Win</v>
      </c>
      <c r="Z688" s="24" t="n">
        <f aca="false">Summary!$C$5+SUM(W$2:W688)</f>
        <v>3553.92</v>
      </c>
      <c r="AA688" s="24" t="n">
        <f aca="false">MAX(AA687,Z688)</f>
        <v>5000</v>
      </c>
      <c r="AB688" s="24" t="n">
        <f aca="false">AA688-Z688</f>
        <v>1446.08</v>
      </c>
      <c r="AC688" s="23" t="n">
        <f aca="false">IFERROR(AB688/AA688,0)</f>
        <v>0.289216</v>
      </c>
      <c r="AD688" s="22" t="s">
        <v>925</v>
      </c>
    </row>
    <row r="689" customFormat="false" ht="15" hidden="false" customHeight="false" outlineLevel="0" collapsed="false">
      <c r="A689" s="22" t="n">
        <v>688</v>
      </c>
      <c r="B689" s="22" t="s">
        <v>140</v>
      </c>
      <c r="C689" s="37" t="n">
        <v>45274.0579513889</v>
      </c>
      <c r="D689" s="22" t="s">
        <v>205</v>
      </c>
      <c r="E689" s="22" t="n">
        <v>1</v>
      </c>
      <c r="F689" s="22" t="s">
        <v>181</v>
      </c>
      <c r="G689" s="22" t="s">
        <v>243</v>
      </c>
      <c r="H689" s="22" t="n">
        <v>0.05</v>
      </c>
      <c r="I689" s="38" t="n">
        <v>2027.65</v>
      </c>
      <c r="J689" s="38" t="n">
        <v>2027.69</v>
      </c>
      <c r="K689" s="39" t="n">
        <f aca="false">IF(F689="BUY",J689-I689,I689-J689)</f>
        <v>0.0399999999999636</v>
      </c>
      <c r="L689" s="38" t="n">
        <v>2021.65</v>
      </c>
      <c r="M689" s="39" t="n">
        <f aca="false">ABS(I689-L689)</f>
        <v>6</v>
      </c>
      <c r="N689" s="24" t="n">
        <f aca="false">M689*H689*Summary!$C$6</f>
        <v>30</v>
      </c>
      <c r="O689" s="37" t="n">
        <v>45274.0625578704</v>
      </c>
      <c r="P689" s="22" t="n">
        <f aca="false">ROUND((O689-C689)*86400,0)</f>
        <v>398</v>
      </c>
      <c r="Q689" s="22" t="str">
        <f aca="false">IF(P689&lt;10,"a) &lt;10s",IF(P689&lt;60,"b) 10-60s",IF(P689&lt;600,"c) 1-10min","d) &gt;10min")))</f>
        <v>c) 1-10min</v>
      </c>
      <c r="R689" s="38" t="n">
        <v>2028.19</v>
      </c>
      <c r="S689" s="38" t="n">
        <v>2028.09</v>
      </c>
      <c r="T689" s="22" t="s">
        <v>189</v>
      </c>
      <c r="U689" s="39" t="n">
        <f aca="false">IF(R689="","",IF(F689="BUY",R689-S689,S689-R689))</f>
        <v>0.100000000000136</v>
      </c>
      <c r="V689" s="39" t="n">
        <f aca="false">IF(F689="BUY",S689-J689,J689-S689)</f>
        <v>0.399999999999864</v>
      </c>
      <c r="W689" s="6" t="n">
        <v>2</v>
      </c>
      <c r="X689" s="26" t="n">
        <f aca="false">IFERROR(W689/N689,0)</f>
        <v>0.0666666666666667</v>
      </c>
      <c r="Y689" s="22" t="str">
        <f aca="false">IF(W689&gt;0,"Win",IF(W689&lt;0,"Loss","Flat"))</f>
        <v>Win</v>
      </c>
      <c r="Z689" s="24" t="n">
        <f aca="false">Summary!$C$5+SUM(W$2:W689)</f>
        <v>3555.92</v>
      </c>
      <c r="AA689" s="24" t="n">
        <f aca="false">MAX(AA688,Z689)</f>
        <v>5000</v>
      </c>
      <c r="AB689" s="24" t="n">
        <f aca="false">AA689-Z689</f>
        <v>1444.08</v>
      </c>
      <c r="AC689" s="23" t="n">
        <f aca="false">IFERROR(AB689/AA689,0)</f>
        <v>0.288816</v>
      </c>
      <c r="AD689" s="22" t="s">
        <v>926</v>
      </c>
    </row>
    <row r="690" customFormat="false" ht="15" hidden="false" customHeight="false" outlineLevel="0" collapsed="false">
      <c r="A690" s="22" t="n">
        <v>689</v>
      </c>
      <c r="B690" s="22" t="s">
        <v>140</v>
      </c>
      <c r="C690" s="37" t="n">
        <v>45274.4002662037</v>
      </c>
      <c r="D690" s="22" t="s">
        <v>205</v>
      </c>
      <c r="E690" s="22" t="n">
        <v>9</v>
      </c>
      <c r="F690" s="22" t="s">
        <v>182</v>
      </c>
      <c r="G690" s="22" t="s">
        <v>241</v>
      </c>
      <c r="H690" s="22" t="n">
        <v>0.05</v>
      </c>
      <c r="I690" s="38" t="n">
        <v>2030.3</v>
      </c>
      <c r="J690" s="38" t="n">
        <v>2030.28</v>
      </c>
      <c r="K690" s="39" t="n">
        <f aca="false">IF(F690="BUY",J690-I690,I690-J690)</f>
        <v>0.0199999999999818</v>
      </c>
      <c r="L690" s="38" t="n">
        <v>2036.3</v>
      </c>
      <c r="M690" s="39" t="n">
        <f aca="false">ABS(I690-L690)</f>
        <v>6</v>
      </c>
      <c r="N690" s="24" t="n">
        <f aca="false">M690*H690*Summary!$C$6</f>
        <v>30</v>
      </c>
      <c r="O690" s="37" t="n">
        <v>45274.4277546296</v>
      </c>
      <c r="P690" s="22" t="n">
        <f aca="false">ROUND((O690-C690)*86400,0)</f>
        <v>2375</v>
      </c>
      <c r="Q690" s="22" t="str">
        <f aca="false">IF(P690&lt;10,"a) &lt;10s",IF(P690&lt;60,"b) 10-60s",IF(P690&lt;600,"c) 1-10min","d) &gt;10min")))</f>
        <v>d) &gt;10min</v>
      </c>
      <c r="R690" s="38" t="n">
        <v>2036.3</v>
      </c>
      <c r="S690" s="38" t="n">
        <v>2036.31</v>
      </c>
      <c r="T690" s="22" t="s">
        <v>188</v>
      </c>
      <c r="U690" s="39" t="n">
        <f aca="false">IF(R690="","",IF(F690="BUY",R690-S690,S690-R690))</f>
        <v>0.00999999999999091</v>
      </c>
      <c r="V690" s="39" t="n">
        <f aca="false">IF(F690="BUY",S690-J690,J690-S690)</f>
        <v>-6.02999999999997</v>
      </c>
      <c r="W690" s="6" t="n">
        <v>-30.15</v>
      </c>
      <c r="X690" s="26" t="n">
        <f aca="false">IFERROR(W690/N690,0)</f>
        <v>-1.005</v>
      </c>
      <c r="Y690" s="22" t="str">
        <f aca="false">IF(W690&gt;0,"Win",IF(W690&lt;0,"Loss","Flat"))</f>
        <v>Loss</v>
      </c>
      <c r="Z690" s="24" t="n">
        <f aca="false">Summary!$C$5+SUM(W$2:W690)</f>
        <v>3525.77</v>
      </c>
      <c r="AA690" s="24" t="n">
        <f aca="false">MAX(AA689,Z690)</f>
        <v>5000</v>
      </c>
      <c r="AB690" s="24" t="n">
        <f aca="false">AA690-Z690</f>
        <v>1474.23</v>
      </c>
      <c r="AC690" s="23" t="n">
        <f aca="false">IFERROR(AB690/AA690,0)</f>
        <v>0.294846</v>
      </c>
      <c r="AD690" s="22" t="s">
        <v>927</v>
      </c>
    </row>
    <row r="691" customFormat="false" ht="15" hidden="false" customHeight="false" outlineLevel="0" collapsed="false">
      <c r="A691" s="22" t="n">
        <v>690</v>
      </c>
      <c r="B691" s="22" t="s">
        <v>140</v>
      </c>
      <c r="C691" s="37" t="n">
        <v>45275.3758217593</v>
      </c>
      <c r="D691" s="22" t="s">
        <v>206</v>
      </c>
      <c r="E691" s="22" t="n">
        <v>9</v>
      </c>
      <c r="F691" s="22" t="s">
        <v>181</v>
      </c>
      <c r="G691" s="22" t="s">
        <v>235</v>
      </c>
      <c r="H691" s="22" t="n">
        <v>0.05</v>
      </c>
      <c r="I691" s="38" t="n">
        <v>2037.15</v>
      </c>
      <c r="J691" s="38" t="n">
        <v>2037.15</v>
      </c>
      <c r="K691" s="39" t="n">
        <f aca="false">IF(F691="BUY",J691-I691,I691-J691)</f>
        <v>0</v>
      </c>
      <c r="L691" s="38" t="n">
        <v>2031.15</v>
      </c>
      <c r="M691" s="39" t="n">
        <f aca="false">ABS(I691-L691)</f>
        <v>6</v>
      </c>
      <c r="N691" s="24" t="n">
        <f aca="false">M691*H691*Summary!$C$6</f>
        <v>30</v>
      </c>
      <c r="O691" s="37" t="n">
        <v>45275.4316203704</v>
      </c>
      <c r="P691" s="22" t="n">
        <f aca="false">ROUND((O691-C691)*86400,0)</f>
        <v>4821</v>
      </c>
      <c r="Q691" s="22" t="str">
        <f aca="false">IF(P691&lt;10,"a) &lt;10s",IF(P691&lt;60,"b) 10-60s",IF(P691&lt;600,"c) 1-10min","d) &gt;10min")))</f>
        <v>d) &gt;10min</v>
      </c>
      <c r="R691" s="38" t="n">
        <v>2037.65</v>
      </c>
      <c r="S691" s="38" t="n">
        <v>2037.65</v>
      </c>
      <c r="T691" s="22" t="s">
        <v>189</v>
      </c>
      <c r="U691" s="39" t="n">
        <f aca="false">IF(R691="","",IF(F691="BUY",R691-S691,S691-R691))</f>
        <v>0</v>
      </c>
      <c r="V691" s="39" t="n">
        <f aca="false">IF(F691="BUY",S691-J691,J691-S691)</f>
        <v>0.5</v>
      </c>
      <c r="W691" s="6" t="n">
        <v>2.5</v>
      </c>
      <c r="X691" s="26" t="n">
        <f aca="false">IFERROR(W691/N691,0)</f>
        <v>0.0833333333333333</v>
      </c>
      <c r="Y691" s="22" t="str">
        <f aca="false">IF(W691&gt;0,"Win",IF(W691&lt;0,"Loss","Flat"))</f>
        <v>Win</v>
      </c>
      <c r="Z691" s="24" t="n">
        <f aca="false">Summary!$C$5+SUM(W$2:W691)</f>
        <v>3528.27</v>
      </c>
      <c r="AA691" s="24" t="n">
        <f aca="false">MAX(AA690,Z691)</f>
        <v>5000</v>
      </c>
      <c r="AB691" s="24" t="n">
        <f aca="false">AA691-Z691</f>
        <v>1471.73</v>
      </c>
      <c r="AC691" s="23" t="n">
        <f aca="false">IFERROR(AB691/AA691,0)</f>
        <v>0.294346</v>
      </c>
      <c r="AD691" s="22" t="s">
        <v>928</v>
      </c>
    </row>
    <row r="692" customFormat="false" ht="15" hidden="false" customHeight="false" outlineLevel="0" collapsed="false">
      <c r="A692" s="22" t="n">
        <v>691</v>
      </c>
      <c r="B692" s="22" t="s">
        <v>140</v>
      </c>
      <c r="C692" s="37" t="n">
        <v>45275.8471759259</v>
      </c>
      <c r="D692" s="22" t="s">
        <v>206</v>
      </c>
      <c r="E692" s="22" t="n">
        <v>20</v>
      </c>
      <c r="F692" s="22" t="s">
        <v>182</v>
      </c>
      <c r="G692" s="22" t="s">
        <v>237</v>
      </c>
      <c r="H692" s="22" t="n">
        <v>0.05</v>
      </c>
      <c r="I692" s="38" t="n">
        <v>2023.8</v>
      </c>
      <c r="J692" s="38" t="n">
        <v>2023.49</v>
      </c>
      <c r="K692" s="39" t="n">
        <f aca="false">IF(F692="BUY",J692-I692,I692-J692)</f>
        <v>0.309999999999945</v>
      </c>
      <c r="L692" s="38" t="n">
        <v>2029.8</v>
      </c>
      <c r="M692" s="39" t="n">
        <f aca="false">ABS(I692-L692)</f>
        <v>6</v>
      </c>
      <c r="N692" s="24" t="n">
        <f aca="false">M692*H692*Summary!$C$6</f>
        <v>30</v>
      </c>
      <c r="O692" s="37" t="n">
        <v>45275.8593634259</v>
      </c>
      <c r="P692" s="22" t="n">
        <f aca="false">ROUND((O692-C692)*86400,0)</f>
        <v>1053</v>
      </c>
      <c r="Q692" s="22" t="str">
        <f aca="false">IF(P692&lt;10,"a) &lt;10s",IF(P692&lt;60,"b) 10-60s",IF(P692&lt;600,"c) 1-10min","d) &gt;10min")))</f>
        <v>d) &gt;10min</v>
      </c>
      <c r="R692" s="38" t="n">
        <v>2022.99</v>
      </c>
      <c r="S692" s="38" t="n">
        <v>2023</v>
      </c>
      <c r="T692" s="22" t="s">
        <v>189</v>
      </c>
      <c r="U692" s="39" t="n">
        <f aca="false">IF(R692="","",IF(F692="BUY",R692-S692,S692-R692))</f>
        <v>0.00999999999999091</v>
      </c>
      <c r="V692" s="39" t="n">
        <f aca="false">IF(F692="BUY",S692-J692,J692-S692)</f>
        <v>0.490000000000009</v>
      </c>
      <c r="W692" s="6" t="n">
        <v>2.45</v>
      </c>
      <c r="X692" s="26" t="n">
        <f aca="false">IFERROR(W692/N692,0)</f>
        <v>0.0816666666666667</v>
      </c>
      <c r="Y692" s="22" t="str">
        <f aca="false">IF(W692&gt;0,"Win",IF(W692&lt;0,"Loss","Flat"))</f>
        <v>Win</v>
      </c>
      <c r="Z692" s="24" t="n">
        <f aca="false">Summary!$C$5+SUM(W$2:W692)</f>
        <v>3530.72</v>
      </c>
      <c r="AA692" s="24" t="n">
        <f aca="false">MAX(AA691,Z692)</f>
        <v>5000</v>
      </c>
      <c r="AB692" s="24" t="n">
        <f aca="false">AA692-Z692</f>
        <v>1469.28</v>
      </c>
      <c r="AC692" s="23" t="n">
        <f aca="false">IFERROR(AB692/AA692,0)</f>
        <v>0.293856</v>
      </c>
      <c r="AD692" s="22" t="s">
        <v>929</v>
      </c>
    </row>
    <row r="693" customFormat="false" ht="15" hidden="false" customHeight="false" outlineLevel="0" collapsed="false">
      <c r="A693" s="22" t="n">
        <v>692</v>
      </c>
      <c r="B693" s="22" t="s">
        <v>140</v>
      </c>
      <c r="C693" s="37" t="n">
        <v>45278.4273032407</v>
      </c>
      <c r="D693" s="22" t="s">
        <v>202</v>
      </c>
      <c r="E693" s="22" t="n">
        <v>10</v>
      </c>
      <c r="F693" s="22" t="s">
        <v>181</v>
      </c>
      <c r="G693" s="22" t="s">
        <v>235</v>
      </c>
      <c r="H693" s="22" t="n">
        <v>0.05</v>
      </c>
      <c r="I693" s="38" t="n">
        <v>2024.69</v>
      </c>
      <c r="J693" s="38" t="n">
        <v>2024.76</v>
      </c>
      <c r="K693" s="39" t="n">
        <f aca="false">IF(F693="BUY",J693-I693,I693-J693)</f>
        <v>0.0699999999999363</v>
      </c>
      <c r="L693" s="38" t="n">
        <v>2018.69</v>
      </c>
      <c r="M693" s="39" t="n">
        <f aca="false">ABS(I693-L693)</f>
        <v>6</v>
      </c>
      <c r="N693" s="24" t="n">
        <f aca="false">M693*H693*Summary!$C$6</f>
        <v>30</v>
      </c>
      <c r="O693" s="37" t="n">
        <v>45278.4656828704</v>
      </c>
      <c r="P693" s="22" t="n">
        <f aca="false">ROUND((O693-C693)*86400,0)</f>
        <v>3316</v>
      </c>
      <c r="Q693" s="22" t="str">
        <f aca="false">IF(P693&lt;10,"a) &lt;10s",IF(P693&lt;60,"b) 10-60s",IF(P693&lt;600,"c) 1-10min","d) &gt;10min")))</f>
        <v>d) &gt;10min</v>
      </c>
      <c r="R693" s="38" t="n">
        <v>2025.26</v>
      </c>
      <c r="S693" s="38" t="n">
        <v>2025.26</v>
      </c>
      <c r="T693" s="22" t="s">
        <v>189</v>
      </c>
      <c r="U693" s="39" t="n">
        <f aca="false">IF(R693="","",IF(F693="BUY",R693-S693,S693-R693))</f>
        <v>0</v>
      </c>
      <c r="V693" s="39" t="n">
        <f aca="false">IF(F693="BUY",S693-J693,J693-S693)</f>
        <v>0.5</v>
      </c>
      <c r="W693" s="6" t="n">
        <v>2.5</v>
      </c>
      <c r="X693" s="26" t="n">
        <f aca="false">IFERROR(W693/N693,0)</f>
        <v>0.0833333333333333</v>
      </c>
      <c r="Y693" s="22" t="str">
        <f aca="false">IF(W693&gt;0,"Win",IF(W693&lt;0,"Loss","Flat"))</f>
        <v>Win</v>
      </c>
      <c r="Z693" s="24" t="n">
        <f aca="false">Summary!$C$5+SUM(W$2:W693)</f>
        <v>3533.22</v>
      </c>
      <c r="AA693" s="24" t="n">
        <f aca="false">MAX(AA692,Z693)</f>
        <v>5000</v>
      </c>
      <c r="AB693" s="24" t="n">
        <f aca="false">AA693-Z693</f>
        <v>1466.78</v>
      </c>
      <c r="AC693" s="23" t="n">
        <f aca="false">IFERROR(AB693/AA693,0)</f>
        <v>0.293356</v>
      </c>
      <c r="AD693" s="22" t="s">
        <v>930</v>
      </c>
    </row>
    <row r="694" customFormat="false" ht="15" hidden="false" customHeight="false" outlineLevel="0" collapsed="false">
      <c r="A694" s="22" t="n">
        <v>693</v>
      </c>
      <c r="B694" s="22" t="s">
        <v>140</v>
      </c>
      <c r="C694" s="37" t="n">
        <v>45279.3878935185</v>
      </c>
      <c r="D694" s="22" t="s">
        <v>203</v>
      </c>
      <c r="E694" s="22" t="n">
        <v>9</v>
      </c>
      <c r="F694" s="22" t="s">
        <v>181</v>
      </c>
      <c r="G694" s="22" t="s">
        <v>235</v>
      </c>
      <c r="H694" s="22" t="n">
        <v>0.05</v>
      </c>
      <c r="I694" s="38" t="n">
        <v>2026.42</v>
      </c>
      <c r="J694" s="38" t="n">
        <v>2026.45</v>
      </c>
      <c r="K694" s="39" t="n">
        <f aca="false">IF(F694="BUY",J694-I694,I694-J694)</f>
        <v>0.0299999999999727</v>
      </c>
      <c r="L694" s="38" t="n">
        <v>2020.42</v>
      </c>
      <c r="M694" s="39" t="n">
        <f aca="false">ABS(I694-L694)</f>
        <v>6</v>
      </c>
      <c r="N694" s="24" t="n">
        <f aca="false">M694*H694*Summary!$C$6</f>
        <v>30</v>
      </c>
      <c r="O694" s="37" t="n">
        <v>45279.6052199074</v>
      </c>
      <c r="P694" s="22" t="n">
        <f aca="false">ROUND((O694-C694)*86400,0)</f>
        <v>18777</v>
      </c>
      <c r="Q694" s="22" t="str">
        <f aca="false">IF(P694&lt;10,"a) &lt;10s",IF(P694&lt;60,"b) 10-60s",IF(P694&lt;600,"c) 1-10min","d) &gt;10min")))</f>
        <v>d) &gt;10min</v>
      </c>
      <c r="R694" s="38" t="n">
        <v>2026.95</v>
      </c>
      <c r="S694" s="38" t="n">
        <v>2026.93</v>
      </c>
      <c r="T694" s="22" t="s">
        <v>189</v>
      </c>
      <c r="U694" s="39" t="n">
        <f aca="false">IF(R694="","",IF(F694="BUY",R694-S694,S694-R694))</f>
        <v>0.0199999999999818</v>
      </c>
      <c r="V694" s="39" t="n">
        <f aca="false">IF(F694="BUY",S694-J694,J694-S694)</f>
        <v>0.480000000000018</v>
      </c>
      <c r="W694" s="6" t="n">
        <v>2.4</v>
      </c>
      <c r="X694" s="26" t="n">
        <f aca="false">IFERROR(W694/N694,0)</f>
        <v>0.08</v>
      </c>
      <c r="Y694" s="22" t="str">
        <f aca="false">IF(W694&gt;0,"Win",IF(W694&lt;0,"Loss","Flat"))</f>
        <v>Win</v>
      </c>
      <c r="Z694" s="24" t="n">
        <f aca="false">Summary!$C$5+SUM(W$2:W694)</f>
        <v>3535.62</v>
      </c>
      <c r="AA694" s="24" t="n">
        <f aca="false">MAX(AA693,Z694)</f>
        <v>5000</v>
      </c>
      <c r="AB694" s="24" t="n">
        <f aca="false">AA694-Z694</f>
        <v>1464.38</v>
      </c>
      <c r="AC694" s="23" t="n">
        <f aca="false">IFERROR(AB694/AA694,0)</f>
        <v>0.292876</v>
      </c>
      <c r="AD694" s="22" t="s">
        <v>931</v>
      </c>
    </row>
    <row r="695" customFormat="false" ht="15" hidden="false" customHeight="false" outlineLevel="0" collapsed="false">
      <c r="A695" s="22" t="n">
        <v>694</v>
      </c>
      <c r="B695" s="22" t="s">
        <v>140</v>
      </c>
      <c r="C695" s="37" t="n">
        <v>45279.6925578704</v>
      </c>
      <c r="D695" s="22" t="s">
        <v>203</v>
      </c>
      <c r="E695" s="22" t="n">
        <v>16</v>
      </c>
      <c r="F695" s="22" t="s">
        <v>181</v>
      </c>
      <c r="G695" s="22" t="s">
        <v>243</v>
      </c>
      <c r="H695" s="22" t="n">
        <v>0.05</v>
      </c>
      <c r="I695" s="38" t="n">
        <v>2033.62</v>
      </c>
      <c r="J695" s="38" t="n">
        <v>2033.68</v>
      </c>
      <c r="K695" s="39" t="n">
        <f aca="false">IF(F695="BUY",J695-I695,I695-J695)</f>
        <v>0.0600000000001728</v>
      </c>
      <c r="L695" s="38" t="n">
        <v>2027.62</v>
      </c>
      <c r="M695" s="39" t="n">
        <f aca="false">ABS(I695-L695)</f>
        <v>6</v>
      </c>
      <c r="N695" s="24" t="n">
        <f aca="false">M695*H695*Summary!$C$6</f>
        <v>30</v>
      </c>
      <c r="O695" s="37" t="n">
        <v>45279.6957407407</v>
      </c>
      <c r="P695" s="22" t="n">
        <f aca="false">ROUND((O695-C695)*86400,0)</f>
        <v>275</v>
      </c>
      <c r="Q695" s="22" t="str">
        <f aca="false">IF(P695&lt;10,"a) &lt;10s",IF(P695&lt;60,"b) 10-60s",IF(P695&lt;600,"c) 1-10min","d) &gt;10min")))</f>
        <v>c) 1-10min</v>
      </c>
      <c r="R695" s="38" t="n">
        <v>2034.18</v>
      </c>
      <c r="S695" s="38" t="n">
        <v>2034.16</v>
      </c>
      <c r="T695" s="22" t="s">
        <v>189</v>
      </c>
      <c r="U695" s="39" t="n">
        <f aca="false">IF(R695="","",IF(F695="BUY",R695-S695,S695-R695))</f>
        <v>0.0199999999999818</v>
      </c>
      <c r="V695" s="39" t="n">
        <f aca="false">IF(F695="BUY",S695-J695,J695-S695)</f>
        <v>0.480000000000018</v>
      </c>
      <c r="W695" s="6" t="n">
        <v>2.4</v>
      </c>
      <c r="X695" s="26" t="n">
        <f aca="false">IFERROR(W695/N695,0)</f>
        <v>0.08</v>
      </c>
      <c r="Y695" s="22" t="str">
        <f aca="false">IF(W695&gt;0,"Win",IF(W695&lt;0,"Loss","Flat"))</f>
        <v>Win</v>
      </c>
      <c r="Z695" s="24" t="n">
        <f aca="false">Summary!$C$5+SUM(W$2:W695)</f>
        <v>3538.02</v>
      </c>
      <c r="AA695" s="24" t="n">
        <f aca="false">MAX(AA694,Z695)</f>
        <v>5000</v>
      </c>
      <c r="AB695" s="24" t="n">
        <f aca="false">AA695-Z695</f>
        <v>1461.98</v>
      </c>
      <c r="AC695" s="23" t="n">
        <f aca="false">IFERROR(AB695/AA695,0)</f>
        <v>0.292396</v>
      </c>
      <c r="AD695" s="22" t="s">
        <v>932</v>
      </c>
    </row>
    <row r="696" customFormat="false" ht="15" hidden="false" customHeight="false" outlineLevel="0" collapsed="false">
      <c r="A696" s="22" t="n">
        <v>695</v>
      </c>
      <c r="B696" s="22" t="s">
        <v>140</v>
      </c>
      <c r="C696" s="37" t="n">
        <v>45280.3801851852</v>
      </c>
      <c r="D696" s="22" t="s">
        <v>204</v>
      </c>
      <c r="E696" s="22" t="n">
        <v>9</v>
      </c>
      <c r="F696" s="22" t="s">
        <v>181</v>
      </c>
      <c r="G696" s="22" t="s">
        <v>235</v>
      </c>
      <c r="H696" s="22" t="n">
        <v>0.05</v>
      </c>
      <c r="I696" s="38" t="n">
        <v>2042.29</v>
      </c>
      <c r="J696" s="38" t="n">
        <v>2042.29</v>
      </c>
      <c r="K696" s="39" t="n">
        <f aca="false">IF(F696="BUY",J696-I696,I696-J696)</f>
        <v>0</v>
      </c>
      <c r="L696" s="38" t="n">
        <v>2036.29</v>
      </c>
      <c r="M696" s="39" t="n">
        <f aca="false">ABS(I696-L696)</f>
        <v>6</v>
      </c>
      <c r="N696" s="24" t="n">
        <f aca="false">M696*H696*Summary!$C$6</f>
        <v>30</v>
      </c>
      <c r="O696" s="37" t="n">
        <v>45280.5202893519</v>
      </c>
      <c r="P696" s="22" t="n">
        <f aca="false">ROUND((O696-C696)*86400,0)</f>
        <v>12105</v>
      </c>
      <c r="Q696" s="22" t="str">
        <f aca="false">IF(P696&lt;10,"a) &lt;10s",IF(P696&lt;60,"b) 10-60s",IF(P696&lt;600,"c) 1-10min","d) &gt;10min")))</f>
        <v>d) &gt;10min</v>
      </c>
      <c r="R696" s="38" t="n">
        <v>2036.29</v>
      </c>
      <c r="S696" s="38" t="n">
        <v>2036.24</v>
      </c>
      <c r="T696" s="22" t="s">
        <v>188</v>
      </c>
      <c r="U696" s="39" t="n">
        <f aca="false">IF(R696="","",IF(F696="BUY",R696-S696,S696-R696))</f>
        <v>0.0499999999999545</v>
      </c>
      <c r="V696" s="39" t="n">
        <f aca="false">IF(F696="BUY",S696-J696,J696-S696)</f>
        <v>-6.04999999999995</v>
      </c>
      <c r="W696" s="6" t="n">
        <v>-30.25</v>
      </c>
      <c r="X696" s="26" t="n">
        <f aca="false">IFERROR(W696/N696,0)</f>
        <v>-1.00833333333333</v>
      </c>
      <c r="Y696" s="22" t="str">
        <f aca="false">IF(W696&gt;0,"Win",IF(W696&lt;0,"Loss","Flat"))</f>
        <v>Loss</v>
      </c>
      <c r="Z696" s="24" t="n">
        <f aca="false">Summary!$C$5+SUM(W$2:W696)</f>
        <v>3507.77</v>
      </c>
      <c r="AA696" s="24" t="n">
        <f aca="false">MAX(AA695,Z696)</f>
        <v>5000</v>
      </c>
      <c r="AB696" s="24" t="n">
        <f aca="false">AA696-Z696</f>
        <v>1492.23</v>
      </c>
      <c r="AC696" s="23" t="n">
        <f aca="false">IFERROR(AB696/AA696,0)</f>
        <v>0.298446</v>
      </c>
      <c r="AD696" s="22" t="s">
        <v>933</v>
      </c>
    </row>
    <row r="697" customFormat="false" ht="15" hidden="false" customHeight="false" outlineLevel="0" collapsed="false">
      <c r="A697" s="22" t="n">
        <v>696</v>
      </c>
      <c r="B697" s="22" t="s">
        <v>140</v>
      </c>
      <c r="C697" s="37" t="n">
        <v>45281.389212963</v>
      </c>
      <c r="D697" s="22" t="s">
        <v>205</v>
      </c>
      <c r="E697" s="22" t="n">
        <v>9</v>
      </c>
      <c r="F697" s="22" t="s">
        <v>182</v>
      </c>
      <c r="G697" s="22" t="s">
        <v>241</v>
      </c>
      <c r="H697" s="22" t="n">
        <v>0.05</v>
      </c>
      <c r="I697" s="38" t="n">
        <v>2034.31</v>
      </c>
      <c r="J697" s="38" t="n">
        <v>2034.31</v>
      </c>
      <c r="K697" s="39" t="n">
        <f aca="false">IF(F697="BUY",J697-I697,I697-J697)</f>
        <v>0</v>
      </c>
      <c r="L697" s="38" t="n">
        <v>2040.31</v>
      </c>
      <c r="M697" s="39" t="n">
        <f aca="false">ABS(I697-L697)</f>
        <v>6</v>
      </c>
      <c r="N697" s="24" t="n">
        <f aca="false">M697*H697*Summary!$C$6</f>
        <v>30</v>
      </c>
      <c r="O697" s="37" t="n">
        <v>45281.648912037</v>
      </c>
      <c r="P697" s="22" t="n">
        <f aca="false">ROUND((O697-C697)*86400,0)</f>
        <v>22438</v>
      </c>
      <c r="Q697" s="22" t="str">
        <f aca="false">IF(P697&lt;10,"a) &lt;10s",IF(P697&lt;60,"b) 10-60s",IF(P697&lt;600,"c) 1-10min","d) &gt;10min")))</f>
        <v>d) &gt;10min</v>
      </c>
      <c r="R697" s="38" t="n">
        <v>2040.31</v>
      </c>
      <c r="S697" s="38" t="n">
        <v>2040.41</v>
      </c>
      <c r="T697" s="22" t="s">
        <v>188</v>
      </c>
      <c r="U697" s="39" t="n">
        <f aca="false">IF(R697="","",IF(F697="BUY",R697-S697,S697-R697))</f>
        <v>0.100000000000136</v>
      </c>
      <c r="V697" s="39" t="n">
        <f aca="false">IF(F697="BUY",S697-J697,J697-S697)</f>
        <v>-6.10000000000014</v>
      </c>
      <c r="W697" s="6" t="n">
        <v>-30.5</v>
      </c>
      <c r="X697" s="26" t="n">
        <f aca="false">IFERROR(W697/N697,0)</f>
        <v>-1.01666666666667</v>
      </c>
      <c r="Y697" s="22" t="str">
        <f aca="false">IF(W697&gt;0,"Win",IF(W697&lt;0,"Loss","Flat"))</f>
        <v>Loss</v>
      </c>
      <c r="Z697" s="24" t="n">
        <f aca="false">Summary!$C$5+SUM(W$2:W697)</f>
        <v>3477.27</v>
      </c>
      <c r="AA697" s="24" t="n">
        <f aca="false">MAX(AA696,Z697)</f>
        <v>5000</v>
      </c>
      <c r="AB697" s="24" t="n">
        <f aca="false">AA697-Z697</f>
        <v>1522.73</v>
      </c>
      <c r="AC697" s="23" t="n">
        <f aca="false">IFERROR(AB697/AA697,0)</f>
        <v>0.304546</v>
      </c>
      <c r="AD697" s="22" t="s">
        <v>934</v>
      </c>
    </row>
    <row r="698" customFormat="false" ht="15" hidden="false" customHeight="false" outlineLevel="0" collapsed="false">
      <c r="A698" s="22" t="n">
        <v>697</v>
      </c>
      <c r="B698" s="22" t="s">
        <v>140</v>
      </c>
      <c r="C698" s="37" t="n">
        <v>45281.6533449074</v>
      </c>
      <c r="D698" s="22" t="s">
        <v>205</v>
      </c>
      <c r="E698" s="22" t="n">
        <v>15</v>
      </c>
      <c r="F698" s="22" t="s">
        <v>181</v>
      </c>
      <c r="G698" s="22" t="s">
        <v>243</v>
      </c>
      <c r="H698" s="22" t="n">
        <v>0.05</v>
      </c>
      <c r="I698" s="38" t="n">
        <v>2043.38</v>
      </c>
      <c r="J698" s="38" t="n">
        <v>2043.56</v>
      </c>
      <c r="K698" s="39" t="n">
        <f aca="false">IF(F698="BUY",J698-I698,I698-J698)</f>
        <v>0.179999999999836</v>
      </c>
      <c r="L698" s="38" t="n">
        <v>2037.38</v>
      </c>
      <c r="M698" s="39" t="n">
        <f aca="false">ABS(I698-L698)</f>
        <v>6</v>
      </c>
      <c r="N698" s="24" t="n">
        <f aca="false">M698*H698*Summary!$C$6</f>
        <v>30</v>
      </c>
      <c r="O698" s="37" t="n">
        <v>45281.6546643519</v>
      </c>
      <c r="P698" s="22" t="n">
        <f aca="false">ROUND((O698-C698)*86400,0)</f>
        <v>114</v>
      </c>
      <c r="Q698" s="22" t="str">
        <f aca="false">IF(P698&lt;10,"a) &lt;10s",IF(P698&lt;60,"b) 10-60s",IF(P698&lt;600,"c) 1-10min","d) &gt;10min")))</f>
        <v>c) 1-10min</v>
      </c>
      <c r="R698" s="38" t="n">
        <v>2044.06</v>
      </c>
      <c r="S698" s="38" t="n">
        <v>2043.95</v>
      </c>
      <c r="T698" s="22" t="s">
        <v>189</v>
      </c>
      <c r="U698" s="39" t="n">
        <f aca="false">IF(R698="","",IF(F698="BUY",R698-S698,S698-R698))</f>
        <v>0.1099999999999</v>
      </c>
      <c r="V698" s="39" t="n">
        <f aca="false">IF(F698="BUY",S698-J698,J698-S698)</f>
        <v>0.3900000000001</v>
      </c>
      <c r="W698" s="6" t="n">
        <v>1.95</v>
      </c>
      <c r="X698" s="26" t="n">
        <f aca="false">IFERROR(W698/N698,0)</f>
        <v>0.065</v>
      </c>
      <c r="Y698" s="22" t="str">
        <f aca="false">IF(W698&gt;0,"Win",IF(W698&lt;0,"Loss","Flat"))</f>
        <v>Win</v>
      </c>
      <c r="Z698" s="24" t="n">
        <f aca="false">Summary!$C$5+SUM(W$2:W698)</f>
        <v>3479.22</v>
      </c>
      <c r="AA698" s="24" t="n">
        <f aca="false">MAX(AA697,Z698)</f>
        <v>5000</v>
      </c>
      <c r="AB698" s="24" t="n">
        <f aca="false">AA698-Z698</f>
        <v>1520.78</v>
      </c>
      <c r="AC698" s="23" t="n">
        <f aca="false">IFERROR(AB698/AA698,0)</f>
        <v>0.304156</v>
      </c>
      <c r="AD698" s="22" t="s">
        <v>935</v>
      </c>
    </row>
    <row r="699" customFormat="false" ht="15" hidden="false" customHeight="false" outlineLevel="0" collapsed="false">
      <c r="A699" s="22" t="n">
        <v>698</v>
      </c>
      <c r="B699" s="22" t="s">
        <v>140</v>
      </c>
      <c r="C699" s="37" t="n">
        <v>45282.3941203704</v>
      </c>
      <c r="D699" s="22" t="s">
        <v>206</v>
      </c>
      <c r="E699" s="22" t="n">
        <v>9</v>
      </c>
      <c r="F699" s="22" t="s">
        <v>181</v>
      </c>
      <c r="G699" s="22" t="s">
        <v>235</v>
      </c>
      <c r="H699" s="22" t="n">
        <v>0.05</v>
      </c>
      <c r="I699" s="38" t="n">
        <v>2049.61</v>
      </c>
      <c r="J699" s="38" t="n">
        <v>2049.62</v>
      </c>
      <c r="K699" s="39" t="n">
        <f aca="false">IF(F699="BUY",J699-I699,I699-J699)</f>
        <v>0.00999999999976353</v>
      </c>
      <c r="L699" s="38" t="n">
        <v>2043.61</v>
      </c>
      <c r="M699" s="39" t="n">
        <f aca="false">ABS(I699-L699)</f>
        <v>6.00000000000023</v>
      </c>
      <c r="N699" s="24" t="n">
        <f aca="false">M699*H699*Summary!$C$6</f>
        <v>30.0000000000011</v>
      </c>
      <c r="O699" s="37" t="n">
        <v>45282.9270833333</v>
      </c>
      <c r="P699" s="22" t="n">
        <f aca="false">ROUND((O699-C699)*86400,0)</f>
        <v>46048</v>
      </c>
      <c r="Q699" s="22" t="str">
        <f aca="false">IF(P699&lt;10,"a) &lt;10s",IF(P699&lt;60,"b) 10-60s",IF(P699&lt;600,"c) 1-10min","d) &gt;10min")))</f>
        <v>d) &gt;10min</v>
      </c>
      <c r="R699" s="38"/>
      <c r="S699" s="38" t="n">
        <v>2053.55</v>
      </c>
      <c r="T699" s="22" t="s">
        <v>191</v>
      </c>
      <c r="U699" s="39" t="str">
        <f aca="false">IF(R699="","",IF(F699="BUY",R699-S699,S699-R699))</f>
        <v/>
      </c>
      <c r="V699" s="39" t="n">
        <f aca="false">IF(F699="BUY",S699-J699,J699-S699)</f>
        <v>3.93000000000029</v>
      </c>
      <c r="W699" s="6" t="n">
        <v>19.65</v>
      </c>
      <c r="X699" s="26" t="n">
        <f aca="false">IFERROR(W699/N699,0)</f>
        <v>0.654999999999975</v>
      </c>
      <c r="Y699" s="22" t="str">
        <f aca="false">IF(W699&gt;0,"Win",IF(W699&lt;0,"Loss","Flat"))</f>
        <v>Win</v>
      </c>
      <c r="Z699" s="24" t="n">
        <f aca="false">Summary!$C$5+SUM(W$2:W699)</f>
        <v>3498.87</v>
      </c>
      <c r="AA699" s="24" t="n">
        <f aca="false">MAX(AA698,Z699)</f>
        <v>5000</v>
      </c>
      <c r="AB699" s="24" t="n">
        <f aca="false">AA699-Z699</f>
        <v>1501.13</v>
      </c>
      <c r="AC699" s="23" t="n">
        <f aca="false">IFERROR(AB699/AA699,0)</f>
        <v>0.300226</v>
      </c>
      <c r="AD699" s="22" t="s">
        <v>936</v>
      </c>
    </row>
    <row r="700" customFormat="false" ht="15" hidden="false" customHeight="false" outlineLevel="0" collapsed="false">
      <c r="A700" s="22" t="n">
        <v>699</v>
      </c>
      <c r="B700" s="22" t="s">
        <v>140</v>
      </c>
      <c r="C700" s="37" t="n">
        <v>45286.4143055556</v>
      </c>
      <c r="D700" s="22" t="s">
        <v>203</v>
      </c>
      <c r="E700" s="22" t="n">
        <v>9</v>
      </c>
      <c r="F700" s="22" t="s">
        <v>181</v>
      </c>
      <c r="G700" s="22" t="s">
        <v>235</v>
      </c>
      <c r="H700" s="22" t="n">
        <v>0.05</v>
      </c>
      <c r="I700" s="38" t="n">
        <v>2064.98</v>
      </c>
      <c r="J700" s="38" t="n">
        <v>2065</v>
      </c>
      <c r="K700" s="39" t="n">
        <f aca="false">IF(F700="BUY",J700-I700,I700-J700)</f>
        <v>0.0199999999999818</v>
      </c>
      <c r="L700" s="38" t="n">
        <v>2058.98</v>
      </c>
      <c r="M700" s="39" t="n">
        <f aca="false">ABS(I700-L700)</f>
        <v>6</v>
      </c>
      <c r="N700" s="24" t="n">
        <f aca="false">M700*H700*Summary!$C$6</f>
        <v>30</v>
      </c>
      <c r="O700" s="37" t="n">
        <v>45286.6663425926</v>
      </c>
      <c r="P700" s="22" t="n">
        <f aca="false">ROUND((O700-C700)*86400,0)</f>
        <v>21776</v>
      </c>
      <c r="Q700" s="22" t="str">
        <f aca="false">IF(P700&lt;10,"a) &lt;10s",IF(P700&lt;60,"b) 10-60s",IF(P700&lt;600,"c) 1-10min","d) &gt;10min")))</f>
        <v>d) &gt;10min</v>
      </c>
      <c r="R700" s="38" t="n">
        <v>2058.98</v>
      </c>
      <c r="S700" s="38" t="n">
        <v>2058.95</v>
      </c>
      <c r="T700" s="22" t="s">
        <v>188</v>
      </c>
      <c r="U700" s="39" t="n">
        <f aca="false">IF(R700="","",IF(F700="BUY",R700-S700,S700-R700))</f>
        <v>0.0300000000002001</v>
      </c>
      <c r="V700" s="39" t="n">
        <f aca="false">IF(F700="BUY",S700-J700,J700-S700)</f>
        <v>-6.05000000000018</v>
      </c>
      <c r="W700" s="6" t="n">
        <v>-30.25</v>
      </c>
      <c r="X700" s="26" t="n">
        <f aca="false">IFERROR(W700/N700,0)</f>
        <v>-1.00833333333333</v>
      </c>
      <c r="Y700" s="22" t="str">
        <f aca="false">IF(W700&gt;0,"Win",IF(W700&lt;0,"Loss","Flat"))</f>
        <v>Loss</v>
      </c>
      <c r="Z700" s="24" t="n">
        <f aca="false">Summary!$C$5+SUM(W$2:W700)</f>
        <v>3468.62</v>
      </c>
      <c r="AA700" s="24" t="n">
        <f aca="false">MAX(AA699,Z700)</f>
        <v>5000</v>
      </c>
      <c r="AB700" s="24" t="n">
        <f aca="false">AA700-Z700</f>
        <v>1531.38</v>
      </c>
      <c r="AC700" s="23" t="n">
        <f aca="false">IFERROR(AB700/AA700,0)</f>
        <v>0.306276</v>
      </c>
      <c r="AD700" s="22" t="s">
        <v>937</v>
      </c>
    </row>
    <row r="701" customFormat="false" ht="15" hidden="false" customHeight="false" outlineLevel="0" collapsed="false">
      <c r="A701" s="22" t="n">
        <v>700</v>
      </c>
      <c r="B701" s="22" t="s">
        <v>140</v>
      </c>
      <c r="C701" s="37" t="n">
        <v>45287.4216319445</v>
      </c>
      <c r="D701" s="22" t="s">
        <v>204</v>
      </c>
      <c r="E701" s="22" t="n">
        <v>10</v>
      </c>
      <c r="F701" s="22" t="s">
        <v>181</v>
      </c>
      <c r="G701" s="22" t="s">
        <v>235</v>
      </c>
      <c r="H701" s="22" t="n">
        <v>0.05</v>
      </c>
      <c r="I701" s="38" t="n">
        <v>2067.35</v>
      </c>
      <c r="J701" s="38" t="n">
        <v>2067.38</v>
      </c>
      <c r="K701" s="39" t="n">
        <f aca="false">IF(F701="BUY",J701-I701,I701-J701)</f>
        <v>0.0300000000002001</v>
      </c>
      <c r="L701" s="38" t="n">
        <v>2061.35</v>
      </c>
      <c r="M701" s="39" t="n">
        <f aca="false">ABS(I701-L701)</f>
        <v>6</v>
      </c>
      <c r="N701" s="24" t="n">
        <f aca="false">M701*H701*Summary!$C$6</f>
        <v>30</v>
      </c>
      <c r="O701" s="37" t="n">
        <v>45287.6163078704</v>
      </c>
      <c r="P701" s="22" t="n">
        <f aca="false">ROUND((O701-C701)*86400,0)</f>
        <v>16820</v>
      </c>
      <c r="Q701" s="22" t="str">
        <f aca="false">IF(P701&lt;10,"a) &lt;10s",IF(P701&lt;60,"b) 10-60s",IF(P701&lt;600,"c) 1-10min","d) &gt;10min")))</f>
        <v>d) &gt;10min</v>
      </c>
      <c r="R701" s="38" t="n">
        <v>2067.88</v>
      </c>
      <c r="S701" s="38" t="n">
        <v>2067.84</v>
      </c>
      <c r="T701" s="22" t="s">
        <v>189</v>
      </c>
      <c r="U701" s="39" t="n">
        <f aca="false">IF(R701="","",IF(F701="BUY",R701-S701,S701-R701))</f>
        <v>0.0399999999999636</v>
      </c>
      <c r="V701" s="39" t="n">
        <f aca="false">IF(F701="BUY",S701-J701,J701-S701)</f>
        <v>0.460000000000036</v>
      </c>
      <c r="W701" s="6" t="n">
        <v>2.3</v>
      </c>
      <c r="X701" s="26" t="n">
        <f aca="false">IFERROR(W701/N701,0)</f>
        <v>0.0766666666666667</v>
      </c>
      <c r="Y701" s="22" t="str">
        <f aca="false">IF(W701&gt;0,"Win",IF(W701&lt;0,"Loss","Flat"))</f>
        <v>Win</v>
      </c>
      <c r="Z701" s="24" t="n">
        <f aca="false">Summary!$C$5+SUM(W$2:W701)</f>
        <v>3470.92</v>
      </c>
      <c r="AA701" s="24" t="n">
        <f aca="false">MAX(AA700,Z701)</f>
        <v>5000</v>
      </c>
      <c r="AB701" s="24" t="n">
        <f aca="false">AA701-Z701</f>
        <v>1529.08</v>
      </c>
      <c r="AC701" s="23" t="n">
        <f aca="false">IFERROR(AB701/AA701,0)</f>
        <v>0.305816</v>
      </c>
      <c r="AD701" s="22" t="s">
        <v>938</v>
      </c>
    </row>
    <row r="702" customFormat="false" ht="15" hidden="false" customHeight="false" outlineLevel="0" collapsed="false">
      <c r="A702" s="22" t="n">
        <v>701</v>
      </c>
      <c r="B702" s="22" t="s">
        <v>140</v>
      </c>
      <c r="C702" s="37" t="n">
        <v>45288.1484027778</v>
      </c>
      <c r="D702" s="22" t="s">
        <v>205</v>
      </c>
      <c r="E702" s="22" t="n">
        <v>3</v>
      </c>
      <c r="F702" s="22" t="s">
        <v>181</v>
      </c>
      <c r="G702" s="22" t="s">
        <v>243</v>
      </c>
      <c r="H702" s="22" t="n">
        <v>0.05</v>
      </c>
      <c r="I702" s="38" t="n">
        <v>2084.35</v>
      </c>
      <c r="J702" s="38" t="n">
        <v>2084.37</v>
      </c>
      <c r="K702" s="39" t="n">
        <f aca="false">IF(F702="BUY",J702-I702,I702-J702)</f>
        <v>0.0199999999999818</v>
      </c>
      <c r="L702" s="38" t="n">
        <v>2078.35</v>
      </c>
      <c r="M702" s="39" t="n">
        <f aca="false">ABS(I702-L702)</f>
        <v>6</v>
      </c>
      <c r="N702" s="24" t="n">
        <f aca="false">M702*H702*Summary!$C$6</f>
        <v>30</v>
      </c>
      <c r="O702" s="37" t="n">
        <v>45288.3241782407</v>
      </c>
      <c r="P702" s="22" t="n">
        <f aca="false">ROUND((O702-C702)*86400,0)</f>
        <v>15187</v>
      </c>
      <c r="Q702" s="22" t="str">
        <f aca="false">IF(P702&lt;10,"a) &lt;10s",IF(P702&lt;60,"b) 10-60s",IF(P702&lt;600,"c) 1-10min","d) &gt;10min")))</f>
        <v>d) &gt;10min</v>
      </c>
      <c r="R702" s="38" t="n">
        <v>2084.87</v>
      </c>
      <c r="S702" s="38" t="n">
        <v>2084.83</v>
      </c>
      <c r="T702" s="22" t="s">
        <v>189</v>
      </c>
      <c r="U702" s="39" t="n">
        <f aca="false">IF(R702="","",IF(F702="BUY",R702-S702,S702-R702))</f>
        <v>0.0399999999999636</v>
      </c>
      <c r="V702" s="39" t="n">
        <f aca="false">IF(F702="BUY",S702-J702,J702-S702)</f>
        <v>0.460000000000036</v>
      </c>
      <c r="W702" s="6" t="n">
        <v>2.3</v>
      </c>
      <c r="X702" s="26" t="n">
        <f aca="false">IFERROR(W702/N702,0)</f>
        <v>0.0766666666666667</v>
      </c>
      <c r="Y702" s="22" t="str">
        <f aca="false">IF(W702&gt;0,"Win",IF(W702&lt;0,"Loss","Flat"))</f>
        <v>Win</v>
      </c>
      <c r="Z702" s="24" t="n">
        <f aca="false">Summary!$C$5+SUM(W$2:W702)</f>
        <v>3473.22</v>
      </c>
      <c r="AA702" s="24" t="n">
        <f aca="false">MAX(AA701,Z702)</f>
        <v>5000</v>
      </c>
      <c r="AB702" s="24" t="n">
        <f aca="false">AA702-Z702</f>
        <v>1526.78</v>
      </c>
      <c r="AC702" s="23" t="n">
        <f aca="false">IFERROR(AB702/AA702,0)</f>
        <v>0.305356</v>
      </c>
      <c r="AD702" s="22" t="s">
        <v>939</v>
      </c>
    </row>
    <row r="703" customFormat="false" ht="15" hidden="false" customHeight="false" outlineLevel="0" collapsed="false">
      <c r="A703" s="22" t="n">
        <v>702</v>
      </c>
      <c r="B703" s="22" t="s">
        <v>140</v>
      </c>
      <c r="C703" s="37" t="n">
        <v>45288.3803703704</v>
      </c>
      <c r="D703" s="22" t="s">
        <v>205</v>
      </c>
      <c r="E703" s="22" t="n">
        <v>9</v>
      </c>
      <c r="F703" s="22" t="s">
        <v>181</v>
      </c>
      <c r="G703" s="22" t="s">
        <v>235</v>
      </c>
      <c r="H703" s="22" t="n">
        <v>0.05</v>
      </c>
      <c r="I703" s="38" t="n">
        <v>2087.4</v>
      </c>
      <c r="J703" s="38" t="n">
        <v>2087.4</v>
      </c>
      <c r="K703" s="39" t="n">
        <f aca="false">IF(F703="BUY",J703-I703,I703-J703)</f>
        <v>0</v>
      </c>
      <c r="L703" s="38" t="n">
        <v>2081.4</v>
      </c>
      <c r="M703" s="39" t="n">
        <f aca="false">ABS(I703-L703)</f>
        <v>6</v>
      </c>
      <c r="N703" s="24" t="n">
        <f aca="false">M703*H703*Summary!$C$6</f>
        <v>30</v>
      </c>
      <c r="O703" s="37" t="n">
        <v>45288.4272337963</v>
      </c>
      <c r="P703" s="22" t="n">
        <f aca="false">ROUND((O703-C703)*86400,0)</f>
        <v>4049</v>
      </c>
      <c r="Q703" s="22" t="str">
        <f aca="false">IF(P703&lt;10,"a) &lt;10s",IF(P703&lt;60,"b) 10-60s",IF(P703&lt;600,"c) 1-10min","d) &gt;10min")))</f>
        <v>d) &gt;10min</v>
      </c>
      <c r="R703" s="38" t="n">
        <v>2081.4</v>
      </c>
      <c r="S703" s="38" t="n">
        <v>2081.38</v>
      </c>
      <c r="T703" s="22" t="s">
        <v>188</v>
      </c>
      <c r="U703" s="39" t="n">
        <f aca="false">IF(R703="","",IF(F703="BUY",R703-S703,S703-R703))</f>
        <v>0.0199999999999818</v>
      </c>
      <c r="V703" s="39" t="n">
        <f aca="false">IF(F703="BUY",S703-J703,J703-S703)</f>
        <v>-6.01999999999998</v>
      </c>
      <c r="W703" s="6" t="n">
        <v>-30.1</v>
      </c>
      <c r="X703" s="26" t="n">
        <f aca="false">IFERROR(W703/N703,0)</f>
        <v>-1.00333333333333</v>
      </c>
      <c r="Y703" s="22" t="str">
        <f aca="false">IF(W703&gt;0,"Win",IF(W703&lt;0,"Loss","Flat"))</f>
        <v>Loss</v>
      </c>
      <c r="Z703" s="24" t="n">
        <f aca="false">Summary!$C$5+SUM(W$2:W703)</f>
        <v>3443.12</v>
      </c>
      <c r="AA703" s="24" t="n">
        <f aca="false">MAX(AA702,Z703)</f>
        <v>5000</v>
      </c>
      <c r="AB703" s="24" t="n">
        <f aca="false">AA703-Z703</f>
        <v>1556.88</v>
      </c>
      <c r="AC703" s="23" t="n">
        <f aca="false">IFERROR(AB703/AA703,0)</f>
        <v>0.311376</v>
      </c>
      <c r="AD703" s="22" t="s">
        <v>940</v>
      </c>
    </row>
    <row r="704" customFormat="false" ht="15" hidden="false" customHeight="false" outlineLevel="0" collapsed="false">
      <c r="A704" s="22" t="n">
        <v>703</v>
      </c>
      <c r="B704" s="22" t="s">
        <v>140</v>
      </c>
      <c r="C704" s="37" t="n">
        <v>45289.3761921296</v>
      </c>
      <c r="D704" s="22" t="s">
        <v>206</v>
      </c>
      <c r="E704" s="22" t="n">
        <v>9</v>
      </c>
      <c r="F704" s="22" t="s">
        <v>181</v>
      </c>
      <c r="G704" s="22" t="s">
        <v>235</v>
      </c>
      <c r="H704" s="22" t="n">
        <v>0.05</v>
      </c>
      <c r="I704" s="38" t="n">
        <v>2073.04</v>
      </c>
      <c r="J704" s="38" t="n">
        <v>2073.08</v>
      </c>
      <c r="K704" s="39" t="n">
        <f aca="false">IF(F704="BUY",J704-I704,I704-J704)</f>
        <v>0.0399999999999636</v>
      </c>
      <c r="L704" s="38" t="n">
        <v>2067.04</v>
      </c>
      <c r="M704" s="39" t="n">
        <f aca="false">ABS(I704-L704)</f>
        <v>6</v>
      </c>
      <c r="N704" s="24" t="n">
        <f aca="false">M704*H704*Summary!$C$6</f>
        <v>30</v>
      </c>
      <c r="O704" s="37" t="n">
        <v>45289.4928009259</v>
      </c>
      <c r="P704" s="22" t="n">
        <f aca="false">ROUND((O704-C704)*86400,0)</f>
        <v>10075</v>
      </c>
      <c r="Q704" s="22" t="str">
        <f aca="false">IF(P704&lt;10,"a) &lt;10s",IF(P704&lt;60,"b) 10-60s",IF(P704&lt;600,"c) 1-10min","d) &gt;10min")))</f>
        <v>d) &gt;10min</v>
      </c>
      <c r="R704" s="38" t="n">
        <v>2067.04</v>
      </c>
      <c r="S704" s="38" t="n">
        <v>2067.04</v>
      </c>
      <c r="T704" s="22" t="s">
        <v>188</v>
      </c>
      <c r="U704" s="39" t="n">
        <f aca="false">IF(R704="","",IF(F704="BUY",R704-S704,S704-R704))</f>
        <v>0</v>
      </c>
      <c r="V704" s="39" t="n">
        <f aca="false">IF(F704="BUY",S704-J704,J704-S704)</f>
        <v>-6.03999999999996</v>
      </c>
      <c r="W704" s="6" t="n">
        <v>-30.2</v>
      </c>
      <c r="X704" s="26" t="n">
        <f aca="false">IFERROR(W704/N704,0)</f>
        <v>-1.00666666666667</v>
      </c>
      <c r="Y704" s="22" t="str">
        <f aca="false">IF(W704&gt;0,"Win",IF(W704&lt;0,"Loss","Flat"))</f>
        <v>Loss</v>
      </c>
      <c r="Z704" s="24" t="n">
        <f aca="false">Summary!$C$5+SUM(W$2:W704)</f>
        <v>3412.92</v>
      </c>
      <c r="AA704" s="24" t="n">
        <f aca="false">MAX(AA703,Z704)</f>
        <v>5000</v>
      </c>
      <c r="AB704" s="24" t="n">
        <f aca="false">AA704-Z704</f>
        <v>1587.08</v>
      </c>
      <c r="AC704" s="23" t="n">
        <f aca="false">IFERROR(AB704/AA704,0)</f>
        <v>0.317416</v>
      </c>
      <c r="AD704" s="22" t="s">
        <v>941</v>
      </c>
    </row>
    <row r="705" customFormat="false" ht="15" hidden="false" customHeight="false" outlineLevel="0" collapsed="false">
      <c r="A705" s="22" t="n">
        <v>704</v>
      </c>
      <c r="B705" s="22" t="s">
        <v>140</v>
      </c>
      <c r="C705" s="37" t="n">
        <v>45289.5010185185</v>
      </c>
      <c r="D705" s="22" t="s">
        <v>206</v>
      </c>
      <c r="E705" s="22" t="n">
        <v>12</v>
      </c>
      <c r="F705" s="22" t="s">
        <v>182</v>
      </c>
      <c r="G705" s="22" t="s">
        <v>237</v>
      </c>
      <c r="H705" s="22" t="n">
        <v>0.05</v>
      </c>
      <c r="I705" s="38" t="n">
        <v>2064.45</v>
      </c>
      <c r="J705" s="38" t="n">
        <v>2064.45</v>
      </c>
      <c r="K705" s="39" t="n">
        <f aca="false">IF(F705="BUY",J705-I705,I705-J705)</f>
        <v>0</v>
      </c>
      <c r="L705" s="38" t="n">
        <v>2070.45</v>
      </c>
      <c r="M705" s="39" t="n">
        <f aca="false">ABS(I705-L705)</f>
        <v>6</v>
      </c>
      <c r="N705" s="24" t="n">
        <f aca="false">M705*H705*Summary!$C$6</f>
        <v>30</v>
      </c>
      <c r="O705" s="37" t="n">
        <v>45289.5249884259</v>
      </c>
      <c r="P705" s="22" t="n">
        <f aca="false">ROUND((O705-C705)*86400,0)</f>
        <v>2071</v>
      </c>
      <c r="Q705" s="22" t="str">
        <f aca="false">IF(P705&lt;10,"a) &lt;10s",IF(P705&lt;60,"b) 10-60s",IF(P705&lt;600,"c) 1-10min","d) &gt;10min")))</f>
        <v>d) &gt;10min</v>
      </c>
      <c r="R705" s="38" t="n">
        <v>2063.95</v>
      </c>
      <c r="S705" s="38" t="n">
        <v>2063.95</v>
      </c>
      <c r="T705" s="22" t="s">
        <v>189</v>
      </c>
      <c r="U705" s="39" t="n">
        <f aca="false">IF(R705="","",IF(F705="BUY",R705-S705,S705-R705))</f>
        <v>0</v>
      </c>
      <c r="V705" s="39" t="n">
        <f aca="false">IF(F705="BUY",S705-J705,J705-S705)</f>
        <v>0.5</v>
      </c>
      <c r="W705" s="6" t="n">
        <v>2.5</v>
      </c>
      <c r="X705" s="26" t="n">
        <f aca="false">IFERROR(W705/N705,0)</f>
        <v>0.0833333333333333</v>
      </c>
      <c r="Y705" s="22" t="str">
        <f aca="false">IF(W705&gt;0,"Win",IF(W705&lt;0,"Loss","Flat"))</f>
        <v>Win</v>
      </c>
      <c r="Z705" s="24" t="n">
        <f aca="false">Summary!$C$5+SUM(W$2:W705)</f>
        <v>3415.42</v>
      </c>
      <c r="AA705" s="24" t="n">
        <f aca="false">MAX(AA704,Z705)</f>
        <v>5000</v>
      </c>
      <c r="AB705" s="24" t="n">
        <f aca="false">AA705-Z705</f>
        <v>1584.58</v>
      </c>
      <c r="AC705" s="23" t="n">
        <f aca="false">IFERROR(AB705/AA705,0)</f>
        <v>0.316916</v>
      </c>
      <c r="AD705" s="22" t="s">
        <v>942</v>
      </c>
    </row>
    <row r="706" customFormat="false" ht="15" hidden="false" customHeight="false" outlineLevel="0" collapsed="false">
      <c r="A706" s="22" t="n">
        <v>705</v>
      </c>
      <c r="B706" s="22" t="s">
        <v>141</v>
      </c>
      <c r="C706" s="37" t="n">
        <v>45293.3244907407</v>
      </c>
      <c r="D706" s="22" t="s">
        <v>203</v>
      </c>
      <c r="E706" s="22" t="n">
        <v>7</v>
      </c>
      <c r="F706" s="22" t="s">
        <v>181</v>
      </c>
      <c r="G706" s="22" t="s">
        <v>243</v>
      </c>
      <c r="H706" s="22" t="n">
        <v>0.05</v>
      </c>
      <c r="I706" s="38" t="n">
        <v>2074.65</v>
      </c>
      <c r="J706" s="38" t="n">
        <v>2074.66</v>
      </c>
      <c r="K706" s="39" t="n">
        <f aca="false">IF(F706="BUY",J706-I706,I706-J706)</f>
        <v>0.00999999999976353</v>
      </c>
      <c r="L706" s="38" t="n">
        <v>2068.65</v>
      </c>
      <c r="M706" s="39" t="n">
        <f aca="false">ABS(I706-L706)</f>
        <v>6</v>
      </c>
      <c r="N706" s="24" t="n">
        <f aca="false">M706*H706*Summary!$C$6</f>
        <v>30</v>
      </c>
      <c r="O706" s="37" t="n">
        <v>45293.3507175926</v>
      </c>
      <c r="P706" s="22" t="n">
        <f aca="false">ROUND((O706-C706)*86400,0)</f>
        <v>2266</v>
      </c>
      <c r="Q706" s="22" t="str">
        <f aca="false">IF(P706&lt;10,"a) &lt;10s",IF(P706&lt;60,"b) 10-60s",IF(P706&lt;600,"c) 1-10min","d) &gt;10min")))</f>
        <v>d) &gt;10min</v>
      </c>
      <c r="R706" s="38" t="n">
        <v>2075.16</v>
      </c>
      <c r="S706" s="38" t="n">
        <v>2075.13</v>
      </c>
      <c r="T706" s="22" t="s">
        <v>189</v>
      </c>
      <c r="U706" s="39" t="n">
        <f aca="false">IF(R706="","",IF(F706="BUY",R706-S706,S706-R706))</f>
        <v>0.0299999999997453</v>
      </c>
      <c r="V706" s="39" t="n">
        <f aca="false">IF(F706="BUY",S706-J706,J706-S706)</f>
        <v>0.470000000000255</v>
      </c>
      <c r="W706" s="6" t="n">
        <v>2.35</v>
      </c>
      <c r="X706" s="26" t="n">
        <f aca="false">IFERROR(W706/N706,0)</f>
        <v>0.0783333333333333</v>
      </c>
      <c r="Y706" s="22" t="str">
        <f aca="false">IF(W706&gt;0,"Win",IF(W706&lt;0,"Loss","Flat"))</f>
        <v>Win</v>
      </c>
      <c r="Z706" s="24" t="n">
        <f aca="false">Summary!$C$5+SUM(W$2:W706)</f>
        <v>3417.77</v>
      </c>
      <c r="AA706" s="24" t="n">
        <f aca="false">MAX(AA705,Z706)</f>
        <v>5000</v>
      </c>
      <c r="AB706" s="24" t="n">
        <f aca="false">AA706-Z706</f>
        <v>1582.23</v>
      </c>
      <c r="AC706" s="23" t="n">
        <f aca="false">IFERROR(AB706/AA706,0)</f>
        <v>0.316446</v>
      </c>
      <c r="AD706" s="22" t="s">
        <v>943</v>
      </c>
    </row>
    <row r="707" customFormat="false" ht="15" hidden="false" customHeight="false" outlineLevel="0" collapsed="false">
      <c r="A707" s="22" t="n">
        <v>706</v>
      </c>
      <c r="B707" s="22" t="s">
        <v>141</v>
      </c>
      <c r="C707" s="37" t="n">
        <v>45293.4825925926</v>
      </c>
      <c r="D707" s="22" t="s">
        <v>203</v>
      </c>
      <c r="E707" s="22" t="n">
        <v>11</v>
      </c>
      <c r="F707" s="22" t="s">
        <v>181</v>
      </c>
      <c r="G707" s="22" t="s">
        <v>235</v>
      </c>
      <c r="H707" s="22" t="n">
        <v>0.05</v>
      </c>
      <c r="I707" s="38" t="n">
        <v>2076.67</v>
      </c>
      <c r="J707" s="38" t="n">
        <v>2076.69</v>
      </c>
      <c r="K707" s="39" t="n">
        <f aca="false">IF(F707="BUY",J707-I707,I707-J707)</f>
        <v>0.0199999999999818</v>
      </c>
      <c r="L707" s="38" t="n">
        <v>2070.67</v>
      </c>
      <c r="M707" s="39" t="n">
        <f aca="false">ABS(I707-L707)</f>
        <v>6</v>
      </c>
      <c r="N707" s="24" t="n">
        <f aca="false">M707*H707*Summary!$C$6</f>
        <v>30</v>
      </c>
      <c r="O707" s="37" t="n">
        <v>45293.4991550926</v>
      </c>
      <c r="P707" s="22" t="n">
        <f aca="false">ROUND((O707-C707)*86400,0)</f>
        <v>1431</v>
      </c>
      <c r="Q707" s="22" t="str">
        <f aca="false">IF(P707&lt;10,"a) &lt;10s",IF(P707&lt;60,"b) 10-60s",IF(P707&lt;600,"c) 1-10min","d) &gt;10min")))</f>
        <v>d) &gt;10min</v>
      </c>
      <c r="R707" s="38" t="n">
        <v>2077.19</v>
      </c>
      <c r="S707" s="38" t="n">
        <v>2077.18</v>
      </c>
      <c r="T707" s="22" t="s">
        <v>189</v>
      </c>
      <c r="U707" s="39" t="n">
        <f aca="false">IF(R707="","",IF(F707="BUY",R707-S707,S707-R707))</f>
        <v>0.0100000000002183</v>
      </c>
      <c r="V707" s="39" t="n">
        <f aca="false">IF(F707="BUY",S707-J707,J707-S707)</f>
        <v>0.489999999999782</v>
      </c>
      <c r="W707" s="6" t="n">
        <v>2.45</v>
      </c>
      <c r="X707" s="26" t="n">
        <f aca="false">IFERROR(W707/N707,0)</f>
        <v>0.0816666666666667</v>
      </c>
      <c r="Y707" s="22" t="str">
        <f aca="false">IF(W707&gt;0,"Win",IF(W707&lt;0,"Loss","Flat"))</f>
        <v>Win</v>
      </c>
      <c r="Z707" s="24" t="n">
        <f aca="false">Summary!$C$5+SUM(W$2:W707)</f>
        <v>3420.22</v>
      </c>
      <c r="AA707" s="24" t="n">
        <f aca="false">MAX(AA706,Z707)</f>
        <v>5000</v>
      </c>
      <c r="AB707" s="24" t="n">
        <f aca="false">AA707-Z707</f>
        <v>1579.78</v>
      </c>
      <c r="AC707" s="23" t="n">
        <f aca="false">IFERROR(AB707/AA707,0)</f>
        <v>0.315956</v>
      </c>
      <c r="AD707" s="22" t="s">
        <v>944</v>
      </c>
    </row>
    <row r="708" customFormat="false" ht="15" hidden="false" customHeight="false" outlineLevel="0" collapsed="false">
      <c r="A708" s="22" t="n">
        <v>707</v>
      </c>
      <c r="B708" s="22" t="s">
        <v>141</v>
      </c>
      <c r="C708" s="37" t="n">
        <v>45294.3763657407</v>
      </c>
      <c r="D708" s="22" t="s">
        <v>204</v>
      </c>
      <c r="E708" s="22" t="n">
        <v>9</v>
      </c>
      <c r="F708" s="22" t="s">
        <v>182</v>
      </c>
      <c r="G708" s="22" t="s">
        <v>241</v>
      </c>
      <c r="H708" s="22" t="n">
        <v>0.05</v>
      </c>
      <c r="I708" s="38" t="n">
        <v>2063.37</v>
      </c>
      <c r="J708" s="38" t="n">
        <v>2063.37</v>
      </c>
      <c r="K708" s="39" t="n">
        <f aca="false">IF(F708="BUY",J708-I708,I708-J708)</f>
        <v>0</v>
      </c>
      <c r="L708" s="38" t="n">
        <v>2069.37</v>
      </c>
      <c r="M708" s="39" t="n">
        <f aca="false">ABS(I708-L708)</f>
        <v>6</v>
      </c>
      <c r="N708" s="24" t="n">
        <f aca="false">M708*H708*Summary!$C$6</f>
        <v>30</v>
      </c>
      <c r="O708" s="37" t="n">
        <v>45294.4049421296</v>
      </c>
      <c r="P708" s="22" t="n">
        <f aca="false">ROUND((O708-C708)*86400,0)</f>
        <v>2469</v>
      </c>
      <c r="Q708" s="22" t="str">
        <f aca="false">IF(P708&lt;10,"a) &lt;10s",IF(P708&lt;60,"b) 10-60s",IF(P708&lt;600,"c) 1-10min","d) &gt;10min")))</f>
        <v>d) &gt;10min</v>
      </c>
      <c r="R708" s="38" t="n">
        <v>2062.87</v>
      </c>
      <c r="S708" s="38" t="n">
        <v>2062.87</v>
      </c>
      <c r="T708" s="22" t="s">
        <v>189</v>
      </c>
      <c r="U708" s="39" t="n">
        <f aca="false">IF(R708="","",IF(F708="BUY",R708-S708,S708-R708))</f>
        <v>0</v>
      </c>
      <c r="V708" s="39" t="n">
        <f aca="false">IF(F708="BUY",S708-J708,J708-S708)</f>
        <v>0.5</v>
      </c>
      <c r="W708" s="6" t="n">
        <v>2.5</v>
      </c>
      <c r="X708" s="26" t="n">
        <f aca="false">IFERROR(W708/N708,0)</f>
        <v>0.0833333333333333</v>
      </c>
      <c r="Y708" s="22" t="str">
        <f aca="false">IF(W708&gt;0,"Win",IF(W708&lt;0,"Loss","Flat"))</f>
        <v>Win</v>
      </c>
      <c r="Z708" s="24" t="n">
        <f aca="false">Summary!$C$5+SUM(W$2:W708)</f>
        <v>3422.72</v>
      </c>
      <c r="AA708" s="24" t="n">
        <f aca="false">MAX(AA707,Z708)</f>
        <v>5000</v>
      </c>
      <c r="AB708" s="24" t="n">
        <f aca="false">AA708-Z708</f>
        <v>1577.28</v>
      </c>
      <c r="AC708" s="23" t="n">
        <f aca="false">IFERROR(AB708/AA708,0)</f>
        <v>0.315456</v>
      </c>
      <c r="AD708" s="22" t="s">
        <v>945</v>
      </c>
    </row>
    <row r="709" customFormat="false" ht="15" hidden="false" customHeight="false" outlineLevel="0" collapsed="false">
      <c r="A709" s="22" t="n">
        <v>708</v>
      </c>
      <c r="B709" s="22" t="s">
        <v>141</v>
      </c>
      <c r="C709" s="37" t="n">
        <v>45294.4894328704</v>
      </c>
      <c r="D709" s="22" t="s">
        <v>204</v>
      </c>
      <c r="E709" s="22" t="n">
        <v>11</v>
      </c>
      <c r="F709" s="22" t="s">
        <v>182</v>
      </c>
      <c r="G709" s="22" t="s">
        <v>237</v>
      </c>
      <c r="H709" s="22" t="n">
        <v>0.05</v>
      </c>
      <c r="I709" s="38" t="n">
        <v>2055.82</v>
      </c>
      <c r="J709" s="38" t="n">
        <v>2055.59</v>
      </c>
      <c r="K709" s="39" t="n">
        <f aca="false">IF(F709="BUY",J709-I709,I709-J709)</f>
        <v>0.230000000000018</v>
      </c>
      <c r="L709" s="38" t="n">
        <v>2061.82</v>
      </c>
      <c r="M709" s="39" t="n">
        <f aca="false">ABS(I709-L709)</f>
        <v>6</v>
      </c>
      <c r="N709" s="24" t="n">
        <f aca="false">M709*H709*Summary!$C$6</f>
        <v>30</v>
      </c>
      <c r="O709" s="37" t="n">
        <v>45294.5167013889</v>
      </c>
      <c r="P709" s="22" t="n">
        <f aca="false">ROUND((O709-C709)*86400,0)</f>
        <v>2356</v>
      </c>
      <c r="Q709" s="22" t="str">
        <f aca="false">IF(P709&lt;10,"a) &lt;10s",IF(P709&lt;60,"b) 10-60s",IF(P709&lt;600,"c) 1-10min","d) &gt;10min")))</f>
        <v>d) &gt;10min</v>
      </c>
      <c r="R709" s="38" t="n">
        <v>2055.09</v>
      </c>
      <c r="S709" s="38" t="n">
        <v>2055.1</v>
      </c>
      <c r="T709" s="22" t="s">
        <v>189</v>
      </c>
      <c r="U709" s="39" t="n">
        <f aca="false">IF(R709="","",IF(F709="BUY",R709-S709,S709-R709))</f>
        <v>0.00999999999976353</v>
      </c>
      <c r="V709" s="39" t="n">
        <f aca="false">IF(F709="BUY",S709-J709,J709-S709)</f>
        <v>0.490000000000236</v>
      </c>
      <c r="W709" s="6" t="n">
        <v>2.45</v>
      </c>
      <c r="X709" s="26" t="n">
        <f aca="false">IFERROR(W709/N709,0)</f>
        <v>0.0816666666666667</v>
      </c>
      <c r="Y709" s="22" t="str">
        <f aca="false">IF(W709&gt;0,"Win",IF(W709&lt;0,"Loss","Flat"))</f>
        <v>Win</v>
      </c>
      <c r="Z709" s="24" t="n">
        <f aca="false">Summary!$C$5+SUM(W$2:W709)</f>
        <v>3425.17</v>
      </c>
      <c r="AA709" s="24" t="n">
        <f aca="false">MAX(AA708,Z709)</f>
        <v>5000</v>
      </c>
      <c r="AB709" s="24" t="n">
        <f aca="false">AA709-Z709</f>
        <v>1574.83</v>
      </c>
      <c r="AC709" s="23" t="n">
        <f aca="false">IFERROR(AB709/AA709,0)</f>
        <v>0.314966</v>
      </c>
      <c r="AD709" s="22" t="s">
        <v>946</v>
      </c>
    </row>
    <row r="710" customFormat="false" ht="15" hidden="false" customHeight="false" outlineLevel="0" collapsed="false">
      <c r="A710" s="22" t="n">
        <v>709</v>
      </c>
      <c r="B710" s="22" t="s">
        <v>141</v>
      </c>
      <c r="C710" s="37" t="n">
        <v>45295.3809143519</v>
      </c>
      <c r="D710" s="22" t="s">
        <v>205</v>
      </c>
      <c r="E710" s="22" t="n">
        <v>9</v>
      </c>
      <c r="F710" s="22" t="s">
        <v>181</v>
      </c>
      <c r="G710" s="22" t="s">
        <v>235</v>
      </c>
      <c r="H710" s="22" t="n">
        <v>0.05</v>
      </c>
      <c r="I710" s="38" t="n">
        <v>2048.59</v>
      </c>
      <c r="J710" s="38" t="n">
        <v>2048.6</v>
      </c>
      <c r="K710" s="39" t="n">
        <f aca="false">IF(F710="BUY",J710-I710,I710-J710)</f>
        <v>0.00999999999976353</v>
      </c>
      <c r="L710" s="38" t="n">
        <v>2042.59</v>
      </c>
      <c r="M710" s="39" t="n">
        <f aca="false">ABS(I710-L710)</f>
        <v>6.00000000000023</v>
      </c>
      <c r="N710" s="24" t="n">
        <f aca="false">M710*H710*Summary!$C$6</f>
        <v>30.0000000000011</v>
      </c>
      <c r="O710" s="37" t="n">
        <v>45295.4916087963</v>
      </c>
      <c r="P710" s="22" t="n">
        <f aca="false">ROUND((O710-C710)*86400,0)</f>
        <v>9564</v>
      </c>
      <c r="Q710" s="22" t="str">
        <f aca="false">IF(P710&lt;10,"a) &lt;10s",IF(P710&lt;60,"b) 10-60s",IF(P710&lt;600,"c) 1-10min","d) &gt;10min")))</f>
        <v>d) &gt;10min</v>
      </c>
      <c r="R710" s="38" t="n">
        <v>2049.1</v>
      </c>
      <c r="S710" s="38" t="n">
        <v>2049.07</v>
      </c>
      <c r="T710" s="22" t="s">
        <v>189</v>
      </c>
      <c r="U710" s="39" t="n">
        <f aca="false">IF(R710="","",IF(F710="BUY",R710-S710,S710-R710))</f>
        <v>0.0299999999997453</v>
      </c>
      <c r="V710" s="39" t="n">
        <f aca="false">IF(F710="BUY",S710-J710,J710-S710)</f>
        <v>0.470000000000255</v>
      </c>
      <c r="W710" s="6" t="n">
        <v>2.35</v>
      </c>
      <c r="X710" s="26" t="n">
        <f aca="false">IFERROR(W710/N710,0)</f>
        <v>0.0783333333333304</v>
      </c>
      <c r="Y710" s="22" t="str">
        <f aca="false">IF(W710&gt;0,"Win",IF(W710&lt;0,"Loss","Flat"))</f>
        <v>Win</v>
      </c>
      <c r="Z710" s="24" t="n">
        <f aca="false">Summary!$C$5+SUM(W$2:W710)</f>
        <v>3427.52</v>
      </c>
      <c r="AA710" s="24" t="n">
        <f aca="false">MAX(AA709,Z710)</f>
        <v>5000</v>
      </c>
      <c r="AB710" s="24" t="n">
        <f aca="false">AA710-Z710</f>
        <v>1572.48</v>
      </c>
      <c r="AC710" s="23" t="n">
        <f aca="false">IFERROR(AB710/AA710,0)</f>
        <v>0.314496</v>
      </c>
      <c r="AD710" s="22" t="s">
        <v>947</v>
      </c>
    </row>
    <row r="711" customFormat="false" ht="15" hidden="false" customHeight="false" outlineLevel="0" collapsed="false">
      <c r="A711" s="22" t="n">
        <v>710</v>
      </c>
      <c r="B711" s="22" t="s">
        <v>141</v>
      </c>
      <c r="C711" s="37" t="n">
        <v>45296.3844791667</v>
      </c>
      <c r="D711" s="22" t="s">
        <v>206</v>
      </c>
      <c r="E711" s="22" t="n">
        <v>9</v>
      </c>
      <c r="F711" s="22" t="s">
        <v>181</v>
      </c>
      <c r="G711" s="22" t="s">
        <v>235</v>
      </c>
      <c r="H711" s="22" t="n">
        <v>0.05</v>
      </c>
      <c r="I711" s="38" t="n">
        <v>2045.14</v>
      </c>
      <c r="J711" s="38" t="n">
        <v>2045.27</v>
      </c>
      <c r="K711" s="39" t="n">
        <f aca="false">IF(F711="BUY",J711-I711,I711-J711)</f>
        <v>0.129999999999882</v>
      </c>
      <c r="L711" s="38" t="n">
        <v>2039.14</v>
      </c>
      <c r="M711" s="39" t="n">
        <f aca="false">ABS(I711-L711)</f>
        <v>6</v>
      </c>
      <c r="N711" s="24" t="n">
        <f aca="false">M711*H711*Summary!$C$6</f>
        <v>30</v>
      </c>
      <c r="O711" s="37" t="n">
        <v>45296.4963078704</v>
      </c>
      <c r="P711" s="22" t="n">
        <f aca="false">ROUND((O711-C711)*86400,0)</f>
        <v>9662</v>
      </c>
      <c r="Q711" s="22" t="str">
        <f aca="false">IF(P711&lt;10,"a) &lt;10s",IF(P711&lt;60,"b) 10-60s",IF(P711&lt;600,"c) 1-10min","d) &gt;10min")))</f>
        <v>d) &gt;10min</v>
      </c>
      <c r="R711" s="38" t="n">
        <v>2039.14</v>
      </c>
      <c r="S711" s="38" t="n">
        <v>2039.01</v>
      </c>
      <c r="T711" s="22" t="s">
        <v>188</v>
      </c>
      <c r="U711" s="39" t="n">
        <f aca="false">IF(R711="","",IF(F711="BUY",R711-S711,S711-R711))</f>
        <v>0.130000000000109</v>
      </c>
      <c r="V711" s="39" t="n">
        <f aca="false">IF(F711="BUY",S711-J711,J711-S711)</f>
        <v>-6.25999999999999</v>
      </c>
      <c r="W711" s="6" t="n">
        <v>-31.3</v>
      </c>
      <c r="X711" s="26" t="n">
        <f aca="false">IFERROR(W711/N711,0)</f>
        <v>-1.04333333333333</v>
      </c>
      <c r="Y711" s="22" t="str">
        <f aca="false">IF(W711&gt;0,"Win",IF(W711&lt;0,"Loss","Flat"))</f>
        <v>Loss</v>
      </c>
      <c r="Z711" s="24" t="n">
        <f aca="false">Summary!$C$5+SUM(W$2:W711)</f>
        <v>3396.22</v>
      </c>
      <c r="AA711" s="24" t="n">
        <f aca="false">MAX(AA710,Z711)</f>
        <v>5000</v>
      </c>
      <c r="AB711" s="24" t="n">
        <f aca="false">AA711-Z711</f>
        <v>1603.78</v>
      </c>
      <c r="AC711" s="23" t="n">
        <f aca="false">IFERROR(AB711/AA711,0)</f>
        <v>0.320756</v>
      </c>
      <c r="AD711" s="22" t="s">
        <v>948</v>
      </c>
    </row>
    <row r="712" customFormat="false" ht="15" hidden="false" customHeight="false" outlineLevel="0" collapsed="false">
      <c r="A712" s="22" t="n">
        <v>711</v>
      </c>
      <c r="B712" s="22" t="s">
        <v>141</v>
      </c>
      <c r="C712" s="37" t="n">
        <v>45296.6458333333</v>
      </c>
      <c r="D712" s="22" t="s">
        <v>206</v>
      </c>
      <c r="E712" s="22" t="n">
        <v>15</v>
      </c>
      <c r="F712" s="22" t="s">
        <v>182</v>
      </c>
      <c r="G712" s="22" t="s">
        <v>237</v>
      </c>
      <c r="H712" s="22" t="n">
        <v>0.05</v>
      </c>
      <c r="I712" s="38" t="n">
        <v>2036.16</v>
      </c>
      <c r="J712" s="38" t="n">
        <v>2035.87</v>
      </c>
      <c r="K712" s="39" t="n">
        <f aca="false">IF(F712="BUY",J712-I712,I712-J712)</f>
        <v>0.290000000000191</v>
      </c>
      <c r="L712" s="38" t="n">
        <v>2042.16</v>
      </c>
      <c r="M712" s="39" t="n">
        <f aca="false">ABS(I712-L712)</f>
        <v>6</v>
      </c>
      <c r="N712" s="24" t="n">
        <f aca="false">M712*H712*Summary!$C$6</f>
        <v>30</v>
      </c>
      <c r="O712" s="37" t="n">
        <v>45296.6599074074</v>
      </c>
      <c r="P712" s="22" t="n">
        <f aca="false">ROUND((O712-C712)*86400,0)</f>
        <v>1216</v>
      </c>
      <c r="Q712" s="22" t="str">
        <f aca="false">IF(P712&lt;10,"a) &lt;10s",IF(P712&lt;60,"b) 10-60s",IF(P712&lt;600,"c) 1-10min","d) &gt;10min")))</f>
        <v>d) &gt;10min</v>
      </c>
      <c r="R712" s="38" t="n">
        <v>2035.37</v>
      </c>
      <c r="S712" s="38" t="n">
        <v>2035.41</v>
      </c>
      <c r="T712" s="22" t="s">
        <v>189</v>
      </c>
      <c r="U712" s="39" t="n">
        <f aca="false">IF(R712="","",IF(F712="BUY",R712-S712,S712-R712))</f>
        <v>0.040000000000191</v>
      </c>
      <c r="V712" s="39" t="n">
        <f aca="false">IF(F712="BUY",S712-J712,J712-S712)</f>
        <v>0.459999999999809</v>
      </c>
      <c r="W712" s="6" t="n">
        <v>2.3</v>
      </c>
      <c r="X712" s="26" t="n">
        <f aca="false">IFERROR(W712/N712,0)</f>
        <v>0.0766666666666667</v>
      </c>
      <c r="Y712" s="22" t="str">
        <f aca="false">IF(W712&gt;0,"Win",IF(W712&lt;0,"Loss","Flat"))</f>
        <v>Win</v>
      </c>
      <c r="Z712" s="24" t="n">
        <f aca="false">Summary!$C$5+SUM(W$2:W712)</f>
        <v>3398.52</v>
      </c>
      <c r="AA712" s="24" t="n">
        <f aca="false">MAX(AA711,Z712)</f>
        <v>5000</v>
      </c>
      <c r="AB712" s="24" t="n">
        <f aca="false">AA712-Z712</f>
        <v>1601.48</v>
      </c>
      <c r="AC712" s="23" t="n">
        <f aca="false">IFERROR(AB712/AA712,0)</f>
        <v>0.320296</v>
      </c>
      <c r="AD712" s="22" t="s">
        <v>949</v>
      </c>
    </row>
    <row r="713" customFormat="false" ht="15" hidden="false" customHeight="false" outlineLevel="0" collapsed="false">
      <c r="A713" s="22" t="n">
        <v>712</v>
      </c>
      <c r="B713" s="22" t="s">
        <v>141</v>
      </c>
      <c r="C713" s="37" t="n">
        <v>45299.472025463</v>
      </c>
      <c r="D713" s="22" t="s">
        <v>202</v>
      </c>
      <c r="E713" s="22" t="n">
        <v>11</v>
      </c>
      <c r="F713" s="22" t="s">
        <v>182</v>
      </c>
      <c r="G713" s="22" t="s">
        <v>241</v>
      </c>
      <c r="H713" s="22" t="n">
        <v>0.05</v>
      </c>
      <c r="I713" s="38" t="n">
        <v>2026.93</v>
      </c>
      <c r="J713" s="38" t="n">
        <v>2026.89</v>
      </c>
      <c r="K713" s="39" t="n">
        <f aca="false">IF(F713="BUY",J713-I713,I713-J713)</f>
        <v>0.0399999999999636</v>
      </c>
      <c r="L713" s="38" t="n">
        <v>2032.93</v>
      </c>
      <c r="M713" s="39" t="n">
        <f aca="false">ABS(I713-L713)</f>
        <v>6</v>
      </c>
      <c r="N713" s="24" t="n">
        <f aca="false">M713*H713*Summary!$C$6</f>
        <v>30</v>
      </c>
      <c r="O713" s="37" t="n">
        <v>45299.707025463</v>
      </c>
      <c r="P713" s="22" t="n">
        <f aca="false">ROUND((O713-C713)*86400,0)</f>
        <v>20304</v>
      </c>
      <c r="Q713" s="22" t="str">
        <f aca="false">IF(P713&lt;10,"a) &lt;10s",IF(P713&lt;60,"b) 10-60s",IF(P713&lt;600,"c) 1-10min","d) &gt;10min")))</f>
        <v>d) &gt;10min</v>
      </c>
      <c r="R713" s="38" t="n">
        <v>2026.39</v>
      </c>
      <c r="S713" s="38" t="n">
        <v>2026.4</v>
      </c>
      <c r="T713" s="22" t="s">
        <v>189</v>
      </c>
      <c r="U713" s="39" t="n">
        <f aca="false">IF(R713="","",IF(F713="BUY",R713-S713,S713-R713))</f>
        <v>0.00999999999999091</v>
      </c>
      <c r="V713" s="39" t="n">
        <f aca="false">IF(F713="BUY",S713-J713,J713-S713)</f>
        <v>0.490000000000009</v>
      </c>
      <c r="W713" s="6" t="n">
        <v>2.45</v>
      </c>
      <c r="X713" s="26" t="n">
        <f aca="false">IFERROR(W713/N713,0)</f>
        <v>0.0816666666666667</v>
      </c>
      <c r="Y713" s="22" t="str">
        <f aca="false">IF(W713&gt;0,"Win",IF(W713&lt;0,"Loss","Flat"))</f>
        <v>Win</v>
      </c>
      <c r="Z713" s="24" t="n">
        <f aca="false">Summary!$C$5+SUM(W$2:W713)</f>
        <v>3400.97</v>
      </c>
      <c r="AA713" s="24" t="n">
        <f aca="false">MAX(AA712,Z713)</f>
        <v>5000</v>
      </c>
      <c r="AB713" s="24" t="n">
        <f aca="false">AA713-Z713</f>
        <v>1599.03</v>
      </c>
      <c r="AC713" s="23" t="n">
        <f aca="false">IFERROR(AB713/AA713,0)</f>
        <v>0.319806</v>
      </c>
      <c r="AD713" s="22" t="s">
        <v>950</v>
      </c>
    </row>
    <row r="714" customFormat="false" ht="15" hidden="false" customHeight="false" outlineLevel="0" collapsed="false">
      <c r="A714" s="22" t="n">
        <v>713</v>
      </c>
      <c r="B714" s="22" t="s">
        <v>141</v>
      </c>
      <c r="C714" s="37" t="n">
        <v>45300.3815277778</v>
      </c>
      <c r="D714" s="22" t="s">
        <v>203</v>
      </c>
      <c r="E714" s="22" t="n">
        <v>9</v>
      </c>
      <c r="F714" s="22" t="s">
        <v>181</v>
      </c>
      <c r="G714" s="22" t="s">
        <v>235</v>
      </c>
      <c r="H714" s="22" t="n">
        <v>0.05</v>
      </c>
      <c r="I714" s="38" t="n">
        <v>2035.1</v>
      </c>
      <c r="J714" s="38" t="n">
        <v>2035.1</v>
      </c>
      <c r="K714" s="39" t="n">
        <f aca="false">IF(F714="BUY",J714-I714,I714-J714)</f>
        <v>0</v>
      </c>
      <c r="L714" s="38" t="n">
        <v>2029.1</v>
      </c>
      <c r="M714" s="39" t="n">
        <f aca="false">ABS(I714-L714)</f>
        <v>6</v>
      </c>
      <c r="N714" s="24" t="n">
        <f aca="false">M714*H714*Summary!$C$6</f>
        <v>30</v>
      </c>
      <c r="O714" s="37" t="n">
        <v>45300.4065740741</v>
      </c>
      <c r="P714" s="22" t="n">
        <f aca="false">ROUND((O714-C714)*86400,0)</f>
        <v>2164</v>
      </c>
      <c r="Q714" s="22" t="str">
        <f aca="false">IF(P714&lt;10,"a) &lt;10s",IF(P714&lt;60,"b) 10-60s",IF(P714&lt;600,"c) 1-10min","d) &gt;10min")))</f>
        <v>d) &gt;10min</v>
      </c>
      <c r="R714" s="38" t="n">
        <v>2035.6</v>
      </c>
      <c r="S714" s="38" t="n">
        <v>2035.58</v>
      </c>
      <c r="T714" s="22" t="s">
        <v>189</v>
      </c>
      <c r="U714" s="39" t="n">
        <f aca="false">IF(R714="","",IF(F714="BUY",R714-S714,S714-R714))</f>
        <v>0.0199999999999818</v>
      </c>
      <c r="V714" s="39" t="n">
        <f aca="false">IF(F714="BUY",S714-J714,J714-S714)</f>
        <v>0.480000000000018</v>
      </c>
      <c r="W714" s="6" t="n">
        <v>2.4</v>
      </c>
      <c r="X714" s="26" t="n">
        <f aca="false">IFERROR(W714/N714,0)</f>
        <v>0.08</v>
      </c>
      <c r="Y714" s="22" t="str">
        <f aca="false">IF(W714&gt;0,"Win",IF(W714&lt;0,"Loss","Flat"))</f>
        <v>Win</v>
      </c>
      <c r="Z714" s="24" t="n">
        <f aca="false">Summary!$C$5+SUM(W$2:W714)</f>
        <v>3403.37</v>
      </c>
      <c r="AA714" s="24" t="n">
        <f aca="false">MAX(AA713,Z714)</f>
        <v>5000</v>
      </c>
      <c r="AB714" s="24" t="n">
        <f aca="false">AA714-Z714</f>
        <v>1596.63</v>
      </c>
      <c r="AC714" s="23" t="n">
        <f aca="false">IFERROR(AB714/AA714,0)</f>
        <v>0.319326</v>
      </c>
      <c r="AD714" s="22" t="s">
        <v>951</v>
      </c>
    </row>
    <row r="715" customFormat="false" ht="15" hidden="false" customHeight="false" outlineLevel="0" collapsed="false">
      <c r="A715" s="22" t="n">
        <v>714</v>
      </c>
      <c r="B715" s="22" t="s">
        <v>141</v>
      </c>
      <c r="C715" s="37" t="n">
        <v>45301.325462963</v>
      </c>
      <c r="D715" s="22" t="s">
        <v>204</v>
      </c>
      <c r="E715" s="22" t="n">
        <v>7</v>
      </c>
      <c r="F715" s="22" t="s">
        <v>182</v>
      </c>
      <c r="G715" s="22" t="s">
        <v>237</v>
      </c>
      <c r="H715" s="22" t="n">
        <v>0.05</v>
      </c>
      <c r="I715" s="38" t="n">
        <v>2026.02</v>
      </c>
      <c r="J715" s="38" t="n">
        <v>2025.99</v>
      </c>
      <c r="K715" s="39" t="n">
        <f aca="false">IF(F715="BUY",J715-I715,I715-J715)</f>
        <v>0.0299999999999727</v>
      </c>
      <c r="L715" s="38" t="n">
        <v>2032.02</v>
      </c>
      <c r="M715" s="39" t="n">
        <f aca="false">ABS(I715-L715)</f>
        <v>6</v>
      </c>
      <c r="N715" s="24" t="n">
        <f aca="false">M715*H715*Summary!$C$6</f>
        <v>30</v>
      </c>
      <c r="O715" s="37" t="n">
        <v>45301.4181944444</v>
      </c>
      <c r="P715" s="22" t="n">
        <f aca="false">ROUND((O715-C715)*86400,0)</f>
        <v>8012</v>
      </c>
      <c r="Q715" s="22" t="str">
        <f aca="false">IF(P715&lt;10,"a) &lt;10s",IF(P715&lt;60,"b) 10-60s",IF(P715&lt;600,"c) 1-10min","d) &gt;10min")))</f>
        <v>d) &gt;10min</v>
      </c>
      <c r="R715" s="38" t="n">
        <v>2032.02</v>
      </c>
      <c r="S715" s="38" t="n">
        <v>2032.09</v>
      </c>
      <c r="T715" s="22" t="s">
        <v>188</v>
      </c>
      <c r="U715" s="39" t="n">
        <f aca="false">IF(R715="","",IF(F715="BUY",R715-S715,S715-R715))</f>
        <v>0.0699999999999363</v>
      </c>
      <c r="V715" s="39" t="n">
        <f aca="false">IF(F715="BUY",S715-J715,J715-S715)</f>
        <v>-6.09999999999991</v>
      </c>
      <c r="W715" s="6" t="n">
        <v>-30.5</v>
      </c>
      <c r="X715" s="26" t="n">
        <f aca="false">IFERROR(W715/N715,0)</f>
        <v>-1.01666666666667</v>
      </c>
      <c r="Y715" s="22" t="str">
        <f aca="false">IF(W715&gt;0,"Win",IF(W715&lt;0,"Loss","Flat"))</f>
        <v>Loss</v>
      </c>
      <c r="Z715" s="24" t="n">
        <f aca="false">Summary!$C$5+SUM(W$2:W715)</f>
        <v>3372.87</v>
      </c>
      <c r="AA715" s="24" t="n">
        <f aca="false">MAX(AA714,Z715)</f>
        <v>5000</v>
      </c>
      <c r="AB715" s="24" t="n">
        <f aca="false">AA715-Z715</f>
        <v>1627.13</v>
      </c>
      <c r="AC715" s="23" t="n">
        <f aca="false">IFERROR(AB715/AA715,0)</f>
        <v>0.325426</v>
      </c>
      <c r="AD715" s="22" t="s">
        <v>952</v>
      </c>
    </row>
    <row r="716" customFormat="false" ht="15" hidden="false" customHeight="false" outlineLevel="0" collapsed="false">
      <c r="A716" s="22" t="n">
        <v>715</v>
      </c>
      <c r="B716" s="22" t="s">
        <v>141</v>
      </c>
      <c r="C716" s="37" t="n">
        <v>45301.8288194445</v>
      </c>
      <c r="D716" s="22" t="s">
        <v>204</v>
      </c>
      <c r="E716" s="22" t="n">
        <v>19</v>
      </c>
      <c r="F716" s="22" t="s">
        <v>182</v>
      </c>
      <c r="G716" s="22" t="s">
        <v>241</v>
      </c>
      <c r="H716" s="22" t="n">
        <v>0.05</v>
      </c>
      <c r="I716" s="38" t="n">
        <v>2023.8</v>
      </c>
      <c r="J716" s="38" t="n">
        <v>2023.53</v>
      </c>
      <c r="K716" s="39" t="n">
        <f aca="false">IF(F716="BUY",J716-I716,I716-J716)</f>
        <v>0.269999999999982</v>
      </c>
      <c r="L716" s="38" t="n">
        <v>2029.8</v>
      </c>
      <c r="M716" s="39" t="n">
        <f aca="false">ABS(I716-L716)</f>
        <v>6</v>
      </c>
      <c r="N716" s="24" t="n">
        <f aca="false">M716*H716*Summary!$C$6</f>
        <v>30</v>
      </c>
      <c r="O716" s="37" t="n">
        <v>45301.894837963</v>
      </c>
      <c r="P716" s="22" t="n">
        <f aca="false">ROUND((O716-C716)*86400,0)</f>
        <v>5704</v>
      </c>
      <c r="Q716" s="22" t="str">
        <f aca="false">IF(P716&lt;10,"a) &lt;10s",IF(P716&lt;60,"b) 10-60s",IF(P716&lt;600,"c) 1-10min","d) &gt;10min")))</f>
        <v>d) &gt;10min</v>
      </c>
      <c r="R716" s="38" t="n">
        <v>2023.03</v>
      </c>
      <c r="S716" s="38" t="n">
        <v>2023.04</v>
      </c>
      <c r="T716" s="22" t="s">
        <v>189</v>
      </c>
      <c r="U716" s="39" t="n">
        <f aca="false">IF(R716="","",IF(F716="BUY",R716-S716,S716-R716))</f>
        <v>0.00999999999999091</v>
      </c>
      <c r="V716" s="39" t="n">
        <f aca="false">IF(F716="BUY",S716-J716,J716-S716)</f>
        <v>0.490000000000009</v>
      </c>
      <c r="W716" s="6" t="n">
        <v>2.45</v>
      </c>
      <c r="X716" s="26" t="n">
        <f aca="false">IFERROR(W716/N716,0)</f>
        <v>0.0816666666666667</v>
      </c>
      <c r="Y716" s="22" t="str">
        <f aca="false">IF(W716&gt;0,"Win",IF(W716&lt;0,"Loss","Flat"))</f>
        <v>Win</v>
      </c>
      <c r="Z716" s="24" t="n">
        <f aca="false">Summary!$C$5+SUM(W$2:W716)</f>
        <v>3375.32</v>
      </c>
      <c r="AA716" s="24" t="n">
        <f aca="false">MAX(AA715,Z716)</f>
        <v>5000</v>
      </c>
      <c r="AB716" s="24" t="n">
        <f aca="false">AA716-Z716</f>
        <v>1624.68</v>
      </c>
      <c r="AC716" s="23" t="n">
        <f aca="false">IFERROR(AB716/AA716,0)</f>
        <v>0.324936</v>
      </c>
      <c r="AD716" s="22" t="s">
        <v>953</v>
      </c>
    </row>
    <row r="717" customFormat="false" ht="15" hidden="false" customHeight="false" outlineLevel="0" collapsed="false">
      <c r="A717" s="22" t="n">
        <v>716</v>
      </c>
      <c r="B717" s="22" t="s">
        <v>141</v>
      </c>
      <c r="C717" s="37" t="n">
        <v>45302.3821990741</v>
      </c>
      <c r="D717" s="22" t="s">
        <v>205</v>
      </c>
      <c r="E717" s="22" t="n">
        <v>9</v>
      </c>
      <c r="F717" s="22" t="s">
        <v>181</v>
      </c>
      <c r="G717" s="22" t="s">
        <v>235</v>
      </c>
      <c r="H717" s="22" t="n">
        <v>0.05</v>
      </c>
      <c r="I717" s="38" t="n">
        <v>2035.05</v>
      </c>
      <c r="J717" s="38" t="n">
        <v>2035.05</v>
      </c>
      <c r="K717" s="39" t="n">
        <f aca="false">IF(F717="BUY",J717-I717,I717-J717)</f>
        <v>0</v>
      </c>
      <c r="L717" s="38" t="n">
        <v>2029.05</v>
      </c>
      <c r="M717" s="39" t="n">
        <f aca="false">ABS(I717-L717)</f>
        <v>6</v>
      </c>
      <c r="N717" s="24" t="n">
        <f aca="false">M717*H717*Summary!$C$6</f>
        <v>30</v>
      </c>
      <c r="O717" s="37" t="n">
        <v>45302.6458449074</v>
      </c>
      <c r="P717" s="22" t="n">
        <f aca="false">ROUND((O717-C717)*86400,0)</f>
        <v>22779</v>
      </c>
      <c r="Q717" s="22" t="str">
        <f aca="false">IF(P717&lt;10,"a) &lt;10s",IF(P717&lt;60,"b) 10-60s",IF(P717&lt;600,"c) 1-10min","d) &gt;10min")))</f>
        <v>d) &gt;10min</v>
      </c>
      <c r="R717" s="38" t="n">
        <v>2035.55</v>
      </c>
      <c r="S717" s="38" t="n">
        <v>2033.28</v>
      </c>
      <c r="T717" s="22" t="s">
        <v>189</v>
      </c>
      <c r="U717" s="39" t="n">
        <f aca="false">IF(R717="","",IF(F717="BUY",R717-S717,S717-R717))</f>
        <v>2.26999999999998</v>
      </c>
      <c r="V717" s="39" t="n">
        <f aca="false">IF(F717="BUY",S717-J717,J717-S717)</f>
        <v>-1.76999999999998</v>
      </c>
      <c r="W717" s="6" t="n">
        <v>-8.85</v>
      </c>
      <c r="X717" s="26" t="n">
        <f aca="false">IFERROR(W717/N717,0)</f>
        <v>-0.295</v>
      </c>
      <c r="Y717" s="22" t="str">
        <f aca="false">IF(W717&gt;0,"Win",IF(W717&lt;0,"Loss","Flat"))</f>
        <v>Loss</v>
      </c>
      <c r="Z717" s="24" t="n">
        <f aca="false">Summary!$C$5+SUM(W$2:W717)</f>
        <v>3366.47</v>
      </c>
      <c r="AA717" s="24" t="n">
        <f aca="false">MAX(AA716,Z717)</f>
        <v>5000</v>
      </c>
      <c r="AB717" s="24" t="n">
        <f aca="false">AA717-Z717</f>
        <v>1633.53</v>
      </c>
      <c r="AC717" s="23" t="n">
        <f aca="false">IFERROR(AB717/AA717,0)</f>
        <v>0.326706</v>
      </c>
      <c r="AD717" s="22" t="s">
        <v>954</v>
      </c>
    </row>
    <row r="718" customFormat="false" ht="15" hidden="false" customHeight="false" outlineLevel="0" collapsed="false">
      <c r="A718" s="22" t="n">
        <v>717</v>
      </c>
      <c r="B718" s="22" t="s">
        <v>141</v>
      </c>
      <c r="C718" s="37" t="n">
        <v>45302.7672916667</v>
      </c>
      <c r="D718" s="22" t="s">
        <v>205</v>
      </c>
      <c r="E718" s="22" t="n">
        <v>18</v>
      </c>
      <c r="F718" s="22" t="s">
        <v>182</v>
      </c>
      <c r="G718" s="22" t="s">
        <v>237</v>
      </c>
      <c r="H718" s="22" t="n">
        <v>0.05</v>
      </c>
      <c r="I718" s="38" t="n">
        <v>2020.4</v>
      </c>
      <c r="J718" s="38" t="n">
        <v>2020.18</v>
      </c>
      <c r="K718" s="39" t="n">
        <f aca="false">IF(F718="BUY",J718-I718,I718-J718)</f>
        <v>0.220000000000027</v>
      </c>
      <c r="L718" s="38" t="n">
        <v>2026.4</v>
      </c>
      <c r="M718" s="39" t="n">
        <f aca="false">ABS(I718-L718)</f>
        <v>6</v>
      </c>
      <c r="N718" s="24" t="n">
        <f aca="false">M718*H718*Summary!$C$6</f>
        <v>30</v>
      </c>
      <c r="O718" s="37" t="n">
        <v>45302.767337963</v>
      </c>
      <c r="P718" s="22" t="n">
        <f aca="false">ROUND((O718-C718)*86400,0)</f>
        <v>4</v>
      </c>
      <c r="Q718" s="22" t="str">
        <f aca="false">IF(P718&lt;10,"a) &lt;10s",IF(P718&lt;60,"b) 10-60s",IF(P718&lt;600,"c) 1-10min","d) &gt;10min")))</f>
        <v>a) &lt;10s</v>
      </c>
      <c r="R718" s="38" t="n">
        <v>2019.68</v>
      </c>
      <c r="S718" s="38" t="n">
        <v>2019.68</v>
      </c>
      <c r="T718" s="22" t="s">
        <v>189</v>
      </c>
      <c r="U718" s="39" t="n">
        <f aca="false">IF(R718="","",IF(F718="BUY",R718-S718,S718-R718))</f>
        <v>0</v>
      </c>
      <c r="V718" s="39" t="n">
        <f aca="false">IF(F718="BUY",S718-J718,J718-S718)</f>
        <v>0.5</v>
      </c>
      <c r="W718" s="6" t="n">
        <v>2.5</v>
      </c>
      <c r="X718" s="26" t="n">
        <f aca="false">IFERROR(W718/N718,0)</f>
        <v>0.0833333333333333</v>
      </c>
      <c r="Y718" s="22" t="str">
        <f aca="false">IF(W718&gt;0,"Win",IF(W718&lt;0,"Loss","Flat"))</f>
        <v>Win</v>
      </c>
      <c r="Z718" s="24" t="n">
        <f aca="false">Summary!$C$5+SUM(W$2:W718)</f>
        <v>3368.97</v>
      </c>
      <c r="AA718" s="24" t="n">
        <f aca="false">MAX(AA717,Z718)</f>
        <v>5000</v>
      </c>
      <c r="AB718" s="24" t="n">
        <f aca="false">AA718-Z718</f>
        <v>1631.03</v>
      </c>
      <c r="AC718" s="23" t="n">
        <f aca="false">IFERROR(AB718/AA718,0)</f>
        <v>0.326206</v>
      </c>
      <c r="AD718" s="22" t="s">
        <v>955</v>
      </c>
    </row>
    <row r="719" customFormat="false" ht="15" hidden="false" customHeight="false" outlineLevel="0" collapsed="false">
      <c r="A719" s="22" t="n">
        <v>718</v>
      </c>
      <c r="B719" s="22" t="s">
        <v>141</v>
      </c>
      <c r="C719" s="37" t="n">
        <v>45303.3946643519</v>
      </c>
      <c r="D719" s="22" t="s">
        <v>206</v>
      </c>
      <c r="E719" s="22" t="n">
        <v>9</v>
      </c>
      <c r="F719" s="22" t="s">
        <v>181</v>
      </c>
      <c r="G719" s="22" t="s">
        <v>235</v>
      </c>
      <c r="H719" s="22" t="n">
        <v>0.05</v>
      </c>
      <c r="I719" s="38" t="n">
        <v>2037.12</v>
      </c>
      <c r="J719" s="38" t="n">
        <v>2037.14</v>
      </c>
      <c r="K719" s="39" t="n">
        <f aca="false">IF(F719="BUY",J719-I719,I719-J719)</f>
        <v>0.0200000000002092</v>
      </c>
      <c r="L719" s="38" t="n">
        <v>2031.12</v>
      </c>
      <c r="M719" s="39" t="n">
        <f aca="false">ABS(I719-L719)</f>
        <v>6</v>
      </c>
      <c r="N719" s="24" t="n">
        <f aca="false">M719*H719*Summary!$C$6</f>
        <v>30</v>
      </c>
      <c r="O719" s="37" t="n">
        <v>45303.3994560185</v>
      </c>
      <c r="P719" s="22" t="n">
        <f aca="false">ROUND((O719-C719)*86400,0)</f>
        <v>414</v>
      </c>
      <c r="Q719" s="22" t="str">
        <f aca="false">IF(P719&lt;10,"a) &lt;10s",IF(P719&lt;60,"b) 10-60s",IF(P719&lt;600,"c) 1-10min","d) &gt;10min")))</f>
        <v>c) 1-10min</v>
      </c>
      <c r="R719" s="38" t="n">
        <v>2037.64</v>
      </c>
      <c r="S719" s="38" t="n">
        <v>2037.6</v>
      </c>
      <c r="T719" s="22" t="s">
        <v>189</v>
      </c>
      <c r="U719" s="39" t="n">
        <f aca="false">IF(R719="","",IF(F719="BUY",R719-S719,S719-R719))</f>
        <v>0.040000000000191</v>
      </c>
      <c r="V719" s="39" t="n">
        <f aca="false">IF(F719="BUY",S719-J719,J719-S719)</f>
        <v>0.459999999999809</v>
      </c>
      <c r="W719" s="6" t="n">
        <v>2.3</v>
      </c>
      <c r="X719" s="26" t="n">
        <f aca="false">IFERROR(W719/N719,0)</f>
        <v>0.0766666666666667</v>
      </c>
      <c r="Y719" s="22" t="str">
        <f aca="false">IF(W719&gt;0,"Win",IF(W719&lt;0,"Loss","Flat"))</f>
        <v>Win</v>
      </c>
      <c r="Z719" s="24" t="n">
        <f aca="false">Summary!$C$5+SUM(W$2:W719)</f>
        <v>3371.27</v>
      </c>
      <c r="AA719" s="24" t="n">
        <f aca="false">MAX(AA718,Z719)</f>
        <v>5000</v>
      </c>
      <c r="AB719" s="24" t="n">
        <f aca="false">AA719-Z719</f>
        <v>1628.73</v>
      </c>
      <c r="AC719" s="23" t="n">
        <f aca="false">IFERROR(AB719/AA719,0)</f>
        <v>0.325746</v>
      </c>
      <c r="AD719" s="22" t="s">
        <v>956</v>
      </c>
    </row>
    <row r="720" customFormat="false" ht="15" hidden="false" customHeight="false" outlineLevel="0" collapsed="false">
      <c r="A720" s="22" t="n">
        <v>719</v>
      </c>
      <c r="B720" s="22" t="s">
        <v>141</v>
      </c>
      <c r="C720" s="37" t="n">
        <v>45303.531875</v>
      </c>
      <c r="D720" s="22" t="s">
        <v>206</v>
      </c>
      <c r="E720" s="22" t="n">
        <v>12</v>
      </c>
      <c r="F720" s="22" t="s">
        <v>181</v>
      </c>
      <c r="G720" s="22" t="s">
        <v>243</v>
      </c>
      <c r="H720" s="22" t="n">
        <v>0.05</v>
      </c>
      <c r="I720" s="38" t="n">
        <v>2043.86</v>
      </c>
      <c r="J720" s="38" t="n">
        <v>2043.88</v>
      </c>
      <c r="K720" s="39" t="n">
        <f aca="false">IF(F720="BUY",J720-I720,I720-J720)</f>
        <v>0.0200000000002092</v>
      </c>
      <c r="L720" s="38" t="n">
        <v>2037.86</v>
      </c>
      <c r="M720" s="39" t="n">
        <f aca="false">ABS(I720-L720)</f>
        <v>6</v>
      </c>
      <c r="N720" s="24" t="n">
        <f aca="false">M720*H720*Summary!$C$6</f>
        <v>30</v>
      </c>
      <c r="O720" s="37" t="n">
        <v>45303.5764930556</v>
      </c>
      <c r="P720" s="22" t="n">
        <f aca="false">ROUND((O720-C720)*86400,0)</f>
        <v>3855</v>
      </c>
      <c r="Q720" s="22" t="str">
        <f aca="false">IF(P720&lt;10,"a) &lt;10s",IF(P720&lt;60,"b) 10-60s",IF(P720&lt;600,"c) 1-10min","d) &gt;10min")))</f>
        <v>d) &gt;10min</v>
      </c>
      <c r="R720" s="38" t="n">
        <v>2044.38</v>
      </c>
      <c r="S720" s="38" t="n">
        <v>2044.31</v>
      </c>
      <c r="T720" s="22" t="s">
        <v>189</v>
      </c>
      <c r="U720" s="39" t="n">
        <f aca="false">IF(R720="","",IF(F720="BUY",R720-S720,S720-R720))</f>
        <v>0.0700000000001637</v>
      </c>
      <c r="V720" s="39" t="n">
        <f aca="false">IF(F720="BUY",S720-J720,J720-S720)</f>
        <v>0.429999999999836</v>
      </c>
      <c r="W720" s="6" t="n">
        <v>2.15</v>
      </c>
      <c r="X720" s="26" t="n">
        <f aca="false">IFERROR(W720/N720,0)</f>
        <v>0.0716666666666667</v>
      </c>
      <c r="Y720" s="22" t="str">
        <f aca="false">IF(W720&gt;0,"Win",IF(W720&lt;0,"Loss","Flat"))</f>
        <v>Win</v>
      </c>
      <c r="Z720" s="24" t="n">
        <f aca="false">Summary!$C$5+SUM(W$2:W720)</f>
        <v>3373.42</v>
      </c>
      <c r="AA720" s="24" t="n">
        <f aca="false">MAX(AA719,Z720)</f>
        <v>5000</v>
      </c>
      <c r="AB720" s="24" t="n">
        <f aca="false">AA720-Z720</f>
        <v>1626.58</v>
      </c>
      <c r="AC720" s="23" t="n">
        <f aca="false">IFERROR(AB720/AA720,0)</f>
        <v>0.325316</v>
      </c>
      <c r="AD720" s="22" t="s">
        <v>957</v>
      </c>
    </row>
    <row r="721" customFormat="false" ht="15" hidden="false" customHeight="false" outlineLevel="0" collapsed="false">
      <c r="A721" s="22" t="n">
        <v>720</v>
      </c>
      <c r="B721" s="22" t="s">
        <v>141</v>
      </c>
      <c r="C721" s="37" t="n">
        <v>45306.3975</v>
      </c>
      <c r="D721" s="22" t="s">
        <v>202</v>
      </c>
      <c r="E721" s="22" t="n">
        <v>9</v>
      </c>
      <c r="F721" s="22" t="s">
        <v>182</v>
      </c>
      <c r="G721" s="22" t="s">
        <v>241</v>
      </c>
      <c r="H721" s="22" t="n">
        <v>0.05</v>
      </c>
      <c r="I721" s="38" t="n">
        <v>2052.88</v>
      </c>
      <c r="J721" s="38" t="n">
        <v>2052.82</v>
      </c>
      <c r="K721" s="39" t="n">
        <f aca="false">IF(F721="BUY",J721-I721,I721-J721)</f>
        <v>0.0599999999999454</v>
      </c>
      <c r="L721" s="38" t="n">
        <v>2058.88</v>
      </c>
      <c r="M721" s="39" t="n">
        <f aca="false">ABS(I721-L721)</f>
        <v>6</v>
      </c>
      <c r="N721" s="24" t="n">
        <f aca="false">M721*H721*Summary!$C$6</f>
        <v>30</v>
      </c>
      <c r="O721" s="37" t="n">
        <v>45306.7304513889</v>
      </c>
      <c r="P721" s="22" t="n">
        <f aca="false">ROUND((O721-C721)*86400,0)</f>
        <v>28767</v>
      </c>
      <c r="Q721" s="22" t="str">
        <f aca="false">IF(P721&lt;10,"a) &lt;10s",IF(P721&lt;60,"b) 10-60s",IF(P721&lt;600,"c) 1-10min","d) &gt;10min")))</f>
        <v>d) &gt;10min</v>
      </c>
      <c r="R721" s="38" t="n">
        <v>2052.32</v>
      </c>
      <c r="S721" s="38" t="n">
        <v>2052.35</v>
      </c>
      <c r="T721" s="22" t="s">
        <v>189</v>
      </c>
      <c r="U721" s="39" t="n">
        <f aca="false">IF(R721="","",IF(F721="BUY",R721-S721,S721-R721))</f>
        <v>0.0299999999997453</v>
      </c>
      <c r="V721" s="39" t="n">
        <f aca="false">IF(F721="BUY",S721-J721,J721-S721)</f>
        <v>0.470000000000255</v>
      </c>
      <c r="W721" s="6" t="n">
        <v>2.35</v>
      </c>
      <c r="X721" s="26" t="n">
        <f aca="false">IFERROR(W721/N721,0)</f>
        <v>0.0783333333333333</v>
      </c>
      <c r="Y721" s="22" t="str">
        <f aca="false">IF(W721&gt;0,"Win",IF(W721&lt;0,"Loss","Flat"))</f>
        <v>Win</v>
      </c>
      <c r="Z721" s="24" t="n">
        <f aca="false">Summary!$C$5+SUM(W$2:W721)</f>
        <v>3375.77</v>
      </c>
      <c r="AA721" s="24" t="n">
        <f aca="false">MAX(AA720,Z721)</f>
        <v>5000</v>
      </c>
      <c r="AB721" s="24" t="n">
        <f aca="false">AA721-Z721</f>
        <v>1624.23</v>
      </c>
      <c r="AC721" s="23" t="n">
        <f aca="false">IFERROR(AB721/AA721,0)</f>
        <v>0.324846</v>
      </c>
      <c r="AD721" s="22" t="s">
        <v>958</v>
      </c>
    </row>
    <row r="722" customFormat="false" ht="15" hidden="false" customHeight="false" outlineLevel="0" collapsed="false">
      <c r="A722" s="22" t="n">
        <v>721</v>
      </c>
      <c r="B722" s="22" t="s">
        <v>141</v>
      </c>
      <c r="C722" s="37" t="n">
        <v>45307.4254282407</v>
      </c>
      <c r="D722" s="22" t="s">
        <v>203</v>
      </c>
      <c r="E722" s="22" t="n">
        <v>10</v>
      </c>
      <c r="F722" s="22" t="s">
        <v>182</v>
      </c>
      <c r="G722" s="22" t="s">
        <v>241</v>
      </c>
      <c r="H722" s="22" t="n">
        <v>0.05</v>
      </c>
      <c r="I722" s="38" t="n">
        <v>2047.29</v>
      </c>
      <c r="J722" s="38" t="n">
        <v>2047.29</v>
      </c>
      <c r="K722" s="39" t="n">
        <f aca="false">IF(F722="BUY",J722-I722,I722-J722)</f>
        <v>0</v>
      </c>
      <c r="L722" s="38" t="n">
        <v>2053.29</v>
      </c>
      <c r="M722" s="39" t="n">
        <f aca="false">ABS(I722-L722)</f>
        <v>6</v>
      </c>
      <c r="N722" s="24" t="n">
        <f aca="false">M722*H722*Summary!$C$6</f>
        <v>30</v>
      </c>
      <c r="O722" s="37" t="n">
        <v>45307.9270833333</v>
      </c>
      <c r="P722" s="22" t="n">
        <f aca="false">ROUND((O722-C722)*86400,0)</f>
        <v>43343</v>
      </c>
      <c r="Q722" s="22" t="str">
        <f aca="false">IF(P722&lt;10,"a) &lt;10s",IF(P722&lt;60,"b) 10-60s",IF(P722&lt;600,"c) 1-10min","d) &gt;10min")))</f>
        <v>d) &gt;10min</v>
      </c>
      <c r="R722" s="38"/>
      <c r="S722" s="38" t="n">
        <v>2029.77</v>
      </c>
      <c r="T722" s="22" t="s">
        <v>191</v>
      </c>
      <c r="U722" s="39" t="str">
        <f aca="false">IF(R722="","",IF(F722="BUY",R722-S722,S722-R722))</f>
        <v/>
      </c>
      <c r="V722" s="39" t="n">
        <f aca="false">IF(F722="BUY",S722-J722,J722-S722)</f>
        <v>17.52</v>
      </c>
      <c r="W722" s="6" t="n">
        <v>87.6</v>
      </c>
      <c r="X722" s="26" t="n">
        <f aca="false">IFERROR(W722/N722,0)</f>
        <v>2.92</v>
      </c>
      <c r="Y722" s="22" t="str">
        <f aca="false">IF(W722&gt;0,"Win",IF(W722&lt;0,"Loss","Flat"))</f>
        <v>Win</v>
      </c>
      <c r="Z722" s="24" t="n">
        <f aca="false">Summary!$C$5+SUM(W$2:W722)</f>
        <v>3463.37</v>
      </c>
      <c r="AA722" s="24" t="n">
        <f aca="false">MAX(AA721,Z722)</f>
        <v>5000</v>
      </c>
      <c r="AB722" s="24" t="n">
        <f aca="false">AA722-Z722</f>
        <v>1536.63</v>
      </c>
      <c r="AC722" s="23" t="n">
        <f aca="false">IFERROR(AB722/AA722,0)</f>
        <v>0.307326</v>
      </c>
      <c r="AD722" s="22" t="s">
        <v>959</v>
      </c>
    </row>
    <row r="723" customFormat="false" ht="15" hidden="false" customHeight="false" outlineLevel="0" collapsed="false">
      <c r="A723" s="22" t="n">
        <v>722</v>
      </c>
      <c r="B723" s="22" t="s">
        <v>141</v>
      </c>
      <c r="C723" s="37" t="n">
        <v>45308.2388773148</v>
      </c>
      <c r="D723" s="22" t="s">
        <v>204</v>
      </c>
      <c r="E723" s="22" t="n">
        <v>5</v>
      </c>
      <c r="F723" s="22" t="s">
        <v>182</v>
      </c>
      <c r="G723" s="22" t="s">
        <v>237</v>
      </c>
      <c r="H723" s="22" t="n">
        <v>0.05</v>
      </c>
      <c r="I723" s="38" t="n">
        <v>2024.17</v>
      </c>
      <c r="J723" s="38" t="n">
        <v>2023.91</v>
      </c>
      <c r="K723" s="39" t="n">
        <f aca="false">IF(F723="BUY",J723-I723,I723-J723)</f>
        <v>0.259999999999991</v>
      </c>
      <c r="L723" s="38" t="n">
        <v>2030.17</v>
      </c>
      <c r="M723" s="39" t="n">
        <f aca="false">ABS(I723-L723)</f>
        <v>6</v>
      </c>
      <c r="N723" s="24" t="n">
        <f aca="false">M723*H723*Summary!$C$6</f>
        <v>30</v>
      </c>
      <c r="O723" s="37" t="n">
        <v>45308.4051157407</v>
      </c>
      <c r="P723" s="22" t="n">
        <f aca="false">ROUND((O723-C723)*86400,0)</f>
        <v>14363</v>
      </c>
      <c r="Q723" s="22" t="str">
        <f aca="false">IF(P723&lt;10,"a) &lt;10s",IF(P723&lt;60,"b) 10-60s",IF(P723&lt;600,"c) 1-10min","d) &gt;10min")))</f>
        <v>d) &gt;10min</v>
      </c>
      <c r="R723" s="38" t="n">
        <v>2023.41</v>
      </c>
      <c r="S723" s="38" t="n">
        <v>2023.49</v>
      </c>
      <c r="T723" s="22" t="s">
        <v>189</v>
      </c>
      <c r="U723" s="39" t="n">
        <f aca="false">IF(R723="","",IF(F723="BUY",R723-S723,S723-R723))</f>
        <v>0.0799999999999272</v>
      </c>
      <c r="V723" s="39" t="n">
        <f aca="false">IF(F723="BUY",S723-J723,J723-S723)</f>
        <v>0.420000000000073</v>
      </c>
      <c r="W723" s="6" t="n">
        <v>2.1</v>
      </c>
      <c r="X723" s="26" t="n">
        <f aca="false">IFERROR(W723/N723,0)</f>
        <v>0.07</v>
      </c>
      <c r="Y723" s="22" t="str">
        <f aca="false">IF(W723&gt;0,"Win",IF(W723&lt;0,"Loss","Flat"))</f>
        <v>Win</v>
      </c>
      <c r="Z723" s="24" t="n">
        <f aca="false">Summary!$C$5+SUM(W$2:W723)</f>
        <v>3465.47</v>
      </c>
      <c r="AA723" s="24" t="n">
        <f aca="false">MAX(AA722,Z723)</f>
        <v>5000</v>
      </c>
      <c r="AB723" s="24" t="n">
        <f aca="false">AA723-Z723</f>
        <v>1534.53</v>
      </c>
      <c r="AC723" s="23" t="n">
        <f aca="false">IFERROR(AB723/AA723,0)</f>
        <v>0.306906</v>
      </c>
      <c r="AD723" s="22" t="s">
        <v>960</v>
      </c>
    </row>
    <row r="724" customFormat="false" ht="15" hidden="false" customHeight="false" outlineLevel="0" collapsed="false">
      <c r="A724" s="22" t="n">
        <v>723</v>
      </c>
      <c r="B724" s="22" t="s">
        <v>141</v>
      </c>
      <c r="C724" s="37" t="n">
        <v>45308.411087963</v>
      </c>
      <c r="D724" s="22" t="s">
        <v>204</v>
      </c>
      <c r="E724" s="22" t="n">
        <v>9</v>
      </c>
      <c r="F724" s="22" t="s">
        <v>181</v>
      </c>
      <c r="G724" s="22" t="s">
        <v>235</v>
      </c>
      <c r="H724" s="22" t="n">
        <v>0.05</v>
      </c>
      <c r="I724" s="38" t="n">
        <v>2025.39</v>
      </c>
      <c r="J724" s="38" t="n">
        <v>2025.39</v>
      </c>
      <c r="K724" s="39" t="n">
        <f aca="false">IF(F724="BUY",J724-I724,I724-J724)</f>
        <v>0</v>
      </c>
      <c r="L724" s="38" t="n">
        <v>2019.39</v>
      </c>
      <c r="M724" s="39" t="n">
        <f aca="false">ABS(I724-L724)</f>
        <v>6</v>
      </c>
      <c r="N724" s="24" t="n">
        <f aca="false">M724*H724*Summary!$C$6</f>
        <v>30</v>
      </c>
      <c r="O724" s="37" t="n">
        <v>45308.4671990741</v>
      </c>
      <c r="P724" s="22" t="n">
        <f aca="false">ROUND((O724-C724)*86400,0)</f>
        <v>4848</v>
      </c>
      <c r="Q724" s="22" t="str">
        <f aca="false">IF(P724&lt;10,"a) &lt;10s",IF(P724&lt;60,"b) 10-60s",IF(P724&lt;600,"c) 1-10min","d) &gt;10min")))</f>
        <v>d) &gt;10min</v>
      </c>
      <c r="R724" s="38" t="n">
        <v>2019.39</v>
      </c>
      <c r="S724" s="38" t="n">
        <v>2019.37</v>
      </c>
      <c r="T724" s="22" t="s">
        <v>188</v>
      </c>
      <c r="U724" s="39" t="n">
        <f aca="false">IF(R724="","",IF(F724="BUY",R724-S724,S724-R724))</f>
        <v>0.0200000000002092</v>
      </c>
      <c r="V724" s="39" t="n">
        <f aca="false">IF(F724="BUY",S724-J724,J724-S724)</f>
        <v>-6.02000000000021</v>
      </c>
      <c r="W724" s="6" t="n">
        <v>-30.1</v>
      </c>
      <c r="X724" s="26" t="n">
        <f aca="false">IFERROR(W724/N724,0)</f>
        <v>-1.00333333333333</v>
      </c>
      <c r="Y724" s="22" t="str">
        <f aca="false">IF(W724&gt;0,"Win",IF(W724&lt;0,"Loss","Flat"))</f>
        <v>Loss</v>
      </c>
      <c r="Z724" s="24" t="n">
        <f aca="false">Summary!$C$5+SUM(W$2:W724)</f>
        <v>3435.37</v>
      </c>
      <c r="AA724" s="24" t="n">
        <f aca="false">MAX(AA723,Z724)</f>
        <v>5000</v>
      </c>
      <c r="AB724" s="24" t="n">
        <f aca="false">AA724-Z724</f>
        <v>1564.63</v>
      </c>
      <c r="AC724" s="23" t="n">
        <f aca="false">IFERROR(AB724/AA724,0)</f>
        <v>0.312926</v>
      </c>
      <c r="AD724" s="22" t="s">
        <v>961</v>
      </c>
    </row>
    <row r="725" customFormat="false" ht="15" hidden="false" customHeight="false" outlineLevel="0" collapsed="false">
      <c r="A725" s="22" t="n">
        <v>724</v>
      </c>
      <c r="B725" s="22" t="s">
        <v>141</v>
      </c>
      <c r="C725" s="37" t="n">
        <v>45309.3752662037</v>
      </c>
      <c r="D725" s="22" t="s">
        <v>205</v>
      </c>
      <c r="E725" s="22" t="n">
        <v>9</v>
      </c>
      <c r="F725" s="22" t="s">
        <v>181</v>
      </c>
      <c r="G725" s="22" t="s">
        <v>235</v>
      </c>
      <c r="H725" s="22" t="n">
        <v>0.05</v>
      </c>
      <c r="I725" s="38" t="n">
        <v>2012.96</v>
      </c>
      <c r="J725" s="38" t="n">
        <v>2012.98</v>
      </c>
      <c r="K725" s="39" t="n">
        <f aca="false">IF(F725="BUY",J725-I725,I725-J725)</f>
        <v>0.0199999999999818</v>
      </c>
      <c r="L725" s="38" t="n">
        <v>2006.96</v>
      </c>
      <c r="M725" s="39" t="n">
        <f aca="false">ABS(I725-L725)</f>
        <v>6</v>
      </c>
      <c r="N725" s="24" t="n">
        <f aca="false">M725*H725*Summary!$C$6</f>
        <v>30</v>
      </c>
      <c r="O725" s="37" t="n">
        <v>45309.6279398148</v>
      </c>
      <c r="P725" s="22" t="n">
        <f aca="false">ROUND((O725-C725)*86400,0)</f>
        <v>21831</v>
      </c>
      <c r="Q725" s="22" t="str">
        <f aca="false">IF(P725&lt;10,"a) &lt;10s",IF(P725&lt;60,"b) 10-60s",IF(P725&lt;600,"c) 1-10min","d) &gt;10min")))</f>
        <v>d) &gt;10min</v>
      </c>
      <c r="R725" s="38" t="n">
        <v>2013.48</v>
      </c>
      <c r="S725" s="38" t="n">
        <v>2013.48</v>
      </c>
      <c r="T725" s="22" t="s">
        <v>189</v>
      </c>
      <c r="U725" s="39" t="n">
        <f aca="false">IF(R725="","",IF(F725="BUY",R725-S725,S725-R725))</f>
        <v>0</v>
      </c>
      <c r="V725" s="39" t="n">
        <f aca="false">IF(F725="BUY",S725-J725,J725-S725)</f>
        <v>0.5</v>
      </c>
      <c r="W725" s="6" t="n">
        <v>2.5</v>
      </c>
      <c r="X725" s="26" t="n">
        <f aca="false">IFERROR(W725/N725,0)</f>
        <v>0.0833333333333333</v>
      </c>
      <c r="Y725" s="22" t="str">
        <f aca="false">IF(W725&gt;0,"Win",IF(W725&lt;0,"Loss","Flat"))</f>
        <v>Win</v>
      </c>
      <c r="Z725" s="24" t="n">
        <f aca="false">Summary!$C$5+SUM(W$2:W725)</f>
        <v>3437.87</v>
      </c>
      <c r="AA725" s="24" t="n">
        <f aca="false">MAX(AA724,Z725)</f>
        <v>5000</v>
      </c>
      <c r="AB725" s="24" t="n">
        <f aca="false">AA725-Z725</f>
        <v>1562.13</v>
      </c>
      <c r="AC725" s="23" t="n">
        <f aca="false">IFERROR(AB725/AA725,0)</f>
        <v>0.312426</v>
      </c>
      <c r="AD725" s="22" t="s">
        <v>962</v>
      </c>
    </row>
    <row r="726" customFormat="false" ht="15" hidden="false" customHeight="false" outlineLevel="0" collapsed="false">
      <c r="A726" s="22" t="n">
        <v>725</v>
      </c>
      <c r="B726" s="22" t="s">
        <v>141</v>
      </c>
      <c r="C726" s="37" t="n">
        <v>45310.3750694445</v>
      </c>
      <c r="D726" s="22" t="s">
        <v>206</v>
      </c>
      <c r="E726" s="22" t="n">
        <v>9</v>
      </c>
      <c r="F726" s="22" t="s">
        <v>181</v>
      </c>
      <c r="G726" s="22" t="s">
        <v>235</v>
      </c>
      <c r="H726" s="22" t="n">
        <v>0.05</v>
      </c>
      <c r="I726" s="38" t="n">
        <v>2024.19</v>
      </c>
      <c r="J726" s="38" t="n">
        <v>2024.2</v>
      </c>
      <c r="K726" s="39" t="n">
        <f aca="false">IF(F726="BUY",J726-I726,I726-J726)</f>
        <v>0.00999999999999091</v>
      </c>
      <c r="L726" s="38" t="n">
        <v>2018.19</v>
      </c>
      <c r="M726" s="39" t="n">
        <f aca="false">ABS(I726-L726)</f>
        <v>6</v>
      </c>
      <c r="N726" s="24" t="n">
        <f aca="false">M726*H726*Summary!$C$6</f>
        <v>30</v>
      </c>
      <c r="O726" s="37" t="n">
        <v>45310.7171412037</v>
      </c>
      <c r="P726" s="22" t="n">
        <f aca="false">ROUND((O726-C726)*86400,0)</f>
        <v>29555</v>
      </c>
      <c r="Q726" s="22" t="str">
        <f aca="false">IF(P726&lt;10,"a) &lt;10s",IF(P726&lt;60,"b) 10-60s",IF(P726&lt;600,"c) 1-10min","d) &gt;10min")))</f>
        <v>d) &gt;10min</v>
      </c>
      <c r="R726" s="38" t="n">
        <v>2024.7</v>
      </c>
      <c r="S726" s="38" t="n">
        <v>2024.67</v>
      </c>
      <c r="T726" s="22" t="s">
        <v>189</v>
      </c>
      <c r="U726" s="39" t="n">
        <f aca="false">IF(R726="","",IF(F726="BUY",R726-S726,S726-R726))</f>
        <v>0.0299999999999727</v>
      </c>
      <c r="V726" s="39" t="n">
        <f aca="false">IF(F726="BUY",S726-J726,J726-S726)</f>
        <v>0.470000000000027</v>
      </c>
      <c r="W726" s="6" t="n">
        <v>2.35</v>
      </c>
      <c r="X726" s="26" t="n">
        <f aca="false">IFERROR(W726/N726,0)</f>
        <v>0.0783333333333333</v>
      </c>
      <c r="Y726" s="22" t="str">
        <f aca="false">IF(W726&gt;0,"Win",IF(W726&lt;0,"Loss","Flat"))</f>
        <v>Win</v>
      </c>
      <c r="Z726" s="24" t="n">
        <f aca="false">Summary!$C$5+SUM(W$2:W726)</f>
        <v>3440.22</v>
      </c>
      <c r="AA726" s="24" t="n">
        <f aca="false">MAX(AA725,Z726)</f>
        <v>5000</v>
      </c>
      <c r="AB726" s="24" t="n">
        <f aca="false">AA726-Z726</f>
        <v>1559.78</v>
      </c>
      <c r="AC726" s="23" t="n">
        <f aca="false">IFERROR(AB726/AA726,0)</f>
        <v>0.311956</v>
      </c>
      <c r="AD726" s="22" t="s">
        <v>963</v>
      </c>
    </row>
    <row r="727" customFormat="false" ht="15" hidden="false" customHeight="false" outlineLevel="0" collapsed="false">
      <c r="A727" s="22" t="n">
        <v>726</v>
      </c>
      <c r="B727" s="22" t="s">
        <v>141</v>
      </c>
      <c r="C727" s="37" t="n">
        <v>45313.3426967593</v>
      </c>
      <c r="D727" s="22" t="s">
        <v>202</v>
      </c>
      <c r="E727" s="22" t="n">
        <v>8</v>
      </c>
      <c r="F727" s="22" t="s">
        <v>182</v>
      </c>
      <c r="G727" s="22" t="s">
        <v>237</v>
      </c>
      <c r="H727" s="22" t="n">
        <v>0.05</v>
      </c>
      <c r="I727" s="38" t="n">
        <v>2020.33</v>
      </c>
      <c r="J727" s="38" t="n">
        <v>2020.33</v>
      </c>
      <c r="K727" s="39" t="n">
        <f aca="false">IF(F727="BUY",J727-I727,I727-J727)</f>
        <v>0</v>
      </c>
      <c r="L727" s="38" t="n">
        <v>2026.33</v>
      </c>
      <c r="M727" s="39" t="n">
        <f aca="false">ABS(I727-L727)</f>
        <v>6</v>
      </c>
      <c r="N727" s="24" t="n">
        <f aca="false">M727*H727*Summary!$C$6</f>
        <v>30</v>
      </c>
      <c r="O727" s="37" t="n">
        <v>45313.4361342593</v>
      </c>
      <c r="P727" s="22" t="n">
        <f aca="false">ROUND((O727-C727)*86400,0)</f>
        <v>8073</v>
      </c>
      <c r="Q727" s="22" t="str">
        <f aca="false">IF(P727&lt;10,"a) &lt;10s",IF(P727&lt;60,"b) 10-60s",IF(P727&lt;600,"c) 1-10min","d) &gt;10min")))</f>
        <v>d) &gt;10min</v>
      </c>
      <c r="R727" s="38" t="n">
        <v>2026.33</v>
      </c>
      <c r="S727" s="38" t="n">
        <v>2026.37</v>
      </c>
      <c r="T727" s="22" t="s">
        <v>188</v>
      </c>
      <c r="U727" s="39" t="n">
        <f aca="false">IF(R727="","",IF(F727="BUY",R727-S727,S727-R727))</f>
        <v>0.0399999999999636</v>
      </c>
      <c r="V727" s="39" t="n">
        <f aca="false">IF(F727="BUY",S727-J727,J727-S727)</f>
        <v>-6.03999999999996</v>
      </c>
      <c r="W727" s="6" t="n">
        <v>-30.2</v>
      </c>
      <c r="X727" s="26" t="n">
        <f aca="false">IFERROR(W727/N727,0)</f>
        <v>-1.00666666666667</v>
      </c>
      <c r="Y727" s="22" t="str">
        <f aca="false">IF(W727&gt;0,"Win",IF(W727&lt;0,"Loss","Flat"))</f>
        <v>Loss</v>
      </c>
      <c r="Z727" s="24" t="n">
        <f aca="false">Summary!$C$5+SUM(W$2:W727)</f>
        <v>3410.02</v>
      </c>
      <c r="AA727" s="24" t="n">
        <f aca="false">MAX(AA726,Z727)</f>
        <v>5000</v>
      </c>
      <c r="AB727" s="24" t="n">
        <f aca="false">AA727-Z727</f>
        <v>1589.98</v>
      </c>
      <c r="AC727" s="23" t="n">
        <f aca="false">IFERROR(AB727/AA727,0)</f>
        <v>0.317996</v>
      </c>
      <c r="AD727" s="22" t="s">
        <v>964</v>
      </c>
    </row>
    <row r="728" customFormat="false" ht="15" hidden="false" customHeight="false" outlineLevel="0" collapsed="false">
      <c r="A728" s="22" t="n">
        <v>727</v>
      </c>
      <c r="B728" s="22" t="s">
        <v>141</v>
      </c>
      <c r="C728" s="37" t="n">
        <v>45314.3687268519</v>
      </c>
      <c r="D728" s="22" t="s">
        <v>203</v>
      </c>
      <c r="E728" s="22" t="n">
        <v>8</v>
      </c>
      <c r="F728" s="22" t="s">
        <v>181</v>
      </c>
      <c r="G728" s="22" t="s">
        <v>243</v>
      </c>
      <c r="H728" s="22" t="n">
        <v>0.05</v>
      </c>
      <c r="I728" s="38" t="n">
        <v>2032.01</v>
      </c>
      <c r="J728" s="38" t="n">
        <v>2032.05</v>
      </c>
      <c r="K728" s="39" t="n">
        <f aca="false">IF(F728="BUY",J728-I728,I728-J728)</f>
        <v>0.0399999999999636</v>
      </c>
      <c r="L728" s="38" t="n">
        <v>2026.01</v>
      </c>
      <c r="M728" s="39" t="n">
        <f aca="false">ABS(I728-L728)</f>
        <v>6</v>
      </c>
      <c r="N728" s="24" t="n">
        <f aca="false">M728*H728*Summary!$C$6</f>
        <v>30</v>
      </c>
      <c r="O728" s="37" t="n">
        <v>45314.3886574074</v>
      </c>
      <c r="P728" s="22" t="n">
        <f aca="false">ROUND((O728-C728)*86400,0)</f>
        <v>1722</v>
      </c>
      <c r="Q728" s="22" t="str">
        <f aca="false">IF(P728&lt;10,"a) &lt;10s",IF(P728&lt;60,"b) 10-60s",IF(P728&lt;600,"c) 1-10min","d) &gt;10min")))</f>
        <v>d) &gt;10min</v>
      </c>
      <c r="R728" s="38" t="n">
        <v>2032.55</v>
      </c>
      <c r="S728" s="38" t="n">
        <v>2032.54</v>
      </c>
      <c r="T728" s="22" t="s">
        <v>189</v>
      </c>
      <c r="U728" s="39" t="n">
        <f aca="false">IF(R728="","",IF(F728="BUY",R728-S728,S728-R728))</f>
        <v>0.00999999999999091</v>
      </c>
      <c r="V728" s="39" t="n">
        <f aca="false">IF(F728="BUY",S728-J728,J728-S728)</f>
        <v>0.490000000000009</v>
      </c>
      <c r="W728" s="6" t="n">
        <v>2.45</v>
      </c>
      <c r="X728" s="26" t="n">
        <f aca="false">IFERROR(W728/N728,0)</f>
        <v>0.0816666666666667</v>
      </c>
      <c r="Y728" s="22" t="str">
        <f aca="false">IF(W728&gt;0,"Win",IF(W728&lt;0,"Loss","Flat"))</f>
        <v>Win</v>
      </c>
      <c r="Z728" s="24" t="n">
        <f aca="false">Summary!$C$5+SUM(W$2:W728)</f>
        <v>3412.47</v>
      </c>
      <c r="AA728" s="24" t="n">
        <f aca="false">MAX(AA727,Z728)</f>
        <v>5000</v>
      </c>
      <c r="AB728" s="24" t="n">
        <f aca="false">AA728-Z728</f>
        <v>1587.53</v>
      </c>
      <c r="AC728" s="23" t="n">
        <f aca="false">IFERROR(AB728/AA728,0)</f>
        <v>0.317506</v>
      </c>
      <c r="AD728" s="22" t="s">
        <v>965</v>
      </c>
    </row>
    <row r="729" customFormat="false" ht="15" hidden="false" customHeight="false" outlineLevel="0" collapsed="false">
      <c r="A729" s="22" t="n">
        <v>728</v>
      </c>
      <c r="B729" s="22" t="s">
        <v>141</v>
      </c>
      <c r="C729" s="37" t="n">
        <v>45314.4932291667</v>
      </c>
      <c r="D729" s="22" t="s">
        <v>203</v>
      </c>
      <c r="E729" s="22" t="n">
        <v>11</v>
      </c>
      <c r="F729" s="22" t="s">
        <v>182</v>
      </c>
      <c r="G729" s="22" t="s">
        <v>241</v>
      </c>
      <c r="H729" s="22" t="n">
        <v>0.05</v>
      </c>
      <c r="I729" s="38" t="n">
        <v>2027.17</v>
      </c>
      <c r="J729" s="38" t="n">
        <v>2027.17</v>
      </c>
      <c r="K729" s="39" t="n">
        <f aca="false">IF(F729="BUY",J729-I729,I729-J729)</f>
        <v>0</v>
      </c>
      <c r="L729" s="38" t="n">
        <v>2033.17</v>
      </c>
      <c r="M729" s="39" t="n">
        <f aca="false">ABS(I729-L729)</f>
        <v>6</v>
      </c>
      <c r="N729" s="24" t="n">
        <f aca="false">M729*H729*Summary!$C$6</f>
        <v>30</v>
      </c>
      <c r="O729" s="37" t="n">
        <v>45314.6213773148</v>
      </c>
      <c r="P729" s="22" t="n">
        <f aca="false">ROUND((O729-C729)*86400,0)</f>
        <v>11072</v>
      </c>
      <c r="Q729" s="22" t="str">
        <f aca="false">IF(P729&lt;10,"a) &lt;10s",IF(P729&lt;60,"b) 10-60s",IF(P729&lt;600,"c) 1-10min","d) &gt;10min")))</f>
        <v>d) &gt;10min</v>
      </c>
      <c r="R729" s="38" t="n">
        <v>2026.67</v>
      </c>
      <c r="S729" s="38" t="n">
        <v>2026.67</v>
      </c>
      <c r="T729" s="22" t="s">
        <v>189</v>
      </c>
      <c r="U729" s="39" t="n">
        <f aca="false">IF(R729="","",IF(F729="BUY",R729-S729,S729-R729))</f>
        <v>0</v>
      </c>
      <c r="V729" s="39" t="n">
        <f aca="false">IF(F729="BUY",S729-J729,J729-S729)</f>
        <v>0.5</v>
      </c>
      <c r="W729" s="6" t="n">
        <v>2.5</v>
      </c>
      <c r="X729" s="26" t="n">
        <f aca="false">IFERROR(W729/N729,0)</f>
        <v>0.0833333333333333</v>
      </c>
      <c r="Y729" s="22" t="str">
        <f aca="false">IF(W729&gt;0,"Win",IF(W729&lt;0,"Loss","Flat"))</f>
        <v>Win</v>
      </c>
      <c r="Z729" s="24" t="n">
        <f aca="false">Summary!$C$5+SUM(W$2:W729)</f>
        <v>3414.97</v>
      </c>
      <c r="AA729" s="24" t="n">
        <f aca="false">MAX(AA728,Z729)</f>
        <v>5000</v>
      </c>
      <c r="AB729" s="24" t="n">
        <f aca="false">AA729-Z729</f>
        <v>1585.03</v>
      </c>
      <c r="AC729" s="23" t="n">
        <f aca="false">IFERROR(AB729/AA729,0)</f>
        <v>0.317006</v>
      </c>
      <c r="AD729" s="22" t="s">
        <v>966</v>
      </c>
    </row>
    <row r="730" customFormat="false" ht="15" hidden="false" customHeight="false" outlineLevel="0" collapsed="false">
      <c r="A730" s="22" t="n">
        <v>729</v>
      </c>
      <c r="B730" s="22" t="s">
        <v>141</v>
      </c>
      <c r="C730" s="37" t="n">
        <v>45315.3796412037</v>
      </c>
      <c r="D730" s="22" t="s">
        <v>204</v>
      </c>
      <c r="E730" s="22" t="n">
        <v>9</v>
      </c>
      <c r="F730" s="22" t="s">
        <v>181</v>
      </c>
      <c r="G730" s="22" t="s">
        <v>235</v>
      </c>
      <c r="H730" s="22" t="n">
        <v>0.05</v>
      </c>
      <c r="I730" s="38" t="n">
        <v>2027.86</v>
      </c>
      <c r="J730" s="38" t="n">
        <v>2027.89</v>
      </c>
      <c r="K730" s="39" t="n">
        <f aca="false">IF(F730="BUY",J730-I730,I730-J730)</f>
        <v>0.0300000000002001</v>
      </c>
      <c r="L730" s="38" t="n">
        <v>2021.86</v>
      </c>
      <c r="M730" s="39" t="n">
        <f aca="false">ABS(I730-L730)</f>
        <v>6</v>
      </c>
      <c r="N730" s="24" t="n">
        <f aca="false">M730*H730*Summary!$C$6</f>
        <v>30</v>
      </c>
      <c r="O730" s="37" t="n">
        <v>45315.4296527778</v>
      </c>
      <c r="P730" s="22" t="n">
        <f aca="false">ROUND((O730-C730)*86400,0)</f>
        <v>4321</v>
      </c>
      <c r="Q730" s="22" t="str">
        <f aca="false">IF(P730&lt;10,"a) &lt;10s",IF(P730&lt;60,"b) 10-60s",IF(P730&lt;600,"c) 1-10min","d) &gt;10min")))</f>
        <v>d) &gt;10min</v>
      </c>
      <c r="R730" s="38" t="n">
        <v>2028.39</v>
      </c>
      <c r="S730" s="38" t="n">
        <v>2028.32</v>
      </c>
      <c r="T730" s="22" t="s">
        <v>189</v>
      </c>
      <c r="U730" s="39" t="n">
        <f aca="false">IF(R730="","",IF(F730="BUY",R730-S730,S730-R730))</f>
        <v>0.0700000000001637</v>
      </c>
      <c r="V730" s="39" t="n">
        <f aca="false">IF(F730="BUY",S730-J730,J730-S730)</f>
        <v>0.429999999999836</v>
      </c>
      <c r="W730" s="6" t="n">
        <v>2.15</v>
      </c>
      <c r="X730" s="26" t="n">
        <f aca="false">IFERROR(W730/N730,0)</f>
        <v>0.0716666666666667</v>
      </c>
      <c r="Y730" s="22" t="str">
        <f aca="false">IF(W730&gt;0,"Win",IF(W730&lt;0,"Loss","Flat"))</f>
        <v>Win</v>
      </c>
      <c r="Z730" s="24" t="n">
        <f aca="false">Summary!$C$5+SUM(W$2:W730)</f>
        <v>3417.12</v>
      </c>
      <c r="AA730" s="24" t="n">
        <f aca="false">MAX(AA729,Z730)</f>
        <v>5000</v>
      </c>
      <c r="AB730" s="24" t="n">
        <f aca="false">AA730-Z730</f>
        <v>1582.88</v>
      </c>
      <c r="AC730" s="23" t="n">
        <f aca="false">IFERROR(AB730/AA730,0)</f>
        <v>0.316576</v>
      </c>
      <c r="AD730" s="22" t="s">
        <v>967</v>
      </c>
    </row>
    <row r="731" customFormat="false" ht="15" hidden="false" customHeight="false" outlineLevel="0" collapsed="false">
      <c r="A731" s="22" t="n">
        <v>730</v>
      </c>
      <c r="B731" s="22" t="s">
        <v>141</v>
      </c>
      <c r="C731" s="37" t="n">
        <v>45315.7107986111</v>
      </c>
      <c r="D731" s="22" t="s">
        <v>204</v>
      </c>
      <c r="E731" s="22" t="n">
        <v>17</v>
      </c>
      <c r="F731" s="22" t="s">
        <v>182</v>
      </c>
      <c r="G731" s="22" t="s">
        <v>237</v>
      </c>
      <c r="H731" s="22" t="n">
        <v>0.05</v>
      </c>
      <c r="I731" s="38" t="n">
        <v>2019.52</v>
      </c>
      <c r="J731" s="38" t="n">
        <v>2019.38</v>
      </c>
      <c r="K731" s="39" t="n">
        <f aca="false">IF(F731="BUY",J731-I731,I731-J731)</f>
        <v>0.139999999999873</v>
      </c>
      <c r="L731" s="38" t="n">
        <v>2025.52</v>
      </c>
      <c r="M731" s="39" t="n">
        <f aca="false">ABS(I731-L731)</f>
        <v>6</v>
      </c>
      <c r="N731" s="24" t="n">
        <f aca="false">M731*H731*Summary!$C$6</f>
        <v>30</v>
      </c>
      <c r="O731" s="37" t="n">
        <v>45315.7382060185</v>
      </c>
      <c r="P731" s="22" t="n">
        <f aca="false">ROUND((O731-C731)*86400,0)</f>
        <v>2368</v>
      </c>
      <c r="Q731" s="22" t="str">
        <f aca="false">IF(P731&lt;10,"a) &lt;10s",IF(P731&lt;60,"b) 10-60s",IF(P731&lt;600,"c) 1-10min","d) &gt;10min")))</f>
        <v>d) &gt;10min</v>
      </c>
      <c r="R731" s="38" t="n">
        <v>2018.88</v>
      </c>
      <c r="S731" s="38" t="n">
        <v>2018.89</v>
      </c>
      <c r="T731" s="22" t="s">
        <v>189</v>
      </c>
      <c r="U731" s="39" t="n">
        <f aca="false">IF(R731="","",IF(F731="BUY",R731-S731,S731-R731))</f>
        <v>0.00999999999999091</v>
      </c>
      <c r="V731" s="39" t="n">
        <f aca="false">IF(F731="BUY",S731-J731,J731-S731)</f>
        <v>0.490000000000009</v>
      </c>
      <c r="W731" s="6" t="n">
        <v>2.45</v>
      </c>
      <c r="X731" s="26" t="n">
        <f aca="false">IFERROR(W731/N731,0)</f>
        <v>0.0816666666666667</v>
      </c>
      <c r="Y731" s="22" t="str">
        <f aca="false">IF(W731&gt;0,"Win",IF(W731&lt;0,"Loss","Flat"))</f>
        <v>Win</v>
      </c>
      <c r="Z731" s="24" t="n">
        <f aca="false">Summary!$C$5+SUM(W$2:W731)</f>
        <v>3419.57</v>
      </c>
      <c r="AA731" s="24" t="n">
        <f aca="false">MAX(AA730,Z731)</f>
        <v>5000</v>
      </c>
      <c r="AB731" s="24" t="n">
        <f aca="false">AA731-Z731</f>
        <v>1580.43</v>
      </c>
      <c r="AC731" s="23" t="n">
        <f aca="false">IFERROR(AB731/AA731,0)</f>
        <v>0.316086</v>
      </c>
      <c r="AD731" s="22" t="s">
        <v>968</v>
      </c>
    </row>
    <row r="732" customFormat="false" ht="15" hidden="false" customHeight="false" outlineLevel="0" collapsed="false">
      <c r="A732" s="22" t="n">
        <v>731</v>
      </c>
      <c r="B732" s="22" t="s">
        <v>141</v>
      </c>
      <c r="C732" s="37" t="n">
        <v>45316.3810069444</v>
      </c>
      <c r="D732" s="22" t="s">
        <v>205</v>
      </c>
      <c r="E732" s="22" t="n">
        <v>9</v>
      </c>
      <c r="F732" s="22" t="s">
        <v>182</v>
      </c>
      <c r="G732" s="22" t="s">
        <v>241</v>
      </c>
      <c r="H732" s="22" t="n">
        <v>0.05</v>
      </c>
      <c r="I732" s="38" t="n">
        <v>2014.33</v>
      </c>
      <c r="J732" s="38" t="n">
        <v>2014.31</v>
      </c>
      <c r="K732" s="39" t="n">
        <f aca="false">IF(F732="BUY",J732-I732,I732-J732)</f>
        <v>0.0199999999999818</v>
      </c>
      <c r="L732" s="38" t="n">
        <v>2020.33</v>
      </c>
      <c r="M732" s="39" t="n">
        <f aca="false">ABS(I732-L732)</f>
        <v>6</v>
      </c>
      <c r="N732" s="24" t="n">
        <f aca="false">M732*H732*Summary!$C$6</f>
        <v>30</v>
      </c>
      <c r="O732" s="37" t="n">
        <v>45316.6462037037</v>
      </c>
      <c r="P732" s="22" t="n">
        <f aca="false">ROUND((O732-C732)*86400,0)</f>
        <v>22913</v>
      </c>
      <c r="Q732" s="22" t="str">
        <f aca="false">IF(P732&lt;10,"a) &lt;10s",IF(P732&lt;60,"b) 10-60s",IF(P732&lt;600,"c) 1-10min","d) &gt;10min")))</f>
        <v>d) &gt;10min</v>
      </c>
      <c r="R732" s="38" t="n">
        <v>2013.81</v>
      </c>
      <c r="S732" s="38" t="n">
        <v>2014.13</v>
      </c>
      <c r="T732" s="22" t="s">
        <v>189</v>
      </c>
      <c r="U732" s="39" t="n">
        <f aca="false">IF(R732="","",IF(F732="BUY",R732-S732,S732-R732))</f>
        <v>0.320000000000164</v>
      </c>
      <c r="V732" s="39" t="n">
        <f aca="false">IF(F732="BUY",S732-J732,J732-S732)</f>
        <v>0.179999999999836</v>
      </c>
      <c r="W732" s="6" t="n">
        <v>0.9</v>
      </c>
      <c r="X732" s="26" t="n">
        <f aca="false">IFERROR(W732/N732,0)</f>
        <v>0.03</v>
      </c>
      <c r="Y732" s="22" t="str">
        <f aca="false">IF(W732&gt;0,"Win",IF(W732&lt;0,"Loss","Flat"))</f>
        <v>Win</v>
      </c>
      <c r="Z732" s="24" t="n">
        <f aca="false">Summary!$C$5+SUM(W$2:W732)</f>
        <v>3420.47</v>
      </c>
      <c r="AA732" s="24" t="n">
        <f aca="false">MAX(AA731,Z732)</f>
        <v>5000</v>
      </c>
      <c r="AB732" s="24" t="n">
        <f aca="false">AA732-Z732</f>
        <v>1579.53</v>
      </c>
      <c r="AC732" s="23" t="n">
        <f aca="false">IFERROR(AB732/AA732,0)</f>
        <v>0.315906</v>
      </c>
      <c r="AD732" s="22" t="s">
        <v>969</v>
      </c>
    </row>
    <row r="733" customFormat="false" ht="15" hidden="false" customHeight="false" outlineLevel="0" collapsed="false">
      <c r="A733" s="22" t="n">
        <v>732</v>
      </c>
      <c r="B733" s="22" t="s">
        <v>141</v>
      </c>
      <c r="C733" s="37" t="n">
        <v>45317.3851967593</v>
      </c>
      <c r="D733" s="22" t="s">
        <v>206</v>
      </c>
      <c r="E733" s="22" t="n">
        <v>9</v>
      </c>
      <c r="F733" s="22" t="s">
        <v>182</v>
      </c>
      <c r="G733" s="22" t="s">
        <v>241</v>
      </c>
      <c r="H733" s="22" t="n">
        <v>0.05</v>
      </c>
      <c r="I733" s="38" t="n">
        <v>2020.96</v>
      </c>
      <c r="J733" s="38" t="n">
        <v>2020.92</v>
      </c>
      <c r="K733" s="39" t="n">
        <f aca="false">IF(F733="BUY",J733-I733,I733-J733)</f>
        <v>0.0399999999999636</v>
      </c>
      <c r="L733" s="38" t="n">
        <v>2026.96</v>
      </c>
      <c r="M733" s="39" t="n">
        <f aca="false">ABS(I733-L733)</f>
        <v>6</v>
      </c>
      <c r="N733" s="24" t="n">
        <f aca="false">M733*H733*Summary!$C$6</f>
        <v>30</v>
      </c>
      <c r="O733" s="37" t="n">
        <v>45317.4799074074</v>
      </c>
      <c r="P733" s="22" t="n">
        <f aca="false">ROUND((O733-C733)*86400,0)</f>
        <v>8183</v>
      </c>
      <c r="Q733" s="22" t="str">
        <f aca="false">IF(P733&lt;10,"a) &lt;10s",IF(P733&lt;60,"b) 10-60s",IF(P733&lt;600,"c) 1-10min","d) &gt;10min")))</f>
        <v>d) &gt;10min</v>
      </c>
      <c r="R733" s="38" t="n">
        <v>2020.42</v>
      </c>
      <c r="S733" s="38" t="n">
        <v>2020.46</v>
      </c>
      <c r="T733" s="22" t="s">
        <v>189</v>
      </c>
      <c r="U733" s="39" t="n">
        <f aca="false">IF(R733="","",IF(F733="BUY",R733-S733,S733-R733))</f>
        <v>0.0399999999999636</v>
      </c>
      <c r="V733" s="39" t="n">
        <f aca="false">IF(F733="BUY",S733-J733,J733-S733)</f>
        <v>0.460000000000036</v>
      </c>
      <c r="W733" s="6" t="n">
        <v>2.3</v>
      </c>
      <c r="X733" s="26" t="n">
        <f aca="false">IFERROR(W733/N733,0)</f>
        <v>0.0766666666666667</v>
      </c>
      <c r="Y733" s="22" t="str">
        <f aca="false">IF(W733&gt;0,"Win",IF(W733&lt;0,"Loss","Flat"))</f>
        <v>Win</v>
      </c>
      <c r="Z733" s="24" t="n">
        <f aca="false">Summary!$C$5+SUM(W$2:W733)</f>
        <v>3422.77</v>
      </c>
      <c r="AA733" s="24" t="n">
        <f aca="false">MAX(AA732,Z733)</f>
        <v>5000</v>
      </c>
      <c r="AB733" s="24" t="n">
        <f aca="false">AA733-Z733</f>
        <v>1577.23</v>
      </c>
      <c r="AC733" s="23" t="n">
        <f aca="false">IFERROR(AB733/AA733,0)</f>
        <v>0.315446</v>
      </c>
      <c r="AD733" s="22" t="s">
        <v>970</v>
      </c>
    </row>
    <row r="734" customFormat="false" ht="15" hidden="false" customHeight="false" outlineLevel="0" collapsed="false">
      <c r="A734" s="22" t="n">
        <v>733</v>
      </c>
      <c r="B734" s="22" t="s">
        <v>141</v>
      </c>
      <c r="C734" s="37" t="n">
        <v>45317.6459375</v>
      </c>
      <c r="D734" s="22" t="s">
        <v>206</v>
      </c>
      <c r="E734" s="22" t="n">
        <v>15</v>
      </c>
      <c r="F734" s="22" t="s">
        <v>181</v>
      </c>
      <c r="G734" s="22" t="s">
        <v>243</v>
      </c>
      <c r="H734" s="22" t="n">
        <v>0.05</v>
      </c>
      <c r="I734" s="38" t="n">
        <v>2025.18</v>
      </c>
      <c r="J734" s="38" t="n">
        <v>2027.2</v>
      </c>
      <c r="K734" s="39" t="n">
        <f aca="false">IF(F734="BUY",J734-I734,I734-J734)</f>
        <v>2.01999999999998</v>
      </c>
      <c r="L734" s="38" t="n">
        <v>2019.18</v>
      </c>
      <c r="M734" s="39" t="n">
        <f aca="false">ABS(I734-L734)</f>
        <v>6</v>
      </c>
      <c r="N734" s="24" t="n">
        <f aca="false">M734*H734*Summary!$C$6</f>
        <v>30</v>
      </c>
      <c r="O734" s="37" t="n">
        <v>45317.6503009259</v>
      </c>
      <c r="P734" s="22" t="n">
        <f aca="false">ROUND((O734-C734)*86400,0)</f>
        <v>377</v>
      </c>
      <c r="Q734" s="22" t="str">
        <f aca="false">IF(P734&lt;10,"a) &lt;10s",IF(P734&lt;60,"b) 10-60s",IF(P734&lt;600,"c) 1-10min","d) &gt;10min")))</f>
        <v>c) 1-10min</v>
      </c>
      <c r="R734" s="38" t="n">
        <v>2019.18</v>
      </c>
      <c r="S734" s="38" t="n">
        <v>2019.01</v>
      </c>
      <c r="T734" s="22" t="s">
        <v>188</v>
      </c>
      <c r="U734" s="39" t="n">
        <f aca="false">IF(R734="","",IF(F734="BUY",R734-S734,S734-R734))</f>
        <v>0.170000000000073</v>
      </c>
      <c r="V734" s="39" t="n">
        <f aca="false">IF(F734="BUY",S734-J734,J734-S734)</f>
        <v>-8.19000000000006</v>
      </c>
      <c r="W734" s="6" t="n">
        <v>-40.95</v>
      </c>
      <c r="X734" s="26" t="n">
        <f aca="false">IFERROR(W734/N734,0)</f>
        <v>-1.365</v>
      </c>
      <c r="Y734" s="22" t="str">
        <f aca="false">IF(W734&gt;0,"Win",IF(W734&lt;0,"Loss","Flat"))</f>
        <v>Loss</v>
      </c>
      <c r="Z734" s="24" t="n">
        <f aca="false">Summary!$C$5+SUM(W$2:W734)</f>
        <v>3381.82</v>
      </c>
      <c r="AA734" s="24" t="n">
        <f aca="false">MAX(AA733,Z734)</f>
        <v>5000</v>
      </c>
      <c r="AB734" s="24" t="n">
        <f aca="false">AA734-Z734</f>
        <v>1618.18</v>
      </c>
      <c r="AC734" s="23" t="n">
        <f aca="false">IFERROR(AB734/AA734,0)</f>
        <v>0.323636</v>
      </c>
      <c r="AD734" s="22" t="s">
        <v>971</v>
      </c>
    </row>
    <row r="735" customFormat="false" ht="15" hidden="false" customHeight="false" outlineLevel="0" collapsed="false">
      <c r="A735" s="22" t="n">
        <v>734</v>
      </c>
      <c r="B735" s="22" t="s">
        <v>141</v>
      </c>
      <c r="C735" s="37" t="n">
        <v>45320.6950231482</v>
      </c>
      <c r="D735" s="22" t="s">
        <v>202</v>
      </c>
      <c r="E735" s="22" t="n">
        <v>16</v>
      </c>
      <c r="F735" s="22" t="s">
        <v>182</v>
      </c>
      <c r="G735" s="22" t="s">
        <v>241</v>
      </c>
      <c r="H735" s="22" t="n">
        <v>0.05</v>
      </c>
      <c r="I735" s="38" t="n">
        <v>2024.63</v>
      </c>
      <c r="J735" s="38" t="n">
        <v>2024.35</v>
      </c>
      <c r="K735" s="39" t="n">
        <f aca="false">IF(F735="BUY",J735-I735,I735-J735)</f>
        <v>0.2800000000002</v>
      </c>
      <c r="L735" s="38" t="n">
        <v>2030.63</v>
      </c>
      <c r="M735" s="39" t="n">
        <f aca="false">ABS(I735-L735)</f>
        <v>6</v>
      </c>
      <c r="N735" s="24" t="n">
        <f aca="false">M735*H735*Summary!$C$6</f>
        <v>30</v>
      </c>
      <c r="O735" s="37" t="n">
        <v>45320.7041666667</v>
      </c>
      <c r="P735" s="22" t="n">
        <f aca="false">ROUND((O735-C735)*86400,0)</f>
        <v>790</v>
      </c>
      <c r="Q735" s="22" t="str">
        <f aca="false">IF(P735&lt;10,"a) &lt;10s",IF(P735&lt;60,"b) 10-60s",IF(P735&lt;600,"c) 1-10min","d) &gt;10min")))</f>
        <v>d) &gt;10min</v>
      </c>
      <c r="R735" s="38" t="n">
        <v>2023.85</v>
      </c>
      <c r="S735" s="38" t="n">
        <v>2023.91</v>
      </c>
      <c r="T735" s="22" t="s">
        <v>189</v>
      </c>
      <c r="U735" s="39" t="n">
        <f aca="false">IF(R735="","",IF(F735="BUY",R735-S735,S735-R735))</f>
        <v>0.0600000000001728</v>
      </c>
      <c r="V735" s="39" t="n">
        <f aca="false">IF(F735="BUY",S735-J735,J735-S735)</f>
        <v>0.439999999999827</v>
      </c>
      <c r="W735" s="6" t="n">
        <v>2.2</v>
      </c>
      <c r="X735" s="26" t="n">
        <f aca="false">IFERROR(W735/N735,0)</f>
        <v>0.0733333333333333</v>
      </c>
      <c r="Y735" s="22" t="str">
        <f aca="false">IF(W735&gt;0,"Win",IF(W735&lt;0,"Loss","Flat"))</f>
        <v>Win</v>
      </c>
      <c r="Z735" s="24" t="n">
        <f aca="false">Summary!$C$5+SUM(W$2:W735)</f>
        <v>3384.02</v>
      </c>
      <c r="AA735" s="24" t="n">
        <f aca="false">MAX(AA734,Z735)</f>
        <v>5000</v>
      </c>
      <c r="AB735" s="24" t="n">
        <f aca="false">AA735-Z735</f>
        <v>1615.98</v>
      </c>
      <c r="AC735" s="23" t="n">
        <f aca="false">IFERROR(AB735/AA735,0)</f>
        <v>0.323196</v>
      </c>
      <c r="AD735" s="22" t="s">
        <v>972</v>
      </c>
    </row>
    <row r="736" customFormat="false" ht="15" hidden="false" customHeight="false" outlineLevel="0" collapsed="false">
      <c r="A736" s="22" t="n">
        <v>735</v>
      </c>
      <c r="B736" s="22" t="s">
        <v>141</v>
      </c>
      <c r="C736" s="37" t="n">
        <v>45321.391412037</v>
      </c>
      <c r="D736" s="22" t="s">
        <v>203</v>
      </c>
      <c r="E736" s="22" t="n">
        <v>9</v>
      </c>
      <c r="F736" s="22" t="s">
        <v>181</v>
      </c>
      <c r="G736" s="22" t="s">
        <v>235</v>
      </c>
      <c r="H736" s="22" t="n">
        <v>0.05</v>
      </c>
      <c r="I736" s="38" t="n">
        <v>2035.91</v>
      </c>
      <c r="J736" s="38" t="n">
        <v>2035.92</v>
      </c>
      <c r="K736" s="39" t="n">
        <f aca="false">IF(F736="BUY",J736-I736,I736-J736)</f>
        <v>0.00999999999999091</v>
      </c>
      <c r="L736" s="38" t="n">
        <v>2029.91</v>
      </c>
      <c r="M736" s="39" t="n">
        <f aca="false">ABS(I736-L736)</f>
        <v>6</v>
      </c>
      <c r="N736" s="24" t="n">
        <f aca="false">M736*H736*Summary!$C$6</f>
        <v>30</v>
      </c>
      <c r="O736" s="37" t="n">
        <v>45321.4796180556</v>
      </c>
      <c r="P736" s="22" t="n">
        <f aca="false">ROUND((O736-C736)*86400,0)</f>
        <v>7621</v>
      </c>
      <c r="Q736" s="22" t="str">
        <f aca="false">IF(P736&lt;10,"a) &lt;10s",IF(P736&lt;60,"b) 10-60s",IF(P736&lt;600,"c) 1-10min","d) &gt;10min")))</f>
        <v>d) &gt;10min</v>
      </c>
      <c r="R736" s="38" t="n">
        <v>2036.42</v>
      </c>
      <c r="S736" s="38" t="n">
        <v>2036.4</v>
      </c>
      <c r="T736" s="22" t="s">
        <v>189</v>
      </c>
      <c r="U736" s="39" t="n">
        <f aca="false">IF(R736="","",IF(F736="BUY",R736-S736,S736-R736))</f>
        <v>0.0199999999999818</v>
      </c>
      <c r="V736" s="39" t="n">
        <f aca="false">IF(F736="BUY",S736-J736,J736-S736)</f>
        <v>0.480000000000018</v>
      </c>
      <c r="W736" s="6" t="n">
        <v>2.4</v>
      </c>
      <c r="X736" s="26" t="n">
        <f aca="false">IFERROR(W736/N736,0)</f>
        <v>0.08</v>
      </c>
      <c r="Y736" s="22" t="str">
        <f aca="false">IF(W736&gt;0,"Win",IF(W736&lt;0,"Loss","Flat"))</f>
        <v>Win</v>
      </c>
      <c r="Z736" s="24" t="n">
        <f aca="false">Summary!$C$5+SUM(W$2:W736)</f>
        <v>3386.42</v>
      </c>
      <c r="AA736" s="24" t="n">
        <f aca="false">MAX(AA735,Z736)</f>
        <v>5000</v>
      </c>
      <c r="AB736" s="24" t="n">
        <f aca="false">AA736-Z736</f>
        <v>1613.58</v>
      </c>
      <c r="AC736" s="23" t="n">
        <f aca="false">IFERROR(AB736/AA736,0)</f>
        <v>0.322716</v>
      </c>
      <c r="AD736" s="22" t="s">
        <v>973</v>
      </c>
    </row>
    <row r="737" customFormat="false" ht="15" hidden="false" customHeight="false" outlineLevel="0" collapsed="false">
      <c r="A737" s="22" t="n">
        <v>736</v>
      </c>
      <c r="B737" s="22" t="s">
        <v>141</v>
      </c>
      <c r="C737" s="37" t="n">
        <v>45322.3819444445</v>
      </c>
      <c r="D737" s="22" t="s">
        <v>204</v>
      </c>
      <c r="E737" s="22" t="n">
        <v>9</v>
      </c>
      <c r="F737" s="22" t="s">
        <v>181</v>
      </c>
      <c r="G737" s="22" t="s">
        <v>235</v>
      </c>
      <c r="H737" s="22" t="n">
        <v>0.05</v>
      </c>
      <c r="I737" s="38" t="n">
        <v>2035.75</v>
      </c>
      <c r="J737" s="38" t="n">
        <v>2035.77</v>
      </c>
      <c r="K737" s="39" t="n">
        <f aca="false">IF(F737="BUY",J737-I737,I737-J737)</f>
        <v>0.0199999999999818</v>
      </c>
      <c r="L737" s="38" t="n">
        <v>2029.75</v>
      </c>
      <c r="M737" s="39" t="n">
        <f aca="false">ABS(I737-L737)</f>
        <v>6</v>
      </c>
      <c r="N737" s="24" t="n">
        <f aca="false">M737*H737*Summary!$C$6</f>
        <v>30</v>
      </c>
      <c r="O737" s="37" t="n">
        <v>45322.4078587963</v>
      </c>
      <c r="P737" s="22" t="n">
        <f aca="false">ROUND((O737-C737)*86400,0)</f>
        <v>2239</v>
      </c>
      <c r="Q737" s="22" t="str">
        <f aca="false">IF(P737&lt;10,"a) &lt;10s",IF(P737&lt;60,"b) 10-60s",IF(P737&lt;600,"c) 1-10min","d) &gt;10min")))</f>
        <v>d) &gt;10min</v>
      </c>
      <c r="R737" s="38" t="n">
        <v>2036.27</v>
      </c>
      <c r="S737" s="38" t="n">
        <v>2036.21</v>
      </c>
      <c r="T737" s="22" t="s">
        <v>189</v>
      </c>
      <c r="U737" s="39" t="n">
        <f aca="false">IF(R737="","",IF(F737="BUY",R737-S737,S737-R737))</f>
        <v>0.0599999999999454</v>
      </c>
      <c r="V737" s="39" t="n">
        <f aca="false">IF(F737="BUY",S737-J737,J737-S737)</f>
        <v>0.440000000000055</v>
      </c>
      <c r="W737" s="6" t="n">
        <v>2.2</v>
      </c>
      <c r="X737" s="26" t="n">
        <f aca="false">IFERROR(W737/N737,0)</f>
        <v>0.0733333333333333</v>
      </c>
      <c r="Y737" s="22" t="str">
        <f aca="false">IF(W737&gt;0,"Win",IF(W737&lt;0,"Loss","Flat"))</f>
        <v>Win</v>
      </c>
      <c r="Z737" s="24" t="n">
        <f aca="false">Summary!$C$5+SUM(W$2:W737)</f>
        <v>3388.62</v>
      </c>
      <c r="AA737" s="24" t="n">
        <f aca="false">MAX(AA736,Z737)</f>
        <v>5000</v>
      </c>
      <c r="AB737" s="24" t="n">
        <f aca="false">AA737-Z737</f>
        <v>1611.38</v>
      </c>
      <c r="AC737" s="23" t="n">
        <f aca="false">IFERROR(AB737/AA737,0)</f>
        <v>0.322276</v>
      </c>
      <c r="AD737" s="22" t="s">
        <v>974</v>
      </c>
    </row>
    <row r="738" customFormat="false" ht="15" hidden="false" customHeight="false" outlineLevel="0" collapsed="false">
      <c r="A738" s="22" t="n">
        <v>737</v>
      </c>
      <c r="B738" s="22" t="s">
        <v>141</v>
      </c>
      <c r="C738" s="37" t="n">
        <v>45322.693287037</v>
      </c>
      <c r="D738" s="22" t="s">
        <v>204</v>
      </c>
      <c r="E738" s="22" t="n">
        <v>16</v>
      </c>
      <c r="F738" s="22" t="s">
        <v>181</v>
      </c>
      <c r="G738" s="22" t="s">
        <v>243</v>
      </c>
      <c r="H738" s="22" t="n">
        <v>0.05</v>
      </c>
      <c r="I738" s="38" t="n">
        <v>2048.45</v>
      </c>
      <c r="J738" s="38" t="n">
        <v>2048.45</v>
      </c>
      <c r="K738" s="39" t="n">
        <f aca="false">IF(F738="BUY",J738-I738,I738-J738)</f>
        <v>0</v>
      </c>
      <c r="L738" s="38" t="n">
        <v>2042.45</v>
      </c>
      <c r="M738" s="39" t="n">
        <f aca="false">ABS(I738-L738)</f>
        <v>5.99999999999977</v>
      </c>
      <c r="N738" s="24" t="n">
        <f aca="false">M738*H738*Summary!$C$6</f>
        <v>29.9999999999989</v>
      </c>
      <c r="O738" s="37" t="n">
        <v>45322.7542939815</v>
      </c>
      <c r="P738" s="22" t="n">
        <f aca="false">ROUND((O738-C738)*86400,0)</f>
        <v>5271</v>
      </c>
      <c r="Q738" s="22" t="str">
        <f aca="false">IF(P738&lt;10,"a) &lt;10s",IF(P738&lt;60,"b) 10-60s",IF(P738&lt;600,"c) 1-10min","d) &gt;10min")))</f>
        <v>d) &gt;10min</v>
      </c>
      <c r="R738" s="38" t="n">
        <v>2048.95</v>
      </c>
      <c r="S738" s="38" t="n">
        <v>2048.9</v>
      </c>
      <c r="T738" s="22" t="s">
        <v>189</v>
      </c>
      <c r="U738" s="39" t="n">
        <f aca="false">IF(R738="","",IF(F738="BUY",R738-S738,S738-R738))</f>
        <v>0.0499999999997272</v>
      </c>
      <c r="V738" s="39" t="n">
        <f aca="false">IF(F738="BUY",S738-J738,J738-S738)</f>
        <v>0.450000000000273</v>
      </c>
      <c r="W738" s="6" t="n">
        <v>2.25</v>
      </c>
      <c r="X738" s="26" t="n">
        <f aca="false">IFERROR(W738/N738,0)</f>
        <v>0.0750000000000028</v>
      </c>
      <c r="Y738" s="22" t="str">
        <f aca="false">IF(W738&gt;0,"Win",IF(W738&lt;0,"Loss","Flat"))</f>
        <v>Win</v>
      </c>
      <c r="Z738" s="24" t="n">
        <f aca="false">Summary!$C$5+SUM(W$2:W738)</f>
        <v>3390.87</v>
      </c>
      <c r="AA738" s="24" t="n">
        <f aca="false">MAX(AA737,Z738)</f>
        <v>5000</v>
      </c>
      <c r="AB738" s="24" t="n">
        <f aca="false">AA738-Z738</f>
        <v>1609.13</v>
      </c>
      <c r="AC738" s="23" t="n">
        <f aca="false">IFERROR(AB738/AA738,0)</f>
        <v>0.321826</v>
      </c>
      <c r="AD738" s="22" t="s">
        <v>975</v>
      </c>
    </row>
    <row r="739" customFormat="false" ht="15" hidden="false" customHeight="false" outlineLevel="0" collapsed="false">
      <c r="A739" s="22" t="n">
        <v>738</v>
      </c>
      <c r="B739" s="22" t="s">
        <v>142</v>
      </c>
      <c r="C739" s="37" t="n">
        <v>45323.3809490741</v>
      </c>
      <c r="D739" s="22" t="s">
        <v>205</v>
      </c>
      <c r="E739" s="22" t="n">
        <v>9</v>
      </c>
      <c r="F739" s="22" t="s">
        <v>182</v>
      </c>
      <c r="G739" s="22" t="s">
        <v>241</v>
      </c>
      <c r="H739" s="22" t="n">
        <v>0.05</v>
      </c>
      <c r="I739" s="38" t="n">
        <v>2042.27</v>
      </c>
      <c r="J739" s="38" t="n">
        <v>2042.25</v>
      </c>
      <c r="K739" s="39" t="n">
        <f aca="false">IF(F739="BUY",J739-I739,I739-J739)</f>
        <v>0.0199999999999818</v>
      </c>
      <c r="L739" s="38" t="n">
        <v>2048.27</v>
      </c>
      <c r="M739" s="39" t="n">
        <f aca="false">ABS(I739-L739)</f>
        <v>6</v>
      </c>
      <c r="N739" s="24" t="n">
        <f aca="false">M739*H739*Summary!$C$6</f>
        <v>30</v>
      </c>
      <c r="O739" s="37" t="n">
        <v>45323.434837963</v>
      </c>
      <c r="P739" s="22" t="n">
        <f aca="false">ROUND((O739-C739)*86400,0)</f>
        <v>4656</v>
      </c>
      <c r="Q739" s="22" t="str">
        <f aca="false">IF(P739&lt;10,"a) &lt;10s",IF(P739&lt;60,"b) 10-60s",IF(P739&lt;600,"c) 1-10min","d) &gt;10min")))</f>
        <v>d) &gt;10min</v>
      </c>
      <c r="R739" s="38" t="n">
        <v>2041.75</v>
      </c>
      <c r="S739" s="38" t="n">
        <v>2041.75</v>
      </c>
      <c r="T739" s="22" t="s">
        <v>189</v>
      </c>
      <c r="U739" s="39" t="n">
        <f aca="false">IF(R739="","",IF(F739="BUY",R739-S739,S739-R739))</f>
        <v>0</v>
      </c>
      <c r="V739" s="39" t="n">
        <f aca="false">IF(F739="BUY",S739-J739,J739-S739)</f>
        <v>0.5</v>
      </c>
      <c r="W739" s="6" t="n">
        <v>2.5</v>
      </c>
      <c r="X739" s="26" t="n">
        <f aca="false">IFERROR(W739/N739,0)</f>
        <v>0.0833333333333333</v>
      </c>
      <c r="Y739" s="22" t="str">
        <f aca="false">IF(W739&gt;0,"Win",IF(W739&lt;0,"Loss","Flat"))</f>
        <v>Win</v>
      </c>
      <c r="Z739" s="24" t="n">
        <f aca="false">Summary!$C$5+SUM(W$2:W739)</f>
        <v>3393.37</v>
      </c>
      <c r="AA739" s="24" t="n">
        <f aca="false">MAX(AA738,Z739)</f>
        <v>5000</v>
      </c>
      <c r="AB739" s="24" t="n">
        <f aca="false">AA739-Z739</f>
        <v>1606.63</v>
      </c>
      <c r="AC739" s="23" t="n">
        <f aca="false">IFERROR(AB739/AA739,0)</f>
        <v>0.321326</v>
      </c>
      <c r="AD739" s="22" t="s">
        <v>976</v>
      </c>
    </row>
    <row r="740" customFormat="false" ht="15" hidden="false" customHeight="false" outlineLevel="0" collapsed="false">
      <c r="A740" s="22" t="n">
        <v>739</v>
      </c>
      <c r="B740" s="22" t="s">
        <v>142</v>
      </c>
      <c r="C740" s="37" t="n">
        <v>45323.5389699074</v>
      </c>
      <c r="D740" s="22" t="s">
        <v>205</v>
      </c>
      <c r="E740" s="22" t="n">
        <v>12</v>
      </c>
      <c r="F740" s="22" t="s">
        <v>182</v>
      </c>
      <c r="G740" s="22" t="s">
        <v>237</v>
      </c>
      <c r="H740" s="22" t="n">
        <v>0.05</v>
      </c>
      <c r="I740" s="38" t="n">
        <v>2031</v>
      </c>
      <c r="J740" s="38" t="n">
        <v>2031</v>
      </c>
      <c r="K740" s="39" t="n">
        <f aca="false">IF(F740="BUY",J740-I740,I740-J740)</f>
        <v>0</v>
      </c>
      <c r="L740" s="38" t="n">
        <v>2037</v>
      </c>
      <c r="M740" s="39" t="n">
        <f aca="false">ABS(I740-L740)</f>
        <v>6</v>
      </c>
      <c r="N740" s="24" t="n">
        <f aca="false">M740*H740*Summary!$C$6</f>
        <v>30</v>
      </c>
      <c r="O740" s="37" t="n">
        <v>45323.6490162037</v>
      </c>
      <c r="P740" s="22" t="n">
        <f aca="false">ROUND((O740-C740)*86400,0)</f>
        <v>9508</v>
      </c>
      <c r="Q740" s="22" t="str">
        <f aca="false">IF(P740&lt;10,"a) &lt;10s",IF(P740&lt;60,"b) 10-60s",IF(P740&lt;600,"c) 1-10min","d) &gt;10min")))</f>
        <v>d) &gt;10min</v>
      </c>
      <c r="R740" s="38" t="n">
        <v>2037</v>
      </c>
      <c r="S740" s="38" t="n">
        <v>2037.11</v>
      </c>
      <c r="T740" s="22" t="s">
        <v>188</v>
      </c>
      <c r="U740" s="39" t="n">
        <f aca="false">IF(R740="","",IF(F740="BUY",R740-S740,S740-R740))</f>
        <v>0.1099999999999</v>
      </c>
      <c r="V740" s="39" t="n">
        <f aca="false">IF(F740="BUY",S740-J740,J740-S740)</f>
        <v>-6.1099999999999</v>
      </c>
      <c r="W740" s="6" t="n">
        <v>-30.55</v>
      </c>
      <c r="X740" s="26" t="n">
        <f aca="false">IFERROR(W740/N740,0)</f>
        <v>-1.01833333333333</v>
      </c>
      <c r="Y740" s="22" t="str">
        <f aca="false">IF(W740&gt;0,"Win",IF(W740&lt;0,"Loss","Flat"))</f>
        <v>Loss</v>
      </c>
      <c r="Z740" s="24" t="n">
        <f aca="false">Summary!$C$5+SUM(W$2:W740)</f>
        <v>3362.82</v>
      </c>
      <c r="AA740" s="24" t="n">
        <f aca="false">MAX(AA739,Z740)</f>
        <v>5000</v>
      </c>
      <c r="AB740" s="24" t="n">
        <f aca="false">AA740-Z740</f>
        <v>1637.18</v>
      </c>
      <c r="AC740" s="23" t="n">
        <f aca="false">IFERROR(AB740/AA740,0)</f>
        <v>0.327436</v>
      </c>
      <c r="AD740" s="22" t="s">
        <v>977</v>
      </c>
    </row>
    <row r="741" customFormat="false" ht="15" hidden="false" customHeight="false" outlineLevel="0" collapsed="false">
      <c r="A741" s="22" t="n">
        <v>740</v>
      </c>
      <c r="B741" s="22" t="s">
        <v>142</v>
      </c>
      <c r="C741" s="37" t="n">
        <v>45324.3908796296</v>
      </c>
      <c r="D741" s="22" t="s">
        <v>206</v>
      </c>
      <c r="E741" s="22" t="n">
        <v>9</v>
      </c>
      <c r="F741" s="22" t="s">
        <v>181</v>
      </c>
      <c r="G741" s="22" t="s">
        <v>235</v>
      </c>
      <c r="H741" s="22" t="n">
        <v>0.05</v>
      </c>
      <c r="I741" s="38" t="n">
        <v>2056.75</v>
      </c>
      <c r="J741" s="38" t="n">
        <v>2056.75</v>
      </c>
      <c r="K741" s="39" t="n">
        <f aca="false">IF(F741="BUY",J741-I741,I741-J741)</f>
        <v>0</v>
      </c>
      <c r="L741" s="38" t="n">
        <v>2050.75</v>
      </c>
      <c r="M741" s="39" t="n">
        <f aca="false">ABS(I741-L741)</f>
        <v>6</v>
      </c>
      <c r="N741" s="24" t="n">
        <f aca="false">M741*H741*Summary!$C$6</f>
        <v>30</v>
      </c>
      <c r="O741" s="37" t="n">
        <v>45324.6458449074</v>
      </c>
      <c r="P741" s="22" t="n">
        <f aca="false">ROUND((O741-C741)*86400,0)</f>
        <v>22029</v>
      </c>
      <c r="Q741" s="22" t="str">
        <f aca="false">IF(P741&lt;10,"a) &lt;10s",IF(P741&lt;60,"b) 10-60s",IF(P741&lt;600,"c) 1-10min","d) &gt;10min")))</f>
        <v>d) &gt;10min</v>
      </c>
      <c r="R741" s="38" t="n">
        <v>2050.75</v>
      </c>
      <c r="S741" s="38" t="n">
        <v>2048.73</v>
      </c>
      <c r="T741" s="22" t="s">
        <v>188</v>
      </c>
      <c r="U741" s="39" t="n">
        <f aca="false">IF(R741="","",IF(F741="BUY",R741-S741,S741-R741))</f>
        <v>2.01999999999998</v>
      </c>
      <c r="V741" s="39" t="n">
        <f aca="false">IF(F741="BUY",S741-J741,J741-S741)</f>
        <v>-8.01999999999998</v>
      </c>
      <c r="W741" s="6" t="n">
        <v>-40.1</v>
      </c>
      <c r="X741" s="26" t="n">
        <f aca="false">IFERROR(W741/N741,0)</f>
        <v>-1.33666666666667</v>
      </c>
      <c r="Y741" s="22" t="str">
        <f aca="false">IF(W741&gt;0,"Win",IF(W741&lt;0,"Loss","Flat"))</f>
        <v>Loss</v>
      </c>
      <c r="Z741" s="24" t="n">
        <f aca="false">Summary!$C$5+SUM(W$2:W741)</f>
        <v>3322.72</v>
      </c>
      <c r="AA741" s="24" t="n">
        <f aca="false">MAX(AA740,Z741)</f>
        <v>5000</v>
      </c>
      <c r="AB741" s="24" t="n">
        <f aca="false">AA741-Z741</f>
        <v>1677.28</v>
      </c>
      <c r="AC741" s="23" t="n">
        <f aca="false">IFERROR(AB741/AA741,0)</f>
        <v>0.335456</v>
      </c>
      <c r="AD741" s="22" t="s">
        <v>978</v>
      </c>
    </row>
    <row r="742" customFormat="false" ht="15" hidden="false" customHeight="false" outlineLevel="0" collapsed="false">
      <c r="A742" s="22" t="n">
        <v>741</v>
      </c>
      <c r="B742" s="22" t="s">
        <v>142</v>
      </c>
      <c r="C742" s="37" t="n">
        <v>45324.6649652778</v>
      </c>
      <c r="D742" s="22" t="s">
        <v>206</v>
      </c>
      <c r="E742" s="22" t="n">
        <v>15</v>
      </c>
      <c r="F742" s="22" t="s">
        <v>182</v>
      </c>
      <c r="G742" s="22" t="s">
        <v>237</v>
      </c>
      <c r="H742" s="22" t="n">
        <v>0.05</v>
      </c>
      <c r="I742" s="38" t="n">
        <v>2029.91</v>
      </c>
      <c r="J742" s="38" t="n">
        <v>2029.83</v>
      </c>
      <c r="K742" s="39" t="n">
        <f aca="false">IF(F742="BUY",J742-I742,I742-J742)</f>
        <v>0.0800000000001546</v>
      </c>
      <c r="L742" s="38" t="n">
        <v>2035.91</v>
      </c>
      <c r="M742" s="39" t="n">
        <f aca="false">ABS(I742-L742)</f>
        <v>6</v>
      </c>
      <c r="N742" s="24" t="n">
        <f aca="false">M742*H742*Summary!$C$6</f>
        <v>30</v>
      </c>
      <c r="O742" s="37" t="n">
        <v>45324.6996412037</v>
      </c>
      <c r="P742" s="22" t="n">
        <f aca="false">ROUND((O742-C742)*86400,0)</f>
        <v>2996</v>
      </c>
      <c r="Q742" s="22" t="str">
        <f aca="false">IF(P742&lt;10,"a) &lt;10s",IF(P742&lt;60,"b) 10-60s",IF(P742&lt;600,"c) 1-10min","d) &gt;10min")))</f>
        <v>d) &gt;10min</v>
      </c>
      <c r="R742" s="38" t="n">
        <v>2035.91</v>
      </c>
      <c r="S742" s="38" t="n">
        <v>2035.93</v>
      </c>
      <c r="T742" s="22" t="s">
        <v>188</v>
      </c>
      <c r="U742" s="39" t="n">
        <f aca="false">IF(R742="","",IF(F742="BUY",R742-S742,S742-R742))</f>
        <v>0.0199999999999818</v>
      </c>
      <c r="V742" s="39" t="n">
        <f aca="false">IF(F742="BUY",S742-J742,J742-S742)</f>
        <v>-6.10000000000014</v>
      </c>
      <c r="W742" s="6" t="n">
        <v>-30.5</v>
      </c>
      <c r="X742" s="26" t="n">
        <f aca="false">IFERROR(W742/N742,0)</f>
        <v>-1.01666666666667</v>
      </c>
      <c r="Y742" s="22" t="str">
        <f aca="false">IF(W742&gt;0,"Win",IF(W742&lt;0,"Loss","Flat"))</f>
        <v>Loss</v>
      </c>
      <c r="Z742" s="24" t="n">
        <f aca="false">Summary!$C$5+SUM(W$2:W742)</f>
        <v>3292.22</v>
      </c>
      <c r="AA742" s="24" t="n">
        <f aca="false">MAX(AA741,Z742)</f>
        <v>5000</v>
      </c>
      <c r="AB742" s="24" t="n">
        <f aca="false">AA742-Z742</f>
        <v>1707.78</v>
      </c>
      <c r="AC742" s="23" t="n">
        <f aca="false">IFERROR(AB742/AA742,0)</f>
        <v>0.341556</v>
      </c>
      <c r="AD742" s="22" t="s">
        <v>979</v>
      </c>
    </row>
    <row r="743" customFormat="false" ht="15" hidden="false" customHeight="false" outlineLevel="0" collapsed="false">
      <c r="A743" s="22" t="n">
        <v>742</v>
      </c>
      <c r="B743" s="22" t="s">
        <v>142</v>
      </c>
      <c r="C743" s="37" t="n">
        <v>45327.3586226852</v>
      </c>
      <c r="D743" s="22" t="s">
        <v>202</v>
      </c>
      <c r="E743" s="22" t="n">
        <v>8</v>
      </c>
      <c r="F743" s="22" t="s">
        <v>182</v>
      </c>
      <c r="G743" s="22" t="s">
        <v>237</v>
      </c>
      <c r="H743" s="22" t="n">
        <v>0.05</v>
      </c>
      <c r="I743" s="38" t="n">
        <v>2027.64</v>
      </c>
      <c r="J743" s="38" t="n">
        <v>2027.29</v>
      </c>
      <c r="K743" s="39" t="n">
        <f aca="false">IF(F743="BUY",J743-I743,I743-J743)</f>
        <v>0.350000000000136</v>
      </c>
      <c r="L743" s="38" t="n">
        <v>2033.64</v>
      </c>
      <c r="M743" s="39" t="n">
        <f aca="false">ABS(I743-L743)</f>
        <v>6</v>
      </c>
      <c r="N743" s="24" t="n">
        <f aca="false">M743*H743*Summary!$C$6</f>
        <v>30</v>
      </c>
      <c r="O743" s="37" t="n">
        <v>45327.5687731481</v>
      </c>
      <c r="P743" s="22" t="n">
        <f aca="false">ROUND((O743-C743)*86400,0)</f>
        <v>18157</v>
      </c>
      <c r="Q743" s="22" t="str">
        <f aca="false">IF(P743&lt;10,"a) &lt;10s",IF(P743&lt;60,"b) 10-60s",IF(P743&lt;600,"c) 1-10min","d) &gt;10min")))</f>
        <v>d) &gt;10min</v>
      </c>
      <c r="R743" s="38" t="n">
        <v>2026.79</v>
      </c>
      <c r="S743" s="38" t="n">
        <v>2026.79</v>
      </c>
      <c r="T743" s="22" t="s">
        <v>189</v>
      </c>
      <c r="U743" s="39" t="n">
        <f aca="false">IF(R743="","",IF(F743="BUY",R743-S743,S743-R743))</f>
        <v>0</v>
      </c>
      <c r="V743" s="39" t="n">
        <f aca="false">IF(F743="BUY",S743-J743,J743-S743)</f>
        <v>0.5</v>
      </c>
      <c r="W743" s="6" t="n">
        <v>2.5</v>
      </c>
      <c r="X743" s="26" t="n">
        <f aca="false">IFERROR(W743/N743,0)</f>
        <v>0.0833333333333333</v>
      </c>
      <c r="Y743" s="22" t="str">
        <f aca="false">IF(W743&gt;0,"Win",IF(W743&lt;0,"Loss","Flat"))</f>
        <v>Win</v>
      </c>
      <c r="Z743" s="24" t="n">
        <f aca="false">Summary!$C$5+SUM(W$2:W743)</f>
        <v>3294.72</v>
      </c>
      <c r="AA743" s="24" t="n">
        <f aca="false">MAX(AA742,Z743)</f>
        <v>5000</v>
      </c>
      <c r="AB743" s="24" t="n">
        <f aca="false">AA743-Z743</f>
        <v>1705.28</v>
      </c>
      <c r="AC743" s="23" t="n">
        <f aca="false">IFERROR(AB743/AA743,0)</f>
        <v>0.341056</v>
      </c>
      <c r="AD743" s="22" t="s">
        <v>980</v>
      </c>
    </row>
    <row r="744" customFormat="false" ht="15" hidden="false" customHeight="false" outlineLevel="0" collapsed="false">
      <c r="A744" s="22" t="n">
        <v>743</v>
      </c>
      <c r="B744" s="22" t="s">
        <v>142</v>
      </c>
      <c r="C744" s="37" t="n">
        <v>45328.4190277778</v>
      </c>
      <c r="D744" s="22" t="s">
        <v>203</v>
      </c>
      <c r="E744" s="22" t="n">
        <v>10</v>
      </c>
      <c r="F744" s="22" t="s">
        <v>182</v>
      </c>
      <c r="G744" s="22" t="s">
        <v>241</v>
      </c>
      <c r="H744" s="22" t="n">
        <v>0.05</v>
      </c>
      <c r="I744" s="38" t="n">
        <v>2025.7</v>
      </c>
      <c r="J744" s="38" t="n">
        <v>2025.69</v>
      </c>
      <c r="K744" s="39" t="n">
        <f aca="false">IF(F744="BUY",J744-I744,I744-J744)</f>
        <v>0.00999999999999091</v>
      </c>
      <c r="L744" s="38" t="n">
        <v>2031.7</v>
      </c>
      <c r="M744" s="39" t="n">
        <f aca="false">ABS(I744-L744)</f>
        <v>6</v>
      </c>
      <c r="N744" s="24" t="n">
        <f aca="false">M744*H744*Summary!$C$6</f>
        <v>30</v>
      </c>
      <c r="O744" s="37" t="n">
        <v>45328.4674768519</v>
      </c>
      <c r="P744" s="22" t="n">
        <f aca="false">ROUND((O744-C744)*86400,0)</f>
        <v>4186</v>
      </c>
      <c r="Q744" s="22" t="str">
        <f aca="false">IF(P744&lt;10,"a) &lt;10s",IF(P744&lt;60,"b) 10-60s",IF(P744&lt;600,"c) 1-10min","d) &gt;10min")))</f>
        <v>d) &gt;10min</v>
      </c>
      <c r="R744" s="38" t="n">
        <v>2025.19</v>
      </c>
      <c r="S744" s="38" t="n">
        <v>2025.19</v>
      </c>
      <c r="T744" s="22" t="s">
        <v>189</v>
      </c>
      <c r="U744" s="39" t="n">
        <f aca="false">IF(R744="","",IF(F744="BUY",R744-S744,S744-R744))</f>
        <v>0</v>
      </c>
      <c r="V744" s="39" t="n">
        <f aca="false">IF(F744="BUY",S744-J744,J744-S744)</f>
        <v>0.5</v>
      </c>
      <c r="W744" s="6" t="n">
        <v>2.5</v>
      </c>
      <c r="X744" s="26" t="n">
        <f aca="false">IFERROR(W744/N744,0)</f>
        <v>0.0833333333333333</v>
      </c>
      <c r="Y744" s="22" t="str">
        <f aca="false">IF(W744&gt;0,"Win",IF(W744&lt;0,"Loss","Flat"))</f>
        <v>Win</v>
      </c>
      <c r="Z744" s="24" t="n">
        <f aca="false">Summary!$C$5+SUM(W$2:W744)</f>
        <v>3297.22</v>
      </c>
      <c r="AA744" s="24" t="n">
        <f aca="false">MAX(AA743,Z744)</f>
        <v>5000</v>
      </c>
      <c r="AB744" s="24" t="n">
        <f aca="false">AA744-Z744</f>
        <v>1702.78</v>
      </c>
      <c r="AC744" s="23" t="n">
        <f aca="false">IFERROR(AB744/AA744,0)</f>
        <v>0.340556</v>
      </c>
      <c r="AD744" s="22" t="s">
        <v>981</v>
      </c>
    </row>
    <row r="745" customFormat="false" ht="15" hidden="false" customHeight="false" outlineLevel="0" collapsed="false">
      <c r="A745" s="22" t="n">
        <v>744</v>
      </c>
      <c r="B745" s="22" t="s">
        <v>142</v>
      </c>
      <c r="C745" s="37" t="n">
        <v>45329.3863888889</v>
      </c>
      <c r="D745" s="22" t="s">
        <v>204</v>
      </c>
      <c r="E745" s="22" t="n">
        <v>9</v>
      </c>
      <c r="F745" s="22" t="s">
        <v>181</v>
      </c>
      <c r="G745" s="22" t="s">
        <v>235</v>
      </c>
      <c r="H745" s="22" t="n">
        <v>0.05</v>
      </c>
      <c r="I745" s="38" t="n">
        <v>2035.4</v>
      </c>
      <c r="J745" s="38" t="n">
        <v>2035.4</v>
      </c>
      <c r="K745" s="39" t="n">
        <f aca="false">IF(F745="BUY",J745-I745,I745-J745)</f>
        <v>0</v>
      </c>
      <c r="L745" s="38" t="n">
        <v>2029.4</v>
      </c>
      <c r="M745" s="39" t="n">
        <f aca="false">ABS(I745-L745)</f>
        <v>6</v>
      </c>
      <c r="N745" s="24" t="n">
        <f aca="false">M745*H745*Summary!$C$6</f>
        <v>30</v>
      </c>
      <c r="O745" s="37" t="n">
        <v>45329.6731944445</v>
      </c>
      <c r="P745" s="22" t="n">
        <f aca="false">ROUND((O745-C745)*86400,0)</f>
        <v>24780</v>
      </c>
      <c r="Q745" s="22" t="str">
        <f aca="false">IF(P745&lt;10,"a) &lt;10s",IF(P745&lt;60,"b) 10-60s",IF(P745&lt;600,"c) 1-10min","d) &gt;10min")))</f>
        <v>d) &gt;10min</v>
      </c>
      <c r="R745" s="38" t="n">
        <v>2035.9</v>
      </c>
      <c r="S745" s="38" t="n">
        <v>2035.88</v>
      </c>
      <c r="T745" s="22" t="s">
        <v>189</v>
      </c>
      <c r="U745" s="39" t="n">
        <f aca="false">IF(R745="","",IF(F745="BUY",R745-S745,S745-R745))</f>
        <v>0.0199999999999818</v>
      </c>
      <c r="V745" s="39" t="n">
        <f aca="false">IF(F745="BUY",S745-J745,J745-S745)</f>
        <v>0.480000000000018</v>
      </c>
      <c r="W745" s="6" t="n">
        <v>2.4</v>
      </c>
      <c r="X745" s="26" t="n">
        <f aca="false">IFERROR(W745/N745,0)</f>
        <v>0.08</v>
      </c>
      <c r="Y745" s="22" t="str">
        <f aca="false">IF(W745&gt;0,"Win",IF(W745&lt;0,"Loss","Flat"))</f>
        <v>Win</v>
      </c>
      <c r="Z745" s="24" t="n">
        <f aca="false">Summary!$C$5+SUM(W$2:W745)</f>
        <v>3299.62</v>
      </c>
      <c r="AA745" s="24" t="n">
        <f aca="false">MAX(AA744,Z745)</f>
        <v>5000</v>
      </c>
      <c r="AB745" s="24" t="n">
        <f aca="false">AA745-Z745</f>
        <v>1700.38</v>
      </c>
      <c r="AC745" s="23" t="n">
        <f aca="false">IFERROR(AB745/AA745,0)</f>
        <v>0.340076</v>
      </c>
      <c r="AD745" s="22" t="s">
        <v>982</v>
      </c>
    </row>
    <row r="746" customFormat="false" ht="15" hidden="false" customHeight="false" outlineLevel="0" collapsed="false">
      <c r="A746" s="22" t="n">
        <v>745</v>
      </c>
      <c r="B746" s="22" t="s">
        <v>142</v>
      </c>
      <c r="C746" s="37" t="n">
        <v>45329.6965856482</v>
      </c>
      <c r="D746" s="22" t="s">
        <v>204</v>
      </c>
      <c r="E746" s="22" t="n">
        <v>16</v>
      </c>
      <c r="F746" s="22" t="s">
        <v>181</v>
      </c>
      <c r="G746" s="22" t="s">
        <v>243</v>
      </c>
      <c r="H746" s="22" t="n">
        <v>0.05</v>
      </c>
      <c r="I746" s="38" t="n">
        <v>2038.79</v>
      </c>
      <c r="J746" s="38" t="n">
        <v>2039.2</v>
      </c>
      <c r="K746" s="39" t="n">
        <f aca="false">IF(F746="BUY",J746-I746,I746-J746)</f>
        <v>0.410000000000082</v>
      </c>
      <c r="L746" s="38" t="n">
        <v>2032.79</v>
      </c>
      <c r="M746" s="39" t="n">
        <f aca="false">ABS(I746-L746)</f>
        <v>6</v>
      </c>
      <c r="N746" s="24" t="n">
        <f aca="false">M746*H746*Summary!$C$6</f>
        <v>30</v>
      </c>
      <c r="O746" s="37" t="n">
        <v>45329.6974768519</v>
      </c>
      <c r="P746" s="22" t="n">
        <f aca="false">ROUND((O746-C746)*86400,0)</f>
        <v>77</v>
      </c>
      <c r="Q746" s="22" t="str">
        <f aca="false">IF(P746&lt;10,"a) &lt;10s",IF(P746&lt;60,"b) 10-60s",IF(P746&lt;600,"c) 1-10min","d) &gt;10min")))</f>
        <v>c) 1-10min</v>
      </c>
      <c r="R746" s="38" t="n">
        <v>2039.7</v>
      </c>
      <c r="S746" s="38" t="n">
        <v>2039.65</v>
      </c>
      <c r="T746" s="22" t="s">
        <v>189</v>
      </c>
      <c r="U746" s="39" t="n">
        <f aca="false">IF(R746="","",IF(F746="BUY",R746-S746,S746-R746))</f>
        <v>0.0499999999999545</v>
      </c>
      <c r="V746" s="39" t="n">
        <f aca="false">IF(F746="BUY",S746-J746,J746-S746)</f>
        <v>0.450000000000046</v>
      </c>
      <c r="W746" s="6" t="n">
        <v>2.25</v>
      </c>
      <c r="X746" s="26" t="n">
        <f aca="false">IFERROR(W746/N746,0)</f>
        <v>0.075</v>
      </c>
      <c r="Y746" s="22" t="str">
        <f aca="false">IF(W746&gt;0,"Win",IF(W746&lt;0,"Loss","Flat"))</f>
        <v>Win</v>
      </c>
      <c r="Z746" s="24" t="n">
        <f aca="false">Summary!$C$5+SUM(W$2:W746)</f>
        <v>3301.87</v>
      </c>
      <c r="AA746" s="24" t="n">
        <f aca="false">MAX(AA745,Z746)</f>
        <v>5000</v>
      </c>
      <c r="AB746" s="24" t="n">
        <f aca="false">AA746-Z746</f>
        <v>1698.13</v>
      </c>
      <c r="AC746" s="23" t="n">
        <f aca="false">IFERROR(AB746/AA746,0)</f>
        <v>0.339626</v>
      </c>
      <c r="AD746" s="22" t="s">
        <v>983</v>
      </c>
    </row>
    <row r="747" customFormat="false" ht="15" hidden="false" customHeight="false" outlineLevel="0" collapsed="false">
      <c r="A747" s="22" t="n">
        <v>746</v>
      </c>
      <c r="B747" s="22" t="s">
        <v>142</v>
      </c>
      <c r="C747" s="37" t="n">
        <v>45330.3846990741</v>
      </c>
      <c r="D747" s="22" t="s">
        <v>205</v>
      </c>
      <c r="E747" s="22" t="n">
        <v>9</v>
      </c>
      <c r="F747" s="22" t="s">
        <v>181</v>
      </c>
      <c r="G747" s="22" t="s">
        <v>235</v>
      </c>
      <c r="H747" s="22" t="n">
        <v>0.05</v>
      </c>
      <c r="I747" s="38" t="n">
        <v>2034.16</v>
      </c>
      <c r="J747" s="38" t="n">
        <v>2034.16</v>
      </c>
      <c r="K747" s="39" t="n">
        <f aca="false">IF(F747="BUY",J747-I747,I747-J747)</f>
        <v>0</v>
      </c>
      <c r="L747" s="38" t="n">
        <v>2028.16</v>
      </c>
      <c r="M747" s="39" t="n">
        <f aca="false">ABS(I747-L747)</f>
        <v>6</v>
      </c>
      <c r="N747" s="24" t="n">
        <f aca="false">M747*H747*Summary!$C$6</f>
        <v>30</v>
      </c>
      <c r="O747" s="37" t="n">
        <v>45330.5122800926</v>
      </c>
      <c r="P747" s="22" t="n">
        <f aca="false">ROUND((O747-C747)*86400,0)</f>
        <v>11023</v>
      </c>
      <c r="Q747" s="22" t="str">
        <f aca="false">IF(P747&lt;10,"a) &lt;10s",IF(P747&lt;60,"b) 10-60s",IF(P747&lt;600,"c) 1-10min","d) &gt;10min")))</f>
        <v>d) &gt;10min</v>
      </c>
      <c r="R747" s="38" t="n">
        <v>2034.66</v>
      </c>
      <c r="S747" s="38" t="n">
        <v>2034.66</v>
      </c>
      <c r="T747" s="22" t="s">
        <v>189</v>
      </c>
      <c r="U747" s="39" t="n">
        <f aca="false">IF(R747="","",IF(F747="BUY",R747-S747,S747-R747))</f>
        <v>0</v>
      </c>
      <c r="V747" s="39" t="n">
        <f aca="false">IF(F747="BUY",S747-J747,J747-S747)</f>
        <v>0.5</v>
      </c>
      <c r="W747" s="6" t="n">
        <v>2.5</v>
      </c>
      <c r="X747" s="26" t="n">
        <f aca="false">IFERROR(W747/N747,0)</f>
        <v>0.0833333333333333</v>
      </c>
      <c r="Y747" s="22" t="str">
        <f aca="false">IF(W747&gt;0,"Win",IF(W747&lt;0,"Loss","Flat"))</f>
        <v>Win</v>
      </c>
      <c r="Z747" s="24" t="n">
        <f aca="false">Summary!$C$5+SUM(W$2:W747)</f>
        <v>3304.37</v>
      </c>
      <c r="AA747" s="24" t="n">
        <f aca="false">MAX(AA746,Z747)</f>
        <v>5000</v>
      </c>
      <c r="AB747" s="24" t="n">
        <f aca="false">AA747-Z747</f>
        <v>1695.63</v>
      </c>
      <c r="AC747" s="23" t="n">
        <f aca="false">IFERROR(AB747/AA747,0)</f>
        <v>0.339126</v>
      </c>
      <c r="AD747" s="22" t="s">
        <v>984</v>
      </c>
    </row>
    <row r="748" customFormat="false" ht="15" hidden="false" customHeight="false" outlineLevel="0" collapsed="false">
      <c r="A748" s="22" t="n">
        <v>747</v>
      </c>
      <c r="B748" s="22" t="s">
        <v>142</v>
      </c>
      <c r="C748" s="37" t="n">
        <v>45331.3751157407</v>
      </c>
      <c r="D748" s="22" t="s">
        <v>206</v>
      </c>
      <c r="E748" s="22" t="n">
        <v>9</v>
      </c>
      <c r="F748" s="22" t="s">
        <v>181</v>
      </c>
      <c r="G748" s="22" t="s">
        <v>235</v>
      </c>
      <c r="H748" s="22" t="n">
        <v>0.05</v>
      </c>
      <c r="I748" s="38" t="n">
        <v>2034.37</v>
      </c>
      <c r="J748" s="38" t="n">
        <v>2034.4</v>
      </c>
      <c r="K748" s="39" t="n">
        <f aca="false">IF(F748="BUY",J748-I748,I748-J748)</f>
        <v>0.0300000000002001</v>
      </c>
      <c r="L748" s="38" t="n">
        <v>2028.37</v>
      </c>
      <c r="M748" s="39" t="n">
        <f aca="false">ABS(I748-L748)</f>
        <v>6</v>
      </c>
      <c r="N748" s="24" t="n">
        <f aca="false">M748*H748*Summary!$C$6</f>
        <v>30</v>
      </c>
      <c r="O748" s="37" t="n">
        <v>45331.6255439815</v>
      </c>
      <c r="P748" s="22" t="n">
        <f aca="false">ROUND((O748-C748)*86400,0)</f>
        <v>21637</v>
      </c>
      <c r="Q748" s="22" t="str">
        <f aca="false">IF(P748&lt;10,"a) &lt;10s",IF(P748&lt;60,"b) 10-60s",IF(P748&lt;600,"c) 1-10min","d) &gt;10min")))</f>
        <v>d) &gt;10min</v>
      </c>
      <c r="R748" s="38" t="n">
        <v>2028.37</v>
      </c>
      <c r="S748" s="38" t="n">
        <v>2028.36</v>
      </c>
      <c r="T748" s="22" t="s">
        <v>188</v>
      </c>
      <c r="U748" s="39" t="n">
        <f aca="false">IF(R748="","",IF(F748="BUY",R748-S748,S748-R748))</f>
        <v>0.00999999999999091</v>
      </c>
      <c r="V748" s="39" t="n">
        <f aca="false">IF(F748="BUY",S748-J748,J748-S748)</f>
        <v>-6.04000000000019</v>
      </c>
      <c r="W748" s="6" t="n">
        <v>-30.2</v>
      </c>
      <c r="X748" s="26" t="n">
        <f aca="false">IFERROR(W748/N748,0)</f>
        <v>-1.00666666666667</v>
      </c>
      <c r="Y748" s="22" t="str">
        <f aca="false">IF(W748&gt;0,"Win",IF(W748&lt;0,"Loss","Flat"))</f>
        <v>Loss</v>
      </c>
      <c r="Z748" s="24" t="n">
        <f aca="false">Summary!$C$5+SUM(W$2:W748)</f>
        <v>3274.17</v>
      </c>
      <c r="AA748" s="24" t="n">
        <f aca="false">MAX(AA747,Z748)</f>
        <v>5000</v>
      </c>
      <c r="AB748" s="24" t="n">
        <f aca="false">AA748-Z748</f>
        <v>1725.83</v>
      </c>
      <c r="AC748" s="23" t="n">
        <f aca="false">IFERROR(AB748/AA748,0)</f>
        <v>0.345166</v>
      </c>
      <c r="AD748" s="22" t="s">
        <v>985</v>
      </c>
    </row>
    <row r="749" customFormat="false" ht="15" hidden="false" customHeight="false" outlineLevel="0" collapsed="false">
      <c r="A749" s="22" t="n">
        <v>748</v>
      </c>
      <c r="B749" s="22" t="s">
        <v>142</v>
      </c>
      <c r="C749" s="37" t="n">
        <v>45334.3770833333</v>
      </c>
      <c r="D749" s="22" t="s">
        <v>202</v>
      </c>
      <c r="E749" s="22" t="n">
        <v>9</v>
      </c>
      <c r="F749" s="22" t="s">
        <v>181</v>
      </c>
      <c r="G749" s="22" t="s">
        <v>235</v>
      </c>
      <c r="H749" s="22" t="n">
        <v>0.05</v>
      </c>
      <c r="I749" s="38" t="n">
        <v>2024.67</v>
      </c>
      <c r="J749" s="38" t="n">
        <v>2024.68</v>
      </c>
      <c r="K749" s="39" t="n">
        <f aca="false">IF(F749="BUY",J749-I749,I749-J749)</f>
        <v>0.00999999999999091</v>
      </c>
      <c r="L749" s="38" t="n">
        <v>2018.67</v>
      </c>
      <c r="M749" s="39" t="n">
        <f aca="false">ABS(I749-L749)</f>
        <v>6</v>
      </c>
      <c r="N749" s="24" t="n">
        <f aca="false">M749*H749*Summary!$C$6</f>
        <v>30</v>
      </c>
      <c r="O749" s="37" t="n">
        <v>45334.4424421296</v>
      </c>
      <c r="P749" s="22" t="n">
        <f aca="false">ROUND((O749-C749)*86400,0)</f>
        <v>5647</v>
      </c>
      <c r="Q749" s="22" t="str">
        <f aca="false">IF(P749&lt;10,"a) &lt;10s",IF(P749&lt;60,"b) 10-60s",IF(P749&lt;600,"c) 1-10min","d) &gt;10min")))</f>
        <v>d) &gt;10min</v>
      </c>
      <c r="R749" s="38" t="n">
        <v>2025.18</v>
      </c>
      <c r="S749" s="38" t="n">
        <v>2025.18</v>
      </c>
      <c r="T749" s="22" t="s">
        <v>189</v>
      </c>
      <c r="U749" s="39" t="n">
        <f aca="false">IF(R749="","",IF(F749="BUY",R749-S749,S749-R749))</f>
        <v>0</v>
      </c>
      <c r="V749" s="39" t="n">
        <f aca="false">IF(F749="BUY",S749-J749,J749-S749)</f>
        <v>0.5</v>
      </c>
      <c r="W749" s="6" t="n">
        <v>2.5</v>
      </c>
      <c r="X749" s="26" t="n">
        <f aca="false">IFERROR(W749/N749,0)</f>
        <v>0.0833333333333333</v>
      </c>
      <c r="Y749" s="22" t="str">
        <f aca="false">IF(W749&gt;0,"Win",IF(W749&lt;0,"Loss","Flat"))</f>
        <v>Win</v>
      </c>
      <c r="Z749" s="24" t="n">
        <f aca="false">Summary!$C$5+SUM(W$2:W749)</f>
        <v>3276.67</v>
      </c>
      <c r="AA749" s="24" t="n">
        <f aca="false">MAX(AA748,Z749)</f>
        <v>5000</v>
      </c>
      <c r="AB749" s="24" t="n">
        <f aca="false">AA749-Z749</f>
        <v>1723.33</v>
      </c>
      <c r="AC749" s="23" t="n">
        <f aca="false">IFERROR(AB749/AA749,0)</f>
        <v>0.344666</v>
      </c>
      <c r="AD749" s="22" t="s">
        <v>986</v>
      </c>
    </row>
    <row r="750" customFormat="false" ht="15" hidden="false" customHeight="false" outlineLevel="0" collapsed="false">
      <c r="A750" s="22" t="n">
        <v>749</v>
      </c>
      <c r="B750" s="22" t="s">
        <v>142</v>
      </c>
      <c r="C750" s="37" t="n">
        <v>45334.5014351852</v>
      </c>
      <c r="D750" s="22" t="s">
        <v>202</v>
      </c>
      <c r="E750" s="22" t="n">
        <v>12</v>
      </c>
      <c r="F750" s="22" t="s">
        <v>182</v>
      </c>
      <c r="G750" s="22" t="s">
        <v>237</v>
      </c>
      <c r="H750" s="22" t="n">
        <v>0.05</v>
      </c>
      <c r="I750" s="38" t="n">
        <v>2020.2</v>
      </c>
      <c r="J750" s="38" t="n">
        <v>2020.19</v>
      </c>
      <c r="K750" s="39" t="n">
        <f aca="false">IF(F750="BUY",J750-I750,I750-J750)</f>
        <v>0.00999999999999091</v>
      </c>
      <c r="L750" s="38" t="n">
        <v>2026.2</v>
      </c>
      <c r="M750" s="39" t="n">
        <f aca="false">ABS(I750-L750)</f>
        <v>6</v>
      </c>
      <c r="N750" s="24" t="n">
        <f aca="false">M750*H750*Summary!$C$6</f>
        <v>30</v>
      </c>
      <c r="O750" s="37" t="n">
        <v>45334.6345717593</v>
      </c>
      <c r="P750" s="22" t="n">
        <f aca="false">ROUND((O750-C750)*86400,0)</f>
        <v>11503</v>
      </c>
      <c r="Q750" s="22" t="str">
        <f aca="false">IF(P750&lt;10,"a) &lt;10s",IF(P750&lt;60,"b) 10-60s",IF(P750&lt;600,"c) 1-10min","d) &gt;10min")))</f>
        <v>d) &gt;10min</v>
      </c>
      <c r="R750" s="38" t="n">
        <v>2026.2</v>
      </c>
      <c r="S750" s="38" t="n">
        <v>2026.24</v>
      </c>
      <c r="T750" s="22" t="s">
        <v>188</v>
      </c>
      <c r="U750" s="39" t="n">
        <f aca="false">IF(R750="","",IF(F750="BUY",R750-S750,S750-R750))</f>
        <v>0.0399999999999636</v>
      </c>
      <c r="V750" s="39" t="n">
        <f aca="false">IF(F750="BUY",S750-J750,J750-S750)</f>
        <v>-6.04999999999995</v>
      </c>
      <c r="W750" s="6" t="n">
        <v>-30.25</v>
      </c>
      <c r="X750" s="26" t="n">
        <f aca="false">IFERROR(W750/N750,0)</f>
        <v>-1.00833333333333</v>
      </c>
      <c r="Y750" s="22" t="str">
        <f aca="false">IF(W750&gt;0,"Win",IF(W750&lt;0,"Loss","Flat"))</f>
        <v>Loss</v>
      </c>
      <c r="Z750" s="24" t="n">
        <f aca="false">Summary!$C$5+SUM(W$2:W750)</f>
        <v>3246.42</v>
      </c>
      <c r="AA750" s="24" t="n">
        <f aca="false">MAX(AA749,Z750)</f>
        <v>5000</v>
      </c>
      <c r="AB750" s="24" t="n">
        <f aca="false">AA750-Z750</f>
        <v>1753.58</v>
      </c>
      <c r="AC750" s="23" t="n">
        <f aca="false">IFERROR(AB750/AA750,0)</f>
        <v>0.350716</v>
      </c>
      <c r="AD750" s="22" t="s">
        <v>987</v>
      </c>
    </row>
    <row r="751" customFormat="false" ht="15" hidden="false" customHeight="false" outlineLevel="0" collapsed="false">
      <c r="A751" s="22" t="n">
        <v>750</v>
      </c>
      <c r="B751" s="22" t="s">
        <v>142</v>
      </c>
      <c r="C751" s="37" t="n">
        <v>45335.3750115741</v>
      </c>
      <c r="D751" s="22" t="s">
        <v>203</v>
      </c>
      <c r="E751" s="22" t="n">
        <v>9</v>
      </c>
      <c r="F751" s="22" t="s">
        <v>181</v>
      </c>
      <c r="G751" s="22" t="s">
        <v>235</v>
      </c>
      <c r="H751" s="22" t="n">
        <v>0.05</v>
      </c>
      <c r="I751" s="38" t="n">
        <v>2024</v>
      </c>
      <c r="J751" s="38" t="n">
        <v>2024.12</v>
      </c>
      <c r="K751" s="39" t="n">
        <f aca="false">IF(F751="BUY",J751-I751,I751-J751)</f>
        <v>0.119999999999891</v>
      </c>
      <c r="L751" s="38" t="n">
        <v>2018</v>
      </c>
      <c r="M751" s="39" t="n">
        <f aca="false">ABS(I751-L751)</f>
        <v>6</v>
      </c>
      <c r="N751" s="24" t="n">
        <f aca="false">M751*H751*Summary!$C$6</f>
        <v>30</v>
      </c>
      <c r="O751" s="37" t="n">
        <v>45335.6458449074</v>
      </c>
      <c r="P751" s="22" t="n">
        <f aca="false">ROUND((O751-C751)*86400,0)</f>
        <v>23400</v>
      </c>
      <c r="Q751" s="22" t="str">
        <f aca="false">IF(P751&lt;10,"a) &lt;10s",IF(P751&lt;60,"b) 10-60s",IF(P751&lt;600,"c) 1-10min","d) &gt;10min")))</f>
        <v>d) &gt;10min</v>
      </c>
      <c r="R751" s="38" t="n">
        <v>2024.62</v>
      </c>
      <c r="S751" s="38" t="n">
        <v>2020.98</v>
      </c>
      <c r="T751" s="22" t="s">
        <v>189</v>
      </c>
      <c r="U751" s="39" t="n">
        <f aca="false">IF(R751="","",IF(F751="BUY",R751-S751,S751-R751))</f>
        <v>3.63999999999987</v>
      </c>
      <c r="V751" s="39" t="n">
        <f aca="false">IF(F751="BUY",S751-J751,J751-S751)</f>
        <v>-3.13999999999987</v>
      </c>
      <c r="W751" s="6" t="n">
        <v>-15.7</v>
      </c>
      <c r="X751" s="26" t="n">
        <f aca="false">IFERROR(W751/N751,0)</f>
        <v>-0.523333333333333</v>
      </c>
      <c r="Y751" s="22" t="str">
        <f aca="false">IF(W751&gt;0,"Win",IF(W751&lt;0,"Loss","Flat"))</f>
        <v>Loss</v>
      </c>
      <c r="Z751" s="24" t="n">
        <f aca="false">Summary!$C$5+SUM(W$2:W751)</f>
        <v>3230.72</v>
      </c>
      <c r="AA751" s="24" t="n">
        <f aca="false">MAX(AA750,Z751)</f>
        <v>5000</v>
      </c>
      <c r="AB751" s="24" t="n">
        <f aca="false">AA751-Z751</f>
        <v>1769.28</v>
      </c>
      <c r="AC751" s="23" t="n">
        <f aca="false">IFERROR(AB751/AA751,0)</f>
        <v>0.353856</v>
      </c>
      <c r="AD751" s="22" t="s">
        <v>988</v>
      </c>
    </row>
    <row r="752" customFormat="false" ht="15" hidden="false" customHeight="false" outlineLevel="0" collapsed="false">
      <c r="A752" s="22" t="n">
        <v>751</v>
      </c>
      <c r="B752" s="22" t="s">
        <v>142</v>
      </c>
      <c r="C752" s="37" t="n">
        <v>45335.6541782407</v>
      </c>
      <c r="D752" s="22" t="s">
        <v>203</v>
      </c>
      <c r="E752" s="22" t="n">
        <v>15</v>
      </c>
      <c r="F752" s="22" t="s">
        <v>182</v>
      </c>
      <c r="G752" s="22" t="s">
        <v>237</v>
      </c>
      <c r="H752" s="22" t="n">
        <v>0.05</v>
      </c>
      <c r="I752" s="38" t="n">
        <v>2011.8</v>
      </c>
      <c r="J752" s="38" t="n">
        <v>2011.69</v>
      </c>
      <c r="K752" s="39" t="n">
        <f aca="false">IF(F752="BUY",J752-I752,I752-J752)</f>
        <v>0.1099999999999</v>
      </c>
      <c r="L752" s="38" t="n">
        <v>2017.8</v>
      </c>
      <c r="M752" s="39" t="n">
        <f aca="false">ABS(I752-L752)</f>
        <v>6</v>
      </c>
      <c r="N752" s="24" t="n">
        <f aca="false">M752*H752*Summary!$C$6</f>
        <v>30</v>
      </c>
      <c r="O752" s="37" t="n">
        <v>45335.9270833333</v>
      </c>
      <c r="P752" s="22" t="n">
        <f aca="false">ROUND((O752-C752)*86400,0)</f>
        <v>23579</v>
      </c>
      <c r="Q752" s="22" t="str">
        <f aca="false">IF(P752&lt;10,"a) &lt;10s",IF(P752&lt;60,"b) 10-60s",IF(P752&lt;600,"c) 1-10min","d) &gt;10min")))</f>
        <v>d) &gt;10min</v>
      </c>
      <c r="R752" s="38"/>
      <c r="S752" s="38" t="n">
        <v>1992.7</v>
      </c>
      <c r="T752" s="22" t="s">
        <v>191</v>
      </c>
      <c r="U752" s="39" t="str">
        <f aca="false">IF(R752="","",IF(F752="BUY",R752-S752,S752-R752))</f>
        <v/>
      </c>
      <c r="V752" s="39" t="n">
        <f aca="false">IF(F752="BUY",S752-J752,J752-S752)</f>
        <v>18.99</v>
      </c>
      <c r="W752" s="6" t="n">
        <v>94.95</v>
      </c>
      <c r="X752" s="26" t="n">
        <f aca="false">IFERROR(W752/N752,0)</f>
        <v>3.165</v>
      </c>
      <c r="Y752" s="22" t="str">
        <f aca="false">IF(W752&gt;0,"Win",IF(W752&lt;0,"Loss","Flat"))</f>
        <v>Win</v>
      </c>
      <c r="Z752" s="24" t="n">
        <f aca="false">Summary!$C$5+SUM(W$2:W752)</f>
        <v>3325.67</v>
      </c>
      <c r="AA752" s="24" t="n">
        <f aca="false">MAX(AA751,Z752)</f>
        <v>5000</v>
      </c>
      <c r="AB752" s="24" t="n">
        <f aca="false">AA752-Z752</f>
        <v>1674.33</v>
      </c>
      <c r="AC752" s="23" t="n">
        <f aca="false">IFERROR(AB752/AA752,0)</f>
        <v>0.334866</v>
      </c>
      <c r="AD752" s="22" t="s">
        <v>989</v>
      </c>
    </row>
    <row r="753" customFormat="false" ht="15" hidden="false" customHeight="false" outlineLevel="0" collapsed="false">
      <c r="A753" s="22" t="n">
        <v>752</v>
      </c>
      <c r="B753" s="22" t="s">
        <v>142</v>
      </c>
      <c r="C753" s="37" t="n">
        <v>45336.1360416667</v>
      </c>
      <c r="D753" s="22" t="s">
        <v>204</v>
      </c>
      <c r="E753" s="22" t="n">
        <v>3</v>
      </c>
      <c r="F753" s="22" t="s">
        <v>182</v>
      </c>
      <c r="G753" s="22" t="s">
        <v>237</v>
      </c>
      <c r="H753" s="22" t="n">
        <v>0.05</v>
      </c>
      <c r="I753" s="38" t="n">
        <v>1989.99</v>
      </c>
      <c r="J753" s="38" t="n">
        <v>1989.72</v>
      </c>
      <c r="K753" s="39" t="n">
        <f aca="false">IF(F753="BUY",J753-I753,I753-J753)</f>
        <v>0.269999999999982</v>
      </c>
      <c r="L753" s="38" t="n">
        <v>1995.99</v>
      </c>
      <c r="M753" s="39" t="n">
        <f aca="false">ABS(I753-L753)</f>
        <v>6</v>
      </c>
      <c r="N753" s="24" t="n">
        <f aca="false">M753*H753*Summary!$C$6</f>
        <v>30</v>
      </c>
      <c r="O753" s="37" t="n">
        <v>45336.4474074074</v>
      </c>
      <c r="P753" s="22" t="n">
        <f aca="false">ROUND((O753-C753)*86400,0)</f>
        <v>26902</v>
      </c>
      <c r="Q753" s="22" t="str">
        <f aca="false">IF(P753&lt;10,"a) &lt;10s",IF(P753&lt;60,"b) 10-60s",IF(P753&lt;600,"c) 1-10min","d) &gt;10min")))</f>
        <v>d) &gt;10min</v>
      </c>
      <c r="R753" s="38" t="n">
        <v>1989.22</v>
      </c>
      <c r="S753" s="38" t="n">
        <v>1989.23</v>
      </c>
      <c r="T753" s="22" t="s">
        <v>189</v>
      </c>
      <c r="U753" s="39" t="n">
        <f aca="false">IF(R753="","",IF(F753="BUY",R753-S753,S753-R753))</f>
        <v>0.00999999999999091</v>
      </c>
      <c r="V753" s="39" t="n">
        <f aca="false">IF(F753="BUY",S753-J753,J753-S753)</f>
        <v>0.490000000000009</v>
      </c>
      <c r="W753" s="6" t="n">
        <v>2.45</v>
      </c>
      <c r="X753" s="26" t="n">
        <f aca="false">IFERROR(W753/N753,0)</f>
        <v>0.0816666666666667</v>
      </c>
      <c r="Y753" s="22" t="str">
        <f aca="false">IF(W753&gt;0,"Win",IF(W753&lt;0,"Loss","Flat"))</f>
        <v>Win</v>
      </c>
      <c r="Z753" s="24" t="n">
        <f aca="false">Summary!$C$5+SUM(W$2:W753)</f>
        <v>3328.12</v>
      </c>
      <c r="AA753" s="24" t="n">
        <f aca="false">MAX(AA752,Z753)</f>
        <v>5000</v>
      </c>
      <c r="AB753" s="24" t="n">
        <f aca="false">AA753-Z753</f>
        <v>1671.88</v>
      </c>
      <c r="AC753" s="23" t="n">
        <f aca="false">IFERROR(AB753/AA753,0)</f>
        <v>0.334376</v>
      </c>
      <c r="AD753" s="22" t="s">
        <v>990</v>
      </c>
    </row>
    <row r="754" customFormat="false" ht="15" hidden="false" customHeight="false" outlineLevel="0" collapsed="false">
      <c r="A754" s="22" t="n">
        <v>753</v>
      </c>
      <c r="B754" s="22" t="s">
        <v>142</v>
      </c>
      <c r="C754" s="37" t="n">
        <v>45336.5386226852</v>
      </c>
      <c r="D754" s="22" t="s">
        <v>204</v>
      </c>
      <c r="E754" s="22" t="n">
        <v>12</v>
      </c>
      <c r="F754" s="22" t="s">
        <v>181</v>
      </c>
      <c r="G754" s="22" t="s">
        <v>235</v>
      </c>
      <c r="H754" s="22" t="n">
        <v>0.05</v>
      </c>
      <c r="I754" s="38" t="n">
        <v>1993.25</v>
      </c>
      <c r="J754" s="38" t="n">
        <v>1993.26</v>
      </c>
      <c r="K754" s="39" t="n">
        <f aca="false">IF(F754="BUY",J754-I754,I754-J754)</f>
        <v>0.00999999999999091</v>
      </c>
      <c r="L754" s="38" t="n">
        <v>1987.25</v>
      </c>
      <c r="M754" s="39" t="n">
        <f aca="false">ABS(I754-L754)</f>
        <v>6</v>
      </c>
      <c r="N754" s="24" t="n">
        <f aca="false">M754*H754*Summary!$C$6</f>
        <v>30</v>
      </c>
      <c r="O754" s="37" t="n">
        <v>45336.703287037</v>
      </c>
      <c r="P754" s="22" t="n">
        <f aca="false">ROUND((O754-C754)*86400,0)</f>
        <v>14227</v>
      </c>
      <c r="Q754" s="22" t="str">
        <f aca="false">IF(P754&lt;10,"a) &lt;10s",IF(P754&lt;60,"b) 10-60s",IF(P754&lt;600,"c) 1-10min","d) &gt;10min")))</f>
        <v>d) &gt;10min</v>
      </c>
      <c r="R754" s="38" t="n">
        <v>1987.25</v>
      </c>
      <c r="S754" s="38" t="n">
        <v>1987.21</v>
      </c>
      <c r="T754" s="22" t="s">
        <v>188</v>
      </c>
      <c r="U754" s="39" t="n">
        <f aca="false">IF(R754="","",IF(F754="BUY",R754-S754,S754-R754))</f>
        <v>0.0399999999999636</v>
      </c>
      <c r="V754" s="39" t="n">
        <f aca="false">IF(F754="BUY",S754-J754,J754-S754)</f>
        <v>-6.04999999999995</v>
      </c>
      <c r="W754" s="6" t="n">
        <v>-30.25</v>
      </c>
      <c r="X754" s="26" t="n">
        <f aca="false">IFERROR(W754/N754,0)</f>
        <v>-1.00833333333333</v>
      </c>
      <c r="Y754" s="22" t="str">
        <f aca="false">IF(W754&gt;0,"Win",IF(W754&lt;0,"Loss","Flat"))</f>
        <v>Loss</v>
      </c>
      <c r="Z754" s="24" t="n">
        <f aca="false">Summary!$C$5+SUM(W$2:W754)</f>
        <v>3297.87</v>
      </c>
      <c r="AA754" s="24" t="n">
        <f aca="false">MAX(AA753,Z754)</f>
        <v>5000</v>
      </c>
      <c r="AB754" s="24" t="n">
        <f aca="false">AA754-Z754</f>
        <v>1702.13</v>
      </c>
      <c r="AC754" s="23" t="n">
        <f aca="false">IFERROR(AB754/AA754,0)</f>
        <v>0.340426</v>
      </c>
      <c r="AD754" s="22" t="s">
        <v>991</v>
      </c>
    </row>
    <row r="755" customFormat="false" ht="15" hidden="false" customHeight="false" outlineLevel="0" collapsed="false">
      <c r="A755" s="22" t="n">
        <v>754</v>
      </c>
      <c r="B755" s="22" t="s">
        <v>142</v>
      </c>
      <c r="C755" s="37" t="n">
        <v>45337.4282175926</v>
      </c>
      <c r="D755" s="22" t="s">
        <v>205</v>
      </c>
      <c r="E755" s="22" t="n">
        <v>10</v>
      </c>
      <c r="F755" s="22" t="s">
        <v>181</v>
      </c>
      <c r="G755" s="22" t="s">
        <v>243</v>
      </c>
      <c r="H755" s="22" t="n">
        <v>0.05</v>
      </c>
      <c r="I755" s="38" t="n">
        <v>1996.03</v>
      </c>
      <c r="J755" s="38" t="n">
        <v>1996.04</v>
      </c>
      <c r="K755" s="39" t="n">
        <f aca="false">IF(F755="BUY",J755-I755,I755-J755)</f>
        <v>0.00999999999999091</v>
      </c>
      <c r="L755" s="38" t="n">
        <v>1990.03</v>
      </c>
      <c r="M755" s="39" t="n">
        <f aca="false">ABS(I755-L755)</f>
        <v>6</v>
      </c>
      <c r="N755" s="24" t="n">
        <f aca="false">M755*H755*Summary!$C$6</f>
        <v>30</v>
      </c>
      <c r="O755" s="37" t="n">
        <v>45337.5857986111</v>
      </c>
      <c r="P755" s="22" t="n">
        <f aca="false">ROUND((O755-C755)*86400,0)</f>
        <v>13615</v>
      </c>
      <c r="Q755" s="22" t="str">
        <f aca="false">IF(P755&lt;10,"a) &lt;10s",IF(P755&lt;60,"b) 10-60s",IF(P755&lt;600,"c) 1-10min","d) &gt;10min")))</f>
        <v>d) &gt;10min</v>
      </c>
      <c r="R755" s="38" t="n">
        <v>1996.54</v>
      </c>
      <c r="S755" s="38" t="n">
        <v>1996.52</v>
      </c>
      <c r="T755" s="22" t="s">
        <v>189</v>
      </c>
      <c r="U755" s="39" t="n">
        <f aca="false">IF(R755="","",IF(F755="BUY",R755-S755,S755-R755))</f>
        <v>0.0199999999999818</v>
      </c>
      <c r="V755" s="39" t="n">
        <f aca="false">IF(F755="BUY",S755-J755,J755-S755)</f>
        <v>0.480000000000018</v>
      </c>
      <c r="W755" s="6" t="n">
        <v>2.4</v>
      </c>
      <c r="X755" s="26" t="n">
        <f aca="false">IFERROR(W755/N755,0)</f>
        <v>0.08</v>
      </c>
      <c r="Y755" s="22" t="str">
        <f aca="false">IF(W755&gt;0,"Win",IF(W755&lt;0,"Loss","Flat"))</f>
        <v>Win</v>
      </c>
      <c r="Z755" s="24" t="n">
        <f aca="false">Summary!$C$5+SUM(W$2:W755)</f>
        <v>3300.27</v>
      </c>
      <c r="AA755" s="24" t="n">
        <f aca="false">MAX(AA754,Z755)</f>
        <v>5000</v>
      </c>
      <c r="AB755" s="24" t="n">
        <f aca="false">AA755-Z755</f>
        <v>1699.73</v>
      </c>
      <c r="AC755" s="23" t="n">
        <f aca="false">IFERROR(AB755/AA755,0)</f>
        <v>0.339946</v>
      </c>
      <c r="AD755" s="22" t="s">
        <v>992</v>
      </c>
    </row>
    <row r="756" customFormat="false" ht="15" hidden="false" customHeight="false" outlineLevel="0" collapsed="false">
      <c r="A756" s="22" t="n">
        <v>755</v>
      </c>
      <c r="B756" s="22" t="s">
        <v>142</v>
      </c>
      <c r="C756" s="37" t="n">
        <v>45338.3841435185</v>
      </c>
      <c r="D756" s="22" t="s">
        <v>206</v>
      </c>
      <c r="E756" s="22" t="n">
        <v>9</v>
      </c>
      <c r="F756" s="22" t="s">
        <v>181</v>
      </c>
      <c r="G756" s="22" t="s">
        <v>235</v>
      </c>
      <c r="H756" s="22" t="n">
        <v>0.05</v>
      </c>
      <c r="I756" s="38" t="n">
        <v>2004.7</v>
      </c>
      <c r="J756" s="38" t="n">
        <v>2004.71</v>
      </c>
      <c r="K756" s="39" t="n">
        <f aca="false">IF(F756="BUY",J756-I756,I756-J756)</f>
        <v>0.00999999999999091</v>
      </c>
      <c r="L756" s="38" t="n">
        <v>1998.7</v>
      </c>
      <c r="M756" s="39" t="n">
        <f aca="false">ABS(I756-L756)</f>
        <v>6</v>
      </c>
      <c r="N756" s="24" t="n">
        <f aca="false">M756*H756*Summary!$C$6</f>
        <v>30</v>
      </c>
      <c r="O756" s="37" t="n">
        <v>45338.6458449074</v>
      </c>
      <c r="P756" s="22" t="n">
        <f aca="false">ROUND((O756-C756)*86400,0)</f>
        <v>22611</v>
      </c>
      <c r="Q756" s="22" t="str">
        <f aca="false">IF(P756&lt;10,"a) &lt;10s",IF(P756&lt;60,"b) 10-60s",IF(P756&lt;600,"c) 1-10min","d) &gt;10min")))</f>
        <v>d) &gt;10min</v>
      </c>
      <c r="R756" s="38" t="n">
        <v>2005.21</v>
      </c>
      <c r="S756" s="38" t="n">
        <v>2005.15</v>
      </c>
      <c r="T756" s="22" t="s">
        <v>189</v>
      </c>
      <c r="U756" s="39" t="n">
        <f aca="false">IF(R756="","",IF(F756="BUY",R756-S756,S756-R756))</f>
        <v>0.0599999999999454</v>
      </c>
      <c r="V756" s="39" t="n">
        <f aca="false">IF(F756="BUY",S756-J756,J756-S756)</f>
        <v>0.440000000000055</v>
      </c>
      <c r="W756" s="6" t="n">
        <v>2.2</v>
      </c>
      <c r="X756" s="26" t="n">
        <f aca="false">IFERROR(W756/N756,0)</f>
        <v>0.0733333333333333</v>
      </c>
      <c r="Y756" s="22" t="str">
        <f aca="false">IF(W756&gt;0,"Win",IF(W756&lt;0,"Loss","Flat"))</f>
        <v>Win</v>
      </c>
      <c r="Z756" s="24" t="n">
        <f aca="false">Summary!$C$5+SUM(W$2:W756)</f>
        <v>3302.47</v>
      </c>
      <c r="AA756" s="24" t="n">
        <f aca="false">MAX(AA755,Z756)</f>
        <v>5000</v>
      </c>
      <c r="AB756" s="24" t="n">
        <f aca="false">AA756-Z756</f>
        <v>1697.53</v>
      </c>
      <c r="AC756" s="23" t="n">
        <f aca="false">IFERROR(AB756/AA756,0)</f>
        <v>0.339506</v>
      </c>
      <c r="AD756" s="22" t="s">
        <v>993</v>
      </c>
    </row>
    <row r="757" customFormat="false" ht="15" hidden="false" customHeight="false" outlineLevel="0" collapsed="false">
      <c r="A757" s="22" t="n">
        <v>756</v>
      </c>
      <c r="B757" s="22" t="s">
        <v>142</v>
      </c>
      <c r="C757" s="37" t="n">
        <v>45338.7340162037</v>
      </c>
      <c r="D757" s="22" t="s">
        <v>206</v>
      </c>
      <c r="E757" s="22" t="n">
        <v>17</v>
      </c>
      <c r="F757" s="22" t="s">
        <v>181</v>
      </c>
      <c r="G757" s="22" t="s">
        <v>243</v>
      </c>
      <c r="H757" s="22" t="n">
        <v>0.05</v>
      </c>
      <c r="I757" s="38" t="n">
        <v>2008.18</v>
      </c>
      <c r="J757" s="38" t="n">
        <v>2008.52</v>
      </c>
      <c r="K757" s="39" t="n">
        <f aca="false">IF(F757="BUY",J757-I757,I757-J757)</f>
        <v>0.339999999999918</v>
      </c>
      <c r="L757" s="38" t="n">
        <v>2002.18</v>
      </c>
      <c r="M757" s="39" t="n">
        <f aca="false">ABS(I757-L757)</f>
        <v>6</v>
      </c>
      <c r="N757" s="24" t="n">
        <f aca="false">M757*H757*Summary!$C$6</f>
        <v>30</v>
      </c>
      <c r="O757" s="37" t="n">
        <v>45338.7398958333</v>
      </c>
      <c r="P757" s="22" t="n">
        <f aca="false">ROUND((O757-C757)*86400,0)</f>
        <v>508</v>
      </c>
      <c r="Q757" s="22" t="str">
        <f aca="false">IF(P757&lt;10,"a) &lt;10s",IF(P757&lt;60,"b) 10-60s",IF(P757&lt;600,"c) 1-10min","d) &gt;10min")))</f>
        <v>c) 1-10min</v>
      </c>
      <c r="R757" s="38" t="n">
        <v>2009.02</v>
      </c>
      <c r="S757" s="38" t="n">
        <v>2009.02</v>
      </c>
      <c r="T757" s="22" t="s">
        <v>189</v>
      </c>
      <c r="U757" s="39" t="n">
        <f aca="false">IF(R757="","",IF(F757="BUY",R757-S757,S757-R757))</f>
        <v>0</v>
      </c>
      <c r="V757" s="39" t="n">
        <f aca="false">IF(F757="BUY",S757-J757,J757-S757)</f>
        <v>0.5</v>
      </c>
      <c r="W757" s="6" t="n">
        <v>2.5</v>
      </c>
      <c r="X757" s="26" t="n">
        <f aca="false">IFERROR(W757/N757,0)</f>
        <v>0.0833333333333333</v>
      </c>
      <c r="Y757" s="22" t="str">
        <f aca="false">IF(W757&gt;0,"Win",IF(W757&lt;0,"Loss","Flat"))</f>
        <v>Win</v>
      </c>
      <c r="Z757" s="24" t="n">
        <f aca="false">Summary!$C$5+SUM(W$2:W757)</f>
        <v>3304.97</v>
      </c>
      <c r="AA757" s="24" t="n">
        <f aca="false">MAX(AA756,Z757)</f>
        <v>5000</v>
      </c>
      <c r="AB757" s="24" t="n">
        <f aca="false">AA757-Z757</f>
        <v>1695.03</v>
      </c>
      <c r="AC757" s="23" t="n">
        <f aca="false">IFERROR(AB757/AA757,0)</f>
        <v>0.339006</v>
      </c>
      <c r="AD757" s="22" t="s">
        <v>994</v>
      </c>
    </row>
    <row r="758" customFormat="false" ht="15" hidden="false" customHeight="false" outlineLevel="0" collapsed="false">
      <c r="A758" s="22" t="n">
        <v>757</v>
      </c>
      <c r="B758" s="22" t="s">
        <v>142</v>
      </c>
      <c r="C758" s="37" t="n">
        <v>45341.3858796296</v>
      </c>
      <c r="D758" s="22" t="s">
        <v>202</v>
      </c>
      <c r="E758" s="22" t="n">
        <v>9</v>
      </c>
      <c r="F758" s="22" t="s">
        <v>181</v>
      </c>
      <c r="G758" s="22" t="s">
        <v>235</v>
      </c>
      <c r="H758" s="22" t="n">
        <v>0.05</v>
      </c>
      <c r="I758" s="38" t="n">
        <v>2022.53</v>
      </c>
      <c r="J758" s="38" t="n">
        <v>2022.53</v>
      </c>
      <c r="K758" s="39" t="n">
        <f aca="false">IF(F758="BUY",J758-I758,I758-J758)</f>
        <v>0</v>
      </c>
      <c r="L758" s="38" t="n">
        <v>2016.53</v>
      </c>
      <c r="M758" s="39" t="n">
        <f aca="false">ABS(I758-L758)</f>
        <v>6</v>
      </c>
      <c r="N758" s="24" t="n">
        <f aca="false">M758*H758*Summary!$C$6</f>
        <v>30</v>
      </c>
      <c r="O758" s="37" t="n">
        <v>45341.6167013889</v>
      </c>
      <c r="P758" s="22" t="n">
        <f aca="false">ROUND((O758-C758)*86400,0)</f>
        <v>19943</v>
      </c>
      <c r="Q758" s="22" t="str">
        <f aca="false">IF(P758&lt;10,"a) &lt;10s",IF(P758&lt;60,"b) 10-60s",IF(P758&lt;600,"c) 1-10min","d) &gt;10min")))</f>
        <v>d) &gt;10min</v>
      </c>
      <c r="R758" s="38" t="n">
        <v>2016.53</v>
      </c>
      <c r="S758" s="38" t="n">
        <v>2016.45</v>
      </c>
      <c r="T758" s="22" t="s">
        <v>188</v>
      </c>
      <c r="U758" s="39" t="n">
        <f aca="false">IF(R758="","",IF(F758="BUY",R758-S758,S758-R758))</f>
        <v>0.0799999999999272</v>
      </c>
      <c r="V758" s="39" t="n">
        <f aca="false">IF(F758="BUY",S758-J758,J758-S758)</f>
        <v>-6.07999999999993</v>
      </c>
      <c r="W758" s="6" t="n">
        <v>-30.4</v>
      </c>
      <c r="X758" s="26" t="n">
        <f aca="false">IFERROR(W758/N758,0)</f>
        <v>-1.01333333333333</v>
      </c>
      <c r="Y758" s="22" t="str">
        <f aca="false">IF(W758&gt;0,"Win",IF(W758&lt;0,"Loss","Flat"))</f>
        <v>Loss</v>
      </c>
      <c r="Z758" s="24" t="n">
        <f aca="false">Summary!$C$5+SUM(W$2:W758)</f>
        <v>3274.57</v>
      </c>
      <c r="AA758" s="24" t="n">
        <f aca="false">MAX(AA757,Z758)</f>
        <v>5000</v>
      </c>
      <c r="AB758" s="24" t="n">
        <f aca="false">AA758-Z758</f>
        <v>1725.43</v>
      </c>
      <c r="AC758" s="23" t="n">
        <f aca="false">IFERROR(AB758/AA758,0)</f>
        <v>0.345086</v>
      </c>
      <c r="AD758" s="22" t="s">
        <v>995</v>
      </c>
    </row>
    <row r="759" customFormat="false" ht="15" hidden="false" customHeight="false" outlineLevel="0" collapsed="false">
      <c r="A759" s="22" t="n">
        <v>758</v>
      </c>
      <c r="B759" s="22" t="s">
        <v>142</v>
      </c>
      <c r="C759" s="37" t="n">
        <v>45342.386099537</v>
      </c>
      <c r="D759" s="22" t="s">
        <v>203</v>
      </c>
      <c r="E759" s="22" t="n">
        <v>9</v>
      </c>
      <c r="F759" s="22" t="s">
        <v>181</v>
      </c>
      <c r="G759" s="22" t="s">
        <v>235</v>
      </c>
      <c r="H759" s="22" t="n">
        <v>0.05</v>
      </c>
      <c r="I759" s="38" t="n">
        <v>2020.8</v>
      </c>
      <c r="J759" s="38" t="n">
        <v>2020.83</v>
      </c>
      <c r="K759" s="39" t="n">
        <f aca="false">IF(F759="BUY",J759-I759,I759-J759)</f>
        <v>0.0299999999999727</v>
      </c>
      <c r="L759" s="38" t="n">
        <v>2014.8</v>
      </c>
      <c r="M759" s="39" t="n">
        <f aca="false">ABS(I759-L759)</f>
        <v>6</v>
      </c>
      <c r="N759" s="24" t="n">
        <f aca="false">M759*H759*Summary!$C$6</f>
        <v>30</v>
      </c>
      <c r="O759" s="37" t="n">
        <v>45342.9270833333</v>
      </c>
      <c r="P759" s="22" t="n">
        <f aca="false">ROUND((O759-C759)*86400,0)</f>
        <v>46741</v>
      </c>
      <c r="Q759" s="22" t="str">
        <f aca="false">IF(P759&lt;10,"a) &lt;10s",IF(P759&lt;60,"b) 10-60s",IF(P759&lt;600,"c) 1-10min","d) &gt;10min")))</f>
        <v>d) &gt;10min</v>
      </c>
      <c r="R759" s="38"/>
      <c r="S759" s="38" t="n">
        <v>2023.87</v>
      </c>
      <c r="T759" s="22" t="s">
        <v>191</v>
      </c>
      <c r="U759" s="39" t="str">
        <f aca="false">IF(R759="","",IF(F759="BUY",R759-S759,S759-R759))</f>
        <v/>
      </c>
      <c r="V759" s="39" t="n">
        <f aca="false">IF(F759="BUY",S759-J759,J759-S759)</f>
        <v>3.03999999999996</v>
      </c>
      <c r="W759" s="6" t="n">
        <v>15.2</v>
      </c>
      <c r="X759" s="26" t="n">
        <f aca="false">IFERROR(W759/N759,0)</f>
        <v>0.506666666666667</v>
      </c>
      <c r="Y759" s="22" t="str">
        <f aca="false">IF(W759&gt;0,"Win",IF(W759&lt;0,"Loss","Flat"))</f>
        <v>Win</v>
      </c>
      <c r="Z759" s="24" t="n">
        <f aca="false">Summary!$C$5+SUM(W$2:W759)</f>
        <v>3289.77</v>
      </c>
      <c r="AA759" s="24" t="n">
        <f aca="false">MAX(AA758,Z759)</f>
        <v>5000</v>
      </c>
      <c r="AB759" s="24" t="n">
        <f aca="false">AA759-Z759</f>
        <v>1710.23</v>
      </c>
      <c r="AC759" s="23" t="n">
        <f aca="false">IFERROR(AB759/AA759,0)</f>
        <v>0.342046</v>
      </c>
      <c r="AD759" s="22" t="s">
        <v>996</v>
      </c>
    </row>
    <row r="760" customFormat="false" ht="15" hidden="false" customHeight="false" outlineLevel="0" collapsed="false">
      <c r="A760" s="22" t="n">
        <v>759</v>
      </c>
      <c r="B760" s="22" t="s">
        <v>142</v>
      </c>
      <c r="C760" s="37" t="n">
        <v>45343.2454976852</v>
      </c>
      <c r="D760" s="22" t="s">
        <v>204</v>
      </c>
      <c r="E760" s="22" t="n">
        <v>5</v>
      </c>
      <c r="F760" s="22" t="s">
        <v>181</v>
      </c>
      <c r="G760" s="22" t="s">
        <v>243</v>
      </c>
      <c r="H760" s="22" t="n">
        <v>0.05</v>
      </c>
      <c r="I760" s="38" t="n">
        <v>2030.77</v>
      </c>
      <c r="J760" s="38" t="n">
        <v>2030.77</v>
      </c>
      <c r="K760" s="39" t="n">
        <f aca="false">IF(F760="BUY",J760-I760,I760-J760)</f>
        <v>0</v>
      </c>
      <c r="L760" s="38" t="n">
        <v>2024.77</v>
      </c>
      <c r="M760" s="39" t="n">
        <f aca="false">ABS(I760-L760)</f>
        <v>6</v>
      </c>
      <c r="N760" s="24" t="n">
        <f aca="false">M760*H760*Summary!$C$6</f>
        <v>30</v>
      </c>
      <c r="O760" s="37" t="n">
        <v>45343.7490509259</v>
      </c>
      <c r="P760" s="22" t="n">
        <f aca="false">ROUND((O760-C760)*86400,0)</f>
        <v>43507</v>
      </c>
      <c r="Q760" s="22" t="str">
        <f aca="false">IF(P760&lt;10,"a) &lt;10s",IF(P760&lt;60,"b) 10-60s",IF(P760&lt;600,"c) 1-10min","d) &gt;10min")))</f>
        <v>d) &gt;10min</v>
      </c>
      <c r="R760" s="38" t="n">
        <v>2024.77</v>
      </c>
      <c r="S760" s="38" t="n">
        <v>2024.77</v>
      </c>
      <c r="T760" s="22" t="s">
        <v>188</v>
      </c>
      <c r="U760" s="39" t="n">
        <f aca="false">IF(R760="","",IF(F760="BUY",R760-S760,S760-R760))</f>
        <v>0</v>
      </c>
      <c r="V760" s="39" t="n">
        <f aca="false">IF(F760="BUY",S760-J760,J760-S760)</f>
        <v>-6</v>
      </c>
      <c r="W760" s="6" t="n">
        <v>-30</v>
      </c>
      <c r="X760" s="26" t="n">
        <f aca="false">IFERROR(W760/N760,0)</f>
        <v>-1</v>
      </c>
      <c r="Y760" s="22" t="str">
        <f aca="false">IF(W760&gt;0,"Win",IF(W760&lt;0,"Loss","Flat"))</f>
        <v>Loss</v>
      </c>
      <c r="Z760" s="24" t="n">
        <f aca="false">Summary!$C$5+SUM(W$2:W760)</f>
        <v>3259.77</v>
      </c>
      <c r="AA760" s="24" t="n">
        <f aca="false">MAX(AA759,Z760)</f>
        <v>5000</v>
      </c>
      <c r="AB760" s="24" t="n">
        <f aca="false">AA760-Z760</f>
        <v>1740.23</v>
      </c>
      <c r="AC760" s="23" t="n">
        <f aca="false">IFERROR(AB760/AA760,0)</f>
        <v>0.348046</v>
      </c>
      <c r="AD760" s="22" t="s">
        <v>997</v>
      </c>
    </row>
    <row r="761" customFormat="false" ht="15" hidden="false" customHeight="false" outlineLevel="0" collapsed="false">
      <c r="A761" s="22" t="n">
        <v>760</v>
      </c>
      <c r="B761" s="22" t="s">
        <v>142</v>
      </c>
      <c r="C761" s="37" t="n">
        <v>45344.3794212963</v>
      </c>
      <c r="D761" s="22" t="s">
        <v>205</v>
      </c>
      <c r="E761" s="22" t="n">
        <v>9</v>
      </c>
      <c r="F761" s="22" t="s">
        <v>181</v>
      </c>
      <c r="G761" s="22" t="s">
        <v>235</v>
      </c>
      <c r="H761" s="22" t="n">
        <v>0.05</v>
      </c>
      <c r="I761" s="38" t="n">
        <v>2030.52</v>
      </c>
      <c r="J761" s="38" t="n">
        <v>2030.52</v>
      </c>
      <c r="K761" s="39" t="n">
        <f aca="false">IF(F761="BUY",J761-I761,I761-J761)</f>
        <v>0</v>
      </c>
      <c r="L761" s="38" t="n">
        <v>2024.52</v>
      </c>
      <c r="M761" s="39" t="n">
        <f aca="false">ABS(I761-L761)</f>
        <v>6</v>
      </c>
      <c r="N761" s="24" t="n">
        <f aca="false">M761*H761*Summary!$C$6</f>
        <v>30</v>
      </c>
      <c r="O761" s="37" t="n">
        <v>45344.4729976852</v>
      </c>
      <c r="P761" s="22" t="n">
        <f aca="false">ROUND((O761-C761)*86400,0)</f>
        <v>8085</v>
      </c>
      <c r="Q761" s="22" t="str">
        <f aca="false">IF(P761&lt;10,"a) &lt;10s",IF(P761&lt;60,"b) 10-60s",IF(P761&lt;600,"c) 1-10min","d) &gt;10min")))</f>
        <v>d) &gt;10min</v>
      </c>
      <c r="R761" s="38" t="n">
        <v>2031.02</v>
      </c>
      <c r="S761" s="38" t="n">
        <v>2031.01</v>
      </c>
      <c r="T761" s="22" t="s">
        <v>189</v>
      </c>
      <c r="U761" s="39" t="n">
        <f aca="false">IF(R761="","",IF(F761="BUY",R761-S761,S761-R761))</f>
        <v>0.00999999999999091</v>
      </c>
      <c r="V761" s="39" t="n">
        <f aca="false">IF(F761="BUY",S761-J761,J761-S761)</f>
        <v>0.490000000000009</v>
      </c>
      <c r="W761" s="6" t="n">
        <v>2.45</v>
      </c>
      <c r="X761" s="26" t="n">
        <f aca="false">IFERROR(W761/N761,0)</f>
        <v>0.0816666666666667</v>
      </c>
      <c r="Y761" s="22" t="str">
        <f aca="false">IF(W761&gt;0,"Win",IF(W761&lt;0,"Loss","Flat"))</f>
        <v>Win</v>
      </c>
      <c r="Z761" s="24" t="n">
        <f aca="false">Summary!$C$5+SUM(W$2:W761)</f>
        <v>3262.22</v>
      </c>
      <c r="AA761" s="24" t="n">
        <f aca="false">MAX(AA760,Z761)</f>
        <v>5000</v>
      </c>
      <c r="AB761" s="24" t="n">
        <f aca="false">AA761-Z761</f>
        <v>1737.78</v>
      </c>
      <c r="AC761" s="23" t="n">
        <f aca="false">IFERROR(AB761/AA761,0)</f>
        <v>0.347556</v>
      </c>
      <c r="AD761" s="22" t="s">
        <v>998</v>
      </c>
    </row>
    <row r="762" customFormat="false" ht="15" hidden="false" customHeight="false" outlineLevel="0" collapsed="false">
      <c r="A762" s="22" t="n">
        <v>761</v>
      </c>
      <c r="B762" s="22" t="s">
        <v>142</v>
      </c>
      <c r="C762" s="37" t="n">
        <v>45344.7832523148</v>
      </c>
      <c r="D762" s="22" t="s">
        <v>205</v>
      </c>
      <c r="E762" s="22" t="n">
        <v>18</v>
      </c>
      <c r="F762" s="22" t="s">
        <v>182</v>
      </c>
      <c r="G762" s="22" t="s">
        <v>237</v>
      </c>
      <c r="H762" s="22" t="n">
        <v>0.05</v>
      </c>
      <c r="I762" s="38" t="n">
        <v>2019.92</v>
      </c>
      <c r="J762" s="38" t="n">
        <v>2019.85</v>
      </c>
      <c r="K762" s="39" t="n">
        <f aca="false">IF(F762="BUY",J762-I762,I762-J762)</f>
        <v>0.0700000000001637</v>
      </c>
      <c r="L762" s="38" t="n">
        <v>2025.92</v>
      </c>
      <c r="M762" s="39" t="n">
        <f aca="false">ABS(I762-L762)</f>
        <v>6</v>
      </c>
      <c r="N762" s="24" t="n">
        <f aca="false">M762*H762*Summary!$C$6</f>
        <v>30</v>
      </c>
      <c r="O762" s="37" t="n">
        <v>45344.9271180556</v>
      </c>
      <c r="P762" s="22" t="n">
        <f aca="false">ROUND((O762-C762)*86400,0)</f>
        <v>12430</v>
      </c>
      <c r="Q762" s="22" t="str">
        <f aca="false">IF(P762&lt;10,"a) &lt;10s",IF(P762&lt;60,"b) 10-60s",IF(P762&lt;600,"c) 1-10min","d) &gt;10min")))</f>
        <v>d) &gt;10min</v>
      </c>
      <c r="R762" s="38"/>
      <c r="S762" s="38" t="n">
        <v>2022.98</v>
      </c>
      <c r="T762" s="22" t="s">
        <v>191</v>
      </c>
      <c r="U762" s="39" t="str">
        <f aca="false">IF(R762="","",IF(F762="BUY",R762-S762,S762-R762))</f>
        <v/>
      </c>
      <c r="V762" s="39" t="n">
        <f aca="false">IF(F762="BUY",S762-J762,J762-S762)</f>
        <v>-3.13000000000011</v>
      </c>
      <c r="W762" s="6" t="n">
        <v>-15.65</v>
      </c>
      <c r="X762" s="26" t="n">
        <f aca="false">IFERROR(W762/N762,0)</f>
        <v>-0.521666666666667</v>
      </c>
      <c r="Y762" s="22" t="str">
        <f aca="false">IF(W762&gt;0,"Win",IF(W762&lt;0,"Loss","Flat"))</f>
        <v>Loss</v>
      </c>
      <c r="Z762" s="24" t="n">
        <f aca="false">Summary!$C$5+SUM(W$2:W762)</f>
        <v>3246.57</v>
      </c>
      <c r="AA762" s="24" t="n">
        <f aca="false">MAX(AA761,Z762)</f>
        <v>5000</v>
      </c>
      <c r="AB762" s="24" t="n">
        <f aca="false">AA762-Z762</f>
        <v>1753.43</v>
      </c>
      <c r="AC762" s="23" t="n">
        <f aca="false">IFERROR(AB762/AA762,0)</f>
        <v>0.350686</v>
      </c>
      <c r="AD762" s="22" t="s">
        <v>999</v>
      </c>
    </row>
    <row r="763" customFormat="false" ht="15" hidden="false" customHeight="false" outlineLevel="0" collapsed="false">
      <c r="A763" s="22" t="n">
        <v>762</v>
      </c>
      <c r="B763" s="22" t="s">
        <v>142</v>
      </c>
      <c r="C763" s="37" t="n">
        <v>45345.3518518519</v>
      </c>
      <c r="D763" s="22" t="s">
        <v>206</v>
      </c>
      <c r="E763" s="22" t="n">
        <v>8</v>
      </c>
      <c r="F763" s="22" t="s">
        <v>182</v>
      </c>
      <c r="G763" s="22" t="s">
        <v>237</v>
      </c>
      <c r="H763" s="22" t="n">
        <v>0.05</v>
      </c>
      <c r="I763" s="38" t="n">
        <v>2019.56</v>
      </c>
      <c r="J763" s="38" t="n">
        <v>2019.56</v>
      </c>
      <c r="K763" s="39" t="n">
        <f aca="false">IF(F763="BUY",J763-I763,I763-J763)</f>
        <v>0</v>
      </c>
      <c r="L763" s="38" t="n">
        <v>2025.56</v>
      </c>
      <c r="M763" s="39" t="n">
        <f aca="false">ABS(I763-L763)</f>
        <v>6</v>
      </c>
      <c r="N763" s="24" t="n">
        <f aca="false">M763*H763*Summary!$C$6</f>
        <v>30</v>
      </c>
      <c r="O763" s="37" t="n">
        <v>45345.51125</v>
      </c>
      <c r="P763" s="22" t="n">
        <f aca="false">ROUND((O763-C763)*86400,0)</f>
        <v>13772</v>
      </c>
      <c r="Q763" s="22" t="str">
        <f aca="false">IF(P763&lt;10,"a) &lt;10s",IF(P763&lt;60,"b) 10-60s",IF(P763&lt;600,"c) 1-10min","d) &gt;10min")))</f>
        <v>d) &gt;10min</v>
      </c>
      <c r="R763" s="38" t="n">
        <v>2019.06</v>
      </c>
      <c r="S763" s="38" t="n">
        <v>2019.12</v>
      </c>
      <c r="T763" s="22" t="s">
        <v>189</v>
      </c>
      <c r="U763" s="39" t="n">
        <f aca="false">IF(R763="","",IF(F763="BUY",R763-S763,S763-R763))</f>
        <v>0.0599999999999454</v>
      </c>
      <c r="V763" s="39" t="n">
        <f aca="false">IF(F763="BUY",S763-J763,J763-S763)</f>
        <v>0.440000000000055</v>
      </c>
      <c r="W763" s="6" t="n">
        <v>2.2</v>
      </c>
      <c r="X763" s="26" t="n">
        <f aca="false">IFERROR(W763/N763,0)</f>
        <v>0.0733333333333333</v>
      </c>
      <c r="Y763" s="22" t="str">
        <f aca="false">IF(W763&gt;0,"Win",IF(W763&lt;0,"Loss","Flat"))</f>
        <v>Win</v>
      </c>
      <c r="Z763" s="24" t="n">
        <f aca="false">Summary!$C$5+SUM(W$2:W763)</f>
        <v>3248.77</v>
      </c>
      <c r="AA763" s="24" t="n">
        <f aca="false">MAX(AA762,Z763)</f>
        <v>5000</v>
      </c>
      <c r="AB763" s="24" t="n">
        <f aca="false">AA763-Z763</f>
        <v>1751.23</v>
      </c>
      <c r="AC763" s="23" t="n">
        <f aca="false">IFERROR(AB763/AA763,0)</f>
        <v>0.350246</v>
      </c>
      <c r="AD763" s="22" t="s">
        <v>1000</v>
      </c>
    </row>
    <row r="764" customFormat="false" ht="15" hidden="false" customHeight="false" outlineLevel="0" collapsed="false">
      <c r="A764" s="22" t="n">
        <v>763</v>
      </c>
      <c r="B764" s="22" t="s">
        <v>142</v>
      </c>
      <c r="C764" s="37" t="n">
        <v>45345.6074884259</v>
      </c>
      <c r="D764" s="22" t="s">
        <v>206</v>
      </c>
      <c r="E764" s="22" t="n">
        <v>14</v>
      </c>
      <c r="F764" s="22" t="s">
        <v>181</v>
      </c>
      <c r="G764" s="22" t="s">
        <v>235</v>
      </c>
      <c r="H764" s="22" t="n">
        <v>0.05</v>
      </c>
      <c r="I764" s="38" t="n">
        <v>2026.1</v>
      </c>
      <c r="J764" s="38" t="n">
        <v>2026.23</v>
      </c>
      <c r="K764" s="39" t="n">
        <f aca="false">IF(F764="BUY",J764-I764,I764-J764)</f>
        <v>0.130000000000109</v>
      </c>
      <c r="L764" s="38" t="n">
        <v>2020.1</v>
      </c>
      <c r="M764" s="39" t="n">
        <f aca="false">ABS(I764-L764)</f>
        <v>6</v>
      </c>
      <c r="N764" s="24" t="n">
        <f aca="false">M764*H764*Summary!$C$6</f>
        <v>30</v>
      </c>
      <c r="O764" s="37" t="n">
        <v>45345.6084722222</v>
      </c>
      <c r="P764" s="22" t="n">
        <f aca="false">ROUND((O764-C764)*86400,0)</f>
        <v>85</v>
      </c>
      <c r="Q764" s="22" t="str">
        <f aca="false">IF(P764&lt;10,"a) &lt;10s",IF(P764&lt;60,"b) 10-60s",IF(P764&lt;600,"c) 1-10min","d) &gt;10min")))</f>
        <v>c) 1-10min</v>
      </c>
      <c r="R764" s="38" t="n">
        <v>2026.73</v>
      </c>
      <c r="S764" s="38" t="n">
        <v>2026.71</v>
      </c>
      <c r="T764" s="22" t="s">
        <v>189</v>
      </c>
      <c r="U764" s="39" t="n">
        <f aca="false">IF(R764="","",IF(F764="BUY",R764-S764,S764-R764))</f>
        <v>0.0199999999999818</v>
      </c>
      <c r="V764" s="39" t="n">
        <f aca="false">IF(F764="BUY",S764-J764,J764-S764)</f>
        <v>0.480000000000018</v>
      </c>
      <c r="W764" s="6" t="n">
        <v>2.4</v>
      </c>
      <c r="X764" s="26" t="n">
        <f aca="false">IFERROR(W764/N764,0)</f>
        <v>0.08</v>
      </c>
      <c r="Y764" s="22" t="str">
        <f aca="false">IF(W764&gt;0,"Win",IF(W764&lt;0,"Loss","Flat"))</f>
        <v>Win</v>
      </c>
      <c r="Z764" s="24" t="n">
        <f aca="false">Summary!$C$5+SUM(W$2:W764)</f>
        <v>3251.17</v>
      </c>
      <c r="AA764" s="24" t="n">
        <f aca="false">MAX(AA763,Z764)</f>
        <v>5000</v>
      </c>
      <c r="AB764" s="24" t="n">
        <f aca="false">AA764-Z764</f>
        <v>1748.83</v>
      </c>
      <c r="AC764" s="23" t="n">
        <f aca="false">IFERROR(AB764/AA764,0)</f>
        <v>0.349766</v>
      </c>
      <c r="AD764" s="22" t="s">
        <v>1001</v>
      </c>
    </row>
    <row r="765" customFormat="false" ht="15" hidden="false" customHeight="false" outlineLevel="0" collapsed="false">
      <c r="A765" s="22" t="n">
        <v>764</v>
      </c>
      <c r="B765" s="22" t="s">
        <v>142</v>
      </c>
      <c r="C765" s="37" t="n">
        <v>45348.3831365741</v>
      </c>
      <c r="D765" s="22" t="s">
        <v>202</v>
      </c>
      <c r="E765" s="22" t="n">
        <v>9</v>
      </c>
      <c r="F765" s="22" t="s">
        <v>181</v>
      </c>
      <c r="G765" s="22" t="s">
        <v>235</v>
      </c>
      <c r="H765" s="22" t="n">
        <v>0.05</v>
      </c>
      <c r="I765" s="38" t="n">
        <v>2034.13</v>
      </c>
      <c r="J765" s="38" t="n">
        <v>2034.14</v>
      </c>
      <c r="K765" s="39" t="n">
        <f aca="false">IF(F765="BUY",J765-I765,I765-J765)</f>
        <v>0.00999999999999091</v>
      </c>
      <c r="L765" s="38" t="n">
        <v>2028.13</v>
      </c>
      <c r="M765" s="39" t="n">
        <f aca="false">ABS(I765-L765)</f>
        <v>6</v>
      </c>
      <c r="N765" s="24" t="n">
        <f aca="false">M765*H765*Summary!$C$6</f>
        <v>30</v>
      </c>
      <c r="O765" s="37" t="n">
        <v>45348.4449652778</v>
      </c>
      <c r="P765" s="22" t="n">
        <f aca="false">ROUND((O765-C765)*86400,0)</f>
        <v>5342</v>
      </c>
      <c r="Q765" s="22" t="str">
        <f aca="false">IF(P765&lt;10,"a) &lt;10s",IF(P765&lt;60,"b) 10-60s",IF(P765&lt;600,"c) 1-10min","d) &gt;10min")))</f>
        <v>d) &gt;10min</v>
      </c>
      <c r="R765" s="38" t="n">
        <v>2034.64</v>
      </c>
      <c r="S765" s="38" t="n">
        <v>2034.61</v>
      </c>
      <c r="T765" s="22" t="s">
        <v>189</v>
      </c>
      <c r="U765" s="39" t="n">
        <f aca="false">IF(R765="","",IF(F765="BUY",R765-S765,S765-R765))</f>
        <v>0.0300000000002001</v>
      </c>
      <c r="V765" s="39" t="n">
        <f aca="false">IF(F765="BUY",S765-J765,J765-S765)</f>
        <v>0.4699999999998</v>
      </c>
      <c r="W765" s="6" t="n">
        <v>2.35</v>
      </c>
      <c r="X765" s="26" t="n">
        <f aca="false">IFERROR(W765/N765,0)</f>
        <v>0.0783333333333333</v>
      </c>
      <c r="Y765" s="22" t="str">
        <f aca="false">IF(W765&gt;0,"Win",IF(W765&lt;0,"Loss","Flat"))</f>
        <v>Win</v>
      </c>
      <c r="Z765" s="24" t="n">
        <f aca="false">Summary!$C$5+SUM(W$2:W765)</f>
        <v>3253.52</v>
      </c>
      <c r="AA765" s="24" t="n">
        <f aca="false">MAX(AA764,Z765)</f>
        <v>5000</v>
      </c>
      <c r="AB765" s="24" t="n">
        <f aca="false">AA765-Z765</f>
        <v>1746.48</v>
      </c>
      <c r="AC765" s="23" t="n">
        <f aca="false">IFERROR(AB765/AA765,0)</f>
        <v>0.349296</v>
      </c>
      <c r="AD765" s="22" t="s">
        <v>1002</v>
      </c>
    </row>
    <row r="766" customFormat="false" ht="15" hidden="false" customHeight="false" outlineLevel="0" collapsed="false">
      <c r="A766" s="22" t="n">
        <v>765</v>
      </c>
      <c r="B766" s="22" t="s">
        <v>142</v>
      </c>
      <c r="C766" s="37" t="n">
        <v>45349.3853703704</v>
      </c>
      <c r="D766" s="22" t="s">
        <v>203</v>
      </c>
      <c r="E766" s="22" t="n">
        <v>9</v>
      </c>
      <c r="F766" s="22" t="s">
        <v>181</v>
      </c>
      <c r="G766" s="22" t="s">
        <v>235</v>
      </c>
      <c r="H766" s="22" t="n">
        <v>0.05</v>
      </c>
      <c r="I766" s="38" t="n">
        <v>2034.91</v>
      </c>
      <c r="J766" s="38" t="n">
        <v>2034.96</v>
      </c>
      <c r="K766" s="39" t="n">
        <f aca="false">IF(F766="BUY",J766-I766,I766-J766)</f>
        <v>0.0499999999999545</v>
      </c>
      <c r="L766" s="38" t="n">
        <v>2028.91</v>
      </c>
      <c r="M766" s="39" t="n">
        <f aca="false">ABS(I766-L766)</f>
        <v>6</v>
      </c>
      <c r="N766" s="24" t="n">
        <f aca="false">M766*H766*Summary!$C$6</f>
        <v>30</v>
      </c>
      <c r="O766" s="37" t="n">
        <v>45349.4864814815</v>
      </c>
      <c r="P766" s="22" t="n">
        <f aca="false">ROUND((O766-C766)*86400,0)</f>
        <v>8736</v>
      </c>
      <c r="Q766" s="22" t="str">
        <f aca="false">IF(P766&lt;10,"a) &lt;10s",IF(P766&lt;60,"b) 10-60s",IF(P766&lt;600,"c) 1-10min","d) &gt;10min")))</f>
        <v>d) &gt;10min</v>
      </c>
      <c r="R766" s="38" t="n">
        <v>2035.46</v>
      </c>
      <c r="S766" s="38" t="n">
        <v>2035.44</v>
      </c>
      <c r="T766" s="22" t="s">
        <v>189</v>
      </c>
      <c r="U766" s="39" t="n">
        <f aca="false">IF(R766="","",IF(F766="BUY",R766-S766,S766-R766))</f>
        <v>0.0199999999999818</v>
      </c>
      <c r="V766" s="39" t="n">
        <f aca="false">IF(F766="BUY",S766-J766,J766-S766)</f>
        <v>0.480000000000018</v>
      </c>
      <c r="W766" s="6" t="n">
        <v>2.4</v>
      </c>
      <c r="X766" s="26" t="n">
        <f aca="false">IFERROR(W766/N766,0)</f>
        <v>0.08</v>
      </c>
      <c r="Y766" s="22" t="str">
        <f aca="false">IF(W766&gt;0,"Win",IF(W766&lt;0,"Loss","Flat"))</f>
        <v>Win</v>
      </c>
      <c r="Z766" s="24" t="n">
        <f aca="false">Summary!$C$5+SUM(W$2:W766)</f>
        <v>3255.92</v>
      </c>
      <c r="AA766" s="24" t="n">
        <f aca="false">MAX(AA765,Z766)</f>
        <v>5000</v>
      </c>
      <c r="AB766" s="24" t="n">
        <f aca="false">AA766-Z766</f>
        <v>1744.08</v>
      </c>
      <c r="AC766" s="23" t="n">
        <f aca="false">IFERROR(AB766/AA766,0)</f>
        <v>0.348816</v>
      </c>
      <c r="AD766" s="22" t="s">
        <v>1003</v>
      </c>
    </row>
    <row r="767" customFormat="false" ht="15" hidden="false" customHeight="false" outlineLevel="0" collapsed="false">
      <c r="A767" s="22" t="n">
        <v>766</v>
      </c>
      <c r="B767" s="22" t="s">
        <v>142</v>
      </c>
      <c r="C767" s="37" t="n">
        <v>45350.3700578704</v>
      </c>
      <c r="D767" s="22" t="s">
        <v>204</v>
      </c>
      <c r="E767" s="22" t="n">
        <v>8</v>
      </c>
      <c r="F767" s="22" t="s">
        <v>182</v>
      </c>
      <c r="G767" s="22" t="s">
        <v>237</v>
      </c>
      <c r="H767" s="22" t="n">
        <v>0.05</v>
      </c>
      <c r="I767" s="38" t="n">
        <v>2028.73</v>
      </c>
      <c r="J767" s="38" t="n">
        <v>2028.72</v>
      </c>
      <c r="K767" s="39" t="n">
        <f aca="false">IF(F767="BUY",J767-I767,I767-J767)</f>
        <v>0.00999999999999091</v>
      </c>
      <c r="L767" s="38" t="n">
        <v>2034.73</v>
      </c>
      <c r="M767" s="39" t="n">
        <f aca="false">ABS(I767-L767)</f>
        <v>6</v>
      </c>
      <c r="N767" s="24" t="n">
        <f aca="false">M767*H767*Summary!$C$6</f>
        <v>30</v>
      </c>
      <c r="O767" s="37" t="n">
        <v>45350.5856828704</v>
      </c>
      <c r="P767" s="22" t="n">
        <f aca="false">ROUND((O767-C767)*86400,0)</f>
        <v>18630</v>
      </c>
      <c r="Q767" s="22" t="str">
        <f aca="false">IF(P767&lt;10,"a) &lt;10s",IF(P767&lt;60,"b) 10-60s",IF(P767&lt;600,"c) 1-10min","d) &gt;10min")))</f>
        <v>d) &gt;10min</v>
      </c>
      <c r="R767" s="38" t="n">
        <v>2028.22</v>
      </c>
      <c r="S767" s="38" t="n">
        <v>2028.25</v>
      </c>
      <c r="T767" s="22" t="s">
        <v>189</v>
      </c>
      <c r="U767" s="39" t="n">
        <f aca="false">IF(R767="","",IF(F767="BUY",R767-S767,S767-R767))</f>
        <v>0.0299999999999727</v>
      </c>
      <c r="V767" s="39" t="n">
        <f aca="false">IF(F767="BUY",S767-J767,J767-S767)</f>
        <v>0.470000000000027</v>
      </c>
      <c r="W767" s="6" t="n">
        <v>2.35</v>
      </c>
      <c r="X767" s="26" t="n">
        <f aca="false">IFERROR(W767/N767,0)</f>
        <v>0.0783333333333333</v>
      </c>
      <c r="Y767" s="22" t="str">
        <f aca="false">IF(W767&gt;0,"Win",IF(W767&lt;0,"Loss","Flat"))</f>
        <v>Win</v>
      </c>
      <c r="Z767" s="24" t="n">
        <f aca="false">Summary!$C$5+SUM(W$2:W767)</f>
        <v>3258.27</v>
      </c>
      <c r="AA767" s="24" t="n">
        <f aca="false">MAX(AA766,Z767)</f>
        <v>5000</v>
      </c>
      <c r="AB767" s="24" t="n">
        <f aca="false">AA767-Z767</f>
        <v>1741.73</v>
      </c>
      <c r="AC767" s="23" t="n">
        <f aca="false">IFERROR(AB767/AA767,0)</f>
        <v>0.348346</v>
      </c>
      <c r="AD767" s="22" t="s">
        <v>1004</v>
      </c>
    </row>
    <row r="768" customFormat="false" ht="15" hidden="false" customHeight="false" outlineLevel="0" collapsed="false">
      <c r="A768" s="22" t="n">
        <v>767</v>
      </c>
      <c r="B768" s="22" t="s">
        <v>142</v>
      </c>
      <c r="C768" s="37" t="n">
        <v>45350.6340625</v>
      </c>
      <c r="D768" s="22" t="s">
        <v>204</v>
      </c>
      <c r="E768" s="22" t="n">
        <v>15</v>
      </c>
      <c r="F768" s="22" t="s">
        <v>181</v>
      </c>
      <c r="G768" s="22" t="s">
        <v>235</v>
      </c>
      <c r="H768" s="22" t="n">
        <v>0.05</v>
      </c>
      <c r="I768" s="38" t="n">
        <v>2031.97</v>
      </c>
      <c r="J768" s="38" t="n">
        <v>2031.98</v>
      </c>
      <c r="K768" s="39" t="n">
        <f aca="false">IF(F768="BUY",J768-I768,I768-J768)</f>
        <v>0.00999999999999091</v>
      </c>
      <c r="L768" s="38" t="n">
        <v>2025.97</v>
      </c>
      <c r="M768" s="39" t="n">
        <f aca="false">ABS(I768-L768)</f>
        <v>6</v>
      </c>
      <c r="N768" s="24" t="n">
        <f aca="false">M768*H768*Summary!$C$6</f>
        <v>30</v>
      </c>
      <c r="O768" s="37" t="n">
        <v>45350.6459837963</v>
      </c>
      <c r="P768" s="22" t="n">
        <f aca="false">ROUND((O768-C768)*86400,0)</f>
        <v>1030</v>
      </c>
      <c r="Q768" s="22" t="str">
        <f aca="false">IF(P768&lt;10,"a) &lt;10s",IF(P768&lt;60,"b) 10-60s",IF(P768&lt;600,"c) 1-10min","d) &gt;10min")))</f>
        <v>d) &gt;10min</v>
      </c>
      <c r="R768" s="38" t="n">
        <v>2032.48</v>
      </c>
      <c r="S768" s="38" t="n">
        <v>2032.48</v>
      </c>
      <c r="T768" s="22" t="s">
        <v>189</v>
      </c>
      <c r="U768" s="39" t="n">
        <f aca="false">IF(R768="","",IF(F768="BUY",R768-S768,S768-R768))</f>
        <v>0</v>
      </c>
      <c r="V768" s="39" t="n">
        <f aca="false">IF(F768="BUY",S768-J768,J768-S768)</f>
        <v>0.5</v>
      </c>
      <c r="W768" s="6" t="n">
        <v>2.5</v>
      </c>
      <c r="X768" s="26" t="n">
        <f aca="false">IFERROR(W768/N768,0)</f>
        <v>0.0833333333333333</v>
      </c>
      <c r="Y768" s="22" t="str">
        <f aca="false">IF(W768&gt;0,"Win",IF(W768&lt;0,"Loss","Flat"))</f>
        <v>Win</v>
      </c>
      <c r="Z768" s="24" t="n">
        <f aca="false">Summary!$C$5+SUM(W$2:W768)</f>
        <v>3260.77</v>
      </c>
      <c r="AA768" s="24" t="n">
        <f aca="false">MAX(AA767,Z768)</f>
        <v>5000</v>
      </c>
      <c r="AB768" s="24" t="n">
        <f aca="false">AA768-Z768</f>
        <v>1739.23</v>
      </c>
      <c r="AC768" s="23" t="n">
        <f aca="false">IFERROR(AB768/AA768,0)</f>
        <v>0.347846</v>
      </c>
      <c r="AD768" s="22" t="s">
        <v>1005</v>
      </c>
    </row>
    <row r="769" customFormat="false" ht="15" hidden="false" customHeight="false" outlineLevel="0" collapsed="false">
      <c r="A769" s="22" t="n">
        <v>768</v>
      </c>
      <c r="B769" s="22" t="s">
        <v>142</v>
      </c>
      <c r="C769" s="37" t="n">
        <v>45351.4009259259</v>
      </c>
      <c r="D769" s="22" t="s">
        <v>205</v>
      </c>
      <c r="E769" s="22" t="n">
        <v>9</v>
      </c>
      <c r="F769" s="22" t="s">
        <v>181</v>
      </c>
      <c r="G769" s="22" t="s">
        <v>243</v>
      </c>
      <c r="H769" s="22" t="n">
        <v>0.05</v>
      </c>
      <c r="I769" s="38" t="n">
        <v>2037.81</v>
      </c>
      <c r="J769" s="38" t="n">
        <v>2037.82</v>
      </c>
      <c r="K769" s="39" t="n">
        <f aca="false">IF(F769="BUY",J769-I769,I769-J769)</f>
        <v>0.00999999999999091</v>
      </c>
      <c r="L769" s="38" t="n">
        <v>2031.81</v>
      </c>
      <c r="M769" s="39" t="n">
        <f aca="false">ABS(I769-L769)</f>
        <v>6</v>
      </c>
      <c r="N769" s="24" t="n">
        <f aca="false">M769*H769*Summary!$C$6</f>
        <v>30</v>
      </c>
      <c r="O769" s="37" t="n">
        <v>45351.5258680556</v>
      </c>
      <c r="P769" s="22" t="n">
        <f aca="false">ROUND((O769-C769)*86400,0)</f>
        <v>10795</v>
      </c>
      <c r="Q769" s="22" t="str">
        <f aca="false">IF(P769&lt;10,"a) &lt;10s",IF(P769&lt;60,"b) 10-60s",IF(P769&lt;600,"c) 1-10min","d) &gt;10min")))</f>
        <v>d) &gt;10min</v>
      </c>
      <c r="R769" s="38" t="n">
        <v>2031.81</v>
      </c>
      <c r="S769" s="38" t="n">
        <v>2031.81</v>
      </c>
      <c r="T769" s="22" t="s">
        <v>188</v>
      </c>
      <c r="U769" s="39" t="n">
        <f aca="false">IF(R769="","",IF(F769="BUY",R769-S769,S769-R769))</f>
        <v>0</v>
      </c>
      <c r="V769" s="39" t="n">
        <f aca="false">IF(F769="BUY",S769-J769,J769-S769)</f>
        <v>-6.00999999999999</v>
      </c>
      <c r="W769" s="6" t="n">
        <v>-30.05</v>
      </c>
      <c r="X769" s="26" t="n">
        <f aca="false">IFERROR(W769/N769,0)</f>
        <v>-1.00166666666667</v>
      </c>
      <c r="Y769" s="22" t="str">
        <f aca="false">IF(W769&gt;0,"Win",IF(W769&lt;0,"Loss","Flat"))</f>
        <v>Loss</v>
      </c>
      <c r="Z769" s="24" t="n">
        <f aca="false">Summary!$C$5+SUM(W$2:W769)</f>
        <v>3230.72</v>
      </c>
      <c r="AA769" s="24" t="n">
        <f aca="false">MAX(AA768,Z769)</f>
        <v>5000</v>
      </c>
      <c r="AB769" s="24" t="n">
        <f aca="false">AA769-Z769</f>
        <v>1769.28</v>
      </c>
      <c r="AC769" s="23" t="n">
        <f aca="false">IFERROR(AB769/AA769,0)</f>
        <v>0.353856</v>
      </c>
      <c r="AD769" s="22" t="s">
        <v>1006</v>
      </c>
    </row>
    <row r="770" customFormat="false" ht="15" hidden="false" customHeight="false" outlineLevel="0" collapsed="false">
      <c r="A770" s="22" t="n">
        <v>769</v>
      </c>
      <c r="B770" s="22" t="s">
        <v>143</v>
      </c>
      <c r="C770" s="37" t="n">
        <v>45352.3788657407</v>
      </c>
      <c r="D770" s="22" t="s">
        <v>206</v>
      </c>
      <c r="E770" s="22" t="n">
        <v>9</v>
      </c>
      <c r="F770" s="22" t="s">
        <v>181</v>
      </c>
      <c r="G770" s="22" t="s">
        <v>235</v>
      </c>
      <c r="H770" s="22" t="n">
        <v>0.05</v>
      </c>
      <c r="I770" s="38" t="n">
        <v>2048</v>
      </c>
      <c r="J770" s="38" t="n">
        <v>2048.03</v>
      </c>
      <c r="K770" s="39" t="n">
        <f aca="false">IF(F770="BUY",J770-I770,I770-J770)</f>
        <v>0.0300000000002001</v>
      </c>
      <c r="L770" s="38" t="n">
        <v>2042</v>
      </c>
      <c r="M770" s="39" t="n">
        <f aca="false">ABS(I770-L770)</f>
        <v>6</v>
      </c>
      <c r="N770" s="24" t="n">
        <f aca="false">M770*H770*Summary!$C$6</f>
        <v>30</v>
      </c>
      <c r="O770" s="37" t="n">
        <v>45352.4340509259</v>
      </c>
      <c r="P770" s="22" t="n">
        <f aca="false">ROUND((O770-C770)*86400,0)</f>
        <v>4768</v>
      </c>
      <c r="Q770" s="22" t="str">
        <f aca="false">IF(P770&lt;10,"a) &lt;10s",IF(P770&lt;60,"b) 10-60s",IF(P770&lt;600,"c) 1-10min","d) &gt;10min")))</f>
        <v>d) &gt;10min</v>
      </c>
      <c r="R770" s="38" t="n">
        <v>2042</v>
      </c>
      <c r="S770" s="38" t="n">
        <v>2041.95</v>
      </c>
      <c r="T770" s="22" t="s">
        <v>188</v>
      </c>
      <c r="U770" s="39" t="n">
        <f aca="false">IF(R770="","",IF(F770="BUY",R770-S770,S770-R770))</f>
        <v>0.0499999999999545</v>
      </c>
      <c r="V770" s="39" t="n">
        <f aca="false">IF(F770="BUY",S770-J770,J770-S770)</f>
        <v>-6.08000000000016</v>
      </c>
      <c r="W770" s="6" t="n">
        <v>-30.4</v>
      </c>
      <c r="X770" s="26" t="n">
        <f aca="false">IFERROR(W770/N770,0)</f>
        <v>-1.01333333333333</v>
      </c>
      <c r="Y770" s="22" t="str">
        <f aca="false">IF(W770&gt;0,"Win",IF(W770&lt;0,"Loss","Flat"))</f>
        <v>Loss</v>
      </c>
      <c r="Z770" s="24" t="n">
        <f aca="false">Summary!$C$5+SUM(W$2:W770)</f>
        <v>3200.32</v>
      </c>
      <c r="AA770" s="24" t="n">
        <f aca="false">MAX(AA769,Z770)</f>
        <v>5000</v>
      </c>
      <c r="AB770" s="24" t="n">
        <f aca="false">AA770-Z770</f>
        <v>1799.68</v>
      </c>
      <c r="AC770" s="23" t="n">
        <f aca="false">IFERROR(AB770/AA770,0)</f>
        <v>0.359936</v>
      </c>
      <c r="AD770" s="22" t="s">
        <v>1007</v>
      </c>
    </row>
    <row r="771" customFormat="false" ht="15" hidden="false" customHeight="false" outlineLevel="0" collapsed="false">
      <c r="A771" s="22" t="n">
        <v>770</v>
      </c>
      <c r="B771" s="22" t="s">
        <v>143</v>
      </c>
      <c r="C771" s="37" t="n">
        <v>45352.5180092593</v>
      </c>
      <c r="D771" s="22" t="s">
        <v>206</v>
      </c>
      <c r="E771" s="22" t="n">
        <v>12</v>
      </c>
      <c r="F771" s="22" t="s">
        <v>181</v>
      </c>
      <c r="G771" s="22" t="s">
        <v>243</v>
      </c>
      <c r="H771" s="22" t="n">
        <v>0.05</v>
      </c>
      <c r="I771" s="38" t="n">
        <v>2050.61</v>
      </c>
      <c r="J771" s="38" t="n">
        <v>2051.45</v>
      </c>
      <c r="K771" s="39" t="n">
        <f aca="false">IF(F771="BUY",J771-I771,I771-J771)</f>
        <v>0.839999999999691</v>
      </c>
      <c r="L771" s="38" t="n">
        <v>2044.61</v>
      </c>
      <c r="M771" s="39" t="n">
        <f aca="false">ABS(I771-L771)</f>
        <v>6.00000000000023</v>
      </c>
      <c r="N771" s="24" t="n">
        <f aca="false">M771*H771*Summary!$C$6</f>
        <v>30.0000000000011</v>
      </c>
      <c r="O771" s="37" t="n">
        <v>45352.6250231482</v>
      </c>
      <c r="P771" s="22" t="n">
        <f aca="false">ROUND((O771-C771)*86400,0)</f>
        <v>9246</v>
      </c>
      <c r="Q771" s="22" t="str">
        <f aca="false">IF(P771&lt;10,"a) &lt;10s",IF(P771&lt;60,"b) 10-60s",IF(P771&lt;600,"c) 1-10min","d) &gt;10min")))</f>
        <v>d) &gt;10min</v>
      </c>
      <c r="R771" s="38" t="n">
        <v>2051.95</v>
      </c>
      <c r="S771" s="38" t="n">
        <v>2051.93</v>
      </c>
      <c r="T771" s="22" t="s">
        <v>189</v>
      </c>
      <c r="U771" s="39" t="n">
        <f aca="false">IF(R771="","",IF(F771="BUY",R771-S771,S771-R771))</f>
        <v>0.0199999999999818</v>
      </c>
      <c r="V771" s="39" t="n">
        <f aca="false">IF(F771="BUY",S771-J771,J771-S771)</f>
        <v>0.480000000000018</v>
      </c>
      <c r="W771" s="6" t="n">
        <v>2.4</v>
      </c>
      <c r="X771" s="26" t="n">
        <f aca="false">IFERROR(W771/N771,0)</f>
        <v>0.079999999999997</v>
      </c>
      <c r="Y771" s="22" t="str">
        <f aca="false">IF(W771&gt;0,"Win",IF(W771&lt;0,"Loss","Flat"))</f>
        <v>Win</v>
      </c>
      <c r="Z771" s="24" t="n">
        <f aca="false">Summary!$C$5+SUM(W$2:W771)</f>
        <v>3202.72</v>
      </c>
      <c r="AA771" s="24" t="n">
        <f aca="false">MAX(AA770,Z771)</f>
        <v>5000</v>
      </c>
      <c r="AB771" s="24" t="n">
        <f aca="false">AA771-Z771</f>
        <v>1797.28</v>
      </c>
      <c r="AC771" s="23" t="n">
        <f aca="false">IFERROR(AB771/AA771,0)</f>
        <v>0.359456</v>
      </c>
      <c r="AD771" s="22" t="s">
        <v>1008</v>
      </c>
    </row>
    <row r="772" customFormat="false" ht="15" hidden="false" customHeight="false" outlineLevel="0" collapsed="false">
      <c r="A772" s="22" t="n">
        <v>771</v>
      </c>
      <c r="B772" s="22" t="s">
        <v>143</v>
      </c>
      <c r="C772" s="37" t="n">
        <v>45355.4081828704</v>
      </c>
      <c r="D772" s="22" t="s">
        <v>202</v>
      </c>
      <c r="E772" s="22" t="n">
        <v>9</v>
      </c>
      <c r="F772" s="22" t="s">
        <v>181</v>
      </c>
      <c r="G772" s="22" t="s">
        <v>243</v>
      </c>
      <c r="H772" s="22" t="n">
        <v>0.05</v>
      </c>
      <c r="I772" s="38" t="n">
        <v>2088.22</v>
      </c>
      <c r="J772" s="38" t="n">
        <v>2088.26</v>
      </c>
      <c r="K772" s="39" t="n">
        <f aca="false">IF(F772="BUY",J772-I772,I772-J772)</f>
        <v>0.0400000000004184</v>
      </c>
      <c r="L772" s="38" t="n">
        <v>2082.22</v>
      </c>
      <c r="M772" s="39" t="n">
        <f aca="false">ABS(I772-L772)</f>
        <v>6</v>
      </c>
      <c r="N772" s="24" t="n">
        <f aca="false">M772*H772*Summary!$C$6</f>
        <v>30</v>
      </c>
      <c r="O772" s="37" t="n">
        <v>45355.5809606482</v>
      </c>
      <c r="P772" s="22" t="n">
        <f aca="false">ROUND((O772-C772)*86400,0)</f>
        <v>14928</v>
      </c>
      <c r="Q772" s="22" t="str">
        <f aca="false">IF(P772&lt;10,"a) &lt;10s",IF(P772&lt;60,"b) 10-60s",IF(P772&lt;600,"c) 1-10min","d) &gt;10min")))</f>
        <v>d) &gt;10min</v>
      </c>
      <c r="R772" s="38" t="n">
        <v>2082.22</v>
      </c>
      <c r="S772" s="38" t="n">
        <v>2082.21</v>
      </c>
      <c r="T772" s="22" t="s">
        <v>188</v>
      </c>
      <c r="U772" s="39" t="n">
        <f aca="false">IF(R772="","",IF(F772="BUY",R772-S772,S772-R772))</f>
        <v>0.00999999999976353</v>
      </c>
      <c r="V772" s="39" t="n">
        <f aca="false">IF(F772="BUY",S772-J772,J772-S772)</f>
        <v>-6.05000000000018</v>
      </c>
      <c r="W772" s="6" t="n">
        <v>-30.25</v>
      </c>
      <c r="X772" s="26" t="n">
        <f aca="false">IFERROR(W772/N772,0)</f>
        <v>-1.00833333333333</v>
      </c>
      <c r="Y772" s="22" t="str">
        <f aca="false">IF(W772&gt;0,"Win",IF(W772&lt;0,"Loss","Flat"))</f>
        <v>Loss</v>
      </c>
      <c r="Z772" s="24" t="n">
        <f aca="false">Summary!$C$5+SUM(W$2:W772)</f>
        <v>3172.47</v>
      </c>
      <c r="AA772" s="24" t="n">
        <f aca="false">MAX(AA771,Z772)</f>
        <v>5000</v>
      </c>
      <c r="AB772" s="24" t="n">
        <f aca="false">AA772-Z772</f>
        <v>1827.53</v>
      </c>
      <c r="AC772" s="23" t="n">
        <f aca="false">IFERROR(AB772/AA772,0)</f>
        <v>0.365506</v>
      </c>
      <c r="AD772" s="22" t="s">
        <v>1009</v>
      </c>
    </row>
    <row r="773" customFormat="false" ht="15" hidden="false" customHeight="false" outlineLevel="0" collapsed="false">
      <c r="A773" s="22" t="n">
        <v>772</v>
      </c>
      <c r="B773" s="22" t="s">
        <v>143</v>
      </c>
      <c r="C773" s="37" t="n">
        <v>45356.3316550926</v>
      </c>
      <c r="D773" s="22" t="s">
        <v>203</v>
      </c>
      <c r="E773" s="22" t="n">
        <v>7</v>
      </c>
      <c r="F773" s="22" t="s">
        <v>181</v>
      </c>
      <c r="G773" s="22" t="s">
        <v>243</v>
      </c>
      <c r="H773" s="22" t="n">
        <v>0.05</v>
      </c>
      <c r="I773" s="38" t="n">
        <v>2119.81</v>
      </c>
      <c r="J773" s="38" t="n">
        <v>2119.82</v>
      </c>
      <c r="K773" s="39" t="n">
        <f aca="false">IF(F773="BUY",J773-I773,I773-J773)</f>
        <v>0.0100000000002183</v>
      </c>
      <c r="L773" s="38" t="n">
        <v>2113.81</v>
      </c>
      <c r="M773" s="39" t="n">
        <f aca="false">ABS(I773-L773)</f>
        <v>6</v>
      </c>
      <c r="N773" s="24" t="n">
        <f aca="false">M773*H773*Summary!$C$6</f>
        <v>30</v>
      </c>
      <c r="O773" s="37" t="n">
        <v>45356.4410763889</v>
      </c>
      <c r="P773" s="22" t="n">
        <f aca="false">ROUND((O773-C773)*86400,0)</f>
        <v>9454</v>
      </c>
      <c r="Q773" s="22" t="str">
        <f aca="false">IF(P773&lt;10,"a) &lt;10s",IF(P773&lt;60,"b) 10-60s",IF(P773&lt;600,"c) 1-10min","d) &gt;10min")))</f>
        <v>d) &gt;10min</v>
      </c>
      <c r="R773" s="38" t="n">
        <v>2120.32</v>
      </c>
      <c r="S773" s="38" t="n">
        <v>2120.31</v>
      </c>
      <c r="T773" s="22" t="s">
        <v>189</v>
      </c>
      <c r="U773" s="39" t="n">
        <f aca="false">IF(R773="","",IF(F773="BUY",R773-S773,S773-R773))</f>
        <v>0.0100000000002183</v>
      </c>
      <c r="V773" s="39" t="n">
        <f aca="false">IF(F773="BUY",S773-J773,J773-S773)</f>
        <v>0.489999999999782</v>
      </c>
      <c r="W773" s="6" t="n">
        <v>2.45</v>
      </c>
      <c r="X773" s="26" t="n">
        <f aca="false">IFERROR(W773/N773,0)</f>
        <v>0.0816666666666667</v>
      </c>
      <c r="Y773" s="22" t="str">
        <f aca="false">IF(W773&gt;0,"Win",IF(W773&lt;0,"Loss","Flat"))</f>
        <v>Win</v>
      </c>
      <c r="Z773" s="24" t="n">
        <f aca="false">Summary!$C$5+SUM(W$2:W773)</f>
        <v>3174.92</v>
      </c>
      <c r="AA773" s="24" t="n">
        <f aca="false">MAX(AA772,Z773)</f>
        <v>5000</v>
      </c>
      <c r="AB773" s="24" t="n">
        <f aca="false">AA773-Z773</f>
        <v>1825.08</v>
      </c>
      <c r="AC773" s="23" t="n">
        <f aca="false">IFERROR(AB773/AA773,0)</f>
        <v>0.365016</v>
      </c>
      <c r="AD773" s="22" t="s">
        <v>1010</v>
      </c>
    </row>
    <row r="774" customFormat="false" ht="15" hidden="false" customHeight="false" outlineLevel="0" collapsed="false">
      <c r="A774" s="22" t="n">
        <v>773</v>
      </c>
      <c r="B774" s="22" t="s">
        <v>143</v>
      </c>
      <c r="C774" s="37" t="n">
        <v>45357.3768055556</v>
      </c>
      <c r="D774" s="22" t="s">
        <v>204</v>
      </c>
      <c r="E774" s="22" t="n">
        <v>9</v>
      </c>
      <c r="F774" s="22" t="s">
        <v>181</v>
      </c>
      <c r="G774" s="22" t="s">
        <v>235</v>
      </c>
      <c r="H774" s="22" t="n">
        <v>0.05</v>
      </c>
      <c r="I774" s="38" t="n">
        <v>2127.86</v>
      </c>
      <c r="J774" s="38" t="n">
        <v>2127.87</v>
      </c>
      <c r="K774" s="39" t="n">
        <f aca="false">IF(F774="BUY",J774-I774,I774-J774)</f>
        <v>0.00999999999976353</v>
      </c>
      <c r="L774" s="38" t="n">
        <v>2121.86</v>
      </c>
      <c r="M774" s="39" t="n">
        <f aca="false">ABS(I774-L774)</f>
        <v>6</v>
      </c>
      <c r="N774" s="24" t="n">
        <f aca="false">M774*H774*Summary!$C$6</f>
        <v>30</v>
      </c>
      <c r="O774" s="37" t="n">
        <v>45357.4156481482</v>
      </c>
      <c r="P774" s="22" t="n">
        <f aca="false">ROUND((O774-C774)*86400,0)</f>
        <v>3356</v>
      </c>
      <c r="Q774" s="22" t="str">
        <f aca="false">IF(P774&lt;10,"a) &lt;10s",IF(P774&lt;60,"b) 10-60s",IF(P774&lt;600,"c) 1-10min","d) &gt;10min")))</f>
        <v>d) &gt;10min</v>
      </c>
      <c r="R774" s="38" t="n">
        <v>2128.37</v>
      </c>
      <c r="S774" s="38" t="n">
        <v>2128.37</v>
      </c>
      <c r="T774" s="22" t="s">
        <v>189</v>
      </c>
      <c r="U774" s="39" t="n">
        <f aca="false">IF(R774="","",IF(F774="BUY",R774-S774,S774-R774))</f>
        <v>0</v>
      </c>
      <c r="V774" s="39" t="n">
        <f aca="false">IF(F774="BUY",S774-J774,J774-S774)</f>
        <v>0.5</v>
      </c>
      <c r="W774" s="6" t="n">
        <v>2.5</v>
      </c>
      <c r="X774" s="26" t="n">
        <f aca="false">IFERROR(W774/N774,0)</f>
        <v>0.0833333333333333</v>
      </c>
      <c r="Y774" s="22" t="str">
        <f aca="false">IF(W774&gt;0,"Win",IF(W774&lt;0,"Loss","Flat"))</f>
        <v>Win</v>
      </c>
      <c r="Z774" s="24" t="n">
        <f aca="false">Summary!$C$5+SUM(W$2:W774)</f>
        <v>3177.42</v>
      </c>
      <c r="AA774" s="24" t="n">
        <f aca="false">MAX(AA773,Z774)</f>
        <v>5000</v>
      </c>
      <c r="AB774" s="24" t="n">
        <f aca="false">AA774-Z774</f>
        <v>1822.58</v>
      </c>
      <c r="AC774" s="23" t="n">
        <f aca="false">IFERROR(AB774/AA774,0)</f>
        <v>0.364516</v>
      </c>
      <c r="AD774" s="22" t="s">
        <v>1011</v>
      </c>
    </row>
    <row r="775" customFormat="false" ht="15" hidden="false" customHeight="false" outlineLevel="0" collapsed="false">
      <c r="A775" s="22" t="n">
        <v>774</v>
      </c>
      <c r="B775" s="22" t="s">
        <v>143</v>
      </c>
      <c r="C775" s="37" t="n">
        <v>45357.6895023148</v>
      </c>
      <c r="D775" s="22" t="s">
        <v>204</v>
      </c>
      <c r="E775" s="22" t="n">
        <v>16</v>
      </c>
      <c r="F775" s="22" t="s">
        <v>181</v>
      </c>
      <c r="G775" s="22" t="s">
        <v>243</v>
      </c>
      <c r="H775" s="22" t="n">
        <v>0.05</v>
      </c>
      <c r="I775" s="38" t="n">
        <v>2141.75</v>
      </c>
      <c r="J775" s="38" t="n">
        <v>2141.75</v>
      </c>
      <c r="K775" s="39" t="n">
        <f aca="false">IF(F775="BUY",J775-I775,I775-J775)</f>
        <v>0</v>
      </c>
      <c r="L775" s="38" t="n">
        <v>2135.75</v>
      </c>
      <c r="M775" s="39" t="n">
        <f aca="false">ABS(I775-L775)</f>
        <v>6</v>
      </c>
      <c r="N775" s="24" t="n">
        <f aca="false">M775*H775*Summary!$C$6</f>
        <v>30</v>
      </c>
      <c r="O775" s="37" t="n">
        <v>45357.6918171296</v>
      </c>
      <c r="P775" s="22" t="n">
        <f aca="false">ROUND((O775-C775)*86400,0)</f>
        <v>200</v>
      </c>
      <c r="Q775" s="22" t="str">
        <f aca="false">IF(P775&lt;10,"a) &lt;10s",IF(P775&lt;60,"b) 10-60s",IF(P775&lt;600,"c) 1-10min","d) &gt;10min")))</f>
        <v>c) 1-10min</v>
      </c>
      <c r="R775" s="38" t="n">
        <v>2142.25</v>
      </c>
      <c r="S775" s="38" t="n">
        <v>2142.23</v>
      </c>
      <c r="T775" s="22" t="s">
        <v>189</v>
      </c>
      <c r="U775" s="39" t="n">
        <f aca="false">IF(R775="","",IF(F775="BUY",R775-S775,S775-R775))</f>
        <v>0.0199999999999818</v>
      </c>
      <c r="V775" s="39" t="n">
        <f aca="false">IF(F775="BUY",S775-J775,J775-S775)</f>
        <v>0.480000000000018</v>
      </c>
      <c r="W775" s="6" t="n">
        <v>2.4</v>
      </c>
      <c r="X775" s="26" t="n">
        <f aca="false">IFERROR(W775/N775,0)</f>
        <v>0.08</v>
      </c>
      <c r="Y775" s="22" t="str">
        <f aca="false">IF(W775&gt;0,"Win",IF(W775&lt;0,"Loss","Flat"))</f>
        <v>Win</v>
      </c>
      <c r="Z775" s="24" t="n">
        <f aca="false">Summary!$C$5+SUM(W$2:W775)</f>
        <v>3179.82</v>
      </c>
      <c r="AA775" s="24" t="n">
        <f aca="false">MAX(AA774,Z775)</f>
        <v>5000</v>
      </c>
      <c r="AB775" s="24" t="n">
        <f aca="false">AA775-Z775</f>
        <v>1820.18</v>
      </c>
      <c r="AC775" s="23" t="n">
        <f aca="false">IFERROR(AB775/AA775,0)</f>
        <v>0.364036</v>
      </c>
      <c r="AD775" s="22" t="s">
        <v>1012</v>
      </c>
    </row>
    <row r="776" customFormat="false" ht="15" hidden="false" customHeight="false" outlineLevel="0" collapsed="false">
      <c r="A776" s="22" t="n">
        <v>775</v>
      </c>
      <c r="B776" s="22" t="s">
        <v>143</v>
      </c>
      <c r="C776" s="37" t="n">
        <v>45358.191412037</v>
      </c>
      <c r="D776" s="22" t="s">
        <v>205</v>
      </c>
      <c r="E776" s="22" t="n">
        <v>4</v>
      </c>
      <c r="F776" s="22" t="s">
        <v>181</v>
      </c>
      <c r="G776" s="22" t="s">
        <v>243</v>
      </c>
      <c r="H776" s="22" t="n">
        <v>0.05</v>
      </c>
      <c r="I776" s="38" t="n">
        <v>2152.09</v>
      </c>
      <c r="J776" s="38" t="n">
        <v>2152.15</v>
      </c>
      <c r="K776" s="39" t="n">
        <f aca="false">IF(F776="BUY",J776-I776,I776-J776)</f>
        <v>0.0599999999999454</v>
      </c>
      <c r="L776" s="38" t="n">
        <v>2146.09</v>
      </c>
      <c r="M776" s="39" t="n">
        <f aca="false">ABS(I776-L776)</f>
        <v>6</v>
      </c>
      <c r="N776" s="24" t="n">
        <f aca="false">M776*H776*Summary!$C$6</f>
        <v>30</v>
      </c>
      <c r="O776" s="37" t="n">
        <v>45358.3345138889</v>
      </c>
      <c r="P776" s="22" t="n">
        <f aca="false">ROUND((O776-C776)*86400,0)</f>
        <v>12364</v>
      </c>
      <c r="Q776" s="22" t="str">
        <f aca="false">IF(P776&lt;10,"a) &lt;10s",IF(P776&lt;60,"b) 10-60s",IF(P776&lt;600,"c) 1-10min","d) &gt;10min")))</f>
        <v>d) &gt;10min</v>
      </c>
      <c r="R776" s="38" t="n">
        <v>2152.65</v>
      </c>
      <c r="S776" s="38" t="n">
        <v>2152.61</v>
      </c>
      <c r="T776" s="22" t="s">
        <v>189</v>
      </c>
      <c r="U776" s="39" t="n">
        <f aca="false">IF(R776="","",IF(F776="BUY",R776-S776,S776-R776))</f>
        <v>0.0399999999999636</v>
      </c>
      <c r="V776" s="39" t="n">
        <f aca="false">IF(F776="BUY",S776-J776,J776-S776)</f>
        <v>0.460000000000036</v>
      </c>
      <c r="W776" s="6" t="n">
        <v>2.3</v>
      </c>
      <c r="X776" s="26" t="n">
        <f aca="false">IFERROR(W776/N776,0)</f>
        <v>0.0766666666666667</v>
      </c>
      <c r="Y776" s="22" t="str">
        <f aca="false">IF(W776&gt;0,"Win",IF(W776&lt;0,"Loss","Flat"))</f>
        <v>Win</v>
      </c>
      <c r="Z776" s="24" t="n">
        <f aca="false">Summary!$C$5+SUM(W$2:W776)</f>
        <v>3182.12</v>
      </c>
      <c r="AA776" s="24" t="n">
        <f aca="false">MAX(AA775,Z776)</f>
        <v>5000</v>
      </c>
      <c r="AB776" s="24" t="n">
        <f aca="false">AA776-Z776</f>
        <v>1817.88</v>
      </c>
      <c r="AC776" s="23" t="n">
        <f aca="false">IFERROR(AB776/AA776,0)</f>
        <v>0.363576</v>
      </c>
      <c r="AD776" s="22" t="s">
        <v>1013</v>
      </c>
    </row>
    <row r="777" customFormat="false" ht="15" hidden="false" customHeight="false" outlineLevel="0" collapsed="false">
      <c r="A777" s="22" t="n">
        <v>776</v>
      </c>
      <c r="B777" s="22" t="s">
        <v>143</v>
      </c>
      <c r="C777" s="37" t="n">
        <v>45358.4382986111</v>
      </c>
      <c r="D777" s="22" t="s">
        <v>205</v>
      </c>
      <c r="E777" s="22" t="n">
        <v>10</v>
      </c>
      <c r="F777" s="22" t="s">
        <v>181</v>
      </c>
      <c r="G777" s="22" t="s">
        <v>235</v>
      </c>
      <c r="H777" s="22" t="n">
        <v>0.05</v>
      </c>
      <c r="I777" s="38" t="n">
        <v>2158.62</v>
      </c>
      <c r="J777" s="38" t="n">
        <v>2158.64</v>
      </c>
      <c r="K777" s="39" t="n">
        <f aca="false">IF(F777="BUY",J777-I777,I777-J777)</f>
        <v>0.0199999999999818</v>
      </c>
      <c r="L777" s="38" t="n">
        <v>2152.62</v>
      </c>
      <c r="M777" s="39" t="n">
        <f aca="false">ABS(I777-L777)</f>
        <v>6</v>
      </c>
      <c r="N777" s="24" t="n">
        <f aca="false">M777*H777*Summary!$C$6</f>
        <v>30</v>
      </c>
      <c r="O777" s="37" t="n">
        <v>45358.6307060185</v>
      </c>
      <c r="P777" s="22" t="n">
        <f aca="false">ROUND((O777-C777)*86400,0)</f>
        <v>16624</v>
      </c>
      <c r="Q777" s="22" t="str">
        <f aca="false">IF(P777&lt;10,"a) &lt;10s",IF(P777&lt;60,"b) 10-60s",IF(P777&lt;600,"c) 1-10min","d) &gt;10min")))</f>
        <v>d) &gt;10min</v>
      </c>
      <c r="R777" s="38" t="n">
        <v>2159.14</v>
      </c>
      <c r="S777" s="38" t="n">
        <v>2159.13</v>
      </c>
      <c r="T777" s="22" t="s">
        <v>189</v>
      </c>
      <c r="U777" s="39" t="n">
        <f aca="false">IF(R777="","",IF(F777="BUY",R777-S777,S777-R777))</f>
        <v>0.00999999999976353</v>
      </c>
      <c r="V777" s="39" t="n">
        <f aca="false">IF(F777="BUY",S777-J777,J777-S777)</f>
        <v>0.490000000000236</v>
      </c>
      <c r="W777" s="6" t="n">
        <v>2.45</v>
      </c>
      <c r="X777" s="26" t="n">
        <f aca="false">IFERROR(W777/N777,0)</f>
        <v>0.0816666666666667</v>
      </c>
      <c r="Y777" s="22" t="str">
        <f aca="false">IF(W777&gt;0,"Win",IF(W777&lt;0,"Loss","Flat"))</f>
        <v>Win</v>
      </c>
      <c r="Z777" s="24" t="n">
        <f aca="false">Summary!$C$5+SUM(W$2:W777)</f>
        <v>3184.57</v>
      </c>
      <c r="AA777" s="24" t="n">
        <f aca="false">MAX(AA776,Z777)</f>
        <v>5000</v>
      </c>
      <c r="AB777" s="24" t="n">
        <f aca="false">AA777-Z777</f>
        <v>1815.43</v>
      </c>
      <c r="AC777" s="23" t="n">
        <f aca="false">IFERROR(AB777/AA777,0)</f>
        <v>0.363086</v>
      </c>
      <c r="AD777" s="22" t="s">
        <v>1014</v>
      </c>
    </row>
    <row r="778" customFormat="false" ht="15" hidden="false" customHeight="false" outlineLevel="0" collapsed="false">
      <c r="A778" s="22" t="n">
        <v>777</v>
      </c>
      <c r="B778" s="22" t="s">
        <v>143</v>
      </c>
      <c r="C778" s="37" t="n">
        <v>45359.406724537</v>
      </c>
      <c r="D778" s="22" t="s">
        <v>206</v>
      </c>
      <c r="E778" s="22" t="n">
        <v>9</v>
      </c>
      <c r="F778" s="22" t="s">
        <v>181</v>
      </c>
      <c r="G778" s="22" t="s">
        <v>235</v>
      </c>
      <c r="H778" s="22" t="n">
        <v>0.05</v>
      </c>
      <c r="I778" s="38" t="n">
        <v>2161.93</v>
      </c>
      <c r="J778" s="38" t="n">
        <v>2161.97</v>
      </c>
      <c r="K778" s="39" t="n">
        <f aca="false">IF(F778="BUY",J778-I778,I778-J778)</f>
        <v>0.0399999999999636</v>
      </c>
      <c r="L778" s="38" t="n">
        <v>2155.93</v>
      </c>
      <c r="M778" s="39" t="n">
        <f aca="false">ABS(I778-L778)</f>
        <v>6</v>
      </c>
      <c r="N778" s="24" t="n">
        <f aca="false">M778*H778*Summary!$C$6</f>
        <v>30</v>
      </c>
      <c r="O778" s="37" t="n">
        <v>45359.6458101852</v>
      </c>
      <c r="P778" s="22" t="n">
        <f aca="false">ROUND((O778-C778)*86400,0)</f>
        <v>20657</v>
      </c>
      <c r="Q778" s="22" t="str">
        <f aca="false">IF(P778&lt;10,"a) &lt;10s",IF(P778&lt;60,"b) 10-60s",IF(P778&lt;600,"c) 1-10min","d) &gt;10min")))</f>
        <v>d) &gt;10min</v>
      </c>
      <c r="R778" s="38" t="n">
        <v>2162.47</v>
      </c>
      <c r="S778" s="38" t="n">
        <v>2162.04</v>
      </c>
      <c r="T778" s="22" t="s">
        <v>189</v>
      </c>
      <c r="U778" s="39" t="n">
        <f aca="false">IF(R778="","",IF(F778="BUY",R778-S778,S778-R778))</f>
        <v>0.429999999999836</v>
      </c>
      <c r="V778" s="39" t="n">
        <f aca="false">IF(F778="BUY",S778-J778,J778-S778)</f>
        <v>0.0700000000001637</v>
      </c>
      <c r="W778" s="6" t="n">
        <v>0.35</v>
      </c>
      <c r="X778" s="26" t="n">
        <f aca="false">IFERROR(W778/N778,0)</f>
        <v>0.0116666666666667</v>
      </c>
      <c r="Y778" s="22" t="str">
        <f aca="false">IF(W778&gt;0,"Win",IF(W778&lt;0,"Loss","Flat"))</f>
        <v>Win</v>
      </c>
      <c r="Z778" s="24" t="n">
        <f aca="false">Summary!$C$5+SUM(W$2:W778)</f>
        <v>3184.92</v>
      </c>
      <c r="AA778" s="24" t="n">
        <f aca="false">MAX(AA777,Z778)</f>
        <v>5000</v>
      </c>
      <c r="AB778" s="24" t="n">
        <f aca="false">AA778-Z778</f>
        <v>1815.08</v>
      </c>
      <c r="AC778" s="23" t="n">
        <f aca="false">IFERROR(AB778/AA778,0)</f>
        <v>0.363016</v>
      </c>
      <c r="AD778" s="22" t="s">
        <v>1015</v>
      </c>
    </row>
    <row r="779" customFormat="false" ht="15" hidden="false" customHeight="false" outlineLevel="0" collapsed="false">
      <c r="A779" s="22" t="n">
        <v>778</v>
      </c>
      <c r="B779" s="22" t="s">
        <v>143</v>
      </c>
      <c r="C779" s="37" t="n">
        <v>45362.4527662037</v>
      </c>
      <c r="D779" s="22" t="s">
        <v>202</v>
      </c>
      <c r="E779" s="22" t="n">
        <v>10</v>
      </c>
      <c r="F779" s="22" t="s">
        <v>181</v>
      </c>
      <c r="G779" s="22" t="s">
        <v>235</v>
      </c>
      <c r="H779" s="22" t="n">
        <v>0.05</v>
      </c>
      <c r="I779" s="38" t="n">
        <v>2181.56</v>
      </c>
      <c r="J779" s="38" t="n">
        <v>2181.6</v>
      </c>
      <c r="K779" s="39" t="n">
        <f aca="false">IF(F779="BUY",J779-I779,I779-J779)</f>
        <v>0.0399999999999636</v>
      </c>
      <c r="L779" s="38" t="n">
        <v>2175.56</v>
      </c>
      <c r="M779" s="39" t="n">
        <f aca="false">ABS(I779-L779)</f>
        <v>6</v>
      </c>
      <c r="N779" s="24" t="n">
        <f aca="false">M779*H779*Summary!$C$6</f>
        <v>30</v>
      </c>
      <c r="O779" s="37" t="n">
        <v>45362.6736921296</v>
      </c>
      <c r="P779" s="22" t="n">
        <f aca="false">ROUND((O779-C779)*86400,0)</f>
        <v>19088</v>
      </c>
      <c r="Q779" s="22" t="str">
        <f aca="false">IF(P779&lt;10,"a) &lt;10s",IF(P779&lt;60,"b) 10-60s",IF(P779&lt;600,"c) 1-10min","d) &gt;10min")))</f>
        <v>d) &gt;10min</v>
      </c>
      <c r="R779" s="38" t="n">
        <v>2175.56</v>
      </c>
      <c r="S779" s="38" t="n">
        <v>2175.54</v>
      </c>
      <c r="T779" s="22" t="s">
        <v>188</v>
      </c>
      <c r="U779" s="39" t="n">
        <f aca="false">IF(R779="","",IF(F779="BUY",R779-S779,S779-R779))</f>
        <v>0.0199999999999818</v>
      </c>
      <c r="V779" s="39" t="n">
        <f aca="false">IF(F779="BUY",S779-J779,J779-S779)</f>
        <v>-6.05999999999995</v>
      </c>
      <c r="W779" s="6" t="n">
        <v>-30.3</v>
      </c>
      <c r="X779" s="26" t="n">
        <f aca="false">IFERROR(W779/N779,0)</f>
        <v>-1.01</v>
      </c>
      <c r="Y779" s="22" t="str">
        <f aca="false">IF(W779&gt;0,"Win",IF(W779&lt;0,"Loss","Flat"))</f>
        <v>Loss</v>
      </c>
      <c r="Z779" s="24" t="n">
        <f aca="false">Summary!$C$5+SUM(W$2:W779)</f>
        <v>3154.62</v>
      </c>
      <c r="AA779" s="24" t="n">
        <f aca="false">MAX(AA778,Z779)</f>
        <v>5000</v>
      </c>
      <c r="AB779" s="24" t="n">
        <f aca="false">AA779-Z779</f>
        <v>1845.38</v>
      </c>
      <c r="AC779" s="23" t="n">
        <f aca="false">IFERROR(AB779/AA779,0)</f>
        <v>0.369076</v>
      </c>
      <c r="AD779" s="22" t="s">
        <v>1016</v>
      </c>
    </row>
    <row r="780" customFormat="false" ht="15" hidden="false" customHeight="false" outlineLevel="0" collapsed="false">
      <c r="A780" s="22" t="n">
        <v>779</v>
      </c>
      <c r="B780" s="22" t="s">
        <v>143</v>
      </c>
      <c r="C780" s="37" t="n">
        <v>45363.3640509259</v>
      </c>
      <c r="D780" s="22" t="s">
        <v>203</v>
      </c>
      <c r="E780" s="22" t="n">
        <v>8</v>
      </c>
      <c r="F780" s="22" t="s">
        <v>182</v>
      </c>
      <c r="G780" s="22" t="s">
        <v>237</v>
      </c>
      <c r="H780" s="22" t="n">
        <v>0.05</v>
      </c>
      <c r="I780" s="38" t="n">
        <v>2174.7</v>
      </c>
      <c r="J780" s="38" t="n">
        <v>2174.49</v>
      </c>
      <c r="K780" s="39" t="n">
        <f aca="false">IF(F780="BUY",J780-I780,I780-J780)</f>
        <v>0.210000000000036</v>
      </c>
      <c r="L780" s="38" t="n">
        <v>2180.7</v>
      </c>
      <c r="M780" s="39" t="n">
        <f aca="false">ABS(I780-L780)</f>
        <v>6</v>
      </c>
      <c r="N780" s="24" t="n">
        <f aca="false">M780*H780*Summary!$C$6</f>
        <v>30</v>
      </c>
      <c r="O780" s="37" t="n">
        <v>45363.6476851852</v>
      </c>
      <c r="P780" s="22" t="n">
        <f aca="false">ROUND((O780-C780)*86400,0)</f>
        <v>24506</v>
      </c>
      <c r="Q780" s="22" t="str">
        <f aca="false">IF(P780&lt;10,"a) &lt;10s",IF(P780&lt;60,"b) 10-60s",IF(P780&lt;600,"c) 1-10min","d) &gt;10min")))</f>
        <v>d) &gt;10min</v>
      </c>
      <c r="R780" s="38" t="n">
        <v>2173.99</v>
      </c>
      <c r="S780" s="38" t="n">
        <v>2174.27</v>
      </c>
      <c r="T780" s="22" t="s">
        <v>189</v>
      </c>
      <c r="U780" s="39" t="n">
        <f aca="false">IF(R780="","",IF(F780="BUY",R780-S780,S780-R780))</f>
        <v>0.2800000000002</v>
      </c>
      <c r="V780" s="39" t="n">
        <f aca="false">IF(F780="BUY",S780-J780,J780-S780)</f>
        <v>0.2199999999998</v>
      </c>
      <c r="W780" s="6" t="n">
        <v>1.1</v>
      </c>
      <c r="X780" s="26" t="n">
        <f aca="false">IFERROR(W780/N780,0)</f>
        <v>0.0366666666666667</v>
      </c>
      <c r="Y780" s="22" t="str">
        <f aca="false">IF(W780&gt;0,"Win",IF(W780&lt;0,"Loss","Flat"))</f>
        <v>Win</v>
      </c>
      <c r="Z780" s="24" t="n">
        <f aca="false">Summary!$C$5+SUM(W$2:W780)</f>
        <v>3155.72</v>
      </c>
      <c r="AA780" s="24" t="n">
        <f aca="false">MAX(AA779,Z780)</f>
        <v>5000</v>
      </c>
      <c r="AB780" s="24" t="n">
        <f aca="false">AA780-Z780</f>
        <v>1844.28</v>
      </c>
      <c r="AC780" s="23" t="n">
        <f aca="false">IFERROR(AB780/AA780,0)</f>
        <v>0.368856</v>
      </c>
      <c r="AD780" s="22" t="s">
        <v>1017</v>
      </c>
    </row>
    <row r="781" customFormat="false" ht="15" hidden="false" customHeight="false" outlineLevel="0" collapsed="false">
      <c r="A781" s="22" t="n">
        <v>780</v>
      </c>
      <c r="B781" s="22" t="s">
        <v>143</v>
      </c>
      <c r="C781" s="37" t="n">
        <v>45363.6531134259</v>
      </c>
      <c r="D781" s="22" t="s">
        <v>203</v>
      </c>
      <c r="E781" s="22" t="n">
        <v>15</v>
      </c>
      <c r="F781" s="22" t="s">
        <v>181</v>
      </c>
      <c r="G781" s="22" t="s">
        <v>235</v>
      </c>
      <c r="H781" s="22" t="n">
        <v>0.05</v>
      </c>
      <c r="I781" s="38" t="n">
        <v>2179.15</v>
      </c>
      <c r="J781" s="38" t="n">
        <v>2179.19</v>
      </c>
      <c r="K781" s="39" t="n">
        <f aca="false">IF(F781="BUY",J781-I781,I781-J781)</f>
        <v>0.0399999999999636</v>
      </c>
      <c r="L781" s="38" t="n">
        <v>2173.15</v>
      </c>
      <c r="M781" s="39" t="n">
        <f aca="false">ABS(I781-L781)</f>
        <v>6</v>
      </c>
      <c r="N781" s="24" t="n">
        <f aca="false">M781*H781*Summary!$C$6</f>
        <v>30</v>
      </c>
      <c r="O781" s="37" t="n">
        <v>45363.6543518519</v>
      </c>
      <c r="P781" s="22" t="n">
        <f aca="false">ROUND((O781-C781)*86400,0)</f>
        <v>107</v>
      </c>
      <c r="Q781" s="22" t="str">
        <f aca="false">IF(P781&lt;10,"a) &lt;10s",IF(P781&lt;60,"b) 10-60s",IF(P781&lt;600,"c) 1-10min","d) &gt;10min")))</f>
        <v>c) 1-10min</v>
      </c>
      <c r="R781" s="38" t="n">
        <v>2179.69</v>
      </c>
      <c r="S781" s="38" t="n">
        <v>2179.6</v>
      </c>
      <c r="T781" s="22" t="s">
        <v>189</v>
      </c>
      <c r="U781" s="39" t="n">
        <f aca="false">IF(R781="","",IF(F781="BUY",R781-S781,S781-R781))</f>
        <v>0.0900000000001455</v>
      </c>
      <c r="V781" s="39" t="n">
        <f aca="false">IF(F781="BUY",S781-J781,J781-S781)</f>
        <v>0.409999999999855</v>
      </c>
      <c r="W781" s="6" t="n">
        <v>2.05</v>
      </c>
      <c r="X781" s="26" t="n">
        <f aca="false">IFERROR(W781/N781,0)</f>
        <v>0.0683333333333333</v>
      </c>
      <c r="Y781" s="22" t="str">
        <f aca="false">IF(W781&gt;0,"Win",IF(W781&lt;0,"Loss","Flat"))</f>
        <v>Win</v>
      </c>
      <c r="Z781" s="24" t="n">
        <f aca="false">Summary!$C$5+SUM(W$2:W781)</f>
        <v>3157.77</v>
      </c>
      <c r="AA781" s="24" t="n">
        <f aca="false">MAX(AA780,Z781)</f>
        <v>5000</v>
      </c>
      <c r="AB781" s="24" t="n">
        <f aca="false">AA781-Z781</f>
        <v>1842.23</v>
      </c>
      <c r="AC781" s="23" t="n">
        <f aca="false">IFERROR(AB781/AA781,0)</f>
        <v>0.368446</v>
      </c>
      <c r="AD781" s="22" t="s">
        <v>1018</v>
      </c>
    </row>
    <row r="782" customFormat="false" ht="15" hidden="false" customHeight="false" outlineLevel="0" collapsed="false">
      <c r="A782" s="22" t="n">
        <v>781</v>
      </c>
      <c r="B782" s="22" t="s">
        <v>143</v>
      </c>
      <c r="C782" s="37" t="n">
        <v>45364.3751736111</v>
      </c>
      <c r="D782" s="22" t="s">
        <v>204</v>
      </c>
      <c r="E782" s="22" t="n">
        <v>9</v>
      </c>
      <c r="F782" s="22" t="s">
        <v>181</v>
      </c>
      <c r="G782" s="22" t="s">
        <v>235</v>
      </c>
      <c r="H782" s="22" t="n">
        <v>0.05</v>
      </c>
      <c r="I782" s="38" t="n">
        <v>2160.5</v>
      </c>
      <c r="J782" s="38" t="n">
        <v>2160.57</v>
      </c>
      <c r="K782" s="39" t="n">
        <f aca="false">IF(F782="BUY",J782-I782,I782-J782)</f>
        <v>0.0700000000001637</v>
      </c>
      <c r="L782" s="38" t="n">
        <v>2154.5</v>
      </c>
      <c r="M782" s="39" t="n">
        <f aca="false">ABS(I782-L782)</f>
        <v>6</v>
      </c>
      <c r="N782" s="24" t="n">
        <f aca="false">M782*H782*Summary!$C$6</f>
        <v>30</v>
      </c>
      <c r="O782" s="37" t="n">
        <v>45364.9270833333</v>
      </c>
      <c r="P782" s="22" t="n">
        <f aca="false">ROUND((O782-C782)*86400,0)</f>
        <v>47685</v>
      </c>
      <c r="Q782" s="22" t="str">
        <f aca="false">IF(P782&lt;10,"a) &lt;10s",IF(P782&lt;60,"b) 10-60s",IF(P782&lt;600,"c) 1-10min","d) &gt;10min")))</f>
        <v>d) &gt;10min</v>
      </c>
      <c r="R782" s="38"/>
      <c r="S782" s="38" t="n">
        <v>2174.41</v>
      </c>
      <c r="T782" s="22" t="s">
        <v>191</v>
      </c>
      <c r="U782" s="39" t="str">
        <f aca="false">IF(R782="","",IF(F782="BUY",R782-S782,S782-R782))</f>
        <v/>
      </c>
      <c r="V782" s="39" t="n">
        <f aca="false">IF(F782="BUY",S782-J782,J782-S782)</f>
        <v>13.8399999999997</v>
      </c>
      <c r="W782" s="6" t="n">
        <v>69.2</v>
      </c>
      <c r="X782" s="26" t="n">
        <f aca="false">IFERROR(W782/N782,0)</f>
        <v>2.30666666666667</v>
      </c>
      <c r="Y782" s="22" t="str">
        <f aca="false">IF(W782&gt;0,"Win",IF(W782&lt;0,"Loss","Flat"))</f>
        <v>Win</v>
      </c>
      <c r="Z782" s="24" t="n">
        <f aca="false">Summary!$C$5+SUM(W$2:W782)</f>
        <v>3226.97</v>
      </c>
      <c r="AA782" s="24" t="n">
        <f aca="false">MAX(AA781,Z782)</f>
        <v>5000</v>
      </c>
      <c r="AB782" s="24" t="n">
        <f aca="false">AA782-Z782</f>
        <v>1773.03</v>
      </c>
      <c r="AC782" s="23" t="n">
        <f aca="false">IFERROR(AB782/AA782,0)</f>
        <v>0.354606</v>
      </c>
      <c r="AD782" s="22" t="s">
        <v>1019</v>
      </c>
    </row>
    <row r="783" customFormat="false" ht="15" hidden="false" customHeight="false" outlineLevel="0" collapsed="false">
      <c r="A783" s="22" t="n">
        <v>782</v>
      </c>
      <c r="B783" s="22" t="s">
        <v>143</v>
      </c>
      <c r="C783" s="37" t="n">
        <v>45365.375</v>
      </c>
      <c r="D783" s="22" t="s">
        <v>205</v>
      </c>
      <c r="E783" s="22" t="n">
        <v>9</v>
      </c>
      <c r="F783" s="22" t="s">
        <v>182</v>
      </c>
      <c r="G783" s="22" t="s">
        <v>241</v>
      </c>
      <c r="H783" s="22" t="n">
        <v>0.05</v>
      </c>
      <c r="I783" s="38" t="n">
        <v>2168.59</v>
      </c>
      <c r="J783" s="38" t="n">
        <v>2168.58</v>
      </c>
      <c r="K783" s="39" t="n">
        <f aca="false">IF(F783="BUY",J783-I783,I783-J783)</f>
        <v>0.0100000000002183</v>
      </c>
      <c r="L783" s="38" t="n">
        <v>2174.59</v>
      </c>
      <c r="M783" s="39" t="n">
        <f aca="false">ABS(I783-L783)</f>
        <v>6</v>
      </c>
      <c r="N783" s="24" t="n">
        <f aca="false">M783*H783*Summary!$C$6</f>
        <v>30</v>
      </c>
      <c r="O783" s="37" t="n">
        <v>45365.6387615741</v>
      </c>
      <c r="P783" s="22" t="n">
        <f aca="false">ROUND((O783-C783)*86400,0)</f>
        <v>22789</v>
      </c>
      <c r="Q783" s="22" t="str">
        <f aca="false">IF(P783&lt;10,"a) &lt;10s",IF(P783&lt;60,"b) 10-60s",IF(P783&lt;600,"c) 1-10min","d) &gt;10min")))</f>
        <v>d) &gt;10min</v>
      </c>
      <c r="R783" s="38" t="n">
        <v>2168.08</v>
      </c>
      <c r="S783" s="38" t="n">
        <v>2168.13</v>
      </c>
      <c r="T783" s="22" t="s">
        <v>189</v>
      </c>
      <c r="U783" s="39" t="n">
        <f aca="false">IF(R783="","",IF(F783="BUY",R783-S783,S783-R783))</f>
        <v>0.0500000000001819</v>
      </c>
      <c r="V783" s="39" t="n">
        <f aca="false">IF(F783="BUY",S783-J783,J783-S783)</f>
        <v>0.449999999999818</v>
      </c>
      <c r="W783" s="6" t="n">
        <v>2.25</v>
      </c>
      <c r="X783" s="26" t="n">
        <f aca="false">IFERROR(W783/N783,0)</f>
        <v>0.075</v>
      </c>
      <c r="Y783" s="22" t="str">
        <f aca="false">IF(W783&gt;0,"Win",IF(W783&lt;0,"Loss","Flat"))</f>
        <v>Win</v>
      </c>
      <c r="Z783" s="24" t="n">
        <f aca="false">Summary!$C$5+SUM(W$2:W783)</f>
        <v>3229.22</v>
      </c>
      <c r="AA783" s="24" t="n">
        <f aca="false">MAX(AA782,Z783)</f>
        <v>5000</v>
      </c>
      <c r="AB783" s="24" t="n">
        <f aca="false">AA783-Z783</f>
        <v>1770.78</v>
      </c>
      <c r="AC783" s="23" t="n">
        <f aca="false">IFERROR(AB783/AA783,0)</f>
        <v>0.354156</v>
      </c>
      <c r="AD783" s="22" t="s">
        <v>1020</v>
      </c>
    </row>
    <row r="784" customFormat="false" ht="15" hidden="false" customHeight="false" outlineLevel="0" collapsed="false">
      <c r="A784" s="22" t="n">
        <v>783</v>
      </c>
      <c r="B784" s="22" t="s">
        <v>143</v>
      </c>
      <c r="C784" s="37" t="n">
        <v>45365.7746296296</v>
      </c>
      <c r="D784" s="22" t="s">
        <v>205</v>
      </c>
      <c r="E784" s="22" t="n">
        <v>18</v>
      </c>
      <c r="F784" s="22" t="s">
        <v>182</v>
      </c>
      <c r="G784" s="22" t="s">
        <v>237</v>
      </c>
      <c r="H784" s="22" t="n">
        <v>0.05</v>
      </c>
      <c r="I784" s="38" t="n">
        <v>2155.67</v>
      </c>
      <c r="J784" s="38" t="n">
        <v>2155.65</v>
      </c>
      <c r="K784" s="39" t="n">
        <f aca="false">IF(F784="BUY",J784-I784,I784-J784)</f>
        <v>0.0199999999999818</v>
      </c>
      <c r="L784" s="38" t="n">
        <v>2161.67</v>
      </c>
      <c r="M784" s="39" t="n">
        <f aca="false">ABS(I784-L784)</f>
        <v>6</v>
      </c>
      <c r="N784" s="24" t="n">
        <f aca="false">M784*H784*Summary!$C$6</f>
        <v>30</v>
      </c>
      <c r="O784" s="37" t="n">
        <v>45365.7813541667</v>
      </c>
      <c r="P784" s="22" t="n">
        <f aca="false">ROUND((O784-C784)*86400,0)</f>
        <v>581</v>
      </c>
      <c r="Q784" s="22" t="str">
        <f aca="false">IF(P784&lt;10,"a) &lt;10s",IF(P784&lt;60,"b) 10-60s",IF(P784&lt;600,"c) 1-10min","d) &gt;10min")))</f>
        <v>c) 1-10min</v>
      </c>
      <c r="R784" s="38" t="n">
        <v>2155.15</v>
      </c>
      <c r="S784" s="38" t="n">
        <v>2155.19</v>
      </c>
      <c r="T784" s="22" t="s">
        <v>189</v>
      </c>
      <c r="U784" s="39" t="n">
        <f aca="false">IF(R784="","",IF(F784="BUY",R784-S784,S784-R784))</f>
        <v>0.0399999999999636</v>
      </c>
      <c r="V784" s="39" t="n">
        <f aca="false">IF(F784="BUY",S784-J784,J784-S784)</f>
        <v>0.460000000000036</v>
      </c>
      <c r="W784" s="6" t="n">
        <v>2.3</v>
      </c>
      <c r="X784" s="26" t="n">
        <f aca="false">IFERROR(W784/N784,0)</f>
        <v>0.0766666666666667</v>
      </c>
      <c r="Y784" s="22" t="str">
        <f aca="false">IF(W784&gt;0,"Win",IF(W784&lt;0,"Loss","Flat"))</f>
        <v>Win</v>
      </c>
      <c r="Z784" s="24" t="n">
        <f aca="false">Summary!$C$5+SUM(W$2:W784)</f>
        <v>3231.52</v>
      </c>
      <c r="AA784" s="24" t="n">
        <f aca="false">MAX(AA783,Z784)</f>
        <v>5000</v>
      </c>
      <c r="AB784" s="24" t="n">
        <f aca="false">AA784-Z784</f>
        <v>1768.48</v>
      </c>
      <c r="AC784" s="23" t="n">
        <f aca="false">IFERROR(AB784/AA784,0)</f>
        <v>0.353696</v>
      </c>
      <c r="AD784" s="22" t="s">
        <v>1021</v>
      </c>
    </row>
    <row r="785" customFormat="false" ht="15" hidden="false" customHeight="false" outlineLevel="0" collapsed="false">
      <c r="A785" s="22" t="n">
        <v>784</v>
      </c>
      <c r="B785" s="22" t="s">
        <v>143</v>
      </c>
      <c r="C785" s="37" t="n">
        <v>45366.627650463</v>
      </c>
      <c r="D785" s="22" t="s">
        <v>206</v>
      </c>
      <c r="E785" s="22" t="n">
        <v>15</v>
      </c>
      <c r="F785" s="22" t="s">
        <v>182</v>
      </c>
      <c r="G785" s="22" t="s">
        <v>241</v>
      </c>
      <c r="H785" s="22" t="n">
        <v>0.05</v>
      </c>
      <c r="I785" s="38" t="n">
        <v>2163.49</v>
      </c>
      <c r="J785" s="38" t="n">
        <v>2163.46</v>
      </c>
      <c r="K785" s="39" t="n">
        <f aca="false">IF(F785="BUY",J785-I785,I785-J785)</f>
        <v>0.0299999999997453</v>
      </c>
      <c r="L785" s="38" t="n">
        <v>2169.49</v>
      </c>
      <c r="M785" s="39" t="n">
        <f aca="false">ABS(I785-L785)</f>
        <v>6</v>
      </c>
      <c r="N785" s="24" t="n">
        <f aca="false">M785*H785*Summary!$C$6</f>
        <v>30</v>
      </c>
      <c r="O785" s="37" t="n">
        <v>45366.6672685185</v>
      </c>
      <c r="P785" s="22" t="n">
        <f aca="false">ROUND((O785-C785)*86400,0)</f>
        <v>3423</v>
      </c>
      <c r="Q785" s="22" t="str">
        <f aca="false">IF(P785&lt;10,"a) &lt;10s",IF(P785&lt;60,"b) 10-60s",IF(P785&lt;600,"c) 1-10min","d) &gt;10min")))</f>
        <v>d) &gt;10min</v>
      </c>
      <c r="R785" s="38" t="n">
        <v>2162.96</v>
      </c>
      <c r="S785" s="38" t="n">
        <v>2163.03</v>
      </c>
      <c r="T785" s="22" t="s">
        <v>189</v>
      </c>
      <c r="U785" s="39" t="n">
        <f aca="false">IF(R785="","",IF(F785="BUY",R785-S785,S785-R785))</f>
        <v>0.0700000000001637</v>
      </c>
      <c r="V785" s="39" t="n">
        <f aca="false">IF(F785="BUY",S785-J785,J785-S785)</f>
        <v>0.429999999999836</v>
      </c>
      <c r="W785" s="6" t="n">
        <v>2.15</v>
      </c>
      <c r="X785" s="26" t="n">
        <f aca="false">IFERROR(W785/N785,0)</f>
        <v>0.0716666666666667</v>
      </c>
      <c r="Y785" s="22" t="str">
        <f aca="false">IF(W785&gt;0,"Win",IF(W785&lt;0,"Loss","Flat"))</f>
        <v>Win</v>
      </c>
      <c r="Z785" s="24" t="n">
        <f aca="false">Summary!$C$5+SUM(W$2:W785)</f>
        <v>3233.67</v>
      </c>
      <c r="AA785" s="24" t="n">
        <f aca="false">MAX(AA784,Z785)</f>
        <v>5000</v>
      </c>
      <c r="AB785" s="24" t="n">
        <f aca="false">AA785-Z785</f>
        <v>1766.33</v>
      </c>
      <c r="AC785" s="23" t="n">
        <f aca="false">IFERROR(AB785/AA785,0)</f>
        <v>0.353266</v>
      </c>
      <c r="AD785" s="22" t="s">
        <v>1022</v>
      </c>
    </row>
    <row r="786" customFormat="false" ht="15" hidden="false" customHeight="false" outlineLevel="0" collapsed="false">
      <c r="A786" s="22" t="n">
        <v>785</v>
      </c>
      <c r="B786" s="22" t="s">
        <v>143</v>
      </c>
      <c r="C786" s="37" t="n">
        <v>45369.378900463</v>
      </c>
      <c r="D786" s="22" t="s">
        <v>202</v>
      </c>
      <c r="E786" s="22" t="n">
        <v>9</v>
      </c>
      <c r="F786" s="22" t="s">
        <v>181</v>
      </c>
      <c r="G786" s="22" t="s">
        <v>235</v>
      </c>
      <c r="H786" s="22" t="n">
        <v>0.05</v>
      </c>
      <c r="I786" s="38" t="n">
        <v>2148.24</v>
      </c>
      <c r="J786" s="38" t="n">
        <v>2148.24</v>
      </c>
      <c r="K786" s="39" t="n">
        <f aca="false">IF(F786="BUY",J786-I786,I786-J786)</f>
        <v>0</v>
      </c>
      <c r="L786" s="38" t="n">
        <v>2142.24</v>
      </c>
      <c r="M786" s="39" t="n">
        <f aca="false">ABS(I786-L786)</f>
        <v>6</v>
      </c>
      <c r="N786" s="24" t="n">
        <f aca="false">M786*H786*Summary!$C$6</f>
        <v>30</v>
      </c>
      <c r="O786" s="37" t="n">
        <v>45369.9271064815</v>
      </c>
      <c r="P786" s="22" t="n">
        <f aca="false">ROUND((O786-C786)*86400,0)</f>
        <v>47365</v>
      </c>
      <c r="Q786" s="22" t="str">
        <f aca="false">IF(P786&lt;10,"a) &lt;10s",IF(P786&lt;60,"b) 10-60s",IF(P786&lt;600,"c) 1-10min","d) &gt;10min")))</f>
        <v>d) &gt;10min</v>
      </c>
      <c r="R786" s="38"/>
      <c r="S786" s="38" t="n">
        <v>2160.06</v>
      </c>
      <c r="T786" s="22" t="s">
        <v>191</v>
      </c>
      <c r="U786" s="39" t="str">
        <f aca="false">IF(R786="","",IF(F786="BUY",R786-S786,S786-R786))</f>
        <v/>
      </c>
      <c r="V786" s="39" t="n">
        <f aca="false">IF(F786="BUY",S786-J786,J786-S786)</f>
        <v>11.8200000000002</v>
      </c>
      <c r="W786" s="6" t="n">
        <v>59.1</v>
      </c>
      <c r="X786" s="26" t="n">
        <f aca="false">IFERROR(W786/N786,0)</f>
        <v>1.97</v>
      </c>
      <c r="Y786" s="22" t="str">
        <f aca="false">IF(W786&gt;0,"Win",IF(W786&lt;0,"Loss","Flat"))</f>
        <v>Win</v>
      </c>
      <c r="Z786" s="24" t="n">
        <f aca="false">Summary!$C$5+SUM(W$2:W786)</f>
        <v>3292.77</v>
      </c>
      <c r="AA786" s="24" t="n">
        <f aca="false">MAX(AA785,Z786)</f>
        <v>5000</v>
      </c>
      <c r="AB786" s="24" t="n">
        <f aca="false">AA786-Z786</f>
        <v>1707.23</v>
      </c>
      <c r="AC786" s="23" t="n">
        <f aca="false">IFERROR(AB786/AA786,0)</f>
        <v>0.341446</v>
      </c>
      <c r="AD786" s="22" t="s">
        <v>1023</v>
      </c>
    </row>
    <row r="787" customFormat="false" ht="15" hidden="false" customHeight="false" outlineLevel="0" collapsed="false">
      <c r="A787" s="22" t="n">
        <v>786</v>
      </c>
      <c r="B787" s="22" t="s">
        <v>143</v>
      </c>
      <c r="C787" s="37" t="n">
        <v>45370.3750115741</v>
      </c>
      <c r="D787" s="22" t="s">
        <v>203</v>
      </c>
      <c r="E787" s="22" t="n">
        <v>9</v>
      </c>
      <c r="F787" s="22" t="s">
        <v>182</v>
      </c>
      <c r="G787" s="22" t="s">
        <v>241</v>
      </c>
      <c r="H787" s="22" t="n">
        <v>0.05</v>
      </c>
      <c r="I787" s="38" t="n">
        <v>2156.96</v>
      </c>
      <c r="J787" s="38" t="n">
        <v>2156.96</v>
      </c>
      <c r="K787" s="39" t="n">
        <f aca="false">IF(F787="BUY",J787-I787,I787-J787)</f>
        <v>0</v>
      </c>
      <c r="L787" s="38" t="n">
        <v>2162.96</v>
      </c>
      <c r="M787" s="39" t="n">
        <f aca="false">ABS(I787-L787)</f>
        <v>6</v>
      </c>
      <c r="N787" s="24" t="n">
        <f aca="false">M787*H787*Summary!$C$6</f>
        <v>30</v>
      </c>
      <c r="O787" s="37" t="n">
        <v>45370.386712963</v>
      </c>
      <c r="P787" s="22" t="n">
        <f aca="false">ROUND((O787-C787)*86400,0)</f>
        <v>1011</v>
      </c>
      <c r="Q787" s="22" t="str">
        <f aca="false">IF(P787&lt;10,"a) &lt;10s",IF(P787&lt;60,"b) 10-60s",IF(P787&lt;600,"c) 1-10min","d) &gt;10min")))</f>
        <v>d) &gt;10min</v>
      </c>
      <c r="R787" s="38" t="n">
        <v>2156.46</v>
      </c>
      <c r="S787" s="38" t="n">
        <v>2156.49</v>
      </c>
      <c r="T787" s="22" t="s">
        <v>189</v>
      </c>
      <c r="U787" s="39" t="n">
        <f aca="false">IF(R787="","",IF(F787="BUY",R787-S787,S787-R787))</f>
        <v>0.0299999999997453</v>
      </c>
      <c r="V787" s="39" t="n">
        <f aca="false">IF(F787="BUY",S787-J787,J787-S787)</f>
        <v>0.470000000000255</v>
      </c>
      <c r="W787" s="6" t="n">
        <v>2.35</v>
      </c>
      <c r="X787" s="26" t="n">
        <f aca="false">IFERROR(W787/N787,0)</f>
        <v>0.0783333333333333</v>
      </c>
      <c r="Y787" s="22" t="str">
        <f aca="false">IF(W787&gt;0,"Win",IF(W787&lt;0,"Loss","Flat"))</f>
        <v>Win</v>
      </c>
      <c r="Z787" s="24" t="n">
        <f aca="false">Summary!$C$5+SUM(W$2:W787)</f>
        <v>3295.12</v>
      </c>
      <c r="AA787" s="24" t="n">
        <f aca="false">MAX(AA786,Z787)</f>
        <v>5000</v>
      </c>
      <c r="AB787" s="24" t="n">
        <f aca="false">AA787-Z787</f>
        <v>1704.88</v>
      </c>
      <c r="AC787" s="23" t="n">
        <f aca="false">IFERROR(AB787/AA787,0)</f>
        <v>0.340976</v>
      </c>
      <c r="AD787" s="22" t="s">
        <v>1024</v>
      </c>
    </row>
    <row r="788" customFormat="false" ht="15" hidden="false" customHeight="false" outlineLevel="0" collapsed="false">
      <c r="A788" s="22" t="n">
        <v>787</v>
      </c>
      <c r="B788" s="22" t="s">
        <v>143</v>
      </c>
      <c r="C788" s="37" t="n">
        <v>45371.3917824074</v>
      </c>
      <c r="D788" s="22" t="s">
        <v>204</v>
      </c>
      <c r="E788" s="22" t="n">
        <v>9</v>
      </c>
      <c r="F788" s="22" t="s">
        <v>182</v>
      </c>
      <c r="G788" s="22" t="s">
        <v>241</v>
      </c>
      <c r="H788" s="22" t="n">
        <v>0.05</v>
      </c>
      <c r="I788" s="38" t="n">
        <v>2156.51</v>
      </c>
      <c r="J788" s="38" t="n">
        <v>2156.51</v>
      </c>
      <c r="K788" s="39" t="n">
        <f aca="false">IF(F788="BUY",J788-I788,I788-J788)</f>
        <v>0</v>
      </c>
      <c r="L788" s="38" t="n">
        <v>2162.51</v>
      </c>
      <c r="M788" s="39" t="n">
        <f aca="false">ABS(I788-L788)</f>
        <v>6</v>
      </c>
      <c r="N788" s="24" t="n">
        <f aca="false">M788*H788*Summary!$C$6</f>
        <v>30</v>
      </c>
      <c r="O788" s="37" t="n">
        <v>45371.6757060185</v>
      </c>
      <c r="P788" s="22" t="n">
        <f aca="false">ROUND((O788-C788)*86400,0)</f>
        <v>24531</v>
      </c>
      <c r="Q788" s="22" t="str">
        <f aca="false">IF(P788&lt;10,"a) &lt;10s",IF(P788&lt;60,"b) 10-60s",IF(P788&lt;600,"c) 1-10min","d) &gt;10min")))</f>
        <v>d) &gt;10min</v>
      </c>
      <c r="R788" s="38" t="n">
        <v>2156.01</v>
      </c>
      <c r="S788" s="38" t="n">
        <v>2156.03</v>
      </c>
      <c r="T788" s="22" t="s">
        <v>189</v>
      </c>
      <c r="U788" s="39" t="n">
        <f aca="false">IF(R788="","",IF(F788="BUY",R788-S788,S788-R788))</f>
        <v>0.0199999999999818</v>
      </c>
      <c r="V788" s="39" t="n">
        <f aca="false">IF(F788="BUY",S788-J788,J788-S788)</f>
        <v>0.480000000000018</v>
      </c>
      <c r="W788" s="6" t="n">
        <v>2.4</v>
      </c>
      <c r="X788" s="26" t="n">
        <f aca="false">IFERROR(W788/N788,0)</f>
        <v>0.08</v>
      </c>
      <c r="Y788" s="22" t="str">
        <f aca="false">IF(W788&gt;0,"Win",IF(W788&lt;0,"Loss","Flat"))</f>
        <v>Win</v>
      </c>
      <c r="Z788" s="24" t="n">
        <f aca="false">Summary!$C$5+SUM(W$2:W788)</f>
        <v>3297.52</v>
      </c>
      <c r="AA788" s="24" t="n">
        <f aca="false">MAX(AA787,Z788)</f>
        <v>5000</v>
      </c>
      <c r="AB788" s="24" t="n">
        <f aca="false">AA788-Z788</f>
        <v>1702.48</v>
      </c>
      <c r="AC788" s="23" t="n">
        <f aca="false">IFERROR(AB788/AA788,0)</f>
        <v>0.340496</v>
      </c>
      <c r="AD788" s="22" t="s">
        <v>1025</v>
      </c>
    </row>
    <row r="789" customFormat="false" ht="15" hidden="false" customHeight="false" outlineLevel="0" collapsed="false">
      <c r="A789" s="22" t="n">
        <v>788</v>
      </c>
      <c r="B789" s="22" t="s">
        <v>143</v>
      </c>
      <c r="C789" s="37" t="n">
        <v>45371.71</v>
      </c>
      <c r="D789" s="22" t="s">
        <v>204</v>
      </c>
      <c r="E789" s="22" t="n">
        <v>17</v>
      </c>
      <c r="F789" s="22" t="s">
        <v>181</v>
      </c>
      <c r="G789" s="22" t="s">
        <v>243</v>
      </c>
      <c r="H789" s="22" t="n">
        <v>0.05</v>
      </c>
      <c r="I789" s="38" t="n">
        <v>2162.75</v>
      </c>
      <c r="J789" s="38" t="n">
        <v>2162.98</v>
      </c>
      <c r="K789" s="39" t="n">
        <f aca="false">IF(F789="BUY",J789-I789,I789-J789)</f>
        <v>0.230000000000018</v>
      </c>
      <c r="L789" s="38" t="n">
        <v>2156.75</v>
      </c>
      <c r="M789" s="39" t="n">
        <f aca="false">ABS(I789-L789)</f>
        <v>6</v>
      </c>
      <c r="N789" s="24" t="n">
        <f aca="false">M789*H789*Summary!$C$6</f>
        <v>30</v>
      </c>
      <c r="O789" s="37" t="n">
        <v>45371.7410069444</v>
      </c>
      <c r="P789" s="22" t="n">
        <f aca="false">ROUND((O789-C789)*86400,0)</f>
        <v>2679</v>
      </c>
      <c r="Q789" s="22" t="str">
        <f aca="false">IF(P789&lt;10,"a) &lt;10s",IF(P789&lt;60,"b) 10-60s",IF(P789&lt;600,"c) 1-10min","d) &gt;10min")))</f>
        <v>d) &gt;10min</v>
      </c>
      <c r="R789" s="38" t="n">
        <v>2156.75</v>
      </c>
      <c r="S789" s="38" t="n">
        <v>2156.67</v>
      </c>
      <c r="T789" s="22" t="s">
        <v>188</v>
      </c>
      <c r="U789" s="39" t="n">
        <f aca="false">IF(R789="","",IF(F789="BUY",R789-S789,S789-R789))</f>
        <v>0.0799999999999272</v>
      </c>
      <c r="V789" s="39" t="n">
        <f aca="false">IF(F789="BUY",S789-J789,J789-S789)</f>
        <v>-6.30999999999995</v>
      </c>
      <c r="W789" s="6" t="n">
        <v>-31.55</v>
      </c>
      <c r="X789" s="26" t="n">
        <f aca="false">IFERROR(W789/N789,0)</f>
        <v>-1.05166666666667</v>
      </c>
      <c r="Y789" s="22" t="str">
        <f aca="false">IF(W789&gt;0,"Win",IF(W789&lt;0,"Loss","Flat"))</f>
        <v>Loss</v>
      </c>
      <c r="Z789" s="24" t="n">
        <f aca="false">Summary!$C$5+SUM(W$2:W789)</f>
        <v>3265.97</v>
      </c>
      <c r="AA789" s="24" t="n">
        <f aca="false">MAX(AA788,Z789)</f>
        <v>5000</v>
      </c>
      <c r="AB789" s="24" t="n">
        <f aca="false">AA789-Z789</f>
        <v>1734.03</v>
      </c>
      <c r="AC789" s="23" t="n">
        <f aca="false">IFERROR(AB789/AA789,0)</f>
        <v>0.346806</v>
      </c>
      <c r="AD789" s="22" t="s">
        <v>1026</v>
      </c>
    </row>
    <row r="790" customFormat="false" ht="15" hidden="false" customHeight="false" outlineLevel="0" collapsed="false">
      <c r="A790" s="22" t="n">
        <v>789</v>
      </c>
      <c r="B790" s="22" t="s">
        <v>143</v>
      </c>
      <c r="C790" s="37" t="n">
        <v>45372.4813541667</v>
      </c>
      <c r="D790" s="22" t="s">
        <v>205</v>
      </c>
      <c r="E790" s="22" t="n">
        <v>11</v>
      </c>
      <c r="F790" s="22" t="s">
        <v>182</v>
      </c>
      <c r="G790" s="22" t="s">
        <v>241</v>
      </c>
      <c r="H790" s="22" t="n">
        <v>0.05</v>
      </c>
      <c r="I790" s="38" t="n">
        <v>2201.72</v>
      </c>
      <c r="J790" s="38" t="n">
        <v>2201.7</v>
      </c>
      <c r="K790" s="39" t="n">
        <f aca="false">IF(F790="BUY",J790-I790,I790-J790)</f>
        <v>0.0199999999999818</v>
      </c>
      <c r="L790" s="38" t="n">
        <v>2207.72</v>
      </c>
      <c r="M790" s="39" t="n">
        <f aca="false">ABS(I790-L790)</f>
        <v>6</v>
      </c>
      <c r="N790" s="24" t="n">
        <f aca="false">M790*H790*Summary!$C$6</f>
        <v>30</v>
      </c>
      <c r="O790" s="37" t="n">
        <v>45372.4964814815</v>
      </c>
      <c r="P790" s="22" t="n">
        <f aca="false">ROUND((O790-C790)*86400,0)</f>
        <v>1307</v>
      </c>
      <c r="Q790" s="22" t="str">
        <f aca="false">IF(P790&lt;10,"a) &lt;10s",IF(P790&lt;60,"b) 10-60s",IF(P790&lt;600,"c) 1-10min","d) &gt;10min")))</f>
        <v>d) &gt;10min</v>
      </c>
      <c r="R790" s="38" t="n">
        <v>2201.2</v>
      </c>
      <c r="S790" s="38" t="n">
        <v>2201.21</v>
      </c>
      <c r="T790" s="22" t="s">
        <v>189</v>
      </c>
      <c r="U790" s="39" t="n">
        <f aca="false">IF(R790="","",IF(F790="BUY",R790-S790,S790-R790))</f>
        <v>0.0100000000002183</v>
      </c>
      <c r="V790" s="39" t="n">
        <f aca="false">IF(F790="BUY",S790-J790,J790-S790)</f>
        <v>0.489999999999782</v>
      </c>
      <c r="W790" s="6" t="n">
        <v>2.45</v>
      </c>
      <c r="X790" s="26" t="n">
        <f aca="false">IFERROR(W790/N790,0)</f>
        <v>0.0816666666666667</v>
      </c>
      <c r="Y790" s="22" t="str">
        <f aca="false">IF(W790&gt;0,"Win",IF(W790&lt;0,"Loss","Flat"))</f>
        <v>Win</v>
      </c>
      <c r="Z790" s="24" t="n">
        <f aca="false">Summary!$C$5+SUM(W$2:W790)</f>
        <v>3268.42</v>
      </c>
      <c r="AA790" s="24" t="n">
        <f aca="false">MAX(AA789,Z790)</f>
        <v>5000</v>
      </c>
      <c r="AB790" s="24" t="n">
        <f aca="false">AA790-Z790</f>
        <v>1731.58</v>
      </c>
      <c r="AC790" s="23" t="n">
        <f aca="false">IFERROR(AB790/AA790,0)</f>
        <v>0.346316</v>
      </c>
      <c r="AD790" s="22" t="s">
        <v>1027</v>
      </c>
    </row>
    <row r="791" customFormat="false" ht="15" hidden="false" customHeight="false" outlineLevel="0" collapsed="false">
      <c r="A791" s="22" t="n">
        <v>790</v>
      </c>
      <c r="B791" s="22" t="s">
        <v>143</v>
      </c>
      <c r="C791" s="37" t="n">
        <v>45373.3781018519</v>
      </c>
      <c r="D791" s="22" t="s">
        <v>206</v>
      </c>
      <c r="E791" s="22" t="n">
        <v>9</v>
      </c>
      <c r="F791" s="22" t="s">
        <v>182</v>
      </c>
      <c r="G791" s="22" t="s">
        <v>241</v>
      </c>
      <c r="H791" s="22" t="n">
        <v>0.05</v>
      </c>
      <c r="I791" s="38" t="n">
        <v>2172.94</v>
      </c>
      <c r="J791" s="38" t="n">
        <v>2172.9</v>
      </c>
      <c r="K791" s="39" t="n">
        <f aca="false">IF(F791="BUY",J791-I791,I791-J791)</f>
        <v>0.0399999999999636</v>
      </c>
      <c r="L791" s="38" t="n">
        <v>2178.94</v>
      </c>
      <c r="M791" s="39" t="n">
        <f aca="false">ABS(I791-L791)</f>
        <v>6</v>
      </c>
      <c r="N791" s="24" t="n">
        <f aca="false">M791*H791*Summary!$C$6</f>
        <v>30</v>
      </c>
      <c r="O791" s="37" t="n">
        <v>45373.6377430556</v>
      </c>
      <c r="P791" s="22" t="n">
        <f aca="false">ROUND((O791-C791)*86400,0)</f>
        <v>22433</v>
      </c>
      <c r="Q791" s="22" t="str">
        <f aca="false">IF(P791&lt;10,"a) &lt;10s",IF(P791&lt;60,"b) 10-60s",IF(P791&lt;600,"c) 1-10min","d) &gt;10min")))</f>
        <v>d) &gt;10min</v>
      </c>
      <c r="R791" s="38" t="n">
        <v>2172.4</v>
      </c>
      <c r="S791" s="38" t="n">
        <v>2172.56</v>
      </c>
      <c r="T791" s="22" t="s">
        <v>189</v>
      </c>
      <c r="U791" s="39" t="n">
        <f aca="false">IF(R791="","",IF(F791="BUY",R791-S791,S791-R791))</f>
        <v>0.159999999999854</v>
      </c>
      <c r="V791" s="39" t="n">
        <f aca="false">IF(F791="BUY",S791-J791,J791-S791)</f>
        <v>0.340000000000146</v>
      </c>
      <c r="W791" s="6" t="n">
        <v>1.7</v>
      </c>
      <c r="X791" s="26" t="n">
        <f aca="false">IFERROR(W791/N791,0)</f>
        <v>0.0566666666666667</v>
      </c>
      <c r="Y791" s="22" t="str">
        <f aca="false">IF(W791&gt;0,"Win",IF(W791&lt;0,"Loss","Flat"))</f>
        <v>Win</v>
      </c>
      <c r="Z791" s="24" t="n">
        <f aca="false">Summary!$C$5+SUM(W$2:W791)</f>
        <v>3270.12</v>
      </c>
      <c r="AA791" s="24" t="n">
        <f aca="false">MAX(AA790,Z791)</f>
        <v>5000</v>
      </c>
      <c r="AB791" s="24" t="n">
        <f aca="false">AA791-Z791</f>
        <v>1729.88</v>
      </c>
      <c r="AC791" s="23" t="n">
        <f aca="false">IFERROR(AB791/AA791,0)</f>
        <v>0.345976</v>
      </c>
      <c r="AD791" s="22" t="s">
        <v>1028</v>
      </c>
    </row>
    <row r="792" customFormat="false" ht="15" hidden="false" customHeight="false" outlineLevel="0" collapsed="false">
      <c r="A792" s="22" t="n">
        <v>791</v>
      </c>
      <c r="B792" s="22" t="s">
        <v>143</v>
      </c>
      <c r="C792" s="37" t="n">
        <v>45376.3840509259</v>
      </c>
      <c r="D792" s="22" t="s">
        <v>202</v>
      </c>
      <c r="E792" s="22" t="n">
        <v>9</v>
      </c>
      <c r="F792" s="22" t="s">
        <v>182</v>
      </c>
      <c r="G792" s="22" t="s">
        <v>241</v>
      </c>
      <c r="H792" s="22" t="n">
        <v>0.05</v>
      </c>
      <c r="I792" s="38" t="n">
        <v>2167.62</v>
      </c>
      <c r="J792" s="38" t="n">
        <v>2167.58</v>
      </c>
      <c r="K792" s="39" t="n">
        <f aca="false">IF(F792="BUY",J792-I792,I792-J792)</f>
        <v>0.0399999999999636</v>
      </c>
      <c r="L792" s="38" t="n">
        <v>2173.62</v>
      </c>
      <c r="M792" s="39" t="n">
        <f aca="false">ABS(I792-L792)</f>
        <v>6</v>
      </c>
      <c r="N792" s="24" t="n">
        <f aca="false">M792*H792*Summary!$C$6</f>
        <v>30</v>
      </c>
      <c r="O792" s="37" t="n">
        <v>45376.426724537</v>
      </c>
      <c r="P792" s="22" t="n">
        <f aca="false">ROUND((O792-C792)*86400,0)</f>
        <v>3687</v>
      </c>
      <c r="Q792" s="22" t="str">
        <f aca="false">IF(P792&lt;10,"a) &lt;10s",IF(P792&lt;60,"b) 10-60s",IF(P792&lt;600,"c) 1-10min","d) &gt;10min")))</f>
        <v>d) &gt;10min</v>
      </c>
      <c r="R792" s="38" t="n">
        <v>2167.08</v>
      </c>
      <c r="S792" s="38" t="n">
        <v>2167.11</v>
      </c>
      <c r="T792" s="22" t="s">
        <v>189</v>
      </c>
      <c r="U792" s="39" t="n">
        <f aca="false">IF(R792="","",IF(F792="BUY",R792-S792,S792-R792))</f>
        <v>0.0300000000002001</v>
      </c>
      <c r="V792" s="39" t="n">
        <f aca="false">IF(F792="BUY",S792-J792,J792-S792)</f>
        <v>0.4699999999998</v>
      </c>
      <c r="W792" s="6" t="n">
        <v>2.35</v>
      </c>
      <c r="X792" s="26" t="n">
        <f aca="false">IFERROR(W792/N792,0)</f>
        <v>0.0783333333333333</v>
      </c>
      <c r="Y792" s="22" t="str">
        <f aca="false">IF(W792&gt;0,"Win",IF(W792&lt;0,"Loss","Flat"))</f>
        <v>Win</v>
      </c>
      <c r="Z792" s="24" t="n">
        <f aca="false">Summary!$C$5+SUM(W$2:W792)</f>
        <v>3272.47</v>
      </c>
      <c r="AA792" s="24" t="n">
        <f aca="false">MAX(AA791,Z792)</f>
        <v>5000</v>
      </c>
      <c r="AB792" s="24" t="n">
        <f aca="false">AA792-Z792</f>
        <v>1727.53</v>
      </c>
      <c r="AC792" s="23" t="n">
        <f aca="false">IFERROR(AB792/AA792,0)</f>
        <v>0.345506</v>
      </c>
      <c r="AD792" s="22" t="s">
        <v>1029</v>
      </c>
    </row>
    <row r="793" customFormat="false" ht="15" hidden="false" customHeight="false" outlineLevel="0" collapsed="false">
      <c r="A793" s="22" t="n">
        <v>792</v>
      </c>
      <c r="B793" s="22" t="s">
        <v>143</v>
      </c>
      <c r="C793" s="37" t="n">
        <v>45377.375162037</v>
      </c>
      <c r="D793" s="22" t="s">
        <v>203</v>
      </c>
      <c r="E793" s="22" t="n">
        <v>9</v>
      </c>
      <c r="F793" s="22" t="s">
        <v>181</v>
      </c>
      <c r="G793" s="22" t="s">
        <v>235</v>
      </c>
      <c r="H793" s="22" t="n">
        <v>0.05</v>
      </c>
      <c r="I793" s="38" t="n">
        <v>2173.27</v>
      </c>
      <c r="J793" s="38" t="n">
        <v>2173.34</v>
      </c>
      <c r="K793" s="39" t="n">
        <f aca="false">IF(F793="BUY",J793-I793,I793-J793)</f>
        <v>0.0700000000001637</v>
      </c>
      <c r="L793" s="38" t="n">
        <v>2167.27</v>
      </c>
      <c r="M793" s="39" t="n">
        <f aca="false">ABS(I793-L793)</f>
        <v>6</v>
      </c>
      <c r="N793" s="24" t="n">
        <f aca="false">M793*H793*Summary!$C$6</f>
        <v>30</v>
      </c>
      <c r="O793" s="37" t="n">
        <v>45377.7758564815</v>
      </c>
      <c r="P793" s="22" t="n">
        <f aca="false">ROUND((O793-C793)*86400,0)</f>
        <v>34620</v>
      </c>
      <c r="Q793" s="22" t="str">
        <f aca="false">IF(P793&lt;10,"a) &lt;10s",IF(P793&lt;60,"b) 10-60s",IF(P793&lt;600,"c) 1-10min","d) &gt;10min")))</f>
        <v>d) &gt;10min</v>
      </c>
      <c r="R793" s="38" t="n">
        <v>2173.84</v>
      </c>
      <c r="S793" s="38" t="n">
        <v>2173.84</v>
      </c>
      <c r="T793" s="22" t="s">
        <v>189</v>
      </c>
      <c r="U793" s="39" t="n">
        <f aca="false">IF(R793="","",IF(F793="BUY",R793-S793,S793-R793))</f>
        <v>0</v>
      </c>
      <c r="V793" s="39" t="n">
        <f aca="false">IF(F793="BUY",S793-J793,J793-S793)</f>
        <v>0.5</v>
      </c>
      <c r="W793" s="6" t="n">
        <v>2.5</v>
      </c>
      <c r="X793" s="26" t="n">
        <f aca="false">IFERROR(W793/N793,0)</f>
        <v>0.0833333333333333</v>
      </c>
      <c r="Y793" s="22" t="str">
        <f aca="false">IF(W793&gt;0,"Win",IF(W793&lt;0,"Loss","Flat"))</f>
        <v>Win</v>
      </c>
      <c r="Z793" s="24" t="n">
        <f aca="false">Summary!$C$5+SUM(W$2:W793)</f>
        <v>3274.97</v>
      </c>
      <c r="AA793" s="24" t="n">
        <f aca="false">MAX(AA792,Z793)</f>
        <v>5000</v>
      </c>
      <c r="AB793" s="24" t="n">
        <f aca="false">AA793-Z793</f>
        <v>1725.03</v>
      </c>
      <c r="AC793" s="23" t="n">
        <f aca="false">IFERROR(AB793/AA793,0)</f>
        <v>0.345006</v>
      </c>
      <c r="AD793" s="22" t="s">
        <v>1030</v>
      </c>
    </row>
    <row r="794" customFormat="false" ht="15" hidden="false" customHeight="false" outlineLevel="0" collapsed="false">
      <c r="A794" s="22" t="n">
        <v>793</v>
      </c>
      <c r="B794" s="22" t="s">
        <v>143</v>
      </c>
      <c r="C794" s="37" t="n">
        <v>45378.4081828704</v>
      </c>
      <c r="D794" s="22" t="s">
        <v>204</v>
      </c>
      <c r="E794" s="22" t="n">
        <v>9</v>
      </c>
      <c r="F794" s="22" t="s">
        <v>181</v>
      </c>
      <c r="G794" s="22" t="s">
        <v>235</v>
      </c>
      <c r="H794" s="22" t="n">
        <v>0.05</v>
      </c>
      <c r="I794" s="38" t="n">
        <v>2179.98</v>
      </c>
      <c r="J794" s="38" t="n">
        <v>2179.99</v>
      </c>
      <c r="K794" s="39" t="n">
        <f aca="false">IF(F794="BUY",J794-I794,I794-J794)</f>
        <v>0.00999999999976353</v>
      </c>
      <c r="L794" s="38" t="n">
        <v>2173.98</v>
      </c>
      <c r="M794" s="39" t="n">
        <f aca="false">ABS(I794-L794)</f>
        <v>6</v>
      </c>
      <c r="N794" s="24" t="n">
        <f aca="false">M794*H794*Summary!$C$6</f>
        <v>30</v>
      </c>
      <c r="O794" s="37" t="n">
        <v>45378.4771064815</v>
      </c>
      <c r="P794" s="22" t="n">
        <f aca="false">ROUND((O794-C794)*86400,0)</f>
        <v>5955</v>
      </c>
      <c r="Q794" s="22" t="str">
        <f aca="false">IF(P794&lt;10,"a) &lt;10s",IF(P794&lt;60,"b) 10-60s",IF(P794&lt;600,"c) 1-10min","d) &gt;10min")))</f>
        <v>d) &gt;10min</v>
      </c>
      <c r="R794" s="38" t="n">
        <v>2180.49</v>
      </c>
      <c r="S794" s="38" t="n">
        <v>2180.48</v>
      </c>
      <c r="T794" s="22" t="s">
        <v>189</v>
      </c>
      <c r="U794" s="39" t="n">
        <f aca="false">IF(R794="","",IF(F794="BUY",R794-S794,S794-R794))</f>
        <v>0.00999999999976353</v>
      </c>
      <c r="V794" s="39" t="n">
        <f aca="false">IF(F794="BUY",S794-J794,J794-S794)</f>
        <v>0.490000000000236</v>
      </c>
      <c r="W794" s="6" t="n">
        <v>2.45</v>
      </c>
      <c r="X794" s="26" t="n">
        <f aca="false">IFERROR(W794/N794,0)</f>
        <v>0.0816666666666667</v>
      </c>
      <c r="Y794" s="22" t="str">
        <f aca="false">IF(W794&gt;0,"Win",IF(W794&lt;0,"Loss","Flat"))</f>
        <v>Win</v>
      </c>
      <c r="Z794" s="24" t="n">
        <f aca="false">Summary!$C$5+SUM(W$2:W794)</f>
        <v>3277.42</v>
      </c>
      <c r="AA794" s="24" t="n">
        <f aca="false">MAX(AA793,Z794)</f>
        <v>5000</v>
      </c>
      <c r="AB794" s="24" t="n">
        <f aca="false">AA794-Z794</f>
        <v>1722.58</v>
      </c>
      <c r="AC794" s="23" t="n">
        <f aca="false">IFERROR(AB794/AA794,0)</f>
        <v>0.344516</v>
      </c>
      <c r="AD794" s="22" t="s">
        <v>1031</v>
      </c>
    </row>
    <row r="795" customFormat="false" ht="15" hidden="false" customHeight="false" outlineLevel="0" collapsed="false">
      <c r="A795" s="22" t="n">
        <v>794</v>
      </c>
      <c r="B795" s="22" t="s">
        <v>143</v>
      </c>
      <c r="C795" s="37" t="n">
        <v>45379.3566203704</v>
      </c>
      <c r="D795" s="22" t="s">
        <v>205</v>
      </c>
      <c r="E795" s="22" t="n">
        <v>8</v>
      </c>
      <c r="F795" s="22" t="s">
        <v>181</v>
      </c>
      <c r="G795" s="22" t="s">
        <v>243</v>
      </c>
      <c r="H795" s="22" t="n">
        <v>0.05</v>
      </c>
      <c r="I795" s="38" t="n">
        <v>2197.51</v>
      </c>
      <c r="J795" s="38" t="n">
        <v>2197.55</v>
      </c>
      <c r="K795" s="39" t="n">
        <f aca="false">IF(F795="BUY",J795-I795,I795-J795)</f>
        <v>0.0399999999999636</v>
      </c>
      <c r="L795" s="38" t="n">
        <v>2191.51</v>
      </c>
      <c r="M795" s="39" t="n">
        <f aca="false">ABS(I795-L795)</f>
        <v>6</v>
      </c>
      <c r="N795" s="24" t="n">
        <f aca="false">M795*H795*Summary!$C$6</f>
        <v>30</v>
      </c>
      <c r="O795" s="37" t="n">
        <v>45379.3739351852</v>
      </c>
      <c r="P795" s="22" t="n">
        <f aca="false">ROUND((O795-C795)*86400,0)</f>
        <v>1496</v>
      </c>
      <c r="Q795" s="22" t="str">
        <f aca="false">IF(P795&lt;10,"a) &lt;10s",IF(P795&lt;60,"b) 10-60s",IF(P795&lt;600,"c) 1-10min","d) &gt;10min")))</f>
        <v>d) &gt;10min</v>
      </c>
      <c r="R795" s="38" t="n">
        <v>2198.05</v>
      </c>
      <c r="S795" s="38" t="n">
        <v>2198.02</v>
      </c>
      <c r="T795" s="22" t="s">
        <v>189</v>
      </c>
      <c r="U795" s="39" t="n">
        <f aca="false">IF(R795="","",IF(F795="BUY",R795-S795,S795-R795))</f>
        <v>0.0300000000002001</v>
      </c>
      <c r="V795" s="39" t="n">
        <f aca="false">IF(F795="BUY",S795-J795,J795-S795)</f>
        <v>0.4699999999998</v>
      </c>
      <c r="W795" s="6" t="n">
        <v>2.35</v>
      </c>
      <c r="X795" s="26" t="n">
        <f aca="false">IFERROR(W795/N795,0)</f>
        <v>0.0783333333333333</v>
      </c>
      <c r="Y795" s="22" t="str">
        <f aca="false">IF(W795&gt;0,"Win",IF(W795&lt;0,"Loss","Flat"))</f>
        <v>Win</v>
      </c>
      <c r="Z795" s="24" t="n">
        <f aca="false">Summary!$C$5+SUM(W$2:W795)</f>
        <v>3279.77</v>
      </c>
      <c r="AA795" s="24" t="n">
        <f aca="false">MAX(AA794,Z795)</f>
        <v>5000</v>
      </c>
      <c r="AB795" s="24" t="n">
        <f aca="false">AA795-Z795</f>
        <v>1720.23</v>
      </c>
      <c r="AC795" s="23" t="n">
        <f aca="false">IFERROR(AB795/AA795,0)</f>
        <v>0.344046</v>
      </c>
      <c r="AD795" s="22" t="s">
        <v>1032</v>
      </c>
    </row>
    <row r="796" customFormat="false" ht="15" hidden="false" customHeight="false" outlineLevel="0" collapsed="false">
      <c r="A796" s="22" t="n">
        <v>795</v>
      </c>
      <c r="B796" s="22" t="s">
        <v>143</v>
      </c>
      <c r="C796" s="37" t="n">
        <v>45379.4359490741</v>
      </c>
      <c r="D796" s="22" t="s">
        <v>205</v>
      </c>
      <c r="E796" s="22" t="n">
        <v>10</v>
      </c>
      <c r="F796" s="22" t="s">
        <v>182</v>
      </c>
      <c r="G796" s="22" t="s">
        <v>241</v>
      </c>
      <c r="H796" s="22" t="n">
        <v>0.05</v>
      </c>
      <c r="I796" s="38" t="n">
        <v>2194.32</v>
      </c>
      <c r="J796" s="38" t="n">
        <v>2194.32</v>
      </c>
      <c r="K796" s="39" t="n">
        <f aca="false">IF(F796="BUY",J796-I796,I796-J796)</f>
        <v>0</v>
      </c>
      <c r="L796" s="38" t="n">
        <v>2200.32</v>
      </c>
      <c r="M796" s="39" t="n">
        <f aca="false">ABS(I796-L796)</f>
        <v>6</v>
      </c>
      <c r="N796" s="24" t="n">
        <f aca="false">M796*H796*Summary!$C$6</f>
        <v>30</v>
      </c>
      <c r="O796" s="37" t="n">
        <v>45379.4722916667</v>
      </c>
      <c r="P796" s="22" t="n">
        <f aca="false">ROUND((O796-C796)*86400,0)</f>
        <v>3140</v>
      </c>
      <c r="Q796" s="22" t="str">
        <f aca="false">IF(P796&lt;10,"a) &lt;10s",IF(P796&lt;60,"b) 10-60s",IF(P796&lt;600,"c) 1-10min","d) &gt;10min")))</f>
        <v>d) &gt;10min</v>
      </c>
      <c r="R796" s="38" t="n">
        <v>2193.82</v>
      </c>
      <c r="S796" s="38" t="n">
        <v>2193.84</v>
      </c>
      <c r="T796" s="22" t="s">
        <v>189</v>
      </c>
      <c r="U796" s="39" t="n">
        <f aca="false">IF(R796="","",IF(F796="BUY",R796-S796,S796-R796))</f>
        <v>0.0199999999999818</v>
      </c>
      <c r="V796" s="39" t="n">
        <f aca="false">IF(F796="BUY",S796-J796,J796-S796)</f>
        <v>0.480000000000018</v>
      </c>
      <c r="W796" s="6" t="n">
        <v>2.4</v>
      </c>
      <c r="X796" s="26" t="n">
        <f aca="false">IFERROR(W796/N796,0)</f>
        <v>0.08</v>
      </c>
      <c r="Y796" s="22" t="str">
        <f aca="false">IF(W796&gt;0,"Win",IF(W796&lt;0,"Loss","Flat"))</f>
        <v>Win</v>
      </c>
      <c r="Z796" s="24" t="n">
        <f aca="false">Summary!$C$5+SUM(W$2:W796)</f>
        <v>3282.17</v>
      </c>
      <c r="AA796" s="24" t="n">
        <f aca="false">MAX(AA795,Z796)</f>
        <v>5000</v>
      </c>
      <c r="AB796" s="24" t="n">
        <f aca="false">AA796-Z796</f>
        <v>1717.83</v>
      </c>
      <c r="AC796" s="23" t="n">
        <f aca="false">IFERROR(AB796/AA796,0)</f>
        <v>0.343566</v>
      </c>
      <c r="AD796" s="22" t="s">
        <v>1033</v>
      </c>
    </row>
    <row r="797" customFormat="false" ht="15" hidden="false" customHeight="false" outlineLevel="0" collapsed="false">
      <c r="A797" s="22" t="n">
        <v>796</v>
      </c>
      <c r="B797" s="22" t="s">
        <v>144</v>
      </c>
      <c r="C797" s="37" t="n">
        <v>45383.4530208333</v>
      </c>
      <c r="D797" s="22" t="s">
        <v>202</v>
      </c>
      <c r="E797" s="22" t="n">
        <v>10</v>
      </c>
      <c r="F797" s="22" t="s">
        <v>182</v>
      </c>
      <c r="G797" s="22" t="s">
        <v>241</v>
      </c>
      <c r="H797" s="22" t="n">
        <v>0.05</v>
      </c>
      <c r="I797" s="38" t="n">
        <v>2257.85</v>
      </c>
      <c r="J797" s="38" t="n">
        <v>2257.74</v>
      </c>
      <c r="K797" s="39" t="n">
        <f aca="false">IF(F797="BUY",J797-I797,I797-J797)</f>
        <v>0.110000000000127</v>
      </c>
      <c r="L797" s="38" t="n">
        <v>2263.85</v>
      </c>
      <c r="M797" s="39" t="n">
        <f aca="false">ABS(I797-L797)</f>
        <v>6</v>
      </c>
      <c r="N797" s="24" t="n">
        <f aca="false">M797*H797*Summary!$C$6</f>
        <v>30</v>
      </c>
      <c r="O797" s="37" t="n">
        <v>45383.6744675926</v>
      </c>
      <c r="P797" s="22" t="n">
        <f aca="false">ROUND((O797-C797)*86400,0)</f>
        <v>19133</v>
      </c>
      <c r="Q797" s="22" t="str">
        <f aca="false">IF(P797&lt;10,"a) &lt;10s",IF(P797&lt;60,"b) 10-60s",IF(P797&lt;600,"c) 1-10min","d) &gt;10min")))</f>
        <v>d) &gt;10min</v>
      </c>
      <c r="R797" s="38" t="n">
        <v>2257.24</v>
      </c>
      <c r="S797" s="38" t="n">
        <v>2257.24</v>
      </c>
      <c r="T797" s="22" t="s">
        <v>189</v>
      </c>
      <c r="U797" s="39" t="n">
        <f aca="false">IF(R797="","",IF(F797="BUY",R797-S797,S797-R797))</f>
        <v>0</v>
      </c>
      <c r="V797" s="39" t="n">
        <f aca="false">IF(F797="BUY",S797-J797,J797-S797)</f>
        <v>0.5</v>
      </c>
      <c r="W797" s="6" t="n">
        <v>2.5</v>
      </c>
      <c r="X797" s="26" t="n">
        <f aca="false">IFERROR(W797/N797,0)</f>
        <v>0.0833333333333333</v>
      </c>
      <c r="Y797" s="22" t="str">
        <f aca="false">IF(W797&gt;0,"Win",IF(W797&lt;0,"Loss","Flat"))</f>
        <v>Win</v>
      </c>
      <c r="Z797" s="24" t="n">
        <f aca="false">Summary!$C$5+SUM(W$2:W797)</f>
        <v>3284.67</v>
      </c>
      <c r="AA797" s="24" t="n">
        <f aca="false">MAX(AA796,Z797)</f>
        <v>5000</v>
      </c>
      <c r="AB797" s="24" t="n">
        <f aca="false">AA797-Z797</f>
        <v>1715.33</v>
      </c>
      <c r="AC797" s="23" t="n">
        <f aca="false">IFERROR(AB797/AA797,0)</f>
        <v>0.343066</v>
      </c>
      <c r="AD797" s="22" t="s">
        <v>1034</v>
      </c>
    </row>
    <row r="798" customFormat="false" ht="15" hidden="false" customHeight="false" outlineLevel="0" collapsed="false">
      <c r="A798" s="22" t="n">
        <v>797</v>
      </c>
      <c r="B798" s="22" t="s">
        <v>144</v>
      </c>
      <c r="C798" s="37" t="n">
        <v>45384.4625578704</v>
      </c>
      <c r="D798" s="22" t="s">
        <v>203</v>
      </c>
      <c r="E798" s="22" t="n">
        <v>11</v>
      </c>
      <c r="F798" s="22" t="s">
        <v>181</v>
      </c>
      <c r="G798" s="22" t="s">
        <v>235</v>
      </c>
      <c r="H798" s="22" t="n">
        <v>0.05</v>
      </c>
      <c r="I798" s="38" t="n">
        <v>2259.8</v>
      </c>
      <c r="J798" s="38" t="n">
        <v>2259.92</v>
      </c>
      <c r="K798" s="39" t="n">
        <f aca="false">IF(F798="BUY",J798-I798,I798-J798)</f>
        <v>0.119999999999891</v>
      </c>
      <c r="L798" s="38" t="n">
        <v>2253.8</v>
      </c>
      <c r="M798" s="39" t="n">
        <f aca="false">ABS(I798-L798)</f>
        <v>6</v>
      </c>
      <c r="N798" s="24" t="n">
        <f aca="false">M798*H798*Summary!$C$6</f>
        <v>30</v>
      </c>
      <c r="O798" s="37" t="n">
        <v>45384.4724189815</v>
      </c>
      <c r="P798" s="22" t="n">
        <f aca="false">ROUND((O798-C798)*86400,0)</f>
        <v>852</v>
      </c>
      <c r="Q798" s="22" t="str">
        <f aca="false">IF(P798&lt;10,"a) &lt;10s",IF(P798&lt;60,"b) 10-60s",IF(P798&lt;600,"c) 1-10min","d) &gt;10min")))</f>
        <v>d) &gt;10min</v>
      </c>
      <c r="R798" s="38" t="n">
        <v>2260.42</v>
      </c>
      <c r="S798" s="38" t="n">
        <v>2260.41</v>
      </c>
      <c r="T798" s="22" t="s">
        <v>189</v>
      </c>
      <c r="U798" s="39" t="n">
        <f aca="false">IF(R798="","",IF(F798="BUY",R798-S798,S798-R798))</f>
        <v>0.0100000000002183</v>
      </c>
      <c r="V798" s="39" t="n">
        <f aca="false">IF(F798="BUY",S798-J798,J798-S798)</f>
        <v>0.489999999999782</v>
      </c>
      <c r="W798" s="6" t="n">
        <v>2.45</v>
      </c>
      <c r="X798" s="26" t="n">
        <f aca="false">IFERROR(W798/N798,0)</f>
        <v>0.0816666666666667</v>
      </c>
      <c r="Y798" s="22" t="str">
        <f aca="false">IF(W798&gt;0,"Win",IF(W798&lt;0,"Loss","Flat"))</f>
        <v>Win</v>
      </c>
      <c r="Z798" s="24" t="n">
        <f aca="false">Summary!$C$5+SUM(W$2:W798)</f>
        <v>3287.12</v>
      </c>
      <c r="AA798" s="24" t="n">
        <f aca="false">MAX(AA797,Z798)</f>
        <v>5000</v>
      </c>
      <c r="AB798" s="24" t="n">
        <f aca="false">AA798-Z798</f>
        <v>1712.88</v>
      </c>
      <c r="AC798" s="23" t="n">
        <f aca="false">IFERROR(AB798/AA798,0)</f>
        <v>0.342576</v>
      </c>
      <c r="AD798" s="22" t="s">
        <v>1035</v>
      </c>
    </row>
    <row r="799" customFormat="false" ht="15" hidden="false" customHeight="false" outlineLevel="0" collapsed="false">
      <c r="A799" s="22" t="n">
        <v>798</v>
      </c>
      <c r="B799" s="22" t="s">
        <v>144</v>
      </c>
      <c r="C799" s="37" t="n">
        <v>45384.5219444444</v>
      </c>
      <c r="D799" s="22" t="s">
        <v>203</v>
      </c>
      <c r="E799" s="22" t="n">
        <v>12</v>
      </c>
      <c r="F799" s="22" t="s">
        <v>181</v>
      </c>
      <c r="G799" s="22" t="s">
        <v>243</v>
      </c>
      <c r="H799" s="22" t="n">
        <v>0.05</v>
      </c>
      <c r="I799" s="38" t="n">
        <v>2265.59</v>
      </c>
      <c r="J799" s="38" t="n">
        <v>2266.31</v>
      </c>
      <c r="K799" s="39" t="n">
        <f aca="false">IF(F799="BUY",J799-I799,I799-J799)</f>
        <v>0.7199999999998</v>
      </c>
      <c r="L799" s="38" t="n">
        <v>2259.59</v>
      </c>
      <c r="M799" s="39" t="n">
        <f aca="false">ABS(I799-L799)</f>
        <v>6</v>
      </c>
      <c r="N799" s="24" t="n">
        <f aca="false">M799*H799*Summary!$C$6</f>
        <v>30</v>
      </c>
      <c r="O799" s="37" t="n">
        <v>45384.5355324074</v>
      </c>
      <c r="P799" s="22" t="n">
        <f aca="false">ROUND((O799-C799)*86400,0)</f>
        <v>1174</v>
      </c>
      <c r="Q799" s="22" t="str">
        <f aca="false">IF(P799&lt;10,"a) &lt;10s",IF(P799&lt;60,"b) 10-60s",IF(P799&lt;600,"c) 1-10min","d) &gt;10min")))</f>
        <v>d) &gt;10min</v>
      </c>
      <c r="R799" s="38" t="n">
        <v>2259.59</v>
      </c>
      <c r="S799" s="38" t="n">
        <v>2259.56</v>
      </c>
      <c r="T799" s="22" t="s">
        <v>188</v>
      </c>
      <c r="U799" s="39" t="n">
        <f aca="false">IF(R799="","",IF(F799="BUY",R799-S799,S799-R799))</f>
        <v>0.0300000000002001</v>
      </c>
      <c r="V799" s="39" t="n">
        <f aca="false">IF(F799="BUY",S799-J799,J799-S799)</f>
        <v>-6.75</v>
      </c>
      <c r="W799" s="6" t="n">
        <v>-33.75</v>
      </c>
      <c r="X799" s="26" t="n">
        <f aca="false">IFERROR(W799/N799,0)</f>
        <v>-1.125</v>
      </c>
      <c r="Y799" s="22" t="str">
        <f aca="false">IF(W799&gt;0,"Win",IF(W799&lt;0,"Loss","Flat"))</f>
        <v>Loss</v>
      </c>
      <c r="Z799" s="24" t="n">
        <f aca="false">Summary!$C$5+SUM(W$2:W799)</f>
        <v>3253.37</v>
      </c>
      <c r="AA799" s="24" t="n">
        <f aca="false">MAX(AA798,Z799)</f>
        <v>5000</v>
      </c>
      <c r="AB799" s="24" t="n">
        <f aca="false">AA799-Z799</f>
        <v>1746.63</v>
      </c>
      <c r="AC799" s="23" t="n">
        <f aca="false">IFERROR(AB799/AA799,0)</f>
        <v>0.349326</v>
      </c>
      <c r="AD799" s="22" t="s">
        <v>1036</v>
      </c>
    </row>
    <row r="800" customFormat="false" ht="15" hidden="false" customHeight="false" outlineLevel="0" collapsed="false">
      <c r="A800" s="22" t="n">
        <v>799</v>
      </c>
      <c r="B800" s="22" t="s">
        <v>144</v>
      </c>
      <c r="C800" s="37" t="n">
        <v>45385.4166782407</v>
      </c>
      <c r="D800" s="22" t="s">
        <v>204</v>
      </c>
      <c r="E800" s="22" t="n">
        <v>10</v>
      </c>
      <c r="F800" s="22" t="s">
        <v>182</v>
      </c>
      <c r="G800" s="22" t="s">
        <v>241</v>
      </c>
      <c r="H800" s="22" t="n">
        <v>0.05</v>
      </c>
      <c r="I800" s="38" t="n">
        <v>2280.8</v>
      </c>
      <c r="J800" s="38" t="n">
        <v>2280.73</v>
      </c>
      <c r="K800" s="39" t="n">
        <f aca="false">IF(F800="BUY",J800-I800,I800-J800)</f>
        <v>0.0700000000001637</v>
      </c>
      <c r="L800" s="38" t="n">
        <v>2286.8</v>
      </c>
      <c r="M800" s="39" t="n">
        <f aca="false">ABS(I800-L800)</f>
        <v>6</v>
      </c>
      <c r="N800" s="24" t="n">
        <f aca="false">M800*H800*Summary!$C$6</f>
        <v>30</v>
      </c>
      <c r="O800" s="37" t="n">
        <v>45385.7083333333</v>
      </c>
      <c r="P800" s="22" t="n">
        <f aca="false">ROUND((O800-C800)*86400,0)</f>
        <v>25199</v>
      </c>
      <c r="Q800" s="22" t="str">
        <f aca="false">IF(P800&lt;10,"a) &lt;10s",IF(P800&lt;60,"b) 10-60s",IF(P800&lt;600,"c) 1-10min","d) &gt;10min")))</f>
        <v>d) &gt;10min</v>
      </c>
      <c r="R800" s="38" t="n">
        <v>2280.23</v>
      </c>
      <c r="S800" s="38" t="n">
        <v>2281.74</v>
      </c>
      <c r="T800" s="22" t="s">
        <v>189</v>
      </c>
      <c r="U800" s="39" t="n">
        <f aca="false">IF(R800="","",IF(F800="BUY",R800-S800,S800-R800))</f>
        <v>1.50999999999976</v>
      </c>
      <c r="V800" s="39" t="n">
        <f aca="false">IF(F800="BUY",S800-J800,J800-S800)</f>
        <v>-1.00999999999976</v>
      </c>
      <c r="W800" s="6" t="n">
        <v>-5.05</v>
      </c>
      <c r="X800" s="26" t="n">
        <f aca="false">IFERROR(W800/N800,0)</f>
        <v>-0.168333333333333</v>
      </c>
      <c r="Y800" s="22" t="str">
        <f aca="false">IF(W800&gt;0,"Win",IF(W800&lt;0,"Loss","Flat"))</f>
        <v>Loss</v>
      </c>
      <c r="Z800" s="24" t="n">
        <f aca="false">Summary!$C$5+SUM(W$2:W800)</f>
        <v>3248.32</v>
      </c>
      <c r="AA800" s="24" t="n">
        <f aca="false">MAX(AA799,Z800)</f>
        <v>5000</v>
      </c>
      <c r="AB800" s="24" t="n">
        <f aca="false">AA800-Z800</f>
        <v>1751.68</v>
      </c>
      <c r="AC800" s="23" t="n">
        <f aca="false">IFERROR(AB800/AA800,0)</f>
        <v>0.350336</v>
      </c>
      <c r="AD800" s="22" t="s">
        <v>1037</v>
      </c>
    </row>
    <row r="801" customFormat="false" ht="15" hidden="false" customHeight="false" outlineLevel="0" collapsed="false">
      <c r="A801" s="22" t="n">
        <v>800</v>
      </c>
      <c r="B801" s="22" t="s">
        <v>144</v>
      </c>
      <c r="C801" s="37" t="n">
        <v>45386.0521759259</v>
      </c>
      <c r="D801" s="22" t="s">
        <v>205</v>
      </c>
      <c r="E801" s="22" t="n">
        <v>1</v>
      </c>
      <c r="F801" s="22" t="s">
        <v>181</v>
      </c>
      <c r="G801" s="22" t="s">
        <v>243</v>
      </c>
      <c r="H801" s="22" t="n">
        <v>0.05</v>
      </c>
      <c r="I801" s="38" t="n">
        <v>2301.04</v>
      </c>
      <c r="J801" s="38" t="n">
        <v>2301.08</v>
      </c>
      <c r="K801" s="39" t="n">
        <f aca="false">IF(F801="BUY",J801-I801,I801-J801)</f>
        <v>0.0399999999999636</v>
      </c>
      <c r="L801" s="38" t="n">
        <v>2295.04</v>
      </c>
      <c r="M801" s="39" t="n">
        <f aca="false">ABS(I801-L801)</f>
        <v>6</v>
      </c>
      <c r="N801" s="24" t="n">
        <f aca="false">M801*H801*Summary!$C$6</f>
        <v>30</v>
      </c>
      <c r="O801" s="37" t="n">
        <v>45386.1675347222</v>
      </c>
      <c r="P801" s="22" t="n">
        <f aca="false">ROUND((O801-C801)*86400,0)</f>
        <v>9967</v>
      </c>
      <c r="Q801" s="22" t="str">
        <f aca="false">IF(P801&lt;10,"a) &lt;10s",IF(P801&lt;60,"b) 10-60s",IF(P801&lt;600,"c) 1-10min","d) &gt;10min")))</f>
        <v>d) &gt;10min</v>
      </c>
      <c r="R801" s="38" t="n">
        <v>2301.58</v>
      </c>
      <c r="S801" s="38" t="n">
        <v>2301.57</v>
      </c>
      <c r="T801" s="22" t="s">
        <v>189</v>
      </c>
      <c r="U801" s="39" t="n">
        <f aca="false">IF(R801="","",IF(F801="BUY",R801-S801,S801-R801))</f>
        <v>0.00999999999976353</v>
      </c>
      <c r="V801" s="39" t="n">
        <f aca="false">IF(F801="BUY",S801-J801,J801-S801)</f>
        <v>0.490000000000236</v>
      </c>
      <c r="W801" s="6" t="n">
        <v>2.45</v>
      </c>
      <c r="X801" s="26" t="n">
        <f aca="false">IFERROR(W801/N801,0)</f>
        <v>0.0816666666666667</v>
      </c>
      <c r="Y801" s="22" t="str">
        <f aca="false">IF(W801&gt;0,"Win",IF(W801&lt;0,"Loss","Flat"))</f>
        <v>Win</v>
      </c>
      <c r="Z801" s="24" t="n">
        <f aca="false">Summary!$C$5+SUM(W$2:W801)</f>
        <v>3250.77</v>
      </c>
      <c r="AA801" s="24" t="n">
        <f aca="false">MAX(AA800,Z801)</f>
        <v>5000</v>
      </c>
      <c r="AB801" s="24" t="n">
        <f aca="false">AA801-Z801</f>
        <v>1749.23</v>
      </c>
      <c r="AC801" s="23" t="n">
        <f aca="false">IFERROR(AB801/AA801,0)</f>
        <v>0.349846</v>
      </c>
      <c r="AD801" s="22" t="s">
        <v>1038</v>
      </c>
    </row>
    <row r="802" customFormat="false" ht="15" hidden="false" customHeight="false" outlineLevel="0" collapsed="false">
      <c r="A802" s="22" t="n">
        <v>801</v>
      </c>
      <c r="B802" s="22" t="s">
        <v>144</v>
      </c>
      <c r="C802" s="37" t="n">
        <v>45386.4093981482</v>
      </c>
      <c r="D802" s="22" t="s">
        <v>205</v>
      </c>
      <c r="E802" s="22" t="n">
        <v>9</v>
      </c>
      <c r="F802" s="22" t="s">
        <v>182</v>
      </c>
      <c r="G802" s="22" t="s">
        <v>241</v>
      </c>
      <c r="H802" s="22" t="n">
        <v>0.05</v>
      </c>
      <c r="I802" s="38" t="n">
        <v>2294.92</v>
      </c>
      <c r="J802" s="38" t="n">
        <v>2294.92</v>
      </c>
      <c r="K802" s="39" t="n">
        <f aca="false">IF(F802="BUY",J802-I802,I802-J802)</f>
        <v>0</v>
      </c>
      <c r="L802" s="38" t="n">
        <v>2300.92</v>
      </c>
      <c r="M802" s="39" t="n">
        <f aca="false">ABS(I802-L802)</f>
        <v>6</v>
      </c>
      <c r="N802" s="24" t="n">
        <f aca="false">M802*H802*Summary!$C$6</f>
        <v>30</v>
      </c>
      <c r="O802" s="37" t="n">
        <v>45386.4678819445</v>
      </c>
      <c r="P802" s="22" t="n">
        <f aca="false">ROUND((O802-C802)*86400,0)</f>
        <v>5053</v>
      </c>
      <c r="Q802" s="22" t="str">
        <f aca="false">IF(P802&lt;10,"a) &lt;10s",IF(P802&lt;60,"b) 10-60s",IF(P802&lt;600,"c) 1-10min","d) &gt;10min")))</f>
        <v>d) &gt;10min</v>
      </c>
      <c r="R802" s="38" t="n">
        <v>2294.42</v>
      </c>
      <c r="S802" s="38" t="n">
        <v>2294.42</v>
      </c>
      <c r="T802" s="22" t="s">
        <v>189</v>
      </c>
      <c r="U802" s="39" t="n">
        <f aca="false">IF(R802="","",IF(F802="BUY",R802-S802,S802-R802))</f>
        <v>0</v>
      </c>
      <c r="V802" s="39" t="n">
        <f aca="false">IF(F802="BUY",S802-J802,J802-S802)</f>
        <v>0.5</v>
      </c>
      <c r="W802" s="6" t="n">
        <v>2.5</v>
      </c>
      <c r="X802" s="26" t="n">
        <f aca="false">IFERROR(W802/N802,0)</f>
        <v>0.0833333333333333</v>
      </c>
      <c r="Y802" s="22" t="str">
        <f aca="false">IF(W802&gt;0,"Win",IF(W802&lt;0,"Loss","Flat"))</f>
        <v>Win</v>
      </c>
      <c r="Z802" s="24" t="n">
        <f aca="false">Summary!$C$5+SUM(W$2:W802)</f>
        <v>3253.27</v>
      </c>
      <c r="AA802" s="24" t="n">
        <f aca="false">MAX(AA801,Z802)</f>
        <v>5000</v>
      </c>
      <c r="AB802" s="24" t="n">
        <f aca="false">AA802-Z802</f>
        <v>1746.73</v>
      </c>
      <c r="AC802" s="23" t="n">
        <f aca="false">IFERROR(AB802/AA802,0)</f>
        <v>0.349346</v>
      </c>
      <c r="AD802" s="22" t="s">
        <v>1039</v>
      </c>
    </row>
    <row r="803" customFormat="false" ht="15" hidden="false" customHeight="false" outlineLevel="0" collapsed="false">
      <c r="A803" s="22" t="n">
        <v>802</v>
      </c>
      <c r="B803" s="22" t="s">
        <v>144</v>
      </c>
      <c r="C803" s="37" t="n">
        <v>45387.1712847222</v>
      </c>
      <c r="D803" s="22" t="s">
        <v>206</v>
      </c>
      <c r="E803" s="22" t="n">
        <v>4</v>
      </c>
      <c r="F803" s="22" t="s">
        <v>182</v>
      </c>
      <c r="G803" s="22" t="s">
        <v>237</v>
      </c>
      <c r="H803" s="22" t="n">
        <v>0.05</v>
      </c>
      <c r="I803" s="38" t="n">
        <v>2279.69</v>
      </c>
      <c r="J803" s="38" t="n">
        <v>2278.86</v>
      </c>
      <c r="K803" s="39" t="n">
        <f aca="false">IF(F803="BUY",J803-I803,I803-J803)</f>
        <v>0.829999999999927</v>
      </c>
      <c r="L803" s="38" t="n">
        <v>2285.69</v>
      </c>
      <c r="M803" s="39" t="n">
        <f aca="false">ABS(I803-L803)</f>
        <v>6</v>
      </c>
      <c r="N803" s="24" t="n">
        <f aca="false">M803*H803*Summary!$C$6</f>
        <v>30</v>
      </c>
      <c r="O803" s="37" t="n">
        <v>45387.2593055556</v>
      </c>
      <c r="P803" s="22" t="n">
        <f aca="false">ROUND((O803-C803)*86400,0)</f>
        <v>7605</v>
      </c>
      <c r="Q803" s="22" t="str">
        <f aca="false">IF(P803&lt;10,"a) &lt;10s",IF(P803&lt;60,"b) 10-60s",IF(P803&lt;600,"c) 1-10min","d) &gt;10min")))</f>
        <v>d) &gt;10min</v>
      </c>
      <c r="R803" s="38" t="n">
        <v>2278.36</v>
      </c>
      <c r="S803" s="38" t="n">
        <v>2278.36</v>
      </c>
      <c r="T803" s="22" t="s">
        <v>189</v>
      </c>
      <c r="U803" s="39" t="n">
        <f aca="false">IF(R803="","",IF(F803="BUY",R803-S803,S803-R803))</f>
        <v>0</v>
      </c>
      <c r="V803" s="39" t="n">
        <f aca="false">IF(F803="BUY",S803-J803,J803-S803)</f>
        <v>0.5</v>
      </c>
      <c r="W803" s="6" t="n">
        <v>2.5</v>
      </c>
      <c r="X803" s="26" t="n">
        <f aca="false">IFERROR(W803/N803,0)</f>
        <v>0.0833333333333333</v>
      </c>
      <c r="Y803" s="22" t="str">
        <f aca="false">IF(W803&gt;0,"Win",IF(W803&lt;0,"Loss","Flat"))</f>
        <v>Win</v>
      </c>
      <c r="Z803" s="24" t="n">
        <f aca="false">Summary!$C$5+SUM(W$2:W803)</f>
        <v>3255.77</v>
      </c>
      <c r="AA803" s="24" t="n">
        <f aca="false">MAX(AA802,Z803)</f>
        <v>5000</v>
      </c>
      <c r="AB803" s="24" t="n">
        <f aca="false">AA803-Z803</f>
        <v>1744.23</v>
      </c>
      <c r="AC803" s="23" t="n">
        <f aca="false">IFERROR(AB803/AA803,0)</f>
        <v>0.348846</v>
      </c>
      <c r="AD803" s="22" t="s">
        <v>1040</v>
      </c>
    </row>
    <row r="804" customFormat="false" ht="15" hidden="false" customHeight="false" outlineLevel="0" collapsed="false">
      <c r="A804" s="22" t="n">
        <v>803</v>
      </c>
      <c r="B804" s="22" t="s">
        <v>144</v>
      </c>
      <c r="C804" s="37" t="n">
        <v>45387.3781712963</v>
      </c>
      <c r="D804" s="22" t="s">
        <v>206</v>
      </c>
      <c r="E804" s="22" t="n">
        <v>9</v>
      </c>
      <c r="F804" s="22" t="s">
        <v>181</v>
      </c>
      <c r="G804" s="22" t="s">
        <v>235</v>
      </c>
      <c r="H804" s="22" t="n">
        <v>0.05</v>
      </c>
      <c r="I804" s="38" t="n">
        <v>2282.22</v>
      </c>
      <c r="J804" s="38" t="n">
        <v>2282.22</v>
      </c>
      <c r="K804" s="39" t="n">
        <f aca="false">IF(F804="BUY",J804-I804,I804-J804)</f>
        <v>0</v>
      </c>
      <c r="L804" s="38" t="n">
        <v>2276.22</v>
      </c>
      <c r="M804" s="39" t="n">
        <f aca="false">ABS(I804-L804)</f>
        <v>6</v>
      </c>
      <c r="N804" s="24" t="n">
        <f aca="false">M804*H804*Summary!$C$6</f>
        <v>30</v>
      </c>
      <c r="O804" s="37" t="n">
        <v>45387.64625</v>
      </c>
      <c r="P804" s="22" t="n">
        <f aca="false">ROUND((O804-C804)*86400,0)</f>
        <v>23162</v>
      </c>
      <c r="Q804" s="22" t="str">
        <f aca="false">IF(P804&lt;10,"a) &lt;10s",IF(P804&lt;60,"b) 10-60s",IF(P804&lt;600,"c) 1-10min","d) &gt;10min")))</f>
        <v>d) &gt;10min</v>
      </c>
      <c r="R804" s="38" t="n">
        <v>2282.72</v>
      </c>
      <c r="S804" s="38" t="n">
        <v>2282.61</v>
      </c>
      <c r="T804" s="22" t="s">
        <v>189</v>
      </c>
      <c r="U804" s="39" t="n">
        <f aca="false">IF(R804="","",IF(F804="BUY",R804-S804,S804-R804))</f>
        <v>0.109999999999673</v>
      </c>
      <c r="V804" s="39" t="n">
        <f aca="false">IF(F804="BUY",S804-J804,J804-S804)</f>
        <v>0.390000000000327</v>
      </c>
      <c r="W804" s="6" t="n">
        <v>1.95</v>
      </c>
      <c r="X804" s="26" t="n">
        <f aca="false">IFERROR(W804/N804,0)</f>
        <v>0.065</v>
      </c>
      <c r="Y804" s="22" t="str">
        <f aca="false">IF(W804&gt;0,"Win",IF(W804&lt;0,"Loss","Flat"))</f>
        <v>Win</v>
      </c>
      <c r="Z804" s="24" t="n">
        <f aca="false">Summary!$C$5+SUM(W$2:W804)</f>
        <v>3257.72</v>
      </c>
      <c r="AA804" s="24" t="n">
        <f aca="false">MAX(AA803,Z804)</f>
        <v>5000</v>
      </c>
      <c r="AB804" s="24" t="n">
        <f aca="false">AA804-Z804</f>
        <v>1742.28</v>
      </c>
      <c r="AC804" s="23" t="n">
        <f aca="false">IFERROR(AB804/AA804,0)</f>
        <v>0.348456</v>
      </c>
      <c r="AD804" s="22" t="s">
        <v>1041</v>
      </c>
    </row>
    <row r="805" customFormat="false" ht="15" hidden="false" customHeight="false" outlineLevel="0" collapsed="false">
      <c r="A805" s="22" t="n">
        <v>804</v>
      </c>
      <c r="B805" s="22" t="s">
        <v>144</v>
      </c>
      <c r="C805" s="37" t="n">
        <v>45390.2193402778</v>
      </c>
      <c r="D805" s="22" t="s">
        <v>202</v>
      </c>
      <c r="E805" s="22" t="n">
        <v>5</v>
      </c>
      <c r="F805" s="22" t="s">
        <v>181</v>
      </c>
      <c r="G805" s="22" t="s">
        <v>243</v>
      </c>
      <c r="H805" s="22" t="n">
        <v>0.05</v>
      </c>
      <c r="I805" s="38" t="n">
        <v>2330.35</v>
      </c>
      <c r="J805" s="38" t="n">
        <v>2330.38</v>
      </c>
      <c r="K805" s="39" t="n">
        <f aca="false">IF(F805="BUY",J805-I805,I805-J805)</f>
        <v>0.0300000000002001</v>
      </c>
      <c r="L805" s="38" t="n">
        <v>2324.35</v>
      </c>
      <c r="M805" s="39" t="n">
        <f aca="false">ABS(I805-L805)</f>
        <v>6</v>
      </c>
      <c r="N805" s="24" t="n">
        <f aca="false">M805*H805*Summary!$C$6</f>
        <v>30</v>
      </c>
      <c r="O805" s="37" t="n">
        <v>45390.2197916667</v>
      </c>
      <c r="P805" s="22" t="n">
        <f aca="false">ROUND((O805-C805)*86400,0)</f>
        <v>39</v>
      </c>
      <c r="Q805" s="22" t="str">
        <f aca="false">IF(P805&lt;10,"a) &lt;10s",IF(P805&lt;60,"b) 10-60s",IF(P805&lt;600,"c) 1-10min","d) &gt;10min")))</f>
        <v>b) 10-60s</v>
      </c>
      <c r="R805" s="38" t="n">
        <v>2330.88</v>
      </c>
      <c r="S805" s="38" t="n">
        <v>2330.86</v>
      </c>
      <c r="T805" s="22" t="s">
        <v>189</v>
      </c>
      <c r="U805" s="39" t="n">
        <f aca="false">IF(R805="","",IF(F805="BUY",R805-S805,S805-R805))</f>
        <v>0.0199999999999818</v>
      </c>
      <c r="V805" s="39" t="n">
        <f aca="false">IF(F805="BUY",S805-J805,J805-S805)</f>
        <v>0.480000000000018</v>
      </c>
      <c r="W805" s="6" t="n">
        <v>2.4</v>
      </c>
      <c r="X805" s="26" t="n">
        <f aca="false">IFERROR(W805/N805,0)</f>
        <v>0.08</v>
      </c>
      <c r="Y805" s="22" t="str">
        <f aca="false">IF(W805&gt;0,"Win",IF(W805&lt;0,"Loss","Flat"))</f>
        <v>Win</v>
      </c>
      <c r="Z805" s="24" t="n">
        <f aca="false">Summary!$C$5+SUM(W$2:W805)</f>
        <v>3260.12</v>
      </c>
      <c r="AA805" s="24" t="n">
        <f aca="false">MAX(AA804,Z805)</f>
        <v>5000</v>
      </c>
      <c r="AB805" s="24" t="n">
        <f aca="false">AA805-Z805</f>
        <v>1739.88</v>
      </c>
      <c r="AC805" s="23" t="n">
        <f aca="false">IFERROR(AB805/AA805,0)</f>
        <v>0.347976</v>
      </c>
      <c r="AD805" s="22" t="s">
        <v>1042</v>
      </c>
    </row>
    <row r="806" customFormat="false" ht="15" hidden="false" customHeight="false" outlineLevel="0" collapsed="false">
      <c r="A806" s="22" t="n">
        <v>805</v>
      </c>
      <c r="B806" s="22" t="s">
        <v>144</v>
      </c>
      <c r="C806" s="37" t="n">
        <v>45390.3851967593</v>
      </c>
      <c r="D806" s="22" t="s">
        <v>202</v>
      </c>
      <c r="E806" s="22" t="n">
        <v>9</v>
      </c>
      <c r="F806" s="22" t="s">
        <v>182</v>
      </c>
      <c r="G806" s="22" t="s">
        <v>241</v>
      </c>
      <c r="H806" s="22" t="n">
        <v>0.05</v>
      </c>
      <c r="I806" s="38" t="n">
        <v>2331.75</v>
      </c>
      <c r="J806" s="38" t="n">
        <v>2331.75</v>
      </c>
      <c r="K806" s="39" t="n">
        <f aca="false">IF(F806="BUY",J806-I806,I806-J806)</f>
        <v>0</v>
      </c>
      <c r="L806" s="38" t="n">
        <v>2337.75</v>
      </c>
      <c r="M806" s="39" t="n">
        <f aca="false">ABS(I806-L806)</f>
        <v>6</v>
      </c>
      <c r="N806" s="24" t="n">
        <f aca="false">M806*H806*Summary!$C$6</f>
        <v>30</v>
      </c>
      <c r="O806" s="37" t="n">
        <v>45390.3967361111</v>
      </c>
      <c r="P806" s="22" t="n">
        <f aca="false">ROUND((O806-C806)*86400,0)</f>
        <v>997</v>
      </c>
      <c r="Q806" s="22" t="str">
        <f aca="false">IF(P806&lt;10,"a) &lt;10s",IF(P806&lt;60,"b) 10-60s",IF(P806&lt;600,"c) 1-10min","d) &gt;10min")))</f>
        <v>d) &gt;10min</v>
      </c>
      <c r="R806" s="38" t="n">
        <v>2337.75</v>
      </c>
      <c r="S806" s="38" t="n">
        <v>2337.76</v>
      </c>
      <c r="T806" s="22" t="s">
        <v>188</v>
      </c>
      <c r="U806" s="39" t="n">
        <f aca="false">IF(R806="","",IF(F806="BUY",R806-S806,S806-R806))</f>
        <v>0.0100000000002183</v>
      </c>
      <c r="V806" s="39" t="n">
        <f aca="false">IF(F806="BUY",S806-J806,J806-S806)</f>
        <v>-6.01000000000022</v>
      </c>
      <c r="W806" s="6" t="n">
        <v>-30.05</v>
      </c>
      <c r="X806" s="26" t="n">
        <f aca="false">IFERROR(W806/N806,0)</f>
        <v>-1.00166666666667</v>
      </c>
      <c r="Y806" s="22" t="str">
        <f aca="false">IF(W806&gt;0,"Win",IF(W806&lt;0,"Loss","Flat"))</f>
        <v>Loss</v>
      </c>
      <c r="Z806" s="24" t="n">
        <f aca="false">Summary!$C$5+SUM(W$2:W806)</f>
        <v>3230.07</v>
      </c>
      <c r="AA806" s="24" t="n">
        <f aca="false">MAX(AA805,Z806)</f>
        <v>5000</v>
      </c>
      <c r="AB806" s="24" t="n">
        <f aca="false">AA806-Z806</f>
        <v>1769.93</v>
      </c>
      <c r="AC806" s="23" t="n">
        <f aca="false">IFERROR(AB806/AA806,0)</f>
        <v>0.353986</v>
      </c>
      <c r="AD806" s="22" t="s">
        <v>1043</v>
      </c>
    </row>
    <row r="807" customFormat="false" ht="15" hidden="false" customHeight="false" outlineLevel="0" collapsed="false">
      <c r="A807" s="22" t="n">
        <v>806</v>
      </c>
      <c r="B807" s="22" t="s">
        <v>144</v>
      </c>
      <c r="C807" s="37" t="n">
        <v>45391.4256944444</v>
      </c>
      <c r="D807" s="22" t="s">
        <v>203</v>
      </c>
      <c r="E807" s="22" t="n">
        <v>10</v>
      </c>
      <c r="F807" s="22" t="s">
        <v>181</v>
      </c>
      <c r="G807" s="22" t="s">
        <v>235</v>
      </c>
      <c r="H807" s="22" t="n">
        <v>0.05</v>
      </c>
      <c r="I807" s="38" t="n">
        <v>2347.87</v>
      </c>
      <c r="J807" s="38" t="n">
        <v>2347.87</v>
      </c>
      <c r="K807" s="39" t="n">
        <f aca="false">IF(F807="BUY",J807-I807,I807-J807)</f>
        <v>0</v>
      </c>
      <c r="L807" s="38" t="n">
        <v>2341.87</v>
      </c>
      <c r="M807" s="39" t="n">
        <f aca="false">ABS(I807-L807)</f>
        <v>6</v>
      </c>
      <c r="N807" s="24" t="n">
        <f aca="false">M807*H807*Summary!$C$6</f>
        <v>30</v>
      </c>
      <c r="O807" s="37" t="n">
        <v>45391.6426157407</v>
      </c>
      <c r="P807" s="22" t="n">
        <f aca="false">ROUND((O807-C807)*86400,0)</f>
        <v>18742</v>
      </c>
      <c r="Q807" s="22" t="str">
        <f aca="false">IF(P807&lt;10,"a) &lt;10s",IF(P807&lt;60,"b) 10-60s",IF(P807&lt;600,"c) 1-10min","d) &gt;10min")))</f>
        <v>d) &gt;10min</v>
      </c>
      <c r="R807" s="38" t="n">
        <v>2348.37</v>
      </c>
      <c r="S807" s="38" t="n">
        <v>2348.34</v>
      </c>
      <c r="T807" s="22" t="s">
        <v>189</v>
      </c>
      <c r="U807" s="39" t="n">
        <f aca="false">IF(R807="","",IF(F807="BUY",R807-S807,S807-R807))</f>
        <v>0.0299999999997453</v>
      </c>
      <c r="V807" s="39" t="n">
        <f aca="false">IF(F807="BUY",S807-J807,J807-S807)</f>
        <v>0.470000000000255</v>
      </c>
      <c r="W807" s="6" t="n">
        <v>2.35</v>
      </c>
      <c r="X807" s="26" t="n">
        <f aca="false">IFERROR(W807/N807,0)</f>
        <v>0.0783333333333333</v>
      </c>
      <c r="Y807" s="22" t="str">
        <f aca="false">IF(W807&gt;0,"Win",IF(W807&lt;0,"Loss","Flat"))</f>
        <v>Win</v>
      </c>
      <c r="Z807" s="24" t="n">
        <f aca="false">Summary!$C$5+SUM(W$2:W807)</f>
        <v>3232.42</v>
      </c>
      <c r="AA807" s="24" t="n">
        <f aca="false">MAX(AA806,Z807)</f>
        <v>5000</v>
      </c>
      <c r="AB807" s="24" t="n">
        <f aca="false">AA807-Z807</f>
        <v>1767.58</v>
      </c>
      <c r="AC807" s="23" t="n">
        <f aca="false">IFERROR(AB807/AA807,0)</f>
        <v>0.353516</v>
      </c>
      <c r="AD807" s="22" t="s">
        <v>1044</v>
      </c>
    </row>
    <row r="808" customFormat="false" ht="15" hidden="false" customHeight="false" outlineLevel="0" collapsed="false">
      <c r="A808" s="22" t="n">
        <v>807</v>
      </c>
      <c r="B808" s="22" t="s">
        <v>144</v>
      </c>
      <c r="C808" s="37" t="n">
        <v>45392.3887731481</v>
      </c>
      <c r="D808" s="22" t="s">
        <v>204</v>
      </c>
      <c r="E808" s="22" t="n">
        <v>9</v>
      </c>
      <c r="F808" s="22" t="s">
        <v>181</v>
      </c>
      <c r="G808" s="22" t="s">
        <v>235</v>
      </c>
      <c r="H808" s="22" t="n">
        <v>0.05</v>
      </c>
      <c r="I808" s="38" t="n">
        <v>2360.07</v>
      </c>
      <c r="J808" s="38" t="n">
        <v>2360.07</v>
      </c>
      <c r="K808" s="39" t="n">
        <f aca="false">IF(F808="BUY",J808-I808,I808-J808)</f>
        <v>0</v>
      </c>
      <c r="L808" s="38" t="n">
        <v>2354.07</v>
      </c>
      <c r="M808" s="39" t="n">
        <f aca="false">ABS(I808-L808)</f>
        <v>6</v>
      </c>
      <c r="N808" s="24" t="n">
        <f aca="false">M808*H808*Summary!$C$6</f>
        <v>30</v>
      </c>
      <c r="O808" s="37" t="n">
        <v>45392.4021643519</v>
      </c>
      <c r="P808" s="22" t="n">
        <f aca="false">ROUND((O808-C808)*86400,0)</f>
        <v>1157</v>
      </c>
      <c r="Q808" s="22" t="str">
        <f aca="false">IF(P808&lt;10,"a) &lt;10s",IF(P808&lt;60,"b) 10-60s",IF(P808&lt;600,"c) 1-10min","d) &gt;10min")))</f>
        <v>d) &gt;10min</v>
      </c>
      <c r="R808" s="38" t="n">
        <v>2354.07</v>
      </c>
      <c r="S808" s="38" t="n">
        <v>2354.07</v>
      </c>
      <c r="T808" s="22" t="s">
        <v>188</v>
      </c>
      <c r="U808" s="39" t="n">
        <f aca="false">IF(R808="","",IF(F808="BUY",R808-S808,S808-R808))</f>
        <v>0</v>
      </c>
      <c r="V808" s="39" t="n">
        <f aca="false">IF(F808="BUY",S808-J808,J808-S808)</f>
        <v>-6</v>
      </c>
      <c r="W808" s="6" t="n">
        <v>-30</v>
      </c>
      <c r="X808" s="26" t="n">
        <f aca="false">IFERROR(W808/N808,0)</f>
        <v>-1</v>
      </c>
      <c r="Y808" s="22" t="str">
        <f aca="false">IF(W808&gt;0,"Win",IF(W808&lt;0,"Loss","Flat"))</f>
        <v>Loss</v>
      </c>
      <c r="Z808" s="24" t="n">
        <f aca="false">Summary!$C$5+SUM(W$2:W808)</f>
        <v>3202.42</v>
      </c>
      <c r="AA808" s="24" t="n">
        <f aca="false">MAX(AA807,Z808)</f>
        <v>5000</v>
      </c>
      <c r="AB808" s="24" t="n">
        <f aca="false">AA808-Z808</f>
        <v>1797.58</v>
      </c>
      <c r="AC808" s="23" t="n">
        <f aca="false">IFERROR(AB808/AA808,0)</f>
        <v>0.359516</v>
      </c>
      <c r="AD808" s="22" t="s">
        <v>1045</v>
      </c>
    </row>
    <row r="809" customFormat="false" ht="15" hidden="false" customHeight="false" outlineLevel="0" collapsed="false">
      <c r="A809" s="22" t="n">
        <v>808</v>
      </c>
      <c r="B809" s="22" t="s">
        <v>144</v>
      </c>
      <c r="C809" s="37" t="n">
        <v>45392.6460185185</v>
      </c>
      <c r="D809" s="22" t="s">
        <v>204</v>
      </c>
      <c r="E809" s="22" t="n">
        <v>15</v>
      </c>
      <c r="F809" s="22" t="s">
        <v>182</v>
      </c>
      <c r="G809" s="22" t="s">
        <v>237</v>
      </c>
      <c r="H809" s="22" t="n">
        <v>0.05</v>
      </c>
      <c r="I809" s="38" t="n">
        <v>2336.8</v>
      </c>
      <c r="J809" s="38" t="n">
        <v>2336.71</v>
      </c>
      <c r="K809" s="39" t="n">
        <f aca="false">IF(F809="BUY",J809-I809,I809-J809)</f>
        <v>0.0900000000001455</v>
      </c>
      <c r="L809" s="38" t="n">
        <v>2342.8</v>
      </c>
      <c r="M809" s="39" t="n">
        <f aca="false">ABS(I809-L809)</f>
        <v>6</v>
      </c>
      <c r="N809" s="24" t="n">
        <f aca="false">M809*H809*Summary!$C$6</f>
        <v>30</v>
      </c>
      <c r="O809" s="37" t="n">
        <v>45392.646412037</v>
      </c>
      <c r="P809" s="22" t="n">
        <f aca="false">ROUND((O809-C809)*86400,0)</f>
        <v>34</v>
      </c>
      <c r="Q809" s="22" t="str">
        <f aca="false">IF(P809&lt;10,"a) &lt;10s",IF(P809&lt;60,"b) 10-60s",IF(P809&lt;600,"c) 1-10min","d) &gt;10min")))</f>
        <v>b) 10-60s</v>
      </c>
      <c r="R809" s="38" t="n">
        <v>2336.21</v>
      </c>
      <c r="S809" s="38" t="n">
        <v>2336.24</v>
      </c>
      <c r="T809" s="22" t="s">
        <v>189</v>
      </c>
      <c r="U809" s="39" t="n">
        <f aca="false">IF(R809="","",IF(F809="BUY",R809-S809,S809-R809))</f>
        <v>0.0299999999997453</v>
      </c>
      <c r="V809" s="39" t="n">
        <f aca="false">IF(F809="BUY",S809-J809,J809-S809)</f>
        <v>0.470000000000255</v>
      </c>
      <c r="W809" s="6" t="n">
        <v>2.35</v>
      </c>
      <c r="X809" s="26" t="n">
        <f aca="false">IFERROR(W809/N809,0)</f>
        <v>0.0783333333333333</v>
      </c>
      <c r="Y809" s="22" t="str">
        <f aca="false">IF(W809&gt;0,"Win",IF(W809&lt;0,"Loss","Flat"))</f>
        <v>Win</v>
      </c>
      <c r="Z809" s="24" t="n">
        <f aca="false">Summary!$C$5+SUM(W$2:W809)</f>
        <v>3204.77</v>
      </c>
      <c r="AA809" s="24" t="n">
        <f aca="false">MAX(AA808,Z809)</f>
        <v>5000</v>
      </c>
      <c r="AB809" s="24" t="n">
        <f aca="false">AA809-Z809</f>
        <v>1795.23</v>
      </c>
      <c r="AC809" s="23" t="n">
        <f aca="false">IFERROR(AB809/AA809,0)</f>
        <v>0.359046</v>
      </c>
      <c r="AD809" s="22" t="s">
        <v>1046</v>
      </c>
    </row>
    <row r="810" customFormat="false" ht="15" hidden="false" customHeight="false" outlineLevel="0" collapsed="false">
      <c r="A810" s="22" t="n">
        <v>809</v>
      </c>
      <c r="B810" s="22" t="s">
        <v>144</v>
      </c>
      <c r="C810" s="37" t="n">
        <v>45393.3789814815</v>
      </c>
      <c r="D810" s="22" t="s">
        <v>205</v>
      </c>
      <c r="E810" s="22" t="n">
        <v>9</v>
      </c>
      <c r="F810" s="22" t="s">
        <v>182</v>
      </c>
      <c r="G810" s="22" t="s">
        <v>241</v>
      </c>
      <c r="H810" s="22" t="n">
        <v>0.05</v>
      </c>
      <c r="I810" s="38" t="n">
        <v>2338.77</v>
      </c>
      <c r="J810" s="38" t="n">
        <v>2338.73</v>
      </c>
      <c r="K810" s="39" t="n">
        <f aca="false">IF(F810="BUY",J810-I810,I810-J810)</f>
        <v>0.0399999999999636</v>
      </c>
      <c r="L810" s="38" t="n">
        <v>2344.77</v>
      </c>
      <c r="M810" s="39" t="n">
        <f aca="false">ABS(I810-L810)</f>
        <v>6</v>
      </c>
      <c r="N810" s="24" t="n">
        <f aca="false">M810*H810*Summary!$C$6</f>
        <v>30</v>
      </c>
      <c r="O810" s="37" t="n">
        <v>45393.4000810185</v>
      </c>
      <c r="P810" s="22" t="n">
        <f aca="false">ROUND((O810-C810)*86400,0)</f>
        <v>1823</v>
      </c>
      <c r="Q810" s="22" t="str">
        <f aca="false">IF(P810&lt;10,"a) &lt;10s",IF(P810&lt;60,"b) 10-60s",IF(P810&lt;600,"c) 1-10min","d) &gt;10min")))</f>
        <v>d) &gt;10min</v>
      </c>
      <c r="R810" s="38" t="n">
        <v>2338.23</v>
      </c>
      <c r="S810" s="38" t="n">
        <v>2338.31</v>
      </c>
      <c r="T810" s="22" t="s">
        <v>189</v>
      </c>
      <c r="U810" s="39" t="n">
        <f aca="false">IF(R810="","",IF(F810="BUY",R810-S810,S810-R810))</f>
        <v>0.0799999999999272</v>
      </c>
      <c r="V810" s="39" t="n">
        <f aca="false">IF(F810="BUY",S810-J810,J810-S810)</f>
        <v>0.420000000000073</v>
      </c>
      <c r="W810" s="6" t="n">
        <v>2.1</v>
      </c>
      <c r="X810" s="26" t="n">
        <f aca="false">IFERROR(W810/N810,0)</f>
        <v>0.07</v>
      </c>
      <c r="Y810" s="22" t="str">
        <f aca="false">IF(W810&gt;0,"Win",IF(W810&lt;0,"Loss","Flat"))</f>
        <v>Win</v>
      </c>
      <c r="Z810" s="24" t="n">
        <f aca="false">Summary!$C$5+SUM(W$2:W810)</f>
        <v>3206.87</v>
      </c>
      <c r="AA810" s="24" t="n">
        <f aca="false">MAX(AA809,Z810)</f>
        <v>5000</v>
      </c>
      <c r="AB810" s="24" t="n">
        <f aca="false">AA810-Z810</f>
        <v>1793.13</v>
      </c>
      <c r="AC810" s="23" t="n">
        <f aca="false">IFERROR(AB810/AA810,0)</f>
        <v>0.358626</v>
      </c>
      <c r="AD810" s="22" t="s">
        <v>1047</v>
      </c>
    </row>
    <row r="811" customFormat="false" ht="15" hidden="false" customHeight="false" outlineLevel="0" collapsed="false">
      <c r="A811" s="22" t="n">
        <v>810</v>
      </c>
      <c r="B811" s="22" t="s">
        <v>144</v>
      </c>
      <c r="C811" s="37" t="n">
        <v>45393.8792592593</v>
      </c>
      <c r="D811" s="22" t="s">
        <v>205</v>
      </c>
      <c r="E811" s="22" t="n">
        <v>21</v>
      </c>
      <c r="F811" s="22" t="s">
        <v>181</v>
      </c>
      <c r="G811" s="22" t="s">
        <v>243</v>
      </c>
      <c r="H811" s="22" t="n">
        <v>0.05</v>
      </c>
      <c r="I811" s="38" t="n">
        <v>2360.07</v>
      </c>
      <c r="J811" s="38" t="n">
        <v>2360.1</v>
      </c>
      <c r="K811" s="39" t="n">
        <f aca="false">IF(F811="BUY",J811-I811,I811-J811)</f>
        <v>0.0299999999997453</v>
      </c>
      <c r="L811" s="38" t="n">
        <v>2354.07</v>
      </c>
      <c r="M811" s="39" t="n">
        <f aca="false">ABS(I811-L811)</f>
        <v>6</v>
      </c>
      <c r="N811" s="24" t="n">
        <f aca="false">M811*H811*Summary!$C$6</f>
        <v>30</v>
      </c>
      <c r="O811" s="37" t="n">
        <v>45393.8890509259</v>
      </c>
      <c r="P811" s="22" t="n">
        <f aca="false">ROUND((O811-C811)*86400,0)</f>
        <v>846</v>
      </c>
      <c r="Q811" s="22" t="str">
        <f aca="false">IF(P811&lt;10,"a) &lt;10s",IF(P811&lt;60,"b) 10-60s",IF(P811&lt;600,"c) 1-10min","d) &gt;10min")))</f>
        <v>d) &gt;10min</v>
      </c>
      <c r="R811" s="38" t="n">
        <v>2360.6</v>
      </c>
      <c r="S811" s="38" t="n">
        <v>2360.59</v>
      </c>
      <c r="T811" s="22" t="s">
        <v>189</v>
      </c>
      <c r="U811" s="39" t="n">
        <f aca="false">IF(R811="","",IF(F811="BUY",R811-S811,S811-R811))</f>
        <v>0.00999999999976353</v>
      </c>
      <c r="V811" s="39" t="n">
        <f aca="false">IF(F811="BUY",S811-J811,J811-S811)</f>
        <v>0.490000000000236</v>
      </c>
      <c r="W811" s="6" t="n">
        <v>2.45</v>
      </c>
      <c r="X811" s="26" t="n">
        <f aca="false">IFERROR(W811/N811,0)</f>
        <v>0.0816666666666667</v>
      </c>
      <c r="Y811" s="22" t="str">
        <f aca="false">IF(W811&gt;0,"Win",IF(W811&lt;0,"Loss","Flat"))</f>
        <v>Win</v>
      </c>
      <c r="Z811" s="24" t="n">
        <f aca="false">Summary!$C$5+SUM(W$2:W811)</f>
        <v>3209.32</v>
      </c>
      <c r="AA811" s="24" t="n">
        <f aca="false">MAX(AA810,Z811)</f>
        <v>5000</v>
      </c>
      <c r="AB811" s="24" t="n">
        <f aca="false">AA811-Z811</f>
        <v>1790.68</v>
      </c>
      <c r="AC811" s="23" t="n">
        <f aca="false">IFERROR(AB811/AA811,0)</f>
        <v>0.358136</v>
      </c>
      <c r="AD811" s="22" t="s">
        <v>1048</v>
      </c>
    </row>
    <row r="812" customFormat="false" ht="15" hidden="false" customHeight="false" outlineLevel="0" collapsed="false">
      <c r="A812" s="22" t="n">
        <v>811</v>
      </c>
      <c r="B812" s="22" t="s">
        <v>144</v>
      </c>
      <c r="C812" s="37" t="n">
        <v>45394.0525694444</v>
      </c>
      <c r="D812" s="22" t="s">
        <v>206</v>
      </c>
      <c r="E812" s="22" t="n">
        <v>1</v>
      </c>
      <c r="F812" s="22" t="s">
        <v>181</v>
      </c>
      <c r="G812" s="22" t="s">
        <v>243</v>
      </c>
      <c r="H812" s="22" t="n">
        <v>0.05</v>
      </c>
      <c r="I812" s="38" t="n">
        <v>2377.55</v>
      </c>
      <c r="J812" s="38" t="n">
        <v>2377.55</v>
      </c>
      <c r="K812" s="39" t="n">
        <f aca="false">IF(F812="BUY",J812-I812,I812-J812)</f>
        <v>0</v>
      </c>
      <c r="L812" s="38" t="n">
        <v>2371.55</v>
      </c>
      <c r="M812" s="39" t="n">
        <f aca="false">ABS(I812-L812)</f>
        <v>6</v>
      </c>
      <c r="N812" s="24" t="n">
        <f aca="false">M812*H812*Summary!$C$6</f>
        <v>30</v>
      </c>
      <c r="O812" s="37" t="n">
        <v>45394.7106365741</v>
      </c>
      <c r="P812" s="22" t="n">
        <f aca="false">ROUND((O812-C812)*86400,0)</f>
        <v>56857</v>
      </c>
      <c r="Q812" s="22" t="str">
        <f aca="false">IF(P812&lt;10,"a) &lt;10s",IF(P812&lt;60,"b) 10-60s",IF(P812&lt;600,"c) 1-10min","d) &gt;10min")))</f>
        <v>d) &gt;10min</v>
      </c>
      <c r="R812" s="38"/>
      <c r="S812" s="38" t="n">
        <v>2407.71</v>
      </c>
      <c r="T812" s="22" t="s">
        <v>187</v>
      </c>
      <c r="U812" s="39" t="str">
        <f aca="false">IF(R812="","",IF(F812="BUY",R812-S812,S812-R812))</f>
        <v/>
      </c>
      <c r="V812" s="39" t="n">
        <f aca="false">IF(F812="BUY",S812-J812,J812-S812)</f>
        <v>30.1599999999999</v>
      </c>
      <c r="W812" s="6" t="n">
        <v>150.8</v>
      </c>
      <c r="X812" s="26" t="n">
        <f aca="false">IFERROR(W812/N812,0)</f>
        <v>5.02666666666667</v>
      </c>
      <c r="Y812" s="22" t="str">
        <f aca="false">IF(W812&gt;0,"Win",IF(W812&lt;0,"Loss","Flat"))</f>
        <v>Win</v>
      </c>
      <c r="Z812" s="24" t="n">
        <f aca="false">Summary!$C$5+SUM(W$2:W812)</f>
        <v>3360.12</v>
      </c>
      <c r="AA812" s="24" t="n">
        <f aca="false">MAX(AA811,Z812)</f>
        <v>5000</v>
      </c>
      <c r="AB812" s="24" t="n">
        <f aca="false">AA812-Z812</f>
        <v>1639.88</v>
      </c>
      <c r="AC812" s="23" t="n">
        <f aca="false">IFERROR(AB812/AA812,0)</f>
        <v>0.327976</v>
      </c>
      <c r="AD812" s="22" t="s">
        <v>1049</v>
      </c>
    </row>
    <row r="813" customFormat="false" ht="15" hidden="false" customHeight="false" outlineLevel="0" collapsed="false">
      <c r="A813" s="22" t="n">
        <v>812</v>
      </c>
      <c r="B813" s="22" t="s">
        <v>144</v>
      </c>
      <c r="C813" s="37" t="n">
        <v>45394.7721064815</v>
      </c>
      <c r="D813" s="22" t="s">
        <v>206</v>
      </c>
      <c r="E813" s="22" t="n">
        <v>18</v>
      </c>
      <c r="F813" s="22" t="s">
        <v>182</v>
      </c>
      <c r="G813" s="22" t="s">
        <v>241</v>
      </c>
      <c r="H813" s="22" t="n">
        <v>0.05</v>
      </c>
      <c r="I813" s="38" t="n">
        <v>2382.69</v>
      </c>
      <c r="J813" s="38" t="n">
        <v>2382.47</v>
      </c>
      <c r="K813" s="39" t="n">
        <f aca="false">IF(F813="BUY",J813-I813,I813-J813)</f>
        <v>0.220000000000255</v>
      </c>
      <c r="L813" s="38" t="n">
        <v>2388.69</v>
      </c>
      <c r="M813" s="39" t="n">
        <f aca="false">ABS(I813-L813)</f>
        <v>6</v>
      </c>
      <c r="N813" s="24" t="n">
        <f aca="false">M813*H813*Summary!$C$6</f>
        <v>30</v>
      </c>
      <c r="O813" s="37" t="n">
        <v>45394.7725462963</v>
      </c>
      <c r="P813" s="22" t="n">
        <f aca="false">ROUND((O813-C813)*86400,0)</f>
        <v>38</v>
      </c>
      <c r="Q813" s="22" t="str">
        <f aca="false">IF(P813&lt;10,"a) &lt;10s",IF(P813&lt;60,"b) 10-60s",IF(P813&lt;600,"c) 1-10min","d) &gt;10min")))</f>
        <v>b) 10-60s</v>
      </c>
      <c r="R813" s="38" t="n">
        <v>2388.69</v>
      </c>
      <c r="S813" s="38" t="n">
        <v>2388.73</v>
      </c>
      <c r="T813" s="22" t="s">
        <v>188</v>
      </c>
      <c r="U813" s="39" t="n">
        <f aca="false">IF(R813="","",IF(F813="BUY",R813-S813,S813-R813))</f>
        <v>0.0399999999999636</v>
      </c>
      <c r="V813" s="39" t="n">
        <f aca="false">IF(F813="BUY",S813-J813,J813-S813)</f>
        <v>-6.26000000000022</v>
      </c>
      <c r="W813" s="6" t="n">
        <v>-31.3</v>
      </c>
      <c r="X813" s="26" t="n">
        <f aca="false">IFERROR(W813/N813,0)</f>
        <v>-1.04333333333333</v>
      </c>
      <c r="Y813" s="22" t="str">
        <f aca="false">IF(W813&gt;0,"Win",IF(W813&lt;0,"Loss","Flat"))</f>
        <v>Loss</v>
      </c>
      <c r="Z813" s="24" t="n">
        <f aca="false">Summary!$C$5+SUM(W$2:W813)</f>
        <v>3328.82</v>
      </c>
      <c r="AA813" s="24" t="n">
        <f aca="false">MAX(AA812,Z813)</f>
        <v>5000</v>
      </c>
      <c r="AB813" s="24" t="n">
        <f aca="false">AA813-Z813</f>
        <v>1671.18</v>
      </c>
      <c r="AC813" s="23" t="n">
        <f aca="false">IFERROR(AB813/AA813,0)</f>
        <v>0.334236</v>
      </c>
      <c r="AD813" s="22" t="s">
        <v>1050</v>
      </c>
    </row>
    <row r="814" customFormat="false" ht="15" hidden="false" customHeight="false" outlineLevel="0" collapsed="false">
      <c r="A814" s="22" t="n">
        <v>813</v>
      </c>
      <c r="B814" s="22" t="s">
        <v>144</v>
      </c>
      <c r="C814" s="37" t="n">
        <v>45397.4185300926</v>
      </c>
      <c r="D814" s="22" t="s">
        <v>202</v>
      </c>
      <c r="E814" s="22" t="n">
        <v>10</v>
      </c>
      <c r="F814" s="22" t="s">
        <v>182</v>
      </c>
      <c r="G814" s="22" t="s">
        <v>241</v>
      </c>
      <c r="H814" s="22" t="n">
        <v>0.05</v>
      </c>
      <c r="I814" s="38" t="n">
        <v>2351.92</v>
      </c>
      <c r="J814" s="38" t="n">
        <v>2351.82</v>
      </c>
      <c r="K814" s="39" t="n">
        <f aca="false">IF(F814="BUY",J814-I814,I814-J814)</f>
        <v>0.0999999999999091</v>
      </c>
      <c r="L814" s="38" t="n">
        <v>2357.92</v>
      </c>
      <c r="M814" s="39" t="n">
        <f aca="false">ABS(I814-L814)</f>
        <v>6</v>
      </c>
      <c r="N814" s="24" t="n">
        <f aca="false">M814*H814*Summary!$C$6</f>
        <v>30</v>
      </c>
      <c r="O814" s="37" t="n">
        <v>45397.4591203704</v>
      </c>
      <c r="P814" s="22" t="n">
        <f aca="false">ROUND((O814-C814)*86400,0)</f>
        <v>3507</v>
      </c>
      <c r="Q814" s="22" t="str">
        <f aca="false">IF(P814&lt;10,"a) &lt;10s",IF(P814&lt;60,"b) 10-60s",IF(P814&lt;600,"c) 1-10min","d) &gt;10min")))</f>
        <v>d) &gt;10min</v>
      </c>
      <c r="R814" s="38" t="n">
        <v>2351.32</v>
      </c>
      <c r="S814" s="38" t="n">
        <v>2351.35</v>
      </c>
      <c r="T814" s="22" t="s">
        <v>189</v>
      </c>
      <c r="U814" s="39" t="n">
        <f aca="false">IF(R814="","",IF(F814="BUY",R814-S814,S814-R814))</f>
        <v>0.0299999999997453</v>
      </c>
      <c r="V814" s="39" t="n">
        <f aca="false">IF(F814="BUY",S814-J814,J814-S814)</f>
        <v>0.470000000000255</v>
      </c>
      <c r="W814" s="6" t="n">
        <v>2.35</v>
      </c>
      <c r="X814" s="26" t="n">
        <f aca="false">IFERROR(W814/N814,0)</f>
        <v>0.0783333333333333</v>
      </c>
      <c r="Y814" s="22" t="str">
        <f aca="false">IF(W814&gt;0,"Win",IF(W814&lt;0,"Loss","Flat"))</f>
        <v>Win</v>
      </c>
      <c r="Z814" s="24" t="n">
        <f aca="false">Summary!$C$5+SUM(W$2:W814)</f>
        <v>3331.17</v>
      </c>
      <c r="AA814" s="24" t="n">
        <f aca="false">MAX(AA813,Z814)</f>
        <v>5000</v>
      </c>
      <c r="AB814" s="24" t="n">
        <f aca="false">AA814-Z814</f>
        <v>1668.83</v>
      </c>
      <c r="AC814" s="23" t="n">
        <f aca="false">IFERROR(AB814/AA814,0)</f>
        <v>0.333766</v>
      </c>
      <c r="AD814" s="22" t="s">
        <v>1051</v>
      </c>
    </row>
    <row r="815" customFormat="false" ht="15" hidden="false" customHeight="false" outlineLevel="0" collapsed="false">
      <c r="A815" s="22" t="n">
        <v>814</v>
      </c>
      <c r="B815" s="22" t="s">
        <v>144</v>
      </c>
      <c r="C815" s="37" t="n">
        <v>45397.713125</v>
      </c>
      <c r="D815" s="22" t="s">
        <v>202</v>
      </c>
      <c r="E815" s="22" t="n">
        <v>17</v>
      </c>
      <c r="F815" s="22" t="s">
        <v>182</v>
      </c>
      <c r="G815" s="22" t="s">
        <v>237</v>
      </c>
      <c r="H815" s="22" t="n">
        <v>0.05</v>
      </c>
      <c r="I815" s="38" t="n">
        <v>2333.76</v>
      </c>
      <c r="J815" s="38" t="n">
        <v>2333.75</v>
      </c>
      <c r="K815" s="39" t="n">
        <f aca="false">IF(F815="BUY",J815-I815,I815-J815)</f>
        <v>0.0100000000002183</v>
      </c>
      <c r="L815" s="38" t="n">
        <v>2339.76</v>
      </c>
      <c r="M815" s="39" t="n">
        <f aca="false">ABS(I815-L815)</f>
        <v>6</v>
      </c>
      <c r="N815" s="24" t="n">
        <f aca="false">M815*H815*Summary!$C$6</f>
        <v>30</v>
      </c>
      <c r="O815" s="37" t="n">
        <v>45397.7165625</v>
      </c>
      <c r="P815" s="22" t="n">
        <f aca="false">ROUND((O815-C815)*86400,0)</f>
        <v>297</v>
      </c>
      <c r="Q815" s="22" t="str">
        <f aca="false">IF(P815&lt;10,"a) &lt;10s",IF(P815&lt;60,"b) 10-60s",IF(P815&lt;600,"c) 1-10min","d) &gt;10min")))</f>
        <v>c) 1-10min</v>
      </c>
      <c r="R815" s="38" t="n">
        <v>2333.25</v>
      </c>
      <c r="S815" s="38" t="n">
        <v>2333.28</v>
      </c>
      <c r="T815" s="22" t="s">
        <v>189</v>
      </c>
      <c r="U815" s="39" t="n">
        <f aca="false">IF(R815="","",IF(F815="BUY",R815-S815,S815-R815))</f>
        <v>0.0300000000002001</v>
      </c>
      <c r="V815" s="39" t="n">
        <f aca="false">IF(F815="BUY",S815-J815,J815-S815)</f>
        <v>0.4699999999998</v>
      </c>
      <c r="W815" s="6" t="n">
        <v>2.35</v>
      </c>
      <c r="X815" s="26" t="n">
        <f aca="false">IFERROR(W815/N815,0)</f>
        <v>0.0783333333333333</v>
      </c>
      <c r="Y815" s="22" t="str">
        <f aca="false">IF(W815&gt;0,"Win",IF(W815&lt;0,"Loss","Flat"))</f>
        <v>Win</v>
      </c>
      <c r="Z815" s="24" t="n">
        <f aca="false">Summary!$C$5+SUM(W$2:W815)</f>
        <v>3333.52</v>
      </c>
      <c r="AA815" s="24" t="n">
        <f aca="false">MAX(AA814,Z815)</f>
        <v>5000</v>
      </c>
      <c r="AB815" s="24" t="n">
        <f aca="false">AA815-Z815</f>
        <v>1666.48</v>
      </c>
      <c r="AC815" s="23" t="n">
        <f aca="false">IFERROR(AB815/AA815,0)</f>
        <v>0.333296</v>
      </c>
      <c r="AD815" s="22" t="s">
        <v>1052</v>
      </c>
    </row>
    <row r="816" customFormat="false" ht="15" hidden="false" customHeight="false" outlineLevel="0" collapsed="false">
      <c r="A816" s="22" t="n">
        <v>815</v>
      </c>
      <c r="B816" s="22" t="s">
        <v>144</v>
      </c>
      <c r="C816" s="37" t="n">
        <v>45398.3933564815</v>
      </c>
      <c r="D816" s="22" t="s">
        <v>203</v>
      </c>
      <c r="E816" s="22" t="n">
        <v>9</v>
      </c>
      <c r="F816" s="22" t="s">
        <v>182</v>
      </c>
      <c r="G816" s="22" t="s">
        <v>241</v>
      </c>
      <c r="H816" s="22" t="n">
        <v>0.05</v>
      </c>
      <c r="I816" s="38" t="n">
        <v>2383.93</v>
      </c>
      <c r="J816" s="38" t="n">
        <v>2383.9</v>
      </c>
      <c r="K816" s="39" t="n">
        <f aca="false">IF(F816="BUY",J816-I816,I816-J816)</f>
        <v>0.0299999999997453</v>
      </c>
      <c r="L816" s="38" t="n">
        <v>2389.93</v>
      </c>
      <c r="M816" s="39" t="n">
        <f aca="false">ABS(I816-L816)</f>
        <v>6</v>
      </c>
      <c r="N816" s="24" t="n">
        <f aca="false">M816*H816*Summary!$C$6</f>
        <v>30</v>
      </c>
      <c r="O816" s="37" t="n">
        <v>45398.7496875</v>
      </c>
      <c r="P816" s="22" t="n">
        <f aca="false">ROUND((O816-C816)*86400,0)</f>
        <v>30787</v>
      </c>
      <c r="Q816" s="22" t="str">
        <f aca="false">IF(P816&lt;10,"a) &lt;10s",IF(P816&lt;60,"b) 10-60s",IF(P816&lt;600,"c) 1-10min","d) &gt;10min")))</f>
        <v>d) &gt;10min</v>
      </c>
      <c r="R816" s="38" t="n">
        <v>2383.4</v>
      </c>
      <c r="S816" s="38" t="n">
        <v>2383.48</v>
      </c>
      <c r="T816" s="22" t="s">
        <v>189</v>
      </c>
      <c r="U816" s="39" t="n">
        <f aca="false">IF(R816="","",IF(F816="BUY",R816-S816,S816-R816))</f>
        <v>0.0799999999999272</v>
      </c>
      <c r="V816" s="39" t="n">
        <f aca="false">IF(F816="BUY",S816-J816,J816-S816)</f>
        <v>0.420000000000073</v>
      </c>
      <c r="W816" s="6" t="n">
        <v>2.1</v>
      </c>
      <c r="X816" s="26" t="n">
        <f aca="false">IFERROR(W816/N816,0)</f>
        <v>0.07</v>
      </c>
      <c r="Y816" s="22" t="str">
        <f aca="false">IF(W816&gt;0,"Win",IF(W816&lt;0,"Loss","Flat"))</f>
        <v>Win</v>
      </c>
      <c r="Z816" s="24" t="n">
        <f aca="false">Summary!$C$5+SUM(W$2:W816)</f>
        <v>3335.62</v>
      </c>
      <c r="AA816" s="24" t="n">
        <f aca="false">MAX(AA815,Z816)</f>
        <v>5000</v>
      </c>
      <c r="AB816" s="24" t="n">
        <f aca="false">AA816-Z816</f>
        <v>1664.38</v>
      </c>
      <c r="AC816" s="23" t="n">
        <f aca="false">IFERROR(AB816/AA816,0)</f>
        <v>0.332876</v>
      </c>
      <c r="AD816" s="22" t="s">
        <v>1053</v>
      </c>
    </row>
    <row r="817" customFormat="false" ht="15" hidden="false" customHeight="false" outlineLevel="0" collapsed="false">
      <c r="A817" s="22" t="n">
        <v>816</v>
      </c>
      <c r="B817" s="22" t="s">
        <v>144</v>
      </c>
      <c r="C817" s="37" t="n">
        <v>45399.3869097222</v>
      </c>
      <c r="D817" s="22" t="s">
        <v>204</v>
      </c>
      <c r="E817" s="22" t="n">
        <v>9</v>
      </c>
      <c r="F817" s="22" t="s">
        <v>182</v>
      </c>
      <c r="G817" s="22" t="s">
        <v>241</v>
      </c>
      <c r="H817" s="22" t="n">
        <v>0.05</v>
      </c>
      <c r="I817" s="38" t="n">
        <v>2374.05</v>
      </c>
      <c r="J817" s="38" t="n">
        <v>2374.04</v>
      </c>
      <c r="K817" s="39" t="n">
        <f aca="false">IF(F817="BUY",J817-I817,I817-J817)</f>
        <v>0.0100000000002183</v>
      </c>
      <c r="L817" s="38" t="n">
        <v>2380.05</v>
      </c>
      <c r="M817" s="39" t="n">
        <f aca="false">ABS(I817-L817)</f>
        <v>6</v>
      </c>
      <c r="N817" s="24" t="n">
        <f aca="false">M817*H817*Summary!$C$6</f>
        <v>30</v>
      </c>
      <c r="O817" s="37" t="n">
        <v>45399.4106712963</v>
      </c>
      <c r="P817" s="22" t="n">
        <f aca="false">ROUND((O817-C817)*86400,0)</f>
        <v>2053</v>
      </c>
      <c r="Q817" s="22" t="str">
        <f aca="false">IF(P817&lt;10,"a) &lt;10s",IF(P817&lt;60,"b) 10-60s",IF(P817&lt;600,"c) 1-10min","d) &gt;10min")))</f>
        <v>d) &gt;10min</v>
      </c>
      <c r="R817" s="38" t="n">
        <v>2380.05</v>
      </c>
      <c r="S817" s="38" t="n">
        <v>2380.26</v>
      </c>
      <c r="T817" s="22" t="s">
        <v>188</v>
      </c>
      <c r="U817" s="39" t="n">
        <f aca="false">IF(R817="","",IF(F817="BUY",R817-S817,S817-R817))</f>
        <v>0.210000000000036</v>
      </c>
      <c r="V817" s="39" t="n">
        <f aca="false">IF(F817="BUY",S817-J817,J817-S817)</f>
        <v>-6.22000000000026</v>
      </c>
      <c r="W817" s="6" t="n">
        <v>-31.1</v>
      </c>
      <c r="X817" s="26" t="n">
        <f aca="false">IFERROR(W817/N817,0)</f>
        <v>-1.03666666666667</v>
      </c>
      <c r="Y817" s="22" t="str">
        <f aca="false">IF(W817&gt;0,"Win",IF(W817&lt;0,"Loss","Flat"))</f>
        <v>Loss</v>
      </c>
      <c r="Z817" s="24" t="n">
        <f aca="false">Summary!$C$5+SUM(W$2:W817)</f>
        <v>3304.52</v>
      </c>
      <c r="AA817" s="24" t="n">
        <f aca="false">MAX(AA816,Z817)</f>
        <v>5000</v>
      </c>
      <c r="AB817" s="24" t="n">
        <f aca="false">AA817-Z817</f>
        <v>1695.48</v>
      </c>
      <c r="AC817" s="23" t="n">
        <f aca="false">IFERROR(AB817/AA817,0)</f>
        <v>0.339096</v>
      </c>
      <c r="AD817" s="22" t="s">
        <v>1054</v>
      </c>
    </row>
    <row r="818" customFormat="false" ht="15" hidden="false" customHeight="false" outlineLevel="0" collapsed="false">
      <c r="A818" s="22" t="n">
        <v>817</v>
      </c>
      <c r="B818" s="22" t="s">
        <v>144</v>
      </c>
      <c r="C818" s="37" t="n">
        <v>45399.8231712963</v>
      </c>
      <c r="D818" s="22" t="s">
        <v>204</v>
      </c>
      <c r="E818" s="22" t="n">
        <v>19</v>
      </c>
      <c r="F818" s="22" t="s">
        <v>182</v>
      </c>
      <c r="G818" s="22" t="s">
        <v>237</v>
      </c>
      <c r="H818" s="22" t="n">
        <v>0.05</v>
      </c>
      <c r="I818" s="38" t="n">
        <v>2362.84</v>
      </c>
      <c r="J818" s="38" t="n">
        <v>2362.83</v>
      </c>
      <c r="K818" s="39" t="n">
        <f aca="false">IF(F818="BUY",J818-I818,I818-J818)</f>
        <v>0.0100000000002183</v>
      </c>
      <c r="L818" s="38" t="n">
        <v>2368.84</v>
      </c>
      <c r="M818" s="39" t="n">
        <f aca="false">ABS(I818-L818)</f>
        <v>6</v>
      </c>
      <c r="N818" s="24" t="n">
        <f aca="false">M818*H818*Summary!$C$6</f>
        <v>30</v>
      </c>
      <c r="O818" s="37" t="n">
        <v>45399.8279976852</v>
      </c>
      <c r="P818" s="22" t="n">
        <f aca="false">ROUND((O818-C818)*86400,0)</f>
        <v>417</v>
      </c>
      <c r="Q818" s="22" t="str">
        <f aca="false">IF(P818&lt;10,"a) &lt;10s",IF(P818&lt;60,"b) 10-60s",IF(P818&lt;600,"c) 1-10min","d) &gt;10min")))</f>
        <v>c) 1-10min</v>
      </c>
      <c r="R818" s="38" t="n">
        <v>2368.84</v>
      </c>
      <c r="S818" s="38" t="n">
        <v>2368.9</v>
      </c>
      <c r="T818" s="22" t="s">
        <v>188</v>
      </c>
      <c r="U818" s="39" t="n">
        <f aca="false">IF(R818="","",IF(F818="BUY",R818-S818,S818-R818))</f>
        <v>0.0599999999999454</v>
      </c>
      <c r="V818" s="39" t="n">
        <f aca="false">IF(F818="BUY",S818-J818,J818-S818)</f>
        <v>-6.07000000000016</v>
      </c>
      <c r="W818" s="6" t="n">
        <v>-30.35</v>
      </c>
      <c r="X818" s="26" t="n">
        <f aca="false">IFERROR(W818/N818,0)</f>
        <v>-1.01166666666667</v>
      </c>
      <c r="Y818" s="22" t="str">
        <f aca="false">IF(W818&gt;0,"Win",IF(W818&lt;0,"Loss","Flat"))</f>
        <v>Loss</v>
      </c>
      <c r="Z818" s="24" t="n">
        <f aca="false">Summary!$C$5+SUM(W$2:W818)</f>
        <v>3274.17</v>
      </c>
      <c r="AA818" s="24" t="n">
        <f aca="false">MAX(AA817,Z818)</f>
        <v>5000</v>
      </c>
      <c r="AB818" s="24" t="n">
        <f aca="false">AA818-Z818</f>
        <v>1725.83</v>
      </c>
      <c r="AC818" s="23" t="n">
        <f aca="false">IFERROR(AB818/AA818,0)</f>
        <v>0.345166</v>
      </c>
      <c r="AD818" s="22" t="s">
        <v>1055</v>
      </c>
    </row>
    <row r="819" customFormat="false" ht="15" hidden="false" customHeight="false" outlineLevel="0" collapsed="false">
      <c r="A819" s="22" t="n">
        <v>818</v>
      </c>
      <c r="B819" s="22" t="s">
        <v>144</v>
      </c>
      <c r="C819" s="37" t="n">
        <v>45400.7327083333</v>
      </c>
      <c r="D819" s="22" t="s">
        <v>205</v>
      </c>
      <c r="E819" s="22" t="n">
        <v>17</v>
      </c>
      <c r="F819" s="22" t="s">
        <v>182</v>
      </c>
      <c r="G819" s="22" t="s">
        <v>241</v>
      </c>
      <c r="H819" s="22" t="n">
        <v>0.05</v>
      </c>
      <c r="I819" s="38" t="n">
        <v>2373.15</v>
      </c>
      <c r="J819" s="38" t="n">
        <v>2373.15</v>
      </c>
      <c r="K819" s="39" t="n">
        <f aca="false">IF(F819="BUY",J819-I819,I819-J819)</f>
        <v>0</v>
      </c>
      <c r="L819" s="38" t="n">
        <v>2379.15</v>
      </c>
      <c r="M819" s="39" t="n">
        <f aca="false">ABS(I819-L819)</f>
        <v>6</v>
      </c>
      <c r="N819" s="24" t="n">
        <f aca="false">M819*H819*Summary!$C$6</f>
        <v>30</v>
      </c>
      <c r="O819" s="37" t="n">
        <v>45400.7329861111</v>
      </c>
      <c r="P819" s="22" t="n">
        <f aca="false">ROUND((O819-C819)*86400,0)</f>
        <v>24</v>
      </c>
      <c r="Q819" s="22" t="str">
        <f aca="false">IF(P819&lt;10,"a) &lt;10s",IF(P819&lt;60,"b) 10-60s",IF(P819&lt;600,"c) 1-10min","d) &gt;10min")))</f>
        <v>b) 10-60s</v>
      </c>
      <c r="R819" s="38" t="n">
        <v>2372.65</v>
      </c>
      <c r="S819" s="38" t="n">
        <v>2372.67</v>
      </c>
      <c r="T819" s="22" t="s">
        <v>189</v>
      </c>
      <c r="U819" s="39" t="n">
        <f aca="false">IF(R819="","",IF(F819="BUY",R819-S819,S819-R819))</f>
        <v>0.0199999999999818</v>
      </c>
      <c r="V819" s="39" t="n">
        <f aca="false">IF(F819="BUY",S819-J819,J819-S819)</f>
        <v>0.480000000000018</v>
      </c>
      <c r="W819" s="6" t="n">
        <v>2.4</v>
      </c>
      <c r="X819" s="26" t="n">
        <f aca="false">IFERROR(W819/N819,0)</f>
        <v>0.08</v>
      </c>
      <c r="Y819" s="22" t="str">
        <f aca="false">IF(W819&gt;0,"Win",IF(W819&lt;0,"Loss","Flat"))</f>
        <v>Win</v>
      </c>
      <c r="Z819" s="24" t="n">
        <f aca="false">Summary!$C$5+SUM(W$2:W819)</f>
        <v>3276.57</v>
      </c>
      <c r="AA819" s="24" t="n">
        <f aca="false">MAX(AA818,Z819)</f>
        <v>5000</v>
      </c>
      <c r="AB819" s="24" t="n">
        <f aca="false">AA819-Z819</f>
        <v>1723.43</v>
      </c>
      <c r="AC819" s="23" t="n">
        <f aca="false">IFERROR(AB819/AA819,0)</f>
        <v>0.344686</v>
      </c>
      <c r="AD819" s="22" t="s">
        <v>1056</v>
      </c>
    </row>
    <row r="820" customFormat="false" ht="15" hidden="false" customHeight="false" outlineLevel="0" collapsed="false">
      <c r="A820" s="22" t="n">
        <v>819</v>
      </c>
      <c r="B820" s="22" t="s">
        <v>144</v>
      </c>
      <c r="C820" s="37" t="n">
        <v>45401.1759490741</v>
      </c>
      <c r="D820" s="22" t="s">
        <v>206</v>
      </c>
      <c r="E820" s="22" t="n">
        <v>4</v>
      </c>
      <c r="F820" s="22" t="s">
        <v>181</v>
      </c>
      <c r="G820" s="22" t="s">
        <v>243</v>
      </c>
      <c r="H820" s="22" t="n">
        <v>0.05</v>
      </c>
      <c r="I820" s="38" t="n">
        <v>2392.62</v>
      </c>
      <c r="J820" s="38" t="n">
        <v>2392.79</v>
      </c>
      <c r="K820" s="39" t="n">
        <f aca="false">IF(F820="BUY",J820-I820,I820-J820)</f>
        <v>0.170000000000073</v>
      </c>
      <c r="L820" s="38" t="n">
        <v>2386.62</v>
      </c>
      <c r="M820" s="39" t="n">
        <f aca="false">ABS(I820-L820)</f>
        <v>6</v>
      </c>
      <c r="N820" s="24" t="n">
        <f aca="false">M820*H820*Summary!$C$6</f>
        <v>30</v>
      </c>
      <c r="O820" s="37" t="n">
        <v>45401.2563078704</v>
      </c>
      <c r="P820" s="22" t="n">
        <f aca="false">ROUND((O820-C820)*86400,0)</f>
        <v>6943</v>
      </c>
      <c r="Q820" s="22" t="str">
        <f aca="false">IF(P820&lt;10,"a) &lt;10s",IF(P820&lt;60,"b) 10-60s",IF(P820&lt;600,"c) 1-10min","d) &gt;10min")))</f>
        <v>d) &gt;10min</v>
      </c>
      <c r="R820" s="38" t="n">
        <v>2393.29</v>
      </c>
      <c r="S820" s="38" t="n">
        <v>2393.22</v>
      </c>
      <c r="T820" s="22" t="s">
        <v>189</v>
      </c>
      <c r="U820" s="39" t="n">
        <f aca="false">IF(R820="","",IF(F820="BUY",R820-S820,S820-R820))</f>
        <v>0.0700000000001637</v>
      </c>
      <c r="V820" s="39" t="n">
        <f aca="false">IF(F820="BUY",S820-J820,J820-S820)</f>
        <v>0.429999999999836</v>
      </c>
      <c r="W820" s="6" t="n">
        <v>2.15</v>
      </c>
      <c r="X820" s="26" t="n">
        <f aca="false">IFERROR(W820/N820,0)</f>
        <v>0.0716666666666667</v>
      </c>
      <c r="Y820" s="22" t="str">
        <f aca="false">IF(W820&gt;0,"Win",IF(W820&lt;0,"Loss","Flat"))</f>
        <v>Win</v>
      </c>
      <c r="Z820" s="24" t="n">
        <f aca="false">Summary!$C$5+SUM(W$2:W820)</f>
        <v>3278.72</v>
      </c>
      <c r="AA820" s="24" t="n">
        <f aca="false">MAX(AA819,Z820)</f>
        <v>5000</v>
      </c>
      <c r="AB820" s="24" t="n">
        <f aca="false">AA820-Z820</f>
        <v>1721.28</v>
      </c>
      <c r="AC820" s="23" t="n">
        <f aca="false">IFERROR(AB820/AA820,0)</f>
        <v>0.344256</v>
      </c>
      <c r="AD820" s="22" t="s">
        <v>1057</v>
      </c>
    </row>
    <row r="821" customFormat="false" ht="15" hidden="false" customHeight="false" outlineLevel="0" collapsed="false">
      <c r="A821" s="22" t="n">
        <v>820</v>
      </c>
      <c r="B821" s="22" t="s">
        <v>144</v>
      </c>
      <c r="C821" s="37" t="n">
        <v>45401.3757175926</v>
      </c>
      <c r="D821" s="22" t="s">
        <v>206</v>
      </c>
      <c r="E821" s="22" t="n">
        <v>9</v>
      </c>
      <c r="F821" s="22" t="s">
        <v>182</v>
      </c>
      <c r="G821" s="22" t="s">
        <v>241</v>
      </c>
      <c r="H821" s="22" t="n">
        <v>0.05</v>
      </c>
      <c r="I821" s="38" t="n">
        <v>2379.2</v>
      </c>
      <c r="J821" s="38" t="n">
        <v>2378.86</v>
      </c>
      <c r="K821" s="39" t="n">
        <f aca="false">IF(F821="BUY",J821-I821,I821-J821)</f>
        <v>0.339999999999691</v>
      </c>
      <c r="L821" s="38" t="n">
        <v>2385.2</v>
      </c>
      <c r="M821" s="39" t="n">
        <f aca="false">ABS(I821-L821)</f>
        <v>6</v>
      </c>
      <c r="N821" s="24" t="n">
        <f aca="false">M821*H821*Summary!$C$6</f>
        <v>30</v>
      </c>
      <c r="O821" s="37" t="n">
        <v>45401.3808101852</v>
      </c>
      <c r="P821" s="22" t="n">
        <f aca="false">ROUND((O821-C821)*86400,0)</f>
        <v>440</v>
      </c>
      <c r="Q821" s="22" t="str">
        <f aca="false">IF(P821&lt;10,"a) &lt;10s",IF(P821&lt;60,"b) 10-60s",IF(P821&lt;600,"c) 1-10min","d) &gt;10min")))</f>
        <v>c) 1-10min</v>
      </c>
      <c r="R821" s="38" t="n">
        <v>2385.2</v>
      </c>
      <c r="S821" s="38" t="n">
        <v>2385.29</v>
      </c>
      <c r="T821" s="22" t="s">
        <v>188</v>
      </c>
      <c r="U821" s="39" t="n">
        <f aca="false">IF(R821="","",IF(F821="BUY",R821-S821,S821-R821))</f>
        <v>0.0900000000001455</v>
      </c>
      <c r="V821" s="39" t="n">
        <f aca="false">IF(F821="BUY",S821-J821,J821-S821)</f>
        <v>-6.42999999999984</v>
      </c>
      <c r="W821" s="6" t="n">
        <v>-32.15</v>
      </c>
      <c r="X821" s="26" t="n">
        <f aca="false">IFERROR(W821/N821,0)</f>
        <v>-1.07166666666667</v>
      </c>
      <c r="Y821" s="22" t="str">
        <f aca="false">IF(W821&gt;0,"Win",IF(W821&lt;0,"Loss","Flat"))</f>
        <v>Loss</v>
      </c>
      <c r="Z821" s="24" t="n">
        <f aca="false">Summary!$C$5+SUM(W$2:W821)</f>
        <v>3246.57</v>
      </c>
      <c r="AA821" s="24" t="n">
        <f aca="false">MAX(AA820,Z821)</f>
        <v>5000</v>
      </c>
      <c r="AB821" s="24" t="n">
        <f aca="false">AA821-Z821</f>
        <v>1753.43</v>
      </c>
      <c r="AC821" s="23" t="n">
        <f aca="false">IFERROR(AB821/AA821,0)</f>
        <v>0.350686</v>
      </c>
      <c r="AD821" s="22" t="s">
        <v>1058</v>
      </c>
    </row>
    <row r="822" customFormat="false" ht="15" hidden="false" customHeight="false" outlineLevel="0" collapsed="false">
      <c r="A822" s="22" t="n">
        <v>821</v>
      </c>
      <c r="B822" s="22" t="s">
        <v>144</v>
      </c>
      <c r="C822" s="37" t="n">
        <v>45404.2496643519</v>
      </c>
      <c r="D822" s="22" t="s">
        <v>202</v>
      </c>
      <c r="E822" s="22" t="n">
        <v>5</v>
      </c>
      <c r="F822" s="22" t="s">
        <v>182</v>
      </c>
      <c r="G822" s="22" t="s">
        <v>237</v>
      </c>
      <c r="H822" s="22" t="n">
        <v>0.05</v>
      </c>
      <c r="I822" s="38" t="n">
        <v>2372.81</v>
      </c>
      <c r="J822" s="38" t="n">
        <v>2372.8</v>
      </c>
      <c r="K822" s="39" t="n">
        <f aca="false">IF(F822="BUY",J822-I822,I822-J822)</f>
        <v>0.00999999999976353</v>
      </c>
      <c r="L822" s="38" t="n">
        <v>2378.81</v>
      </c>
      <c r="M822" s="39" t="n">
        <f aca="false">ABS(I822-L822)</f>
        <v>6</v>
      </c>
      <c r="N822" s="24" t="n">
        <f aca="false">M822*H822*Summary!$C$6</f>
        <v>30</v>
      </c>
      <c r="O822" s="37" t="n">
        <v>45404.2523842593</v>
      </c>
      <c r="P822" s="22" t="n">
        <f aca="false">ROUND((O822-C822)*86400,0)</f>
        <v>235</v>
      </c>
      <c r="Q822" s="22" t="str">
        <f aca="false">IF(P822&lt;10,"a) &lt;10s",IF(P822&lt;60,"b) 10-60s",IF(P822&lt;600,"c) 1-10min","d) &gt;10min")))</f>
        <v>c) 1-10min</v>
      </c>
      <c r="R822" s="38" t="n">
        <v>2372.3</v>
      </c>
      <c r="S822" s="38" t="n">
        <v>2372.33</v>
      </c>
      <c r="T822" s="22" t="s">
        <v>189</v>
      </c>
      <c r="U822" s="39" t="n">
        <f aca="false">IF(R822="","",IF(F822="BUY",R822-S822,S822-R822))</f>
        <v>0.0299999999997453</v>
      </c>
      <c r="V822" s="39" t="n">
        <f aca="false">IF(F822="BUY",S822-J822,J822-S822)</f>
        <v>0.470000000000255</v>
      </c>
      <c r="W822" s="6" t="n">
        <v>2.35</v>
      </c>
      <c r="X822" s="26" t="n">
        <f aca="false">IFERROR(W822/N822,0)</f>
        <v>0.0783333333333333</v>
      </c>
      <c r="Y822" s="22" t="str">
        <f aca="false">IF(W822&gt;0,"Win",IF(W822&lt;0,"Loss","Flat"))</f>
        <v>Win</v>
      </c>
      <c r="Z822" s="24" t="n">
        <f aca="false">Summary!$C$5+SUM(W$2:W822)</f>
        <v>3248.92</v>
      </c>
      <c r="AA822" s="24" t="n">
        <f aca="false">MAX(AA821,Z822)</f>
        <v>5000</v>
      </c>
      <c r="AB822" s="24" t="n">
        <f aca="false">AA822-Z822</f>
        <v>1751.08</v>
      </c>
      <c r="AC822" s="23" t="n">
        <f aca="false">IFERROR(AB822/AA822,0)</f>
        <v>0.350216</v>
      </c>
      <c r="AD822" s="22" t="s">
        <v>1059</v>
      </c>
    </row>
    <row r="823" customFormat="false" ht="15" hidden="false" customHeight="false" outlineLevel="0" collapsed="false">
      <c r="A823" s="22" t="n">
        <v>822</v>
      </c>
      <c r="B823" s="22" t="s">
        <v>144</v>
      </c>
      <c r="C823" s="37" t="n">
        <v>45404.4054398148</v>
      </c>
      <c r="D823" s="22" t="s">
        <v>202</v>
      </c>
      <c r="E823" s="22" t="n">
        <v>9</v>
      </c>
      <c r="F823" s="22" t="s">
        <v>182</v>
      </c>
      <c r="G823" s="22" t="s">
        <v>241</v>
      </c>
      <c r="H823" s="22" t="n">
        <v>0.05</v>
      </c>
      <c r="I823" s="38" t="n">
        <v>2360.76</v>
      </c>
      <c r="J823" s="38" t="n">
        <v>2360.76</v>
      </c>
      <c r="K823" s="39" t="n">
        <f aca="false">IF(F823="BUY",J823-I823,I823-J823)</f>
        <v>0</v>
      </c>
      <c r="L823" s="38" t="n">
        <v>2366.76</v>
      </c>
      <c r="M823" s="39" t="n">
        <f aca="false">ABS(I823-L823)</f>
        <v>6</v>
      </c>
      <c r="N823" s="24" t="n">
        <f aca="false">M823*H823*Summary!$C$6</f>
        <v>30</v>
      </c>
      <c r="O823" s="37" t="n">
        <v>45404.4452430556</v>
      </c>
      <c r="P823" s="22" t="n">
        <f aca="false">ROUND((O823-C823)*86400,0)</f>
        <v>3439</v>
      </c>
      <c r="Q823" s="22" t="str">
        <f aca="false">IF(P823&lt;10,"a) &lt;10s",IF(P823&lt;60,"b) 10-60s",IF(P823&lt;600,"c) 1-10min","d) &gt;10min")))</f>
        <v>d) &gt;10min</v>
      </c>
      <c r="R823" s="38" t="n">
        <v>2360.26</v>
      </c>
      <c r="S823" s="38" t="n">
        <v>2360.26</v>
      </c>
      <c r="T823" s="22" t="s">
        <v>189</v>
      </c>
      <c r="U823" s="39" t="n">
        <f aca="false">IF(R823="","",IF(F823="BUY",R823-S823,S823-R823))</f>
        <v>0</v>
      </c>
      <c r="V823" s="39" t="n">
        <f aca="false">IF(F823="BUY",S823-J823,J823-S823)</f>
        <v>0.5</v>
      </c>
      <c r="W823" s="6" t="n">
        <v>2.5</v>
      </c>
      <c r="X823" s="26" t="n">
        <f aca="false">IFERROR(W823/N823,0)</f>
        <v>0.0833333333333333</v>
      </c>
      <c r="Y823" s="22" t="str">
        <f aca="false">IF(W823&gt;0,"Win",IF(W823&lt;0,"Loss","Flat"))</f>
        <v>Win</v>
      </c>
      <c r="Z823" s="24" t="n">
        <f aca="false">Summary!$C$5+SUM(W$2:W823)</f>
        <v>3251.42</v>
      </c>
      <c r="AA823" s="24" t="n">
        <f aca="false">MAX(AA822,Z823)</f>
        <v>5000</v>
      </c>
      <c r="AB823" s="24" t="n">
        <f aca="false">AA823-Z823</f>
        <v>1748.58</v>
      </c>
      <c r="AC823" s="23" t="n">
        <f aca="false">IFERROR(AB823/AA823,0)</f>
        <v>0.349716</v>
      </c>
      <c r="AD823" s="22" t="s">
        <v>1060</v>
      </c>
    </row>
    <row r="824" customFormat="false" ht="15" hidden="false" customHeight="false" outlineLevel="0" collapsed="false">
      <c r="A824" s="22" t="n">
        <v>823</v>
      </c>
      <c r="B824" s="22" t="s">
        <v>144</v>
      </c>
      <c r="C824" s="37" t="n">
        <v>45405.1921990741</v>
      </c>
      <c r="D824" s="22" t="s">
        <v>203</v>
      </c>
      <c r="E824" s="22" t="n">
        <v>4</v>
      </c>
      <c r="F824" s="22" t="s">
        <v>182</v>
      </c>
      <c r="G824" s="22" t="s">
        <v>237</v>
      </c>
      <c r="H824" s="22" t="n">
        <v>0.05</v>
      </c>
      <c r="I824" s="38" t="n">
        <v>2324.56</v>
      </c>
      <c r="J824" s="38" t="n">
        <v>2323.42</v>
      </c>
      <c r="K824" s="39" t="n">
        <f aca="false">IF(F824="BUY",J824-I824,I824-J824)</f>
        <v>1.13999999999987</v>
      </c>
      <c r="L824" s="38" t="n">
        <v>2330.56</v>
      </c>
      <c r="M824" s="39" t="n">
        <f aca="false">ABS(I824-L824)</f>
        <v>6</v>
      </c>
      <c r="N824" s="24" t="n">
        <f aca="false">M824*H824*Summary!$C$6</f>
        <v>30</v>
      </c>
      <c r="O824" s="37" t="n">
        <v>45405.5121180556</v>
      </c>
      <c r="P824" s="22" t="n">
        <f aca="false">ROUND((O824-C824)*86400,0)</f>
        <v>27641</v>
      </c>
      <c r="Q824" s="22" t="str">
        <f aca="false">IF(P824&lt;10,"a) &lt;10s",IF(P824&lt;60,"b) 10-60s",IF(P824&lt;600,"c) 1-10min","d) &gt;10min")))</f>
        <v>d) &gt;10min</v>
      </c>
      <c r="R824" s="38"/>
      <c r="S824" s="38" t="n">
        <v>2294.47</v>
      </c>
      <c r="T824" s="22" t="s">
        <v>187</v>
      </c>
      <c r="U824" s="39" t="str">
        <f aca="false">IF(R824="","",IF(F824="BUY",R824-S824,S824-R824))</f>
        <v/>
      </c>
      <c r="V824" s="39" t="n">
        <f aca="false">IF(F824="BUY",S824-J824,J824-S824)</f>
        <v>28.9500000000003</v>
      </c>
      <c r="W824" s="6" t="n">
        <v>144.75</v>
      </c>
      <c r="X824" s="26" t="n">
        <f aca="false">IFERROR(W824/N824,0)</f>
        <v>4.825</v>
      </c>
      <c r="Y824" s="22" t="str">
        <f aca="false">IF(W824&gt;0,"Win",IF(W824&lt;0,"Loss","Flat"))</f>
        <v>Win</v>
      </c>
      <c r="Z824" s="24" t="n">
        <f aca="false">Summary!$C$5+SUM(W$2:W824)</f>
        <v>3396.17</v>
      </c>
      <c r="AA824" s="24" t="n">
        <f aca="false">MAX(AA823,Z824)</f>
        <v>5000</v>
      </c>
      <c r="AB824" s="24" t="n">
        <f aca="false">AA824-Z824</f>
        <v>1603.83</v>
      </c>
      <c r="AC824" s="23" t="n">
        <f aca="false">IFERROR(AB824/AA824,0)</f>
        <v>0.320766</v>
      </c>
      <c r="AD824" s="22" t="s">
        <v>1061</v>
      </c>
    </row>
    <row r="825" customFormat="false" ht="15" hidden="false" customHeight="false" outlineLevel="0" collapsed="false">
      <c r="A825" s="22" t="n">
        <v>824</v>
      </c>
      <c r="B825" s="22" t="s">
        <v>144</v>
      </c>
      <c r="C825" s="37" t="n">
        <v>45405.6788194445</v>
      </c>
      <c r="D825" s="22" t="s">
        <v>203</v>
      </c>
      <c r="E825" s="22" t="n">
        <v>16</v>
      </c>
      <c r="F825" s="22" t="s">
        <v>181</v>
      </c>
      <c r="G825" s="22" t="s">
        <v>235</v>
      </c>
      <c r="H825" s="22" t="n">
        <v>0.05</v>
      </c>
      <c r="I825" s="38" t="n">
        <v>2314.61</v>
      </c>
      <c r="J825" s="38" t="n">
        <v>2314.96</v>
      </c>
      <c r="K825" s="39" t="n">
        <f aca="false">IF(F825="BUY",J825-I825,I825-J825)</f>
        <v>0.349999999999909</v>
      </c>
      <c r="L825" s="38" t="n">
        <v>2308.61</v>
      </c>
      <c r="M825" s="39" t="n">
        <f aca="false">ABS(I825-L825)</f>
        <v>6</v>
      </c>
      <c r="N825" s="24" t="n">
        <f aca="false">M825*H825*Summary!$C$6</f>
        <v>30</v>
      </c>
      <c r="O825" s="37" t="n">
        <v>45405.6979166667</v>
      </c>
      <c r="P825" s="22" t="n">
        <f aca="false">ROUND((O825-C825)*86400,0)</f>
        <v>1650</v>
      </c>
      <c r="Q825" s="22" t="str">
        <f aca="false">IF(P825&lt;10,"a) &lt;10s",IF(P825&lt;60,"b) 10-60s",IF(P825&lt;600,"c) 1-10min","d) &gt;10min")))</f>
        <v>d) &gt;10min</v>
      </c>
      <c r="R825" s="38" t="n">
        <v>2315.46</v>
      </c>
      <c r="S825" s="38" t="n">
        <v>2315.35</v>
      </c>
      <c r="T825" s="22" t="s">
        <v>189</v>
      </c>
      <c r="U825" s="39" t="n">
        <f aca="false">IF(R825="","",IF(F825="BUY",R825-S825,S825-R825))</f>
        <v>0.110000000000127</v>
      </c>
      <c r="V825" s="39" t="n">
        <f aca="false">IF(F825="BUY",S825-J825,J825-S825)</f>
        <v>0.389999999999873</v>
      </c>
      <c r="W825" s="6" t="n">
        <v>1.95</v>
      </c>
      <c r="X825" s="26" t="n">
        <f aca="false">IFERROR(W825/N825,0)</f>
        <v>0.065</v>
      </c>
      <c r="Y825" s="22" t="str">
        <f aca="false">IF(W825&gt;0,"Win",IF(W825&lt;0,"Loss","Flat"))</f>
        <v>Win</v>
      </c>
      <c r="Z825" s="24" t="n">
        <f aca="false">Summary!$C$5+SUM(W$2:W825)</f>
        <v>3398.12</v>
      </c>
      <c r="AA825" s="24" t="n">
        <f aca="false">MAX(AA824,Z825)</f>
        <v>5000</v>
      </c>
      <c r="AB825" s="24" t="n">
        <f aca="false">AA825-Z825</f>
        <v>1601.88</v>
      </c>
      <c r="AC825" s="23" t="n">
        <f aca="false">IFERROR(AB825/AA825,0)</f>
        <v>0.320376</v>
      </c>
      <c r="AD825" s="22" t="s">
        <v>1062</v>
      </c>
    </row>
    <row r="826" customFormat="false" ht="15" hidden="false" customHeight="false" outlineLevel="0" collapsed="false">
      <c r="A826" s="22" t="n">
        <v>825</v>
      </c>
      <c r="B826" s="22" t="s">
        <v>144</v>
      </c>
      <c r="C826" s="37" t="n">
        <v>45406.3761226852</v>
      </c>
      <c r="D826" s="22" t="s">
        <v>204</v>
      </c>
      <c r="E826" s="22" t="n">
        <v>9</v>
      </c>
      <c r="F826" s="22" t="s">
        <v>181</v>
      </c>
      <c r="G826" s="22" t="s">
        <v>235</v>
      </c>
      <c r="H826" s="22" t="n">
        <v>0.05</v>
      </c>
      <c r="I826" s="38" t="n">
        <v>2329.98</v>
      </c>
      <c r="J826" s="38" t="n">
        <v>2329.98</v>
      </c>
      <c r="K826" s="39" t="n">
        <f aca="false">IF(F826="BUY",J826-I826,I826-J826)</f>
        <v>0</v>
      </c>
      <c r="L826" s="38" t="n">
        <v>2323.98</v>
      </c>
      <c r="M826" s="39" t="n">
        <f aca="false">ABS(I826-L826)</f>
        <v>6</v>
      </c>
      <c r="N826" s="24" t="n">
        <f aca="false">M826*H826*Summary!$C$6</f>
        <v>30</v>
      </c>
      <c r="O826" s="37" t="n">
        <v>45406.4187384259</v>
      </c>
      <c r="P826" s="22" t="n">
        <f aca="false">ROUND((O826-C826)*86400,0)</f>
        <v>3682</v>
      </c>
      <c r="Q826" s="22" t="str">
        <f aca="false">IF(P826&lt;10,"a) &lt;10s",IF(P826&lt;60,"b) 10-60s",IF(P826&lt;600,"c) 1-10min","d) &gt;10min")))</f>
        <v>d) &gt;10min</v>
      </c>
      <c r="R826" s="38" t="n">
        <v>2323.98</v>
      </c>
      <c r="S826" s="38" t="n">
        <v>2323.95</v>
      </c>
      <c r="T826" s="22" t="s">
        <v>188</v>
      </c>
      <c r="U826" s="39" t="n">
        <f aca="false">IF(R826="","",IF(F826="BUY",R826-S826,S826-R826))</f>
        <v>0.0300000000002001</v>
      </c>
      <c r="V826" s="39" t="n">
        <f aca="false">IF(F826="BUY",S826-J826,J826-S826)</f>
        <v>-6.0300000000002</v>
      </c>
      <c r="W826" s="6" t="n">
        <v>-30.15</v>
      </c>
      <c r="X826" s="26" t="n">
        <f aca="false">IFERROR(W826/N826,0)</f>
        <v>-1.005</v>
      </c>
      <c r="Y826" s="22" t="str">
        <f aca="false">IF(W826&gt;0,"Win",IF(W826&lt;0,"Loss","Flat"))</f>
        <v>Loss</v>
      </c>
      <c r="Z826" s="24" t="n">
        <f aca="false">Summary!$C$5+SUM(W$2:W826)</f>
        <v>3367.97</v>
      </c>
      <c r="AA826" s="24" t="n">
        <f aca="false">MAX(AA825,Z826)</f>
        <v>5000</v>
      </c>
      <c r="AB826" s="24" t="n">
        <f aca="false">AA826-Z826</f>
        <v>1632.03</v>
      </c>
      <c r="AC826" s="23" t="n">
        <f aca="false">IFERROR(AB826/AA826,0)</f>
        <v>0.326406</v>
      </c>
      <c r="AD826" s="22" t="s">
        <v>1063</v>
      </c>
    </row>
    <row r="827" customFormat="false" ht="15" hidden="false" customHeight="false" outlineLevel="0" collapsed="false">
      <c r="A827" s="22" t="n">
        <v>826</v>
      </c>
      <c r="B827" s="22" t="s">
        <v>144</v>
      </c>
      <c r="C827" s="37" t="n">
        <v>45406.7511574074</v>
      </c>
      <c r="D827" s="22" t="s">
        <v>204</v>
      </c>
      <c r="E827" s="22" t="n">
        <v>18</v>
      </c>
      <c r="F827" s="22" t="s">
        <v>181</v>
      </c>
      <c r="G827" s="22" t="s">
        <v>243</v>
      </c>
      <c r="H827" s="22" t="n">
        <v>0.05</v>
      </c>
      <c r="I827" s="38" t="n">
        <v>2334.31</v>
      </c>
      <c r="J827" s="38" t="n">
        <v>2334.31</v>
      </c>
      <c r="K827" s="39" t="n">
        <f aca="false">IF(F827="BUY",J827-I827,I827-J827)</f>
        <v>0</v>
      </c>
      <c r="L827" s="38" t="n">
        <v>2328.31</v>
      </c>
      <c r="M827" s="39" t="n">
        <f aca="false">ABS(I827-L827)</f>
        <v>6</v>
      </c>
      <c r="N827" s="24" t="n">
        <f aca="false">M827*H827*Summary!$C$6</f>
        <v>30</v>
      </c>
      <c r="O827" s="37" t="n">
        <v>45406.7545949074</v>
      </c>
      <c r="P827" s="22" t="n">
        <f aca="false">ROUND((O827-C827)*86400,0)</f>
        <v>297</v>
      </c>
      <c r="Q827" s="22" t="str">
        <f aca="false">IF(P827&lt;10,"a) &lt;10s",IF(P827&lt;60,"b) 10-60s",IF(P827&lt;600,"c) 1-10min","d) &gt;10min")))</f>
        <v>c) 1-10min</v>
      </c>
      <c r="R827" s="38" t="n">
        <v>2334.81</v>
      </c>
      <c r="S827" s="38" t="n">
        <v>2334.79</v>
      </c>
      <c r="T827" s="22" t="s">
        <v>189</v>
      </c>
      <c r="U827" s="39" t="n">
        <f aca="false">IF(R827="","",IF(F827="BUY",R827-S827,S827-R827))</f>
        <v>0.0199999999999818</v>
      </c>
      <c r="V827" s="39" t="n">
        <f aca="false">IF(F827="BUY",S827-J827,J827-S827)</f>
        <v>0.480000000000018</v>
      </c>
      <c r="W827" s="6" t="n">
        <v>2.4</v>
      </c>
      <c r="X827" s="26" t="n">
        <f aca="false">IFERROR(W827/N827,0)</f>
        <v>0.08</v>
      </c>
      <c r="Y827" s="22" t="str">
        <f aca="false">IF(W827&gt;0,"Win",IF(W827&lt;0,"Loss","Flat"))</f>
        <v>Win</v>
      </c>
      <c r="Z827" s="24" t="n">
        <f aca="false">Summary!$C$5+SUM(W$2:W827)</f>
        <v>3370.37</v>
      </c>
      <c r="AA827" s="24" t="n">
        <f aca="false">MAX(AA826,Z827)</f>
        <v>5000</v>
      </c>
      <c r="AB827" s="24" t="n">
        <f aca="false">AA827-Z827</f>
        <v>1629.63</v>
      </c>
      <c r="AC827" s="23" t="n">
        <f aca="false">IFERROR(AB827/AA827,0)</f>
        <v>0.325926</v>
      </c>
      <c r="AD827" s="22" t="s">
        <v>1064</v>
      </c>
    </row>
    <row r="828" customFormat="false" ht="15" hidden="false" customHeight="false" outlineLevel="0" collapsed="false">
      <c r="A828" s="22" t="n">
        <v>827</v>
      </c>
      <c r="B828" s="22" t="s">
        <v>144</v>
      </c>
      <c r="C828" s="37" t="n">
        <v>45407.2580787037</v>
      </c>
      <c r="D828" s="22" t="s">
        <v>205</v>
      </c>
      <c r="E828" s="22" t="n">
        <v>6</v>
      </c>
      <c r="F828" s="22" t="s">
        <v>182</v>
      </c>
      <c r="G828" s="22" t="s">
        <v>237</v>
      </c>
      <c r="H828" s="22" t="n">
        <v>0.05</v>
      </c>
      <c r="I828" s="38" t="n">
        <v>2311.64</v>
      </c>
      <c r="J828" s="38" t="n">
        <v>2311.47</v>
      </c>
      <c r="K828" s="39" t="n">
        <f aca="false">IF(F828="BUY",J828-I828,I828-J828)</f>
        <v>0.170000000000073</v>
      </c>
      <c r="L828" s="38" t="n">
        <v>2317.64</v>
      </c>
      <c r="M828" s="39" t="n">
        <f aca="false">ABS(I828-L828)</f>
        <v>6</v>
      </c>
      <c r="N828" s="24" t="n">
        <f aca="false">M828*H828*Summary!$C$6</f>
        <v>30</v>
      </c>
      <c r="O828" s="37" t="n">
        <v>45407.2626967593</v>
      </c>
      <c r="P828" s="22" t="n">
        <f aca="false">ROUND((O828-C828)*86400,0)</f>
        <v>399</v>
      </c>
      <c r="Q828" s="22" t="str">
        <f aca="false">IF(P828&lt;10,"a) &lt;10s",IF(P828&lt;60,"b) 10-60s",IF(P828&lt;600,"c) 1-10min","d) &gt;10min")))</f>
        <v>c) 1-10min</v>
      </c>
      <c r="R828" s="38" t="n">
        <v>2310.97</v>
      </c>
      <c r="S828" s="38" t="n">
        <v>2311.02</v>
      </c>
      <c r="T828" s="22" t="s">
        <v>189</v>
      </c>
      <c r="U828" s="39" t="n">
        <f aca="false">IF(R828="","",IF(F828="BUY",R828-S828,S828-R828))</f>
        <v>0.0500000000001819</v>
      </c>
      <c r="V828" s="39" t="n">
        <f aca="false">IF(F828="BUY",S828-J828,J828-S828)</f>
        <v>0.449999999999818</v>
      </c>
      <c r="W828" s="6" t="n">
        <v>2.25</v>
      </c>
      <c r="X828" s="26" t="n">
        <f aca="false">IFERROR(W828/N828,0)</f>
        <v>0.075</v>
      </c>
      <c r="Y828" s="22" t="str">
        <f aca="false">IF(W828&gt;0,"Win",IF(W828&lt;0,"Loss","Flat"))</f>
        <v>Win</v>
      </c>
      <c r="Z828" s="24" t="n">
        <f aca="false">Summary!$C$5+SUM(W$2:W828)</f>
        <v>3372.62</v>
      </c>
      <c r="AA828" s="24" t="n">
        <f aca="false">MAX(AA827,Z828)</f>
        <v>5000</v>
      </c>
      <c r="AB828" s="24" t="n">
        <f aca="false">AA828-Z828</f>
        <v>1627.38</v>
      </c>
      <c r="AC828" s="23" t="n">
        <f aca="false">IFERROR(AB828/AA828,0)</f>
        <v>0.325476</v>
      </c>
      <c r="AD828" s="22" t="s">
        <v>1065</v>
      </c>
    </row>
    <row r="829" customFormat="false" ht="15" hidden="false" customHeight="false" outlineLevel="0" collapsed="false">
      <c r="A829" s="22" t="n">
        <v>828</v>
      </c>
      <c r="B829" s="22" t="s">
        <v>144</v>
      </c>
      <c r="C829" s="37" t="n">
        <v>45407.3935532407</v>
      </c>
      <c r="D829" s="22" t="s">
        <v>205</v>
      </c>
      <c r="E829" s="22" t="n">
        <v>9</v>
      </c>
      <c r="F829" s="22" t="s">
        <v>181</v>
      </c>
      <c r="G829" s="22" t="s">
        <v>235</v>
      </c>
      <c r="H829" s="22" t="n">
        <v>0.05</v>
      </c>
      <c r="I829" s="38" t="n">
        <v>2320.67</v>
      </c>
      <c r="J829" s="38" t="n">
        <v>2320.68</v>
      </c>
      <c r="K829" s="39" t="n">
        <f aca="false">IF(F829="BUY",J829-I829,I829-J829)</f>
        <v>0.00999999999976353</v>
      </c>
      <c r="L829" s="38" t="n">
        <v>2314.67</v>
      </c>
      <c r="M829" s="39" t="n">
        <f aca="false">ABS(I829-L829)</f>
        <v>6</v>
      </c>
      <c r="N829" s="24" t="n">
        <f aca="false">M829*H829*Summary!$C$6</f>
        <v>30</v>
      </c>
      <c r="O829" s="37" t="n">
        <v>45407.4114699074</v>
      </c>
      <c r="P829" s="22" t="n">
        <f aca="false">ROUND((O829-C829)*86400,0)</f>
        <v>1548</v>
      </c>
      <c r="Q829" s="22" t="str">
        <f aca="false">IF(P829&lt;10,"a) &lt;10s",IF(P829&lt;60,"b) 10-60s",IF(P829&lt;600,"c) 1-10min","d) &gt;10min")))</f>
        <v>d) &gt;10min</v>
      </c>
      <c r="R829" s="38" t="n">
        <v>2321.18</v>
      </c>
      <c r="S829" s="38" t="n">
        <v>2321.13</v>
      </c>
      <c r="T829" s="22" t="s">
        <v>189</v>
      </c>
      <c r="U829" s="39" t="n">
        <f aca="false">IF(R829="","",IF(F829="BUY",R829-S829,S829-R829))</f>
        <v>0.0499999999997272</v>
      </c>
      <c r="V829" s="39" t="n">
        <f aca="false">IF(F829="BUY",S829-J829,J829-S829)</f>
        <v>0.450000000000273</v>
      </c>
      <c r="W829" s="6" t="n">
        <v>2.25</v>
      </c>
      <c r="X829" s="26" t="n">
        <f aca="false">IFERROR(W829/N829,0)</f>
        <v>0.075</v>
      </c>
      <c r="Y829" s="22" t="str">
        <f aca="false">IF(W829&gt;0,"Win",IF(W829&lt;0,"Loss","Flat"))</f>
        <v>Win</v>
      </c>
      <c r="Z829" s="24" t="n">
        <f aca="false">Summary!$C$5+SUM(W$2:W829)</f>
        <v>3374.87</v>
      </c>
      <c r="AA829" s="24" t="n">
        <f aca="false">MAX(AA828,Z829)</f>
        <v>5000</v>
      </c>
      <c r="AB829" s="24" t="n">
        <f aca="false">AA829-Z829</f>
        <v>1625.13</v>
      </c>
      <c r="AC829" s="23" t="n">
        <f aca="false">IFERROR(AB829/AA829,0)</f>
        <v>0.325026</v>
      </c>
      <c r="AD829" s="22" t="s">
        <v>1066</v>
      </c>
    </row>
    <row r="830" customFormat="false" ht="15" hidden="false" customHeight="false" outlineLevel="0" collapsed="false">
      <c r="A830" s="22" t="n">
        <v>829</v>
      </c>
      <c r="B830" s="22" t="s">
        <v>144</v>
      </c>
      <c r="C830" s="37" t="n">
        <v>45408.3755324074</v>
      </c>
      <c r="D830" s="22" t="s">
        <v>206</v>
      </c>
      <c r="E830" s="22" t="n">
        <v>9</v>
      </c>
      <c r="F830" s="22" t="s">
        <v>181</v>
      </c>
      <c r="G830" s="22" t="s">
        <v>235</v>
      </c>
      <c r="H830" s="22" t="n">
        <v>0.05</v>
      </c>
      <c r="I830" s="38" t="n">
        <v>2338.47</v>
      </c>
      <c r="J830" s="38" t="n">
        <v>2338.5</v>
      </c>
      <c r="K830" s="39" t="n">
        <f aca="false">IF(F830="BUY",J830-I830,I830-J830)</f>
        <v>0.0300000000002001</v>
      </c>
      <c r="L830" s="38" t="n">
        <v>2332.47</v>
      </c>
      <c r="M830" s="39" t="n">
        <f aca="false">ABS(I830-L830)</f>
        <v>6</v>
      </c>
      <c r="N830" s="24" t="n">
        <f aca="false">M830*H830*Summary!$C$6</f>
        <v>30</v>
      </c>
      <c r="O830" s="37" t="n">
        <v>45408.3803356482</v>
      </c>
      <c r="P830" s="22" t="n">
        <f aca="false">ROUND((O830-C830)*86400,0)</f>
        <v>415</v>
      </c>
      <c r="Q830" s="22" t="str">
        <f aca="false">IF(P830&lt;10,"a) &lt;10s",IF(P830&lt;60,"b) 10-60s",IF(P830&lt;600,"c) 1-10min","d) &gt;10min")))</f>
        <v>c) 1-10min</v>
      </c>
      <c r="R830" s="38" t="n">
        <v>2339</v>
      </c>
      <c r="S830" s="38" t="n">
        <v>2338.98</v>
      </c>
      <c r="T830" s="22" t="s">
        <v>189</v>
      </c>
      <c r="U830" s="39" t="n">
        <f aca="false">IF(R830="","",IF(F830="BUY",R830-S830,S830-R830))</f>
        <v>0.0199999999999818</v>
      </c>
      <c r="V830" s="39" t="n">
        <f aca="false">IF(F830="BUY",S830-J830,J830-S830)</f>
        <v>0.480000000000018</v>
      </c>
      <c r="W830" s="6" t="n">
        <v>2.4</v>
      </c>
      <c r="X830" s="26" t="n">
        <f aca="false">IFERROR(W830/N830,0)</f>
        <v>0.08</v>
      </c>
      <c r="Y830" s="22" t="str">
        <f aca="false">IF(W830&gt;0,"Win",IF(W830&lt;0,"Loss","Flat"))</f>
        <v>Win</v>
      </c>
      <c r="Z830" s="24" t="n">
        <f aca="false">Summary!$C$5+SUM(W$2:W830)</f>
        <v>3377.27</v>
      </c>
      <c r="AA830" s="24" t="n">
        <f aca="false">MAX(AA829,Z830)</f>
        <v>5000</v>
      </c>
      <c r="AB830" s="24" t="n">
        <f aca="false">AA830-Z830</f>
        <v>1622.73</v>
      </c>
      <c r="AC830" s="23" t="n">
        <f aca="false">IFERROR(AB830/AA830,0)</f>
        <v>0.324546</v>
      </c>
      <c r="AD830" s="22" t="s">
        <v>1067</v>
      </c>
    </row>
    <row r="831" customFormat="false" ht="15" hidden="false" customHeight="false" outlineLevel="0" collapsed="false">
      <c r="A831" s="22" t="n">
        <v>830</v>
      </c>
      <c r="B831" s="22" t="s">
        <v>144</v>
      </c>
      <c r="C831" s="37" t="n">
        <v>45408.4311921296</v>
      </c>
      <c r="D831" s="22" t="s">
        <v>206</v>
      </c>
      <c r="E831" s="22" t="n">
        <v>10</v>
      </c>
      <c r="F831" s="22" t="s">
        <v>181</v>
      </c>
      <c r="G831" s="22" t="s">
        <v>243</v>
      </c>
      <c r="H831" s="22" t="n">
        <v>0.05</v>
      </c>
      <c r="I831" s="38" t="n">
        <v>2344.71</v>
      </c>
      <c r="J831" s="38" t="n">
        <v>2345.08</v>
      </c>
      <c r="K831" s="39" t="n">
        <f aca="false">IF(F831="BUY",J831-I831,I831-J831)</f>
        <v>0.369999999999891</v>
      </c>
      <c r="L831" s="38" t="n">
        <v>2338.71</v>
      </c>
      <c r="M831" s="39" t="n">
        <f aca="false">ABS(I831-L831)</f>
        <v>6</v>
      </c>
      <c r="N831" s="24" t="n">
        <f aca="false">M831*H831*Summary!$C$6</f>
        <v>30</v>
      </c>
      <c r="O831" s="37" t="n">
        <v>45408.4313541667</v>
      </c>
      <c r="P831" s="22" t="n">
        <f aca="false">ROUND((O831-C831)*86400,0)</f>
        <v>14</v>
      </c>
      <c r="Q831" s="22" t="str">
        <f aca="false">IF(P831&lt;10,"a) &lt;10s",IF(P831&lt;60,"b) 10-60s",IF(P831&lt;600,"c) 1-10min","d) &gt;10min")))</f>
        <v>b) 10-60s</v>
      </c>
      <c r="R831" s="38" t="n">
        <v>2345.58</v>
      </c>
      <c r="S831" s="38" t="n">
        <v>2345.58</v>
      </c>
      <c r="T831" s="22" t="s">
        <v>189</v>
      </c>
      <c r="U831" s="39" t="n">
        <f aca="false">IF(R831="","",IF(F831="BUY",R831-S831,S831-R831))</f>
        <v>0</v>
      </c>
      <c r="V831" s="39" t="n">
        <f aca="false">IF(F831="BUY",S831-J831,J831-S831)</f>
        <v>0.5</v>
      </c>
      <c r="W831" s="6" t="n">
        <v>2.5</v>
      </c>
      <c r="X831" s="26" t="n">
        <f aca="false">IFERROR(W831/N831,0)</f>
        <v>0.0833333333333333</v>
      </c>
      <c r="Y831" s="22" t="str">
        <f aca="false">IF(W831&gt;0,"Win",IF(W831&lt;0,"Loss","Flat"))</f>
        <v>Win</v>
      </c>
      <c r="Z831" s="24" t="n">
        <f aca="false">Summary!$C$5+SUM(W$2:W831)</f>
        <v>3379.77</v>
      </c>
      <c r="AA831" s="24" t="n">
        <f aca="false">MAX(AA830,Z831)</f>
        <v>5000</v>
      </c>
      <c r="AB831" s="24" t="n">
        <f aca="false">AA831-Z831</f>
        <v>1620.23</v>
      </c>
      <c r="AC831" s="23" t="n">
        <f aca="false">IFERROR(AB831/AA831,0)</f>
        <v>0.324046</v>
      </c>
      <c r="AD831" s="22" t="s">
        <v>1068</v>
      </c>
    </row>
    <row r="832" customFormat="false" ht="15" hidden="false" customHeight="false" outlineLevel="0" collapsed="false">
      <c r="A832" s="22" t="n">
        <v>831</v>
      </c>
      <c r="B832" s="22" t="s">
        <v>144</v>
      </c>
      <c r="C832" s="37" t="n">
        <v>45411.1671296296</v>
      </c>
      <c r="D832" s="22" t="s">
        <v>202</v>
      </c>
      <c r="E832" s="22" t="n">
        <v>4</v>
      </c>
      <c r="F832" s="22" t="s">
        <v>182</v>
      </c>
      <c r="G832" s="22" t="s">
        <v>237</v>
      </c>
      <c r="H832" s="22" t="n">
        <v>0.05</v>
      </c>
      <c r="I832" s="38" t="n">
        <v>2326.17</v>
      </c>
      <c r="J832" s="38" t="n">
        <v>2325.82</v>
      </c>
      <c r="K832" s="39" t="n">
        <f aca="false">IF(F832="BUY",J832-I832,I832-J832)</f>
        <v>0.349999999999909</v>
      </c>
      <c r="L832" s="38" t="n">
        <v>2332.17</v>
      </c>
      <c r="M832" s="39" t="n">
        <f aca="false">ABS(I832-L832)</f>
        <v>6</v>
      </c>
      <c r="N832" s="24" t="n">
        <f aca="false">M832*H832*Summary!$C$6</f>
        <v>30</v>
      </c>
      <c r="O832" s="37" t="n">
        <v>45411.1785416667</v>
      </c>
      <c r="P832" s="22" t="n">
        <f aca="false">ROUND((O832-C832)*86400,0)</f>
        <v>986</v>
      </c>
      <c r="Q832" s="22" t="str">
        <f aca="false">IF(P832&lt;10,"a) &lt;10s",IF(P832&lt;60,"b) 10-60s",IF(P832&lt;600,"c) 1-10min","d) &gt;10min")))</f>
        <v>d) &gt;10min</v>
      </c>
      <c r="R832" s="38" t="n">
        <v>2325.32</v>
      </c>
      <c r="S832" s="38" t="n">
        <v>2325.32</v>
      </c>
      <c r="T832" s="22" t="s">
        <v>189</v>
      </c>
      <c r="U832" s="39" t="n">
        <f aca="false">IF(R832="","",IF(F832="BUY",R832-S832,S832-R832))</f>
        <v>0</v>
      </c>
      <c r="V832" s="39" t="n">
        <f aca="false">IF(F832="BUY",S832-J832,J832-S832)</f>
        <v>0.5</v>
      </c>
      <c r="W832" s="6" t="n">
        <v>2.5</v>
      </c>
      <c r="X832" s="26" t="n">
        <f aca="false">IFERROR(W832/N832,0)</f>
        <v>0.0833333333333333</v>
      </c>
      <c r="Y832" s="22" t="str">
        <f aca="false">IF(W832&gt;0,"Win",IF(W832&lt;0,"Loss","Flat"))</f>
        <v>Win</v>
      </c>
      <c r="Z832" s="24" t="n">
        <f aca="false">Summary!$C$5+SUM(W$2:W832)</f>
        <v>3382.27</v>
      </c>
      <c r="AA832" s="24" t="n">
        <f aca="false">MAX(AA831,Z832)</f>
        <v>5000</v>
      </c>
      <c r="AB832" s="24" t="n">
        <f aca="false">AA832-Z832</f>
        <v>1617.73</v>
      </c>
      <c r="AC832" s="23" t="n">
        <f aca="false">IFERROR(AB832/AA832,0)</f>
        <v>0.323546</v>
      </c>
      <c r="AD832" s="22" t="s">
        <v>1069</v>
      </c>
    </row>
    <row r="833" customFormat="false" ht="15" hidden="false" customHeight="false" outlineLevel="0" collapsed="false">
      <c r="A833" s="22" t="n">
        <v>832</v>
      </c>
      <c r="B833" s="22" t="s">
        <v>144</v>
      </c>
      <c r="C833" s="37" t="n">
        <v>45411.4398032407</v>
      </c>
      <c r="D833" s="22" t="s">
        <v>202</v>
      </c>
      <c r="E833" s="22" t="n">
        <v>10</v>
      </c>
      <c r="F833" s="22" t="s">
        <v>181</v>
      </c>
      <c r="G833" s="22" t="s">
        <v>235</v>
      </c>
      <c r="H833" s="22" t="n">
        <v>0.05</v>
      </c>
      <c r="I833" s="38" t="n">
        <v>2336.43</v>
      </c>
      <c r="J833" s="38" t="n">
        <v>2336.57</v>
      </c>
      <c r="K833" s="39" t="n">
        <f aca="false">IF(F833="BUY",J833-I833,I833-J833)</f>
        <v>0.140000000000327</v>
      </c>
      <c r="L833" s="38" t="n">
        <v>2330.43</v>
      </c>
      <c r="M833" s="39" t="n">
        <f aca="false">ABS(I833-L833)</f>
        <v>6</v>
      </c>
      <c r="N833" s="24" t="n">
        <f aca="false">M833*H833*Summary!$C$6</f>
        <v>30</v>
      </c>
      <c r="O833" s="37" t="n">
        <v>45411.5029166667</v>
      </c>
      <c r="P833" s="22" t="n">
        <f aca="false">ROUND((O833-C833)*86400,0)</f>
        <v>5453</v>
      </c>
      <c r="Q833" s="22" t="str">
        <f aca="false">IF(P833&lt;10,"a) &lt;10s",IF(P833&lt;60,"b) 10-60s",IF(P833&lt;600,"c) 1-10min","d) &gt;10min")))</f>
        <v>d) &gt;10min</v>
      </c>
      <c r="R833" s="38" t="n">
        <v>2337.07</v>
      </c>
      <c r="S833" s="38" t="n">
        <v>2337.02</v>
      </c>
      <c r="T833" s="22" t="s">
        <v>189</v>
      </c>
      <c r="U833" s="39" t="n">
        <f aca="false">IF(R833="","",IF(F833="BUY",R833-S833,S833-R833))</f>
        <v>0.0500000000001819</v>
      </c>
      <c r="V833" s="39" t="n">
        <f aca="false">IF(F833="BUY",S833-J833,J833-S833)</f>
        <v>0.449999999999818</v>
      </c>
      <c r="W833" s="6" t="n">
        <v>2.25</v>
      </c>
      <c r="X833" s="26" t="n">
        <f aca="false">IFERROR(W833/N833,0)</f>
        <v>0.075</v>
      </c>
      <c r="Y833" s="22" t="str">
        <f aca="false">IF(W833&gt;0,"Win",IF(W833&lt;0,"Loss","Flat"))</f>
        <v>Win</v>
      </c>
      <c r="Z833" s="24" t="n">
        <f aca="false">Summary!$C$5+SUM(W$2:W833)</f>
        <v>3384.52</v>
      </c>
      <c r="AA833" s="24" t="n">
        <f aca="false">MAX(AA832,Z833)</f>
        <v>5000</v>
      </c>
      <c r="AB833" s="24" t="n">
        <f aca="false">AA833-Z833</f>
        <v>1615.48</v>
      </c>
      <c r="AC833" s="23" t="n">
        <f aca="false">IFERROR(AB833/AA833,0)</f>
        <v>0.323096</v>
      </c>
      <c r="AD833" s="22" t="s">
        <v>1070</v>
      </c>
    </row>
    <row r="834" customFormat="false" ht="15" hidden="false" customHeight="false" outlineLevel="0" collapsed="false">
      <c r="A834" s="22" t="n">
        <v>833</v>
      </c>
      <c r="B834" s="22" t="s">
        <v>144</v>
      </c>
      <c r="C834" s="37" t="n">
        <v>45412.3775925926</v>
      </c>
      <c r="D834" s="22" t="s">
        <v>203</v>
      </c>
      <c r="E834" s="22" t="n">
        <v>9</v>
      </c>
      <c r="F834" s="22" t="s">
        <v>182</v>
      </c>
      <c r="G834" s="22" t="s">
        <v>241</v>
      </c>
      <c r="H834" s="22" t="n">
        <v>0.05</v>
      </c>
      <c r="I834" s="38" t="n">
        <v>2321.65</v>
      </c>
      <c r="J834" s="38" t="n">
        <v>2321.64</v>
      </c>
      <c r="K834" s="39" t="n">
        <f aca="false">IF(F834="BUY",J834-I834,I834-J834)</f>
        <v>0.0100000000002183</v>
      </c>
      <c r="L834" s="38" t="n">
        <v>2327.65</v>
      </c>
      <c r="M834" s="39" t="n">
        <f aca="false">ABS(I834-L834)</f>
        <v>6</v>
      </c>
      <c r="N834" s="24" t="n">
        <f aca="false">M834*H834*Summary!$C$6</f>
        <v>30</v>
      </c>
      <c r="O834" s="37" t="n">
        <v>45412.3840856482</v>
      </c>
      <c r="P834" s="22" t="n">
        <f aca="false">ROUND((O834-C834)*86400,0)</f>
        <v>561</v>
      </c>
      <c r="Q834" s="22" t="str">
        <f aca="false">IF(P834&lt;10,"a) &lt;10s",IF(P834&lt;60,"b) 10-60s",IF(P834&lt;600,"c) 1-10min","d) &gt;10min")))</f>
        <v>c) 1-10min</v>
      </c>
      <c r="R834" s="38" t="n">
        <v>2321.14</v>
      </c>
      <c r="S834" s="38" t="n">
        <v>2321.14</v>
      </c>
      <c r="T834" s="22" t="s">
        <v>189</v>
      </c>
      <c r="U834" s="39" t="n">
        <f aca="false">IF(R834="","",IF(F834="BUY",R834-S834,S834-R834))</f>
        <v>0</v>
      </c>
      <c r="V834" s="39" t="n">
        <f aca="false">IF(F834="BUY",S834-J834,J834-S834)</f>
        <v>0.5</v>
      </c>
      <c r="W834" s="6" t="n">
        <v>2.5</v>
      </c>
      <c r="X834" s="26" t="n">
        <f aca="false">IFERROR(W834/N834,0)</f>
        <v>0.0833333333333333</v>
      </c>
      <c r="Y834" s="22" t="str">
        <f aca="false">IF(W834&gt;0,"Win",IF(W834&lt;0,"Loss","Flat"))</f>
        <v>Win</v>
      </c>
      <c r="Z834" s="24" t="n">
        <f aca="false">Summary!$C$5+SUM(W$2:W834)</f>
        <v>3387.02</v>
      </c>
      <c r="AA834" s="24" t="n">
        <f aca="false">MAX(AA833,Z834)</f>
        <v>5000</v>
      </c>
      <c r="AB834" s="24" t="n">
        <f aca="false">AA834-Z834</f>
        <v>1612.98</v>
      </c>
      <c r="AC834" s="23" t="n">
        <f aca="false">IFERROR(AB834/AA834,0)</f>
        <v>0.322596</v>
      </c>
      <c r="AD834" s="22" t="s">
        <v>1071</v>
      </c>
    </row>
    <row r="835" customFormat="false" ht="15" hidden="false" customHeight="false" outlineLevel="0" collapsed="false">
      <c r="A835" s="22" t="n">
        <v>834</v>
      </c>
      <c r="B835" s="22" t="s">
        <v>145</v>
      </c>
      <c r="C835" s="37" t="n">
        <v>45413.265150463</v>
      </c>
      <c r="D835" s="22" t="s">
        <v>204</v>
      </c>
      <c r="E835" s="22" t="n">
        <v>6</v>
      </c>
      <c r="F835" s="22" t="s">
        <v>182</v>
      </c>
      <c r="G835" s="22" t="s">
        <v>237</v>
      </c>
      <c r="H835" s="22" t="n">
        <v>0.05</v>
      </c>
      <c r="I835" s="38" t="n">
        <v>2284.98</v>
      </c>
      <c r="J835" s="38" t="n">
        <v>2284.95</v>
      </c>
      <c r="K835" s="39" t="n">
        <f aca="false">IF(F835="BUY",J835-I835,I835-J835)</f>
        <v>0.0300000000002001</v>
      </c>
      <c r="L835" s="38" t="n">
        <v>2290.98</v>
      </c>
      <c r="M835" s="39" t="n">
        <f aca="false">ABS(I835-L835)</f>
        <v>6</v>
      </c>
      <c r="N835" s="24" t="n">
        <f aca="false">M835*H835*Summary!$C$6</f>
        <v>30</v>
      </c>
      <c r="O835" s="37" t="n">
        <v>45413.3126157407</v>
      </c>
      <c r="P835" s="22" t="n">
        <f aca="false">ROUND((O835-C835)*86400,0)</f>
        <v>4101</v>
      </c>
      <c r="Q835" s="22" t="str">
        <f aca="false">IF(P835&lt;10,"a) &lt;10s",IF(P835&lt;60,"b) 10-60s",IF(P835&lt;600,"c) 1-10min","d) &gt;10min")))</f>
        <v>d) &gt;10min</v>
      </c>
      <c r="R835" s="38" t="n">
        <v>2284.45</v>
      </c>
      <c r="S835" s="38" t="n">
        <v>2284.45</v>
      </c>
      <c r="T835" s="22" t="s">
        <v>189</v>
      </c>
      <c r="U835" s="39" t="n">
        <f aca="false">IF(R835="","",IF(F835="BUY",R835-S835,S835-R835))</f>
        <v>0</v>
      </c>
      <c r="V835" s="39" t="n">
        <f aca="false">IF(F835="BUY",S835-J835,J835-S835)</f>
        <v>0.5</v>
      </c>
      <c r="W835" s="6" t="n">
        <v>2.5</v>
      </c>
      <c r="X835" s="26" t="n">
        <f aca="false">IFERROR(W835/N835,0)</f>
        <v>0.0833333333333333</v>
      </c>
      <c r="Y835" s="22" t="str">
        <f aca="false">IF(W835&gt;0,"Win",IF(W835&lt;0,"Loss","Flat"))</f>
        <v>Win</v>
      </c>
      <c r="Z835" s="24" t="n">
        <f aca="false">Summary!$C$5+SUM(W$2:W835)</f>
        <v>3389.52</v>
      </c>
      <c r="AA835" s="24" t="n">
        <f aca="false">MAX(AA834,Z835)</f>
        <v>5000</v>
      </c>
      <c r="AB835" s="24" t="n">
        <f aca="false">AA835-Z835</f>
        <v>1610.48</v>
      </c>
      <c r="AC835" s="23" t="n">
        <f aca="false">IFERROR(AB835/AA835,0)</f>
        <v>0.322096</v>
      </c>
      <c r="AD835" s="22" t="s">
        <v>1072</v>
      </c>
    </row>
    <row r="836" customFormat="false" ht="15" hidden="false" customHeight="false" outlineLevel="0" collapsed="false">
      <c r="A836" s="22" t="n">
        <v>835</v>
      </c>
      <c r="B836" s="22" t="s">
        <v>145</v>
      </c>
      <c r="C836" s="37" t="n">
        <v>45413.3846412037</v>
      </c>
      <c r="D836" s="22" t="s">
        <v>204</v>
      </c>
      <c r="E836" s="22" t="n">
        <v>9</v>
      </c>
      <c r="F836" s="22" t="s">
        <v>181</v>
      </c>
      <c r="G836" s="22" t="s">
        <v>235</v>
      </c>
      <c r="H836" s="22" t="n">
        <v>0.05</v>
      </c>
      <c r="I836" s="38" t="n">
        <v>2288.32</v>
      </c>
      <c r="J836" s="38" t="n">
        <v>2288.34</v>
      </c>
      <c r="K836" s="39" t="n">
        <f aca="false">IF(F836="BUY",J836-I836,I836-J836)</f>
        <v>0.0199999999999818</v>
      </c>
      <c r="L836" s="38" t="n">
        <v>2282.32</v>
      </c>
      <c r="M836" s="39" t="n">
        <f aca="false">ABS(I836-L836)</f>
        <v>6</v>
      </c>
      <c r="N836" s="24" t="n">
        <f aca="false">M836*H836*Summary!$C$6</f>
        <v>30</v>
      </c>
      <c r="O836" s="37" t="n">
        <v>45413.9021875</v>
      </c>
      <c r="P836" s="22" t="n">
        <f aca="false">ROUND((O836-C836)*86400,0)</f>
        <v>44716</v>
      </c>
      <c r="Q836" s="22" t="str">
        <f aca="false">IF(P836&lt;10,"a) &lt;10s",IF(P836&lt;60,"b) 10-60s",IF(P836&lt;600,"c) 1-10min","d) &gt;10min")))</f>
        <v>d) &gt;10min</v>
      </c>
      <c r="R836" s="38"/>
      <c r="S836" s="38" t="n">
        <v>2318.55</v>
      </c>
      <c r="T836" s="22" t="s">
        <v>187</v>
      </c>
      <c r="U836" s="39" t="str">
        <f aca="false">IF(R836="","",IF(F836="BUY",R836-S836,S836-R836))</f>
        <v/>
      </c>
      <c r="V836" s="39" t="n">
        <f aca="false">IF(F836="BUY",S836-J836,J836-S836)</f>
        <v>30.21</v>
      </c>
      <c r="W836" s="6" t="n">
        <v>151.05</v>
      </c>
      <c r="X836" s="26" t="n">
        <f aca="false">IFERROR(W836/N836,0)</f>
        <v>5.035</v>
      </c>
      <c r="Y836" s="22" t="str">
        <f aca="false">IF(W836&gt;0,"Win",IF(W836&lt;0,"Loss","Flat"))</f>
        <v>Win</v>
      </c>
      <c r="Z836" s="24" t="n">
        <f aca="false">Summary!$C$5+SUM(W$2:W836)</f>
        <v>3540.57</v>
      </c>
      <c r="AA836" s="24" t="n">
        <f aca="false">MAX(AA835,Z836)</f>
        <v>5000</v>
      </c>
      <c r="AB836" s="24" t="n">
        <f aca="false">AA836-Z836</f>
        <v>1459.43</v>
      </c>
      <c r="AC836" s="23" t="n">
        <f aca="false">IFERROR(AB836/AA836,0)</f>
        <v>0.291886</v>
      </c>
      <c r="AD836" s="22" t="s">
        <v>1073</v>
      </c>
    </row>
    <row r="837" customFormat="false" ht="15" hidden="false" customHeight="false" outlineLevel="0" collapsed="false">
      <c r="A837" s="22" t="n">
        <v>836</v>
      </c>
      <c r="B837" s="22" t="s">
        <v>145</v>
      </c>
      <c r="C837" s="37" t="n">
        <v>45414.377662037</v>
      </c>
      <c r="D837" s="22" t="s">
        <v>205</v>
      </c>
      <c r="E837" s="22" t="n">
        <v>9</v>
      </c>
      <c r="F837" s="22" t="s">
        <v>182</v>
      </c>
      <c r="G837" s="22" t="s">
        <v>241</v>
      </c>
      <c r="H837" s="22" t="n">
        <v>0.05</v>
      </c>
      <c r="I837" s="38" t="n">
        <v>2312.88</v>
      </c>
      <c r="J837" s="38" t="n">
        <v>2312.88</v>
      </c>
      <c r="K837" s="39" t="n">
        <f aca="false">IF(F837="BUY",J837-I837,I837-J837)</f>
        <v>0</v>
      </c>
      <c r="L837" s="38" t="n">
        <v>2318.88</v>
      </c>
      <c r="M837" s="39" t="n">
        <f aca="false">ABS(I837-L837)</f>
        <v>6</v>
      </c>
      <c r="N837" s="24" t="n">
        <f aca="false">M837*H837*Summary!$C$6</f>
        <v>30</v>
      </c>
      <c r="O837" s="37" t="n">
        <v>45414.3991087963</v>
      </c>
      <c r="P837" s="22" t="n">
        <f aca="false">ROUND((O837-C837)*86400,0)</f>
        <v>1853</v>
      </c>
      <c r="Q837" s="22" t="str">
        <f aca="false">IF(P837&lt;10,"a) &lt;10s",IF(P837&lt;60,"b) 10-60s",IF(P837&lt;600,"c) 1-10min","d) &gt;10min")))</f>
        <v>d) &gt;10min</v>
      </c>
      <c r="R837" s="38" t="n">
        <v>2318.88</v>
      </c>
      <c r="S837" s="38" t="n">
        <v>2318.91</v>
      </c>
      <c r="T837" s="22" t="s">
        <v>188</v>
      </c>
      <c r="U837" s="39" t="n">
        <f aca="false">IF(R837="","",IF(F837="BUY",R837-S837,S837-R837))</f>
        <v>0.0299999999997453</v>
      </c>
      <c r="V837" s="39" t="n">
        <f aca="false">IF(F837="BUY",S837-J837,J837-S837)</f>
        <v>-6.02999999999975</v>
      </c>
      <c r="W837" s="6" t="n">
        <v>-30.15</v>
      </c>
      <c r="X837" s="26" t="n">
        <f aca="false">IFERROR(W837/N837,0)</f>
        <v>-1.005</v>
      </c>
      <c r="Y837" s="22" t="str">
        <f aca="false">IF(W837&gt;0,"Win",IF(W837&lt;0,"Loss","Flat"))</f>
        <v>Loss</v>
      </c>
      <c r="Z837" s="24" t="n">
        <f aca="false">Summary!$C$5+SUM(W$2:W837)</f>
        <v>3510.42</v>
      </c>
      <c r="AA837" s="24" t="n">
        <f aca="false">MAX(AA836,Z837)</f>
        <v>5000</v>
      </c>
      <c r="AB837" s="24" t="n">
        <f aca="false">AA837-Z837</f>
        <v>1489.58</v>
      </c>
      <c r="AC837" s="23" t="n">
        <f aca="false">IFERROR(AB837/AA837,0)</f>
        <v>0.297916</v>
      </c>
      <c r="AD837" s="22" t="s">
        <v>1074</v>
      </c>
    </row>
    <row r="838" customFormat="false" ht="15" hidden="false" customHeight="false" outlineLevel="0" collapsed="false">
      <c r="A838" s="22" t="n">
        <v>837</v>
      </c>
      <c r="B838" s="22" t="s">
        <v>145</v>
      </c>
      <c r="C838" s="37" t="n">
        <v>45415.3869560185</v>
      </c>
      <c r="D838" s="22" t="s">
        <v>206</v>
      </c>
      <c r="E838" s="22" t="n">
        <v>9</v>
      </c>
      <c r="F838" s="22" t="s">
        <v>182</v>
      </c>
      <c r="G838" s="22" t="s">
        <v>241</v>
      </c>
      <c r="H838" s="22" t="n">
        <v>0.05</v>
      </c>
      <c r="I838" s="38" t="n">
        <v>2302.03</v>
      </c>
      <c r="J838" s="38" t="n">
        <v>2301.98</v>
      </c>
      <c r="K838" s="39" t="n">
        <f aca="false">IF(F838="BUY",J838-I838,I838-J838)</f>
        <v>0.0500000000001819</v>
      </c>
      <c r="L838" s="38" t="n">
        <v>2308.03</v>
      </c>
      <c r="M838" s="39" t="n">
        <f aca="false">ABS(I838-L838)</f>
        <v>6</v>
      </c>
      <c r="N838" s="24" t="n">
        <f aca="false">M838*H838*Summary!$C$6</f>
        <v>30</v>
      </c>
      <c r="O838" s="37" t="n">
        <v>45415.4333564815</v>
      </c>
      <c r="P838" s="22" t="n">
        <f aca="false">ROUND((O838-C838)*86400,0)</f>
        <v>4009</v>
      </c>
      <c r="Q838" s="22" t="str">
        <f aca="false">IF(P838&lt;10,"a) &lt;10s",IF(P838&lt;60,"b) 10-60s",IF(P838&lt;600,"c) 1-10min","d) &gt;10min")))</f>
        <v>d) &gt;10min</v>
      </c>
      <c r="R838" s="38" t="n">
        <v>2301.48</v>
      </c>
      <c r="S838" s="38" t="n">
        <v>2301.54</v>
      </c>
      <c r="T838" s="22" t="s">
        <v>189</v>
      </c>
      <c r="U838" s="39" t="n">
        <f aca="false">IF(R838="","",IF(F838="BUY",R838-S838,S838-R838))</f>
        <v>0.0599999999999454</v>
      </c>
      <c r="V838" s="39" t="n">
        <f aca="false">IF(F838="BUY",S838-J838,J838-S838)</f>
        <v>0.440000000000055</v>
      </c>
      <c r="W838" s="6" t="n">
        <v>2.2</v>
      </c>
      <c r="X838" s="26" t="n">
        <f aca="false">IFERROR(W838/N838,0)</f>
        <v>0.0733333333333333</v>
      </c>
      <c r="Y838" s="22" t="str">
        <f aca="false">IF(W838&gt;0,"Win",IF(W838&lt;0,"Loss","Flat"))</f>
        <v>Win</v>
      </c>
      <c r="Z838" s="24" t="n">
        <f aca="false">Summary!$C$5+SUM(W$2:W838)</f>
        <v>3512.62</v>
      </c>
      <c r="AA838" s="24" t="n">
        <f aca="false">MAX(AA837,Z838)</f>
        <v>5000</v>
      </c>
      <c r="AB838" s="24" t="n">
        <f aca="false">AA838-Z838</f>
        <v>1487.38</v>
      </c>
      <c r="AC838" s="23" t="n">
        <f aca="false">IFERROR(AB838/AA838,0)</f>
        <v>0.297476</v>
      </c>
      <c r="AD838" s="22" t="s">
        <v>1075</v>
      </c>
    </row>
    <row r="839" customFormat="false" ht="15" hidden="false" customHeight="false" outlineLevel="0" collapsed="false">
      <c r="A839" s="22" t="n">
        <v>838</v>
      </c>
      <c r="B839" s="22" t="s">
        <v>145</v>
      </c>
      <c r="C839" s="37" t="n">
        <v>45415.6898726852</v>
      </c>
      <c r="D839" s="22" t="s">
        <v>206</v>
      </c>
      <c r="E839" s="22" t="n">
        <v>16</v>
      </c>
      <c r="F839" s="22" t="s">
        <v>182</v>
      </c>
      <c r="G839" s="22" t="s">
        <v>237</v>
      </c>
      <c r="H839" s="22" t="n">
        <v>0.05</v>
      </c>
      <c r="I839" s="38" t="n">
        <v>2285.36</v>
      </c>
      <c r="J839" s="38" t="n">
        <v>2284.84</v>
      </c>
      <c r="K839" s="39" t="n">
        <f aca="false">IF(F839="BUY",J839-I839,I839-J839)</f>
        <v>0.519999999999982</v>
      </c>
      <c r="L839" s="38" t="n">
        <v>2291.36</v>
      </c>
      <c r="M839" s="39" t="n">
        <f aca="false">ABS(I839-L839)</f>
        <v>6</v>
      </c>
      <c r="N839" s="24" t="n">
        <f aca="false">M839*H839*Summary!$C$6</f>
        <v>30</v>
      </c>
      <c r="O839" s="37" t="n">
        <v>45415.6905324074</v>
      </c>
      <c r="P839" s="22" t="n">
        <f aca="false">ROUND((O839-C839)*86400,0)</f>
        <v>57</v>
      </c>
      <c r="Q839" s="22" t="str">
        <f aca="false">IF(P839&lt;10,"a) &lt;10s",IF(P839&lt;60,"b) 10-60s",IF(P839&lt;600,"c) 1-10min","d) &gt;10min")))</f>
        <v>b) 10-60s</v>
      </c>
      <c r="R839" s="38" t="n">
        <v>2284.34</v>
      </c>
      <c r="S839" s="38" t="n">
        <v>2284.35</v>
      </c>
      <c r="T839" s="22" t="s">
        <v>189</v>
      </c>
      <c r="U839" s="39" t="n">
        <f aca="false">IF(R839="","",IF(F839="BUY",R839-S839,S839-R839))</f>
        <v>0.00999999999976353</v>
      </c>
      <c r="V839" s="39" t="n">
        <f aca="false">IF(F839="BUY",S839-J839,J839-S839)</f>
        <v>0.490000000000236</v>
      </c>
      <c r="W839" s="6" t="n">
        <v>2.45</v>
      </c>
      <c r="X839" s="26" t="n">
        <f aca="false">IFERROR(W839/N839,0)</f>
        <v>0.0816666666666667</v>
      </c>
      <c r="Y839" s="22" t="str">
        <f aca="false">IF(W839&gt;0,"Win",IF(W839&lt;0,"Loss","Flat"))</f>
        <v>Win</v>
      </c>
      <c r="Z839" s="24" t="n">
        <f aca="false">Summary!$C$5+SUM(W$2:W839)</f>
        <v>3515.07</v>
      </c>
      <c r="AA839" s="24" t="n">
        <f aca="false">MAX(AA838,Z839)</f>
        <v>5000</v>
      </c>
      <c r="AB839" s="24" t="n">
        <f aca="false">AA839-Z839</f>
        <v>1484.93</v>
      </c>
      <c r="AC839" s="23" t="n">
        <f aca="false">IFERROR(AB839/AA839,0)</f>
        <v>0.296986</v>
      </c>
      <c r="AD839" s="22" t="s">
        <v>1076</v>
      </c>
    </row>
    <row r="840" customFormat="false" ht="15" hidden="false" customHeight="false" outlineLevel="0" collapsed="false">
      <c r="A840" s="22" t="n">
        <v>839</v>
      </c>
      <c r="B840" s="22" t="s">
        <v>145</v>
      </c>
      <c r="C840" s="37" t="n">
        <v>45418.375</v>
      </c>
      <c r="D840" s="22" t="s">
        <v>202</v>
      </c>
      <c r="E840" s="22" t="n">
        <v>9</v>
      </c>
      <c r="F840" s="22" t="s">
        <v>181</v>
      </c>
      <c r="G840" s="22" t="s">
        <v>235</v>
      </c>
      <c r="H840" s="22" t="n">
        <v>0.05</v>
      </c>
      <c r="I840" s="38" t="n">
        <v>2313.78</v>
      </c>
      <c r="J840" s="38" t="n">
        <v>2313.84</v>
      </c>
      <c r="K840" s="39" t="n">
        <f aca="false">IF(F840="BUY",J840-I840,I840-J840)</f>
        <v>0.0599999999999454</v>
      </c>
      <c r="L840" s="38" t="n">
        <v>2307.78</v>
      </c>
      <c r="M840" s="39" t="n">
        <f aca="false">ABS(I840-L840)</f>
        <v>6</v>
      </c>
      <c r="N840" s="24" t="n">
        <f aca="false">M840*H840*Summary!$C$6</f>
        <v>30</v>
      </c>
      <c r="O840" s="37" t="n">
        <v>45418.9270833333</v>
      </c>
      <c r="P840" s="22" t="n">
        <f aca="false">ROUND((O840-C840)*86400,0)</f>
        <v>47700</v>
      </c>
      <c r="Q840" s="22" t="str">
        <f aca="false">IF(P840&lt;10,"a) &lt;10s",IF(P840&lt;60,"b) 10-60s",IF(P840&lt;600,"c) 1-10min","d) &gt;10min")))</f>
        <v>d) &gt;10min</v>
      </c>
      <c r="R840" s="38"/>
      <c r="S840" s="38" t="n">
        <v>2324.67</v>
      </c>
      <c r="T840" s="22" t="s">
        <v>191</v>
      </c>
      <c r="U840" s="39" t="str">
        <f aca="false">IF(R840="","",IF(F840="BUY",R840-S840,S840-R840))</f>
        <v/>
      </c>
      <c r="V840" s="39" t="n">
        <f aca="false">IF(F840="BUY",S840-J840,J840-S840)</f>
        <v>10.8299999999999</v>
      </c>
      <c r="W840" s="6" t="n">
        <v>54.15</v>
      </c>
      <c r="X840" s="26" t="n">
        <f aca="false">IFERROR(W840/N840,0)</f>
        <v>1.805</v>
      </c>
      <c r="Y840" s="22" t="str">
        <f aca="false">IF(W840&gt;0,"Win",IF(W840&lt;0,"Loss","Flat"))</f>
        <v>Win</v>
      </c>
      <c r="Z840" s="24" t="n">
        <f aca="false">Summary!$C$5+SUM(W$2:W840)</f>
        <v>3569.22</v>
      </c>
      <c r="AA840" s="24" t="n">
        <f aca="false">MAX(AA839,Z840)</f>
        <v>5000</v>
      </c>
      <c r="AB840" s="24" t="n">
        <f aca="false">AA840-Z840</f>
        <v>1430.78</v>
      </c>
      <c r="AC840" s="23" t="n">
        <f aca="false">IFERROR(AB840/AA840,0)</f>
        <v>0.286156</v>
      </c>
      <c r="AD840" s="22" t="s">
        <v>1077</v>
      </c>
    </row>
    <row r="841" customFormat="false" ht="15" hidden="false" customHeight="false" outlineLevel="0" collapsed="false">
      <c r="A841" s="22" t="n">
        <v>840</v>
      </c>
      <c r="B841" s="22" t="s">
        <v>145</v>
      </c>
      <c r="C841" s="37" t="n">
        <v>45419.3762037037</v>
      </c>
      <c r="D841" s="22" t="s">
        <v>203</v>
      </c>
      <c r="E841" s="22" t="n">
        <v>9</v>
      </c>
      <c r="F841" s="22" t="s">
        <v>182</v>
      </c>
      <c r="G841" s="22" t="s">
        <v>241</v>
      </c>
      <c r="H841" s="22" t="n">
        <v>0.05</v>
      </c>
      <c r="I841" s="38" t="n">
        <v>2320.16</v>
      </c>
      <c r="J841" s="38" t="n">
        <v>2319.53</v>
      </c>
      <c r="K841" s="39" t="n">
        <f aca="false">IF(F841="BUY",J841-I841,I841-J841)</f>
        <v>0.629999999999654</v>
      </c>
      <c r="L841" s="38" t="n">
        <v>2326.16</v>
      </c>
      <c r="M841" s="39" t="n">
        <f aca="false">ABS(I841-L841)</f>
        <v>6</v>
      </c>
      <c r="N841" s="24" t="n">
        <f aca="false">M841*H841*Summary!$C$6</f>
        <v>30</v>
      </c>
      <c r="O841" s="37" t="n">
        <v>45419.6693518519</v>
      </c>
      <c r="P841" s="22" t="n">
        <f aca="false">ROUND((O841-C841)*86400,0)</f>
        <v>25328</v>
      </c>
      <c r="Q841" s="22" t="str">
        <f aca="false">IF(P841&lt;10,"a) &lt;10s",IF(P841&lt;60,"b) 10-60s",IF(P841&lt;600,"c) 1-10min","d) &gt;10min")))</f>
        <v>d) &gt;10min</v>
      </c>
      <c r="R841" s="38" t="n">
        <v>2319.03</v>
      </c>
      <c r="S841" s="38" t="n">
        <v>2319.11</v>
      </c>
      <c r="T841" s="22" t="s">
        <v>189</v>
      </c>
      <c r="U841" s="39" t="n">
        <f aca="false">IF(R841="","",IF(F841="BUY",R841-S841,S841-R841))</f>
        <v>0.0799999999999272</v>
      </c>
      <c r="V841" s="39" t="n">
        <f aca="false">IF(F841="BUY",S841-J841,J841-S841)</f>
        <v>0.420000000000073</v>
      </c>
      <c r="W841" s="6" t="n">
        <v>2.1</v>
      </c>
      <c r="X841" s="26" t="n">
        <f aca="false">IFERROR(W841/N841,0)</f>
        <v>0.07</v>
      </c>
      <c r="Y841" s="22" t="str">
        <f aca="false">IF(W841&gt;0,"Win",IF(W841&lt;0,"Loss","Flat"))</f>
        <v>Win</v>
      </c>
      <c r="Z841" s="24" t="n">
        <f aca="false">Summary!$C$5+SUM(W$2:W841)</f>
        <v>3571.32</v>
      </c>
      <c r="AA841" s="24" t="n">
        <f aca="false">MAX(AA840,Z841)</f>
        <v>5000</v>
      </c>
      <c r="AB841" s="24" t="n">
        <f aca="false">AA841-Z841</f>
        <v>1428.68</v>
      </c>
      <c r="AC841" s="23" t="n">
        <f aca="false">IFERROR(AB841/AA841,0)</f>
        <v>0.285736</v>
      </c>
      <c r="AD841" s="22" t="s">
        <v>1078</v>
      </c>
    </row>
    <row r="842" customFormat="false" ht="15" hidden="false" customHeight="false" outlineLevel="0" collapsed="false">
      <c r="A842" s="22" t="n">
        <v>841</v>
      </c>
      <c r="B842" s="22" t="s">
        <v>145</v>
      </c>
      <c r="C842" s="37" t="n">
        <v>45420.1900347222</v>
      </c>
      <c r="D842" s="22" t="s">
        <v>204</v>
      </c>
      <c r="E842" s="22" t="n">
        <v>4</v>
      </c>
      <c r="F842" s="22" t="s">
        <v>182</v>
      </c>
      <c r="G842" s="22" t="s">
        <v>237</v>
      </c>
      <c r="H842" s="22" t="n">
        <v>0.05</v>
      </c>
      <c r="I842" s="38" t="n">
        <v>2309.82</v>
      </c>
      <c r="J842" s="38" t="n">
        <v>2309.52</v>
      </c>
      <c r="K842" s="39" t="n">
        <f aca="false">IF(F842="BUY",J842-I842,I842-J842)</f>
        <v>0.300000000000182</v>
      </c>
      <c r="L842" s="38" t="n">
        <v>2315.82</v>
      </c>
      <c r="M842" s="39" t="n">
        <f aca="false">ABS(I842-L842)</f>
        <v>6</v>
      </c>
      <c r="N842" s="24" t="n">
        <f aca="false">M842*H842*Summary!$C$6</f>
        <v>30</v>
      </c>
      <c r="O842" s="37" t="n">
        <v>45420.1922800926</v>
      </c>
      <c r="P842" s="22" t="n">
        <f aca="false">ROUND((O842-C842)*86400,0)</f>
        <v>194</v>
      </c>
      <c r="Q842" s="22" t="str">
        <f aca="false">IF(P842&lt;10,"a) &lt;10s",IF(P842&lt;60,"b) 10-60s",IF(P842&lt;600,"c) 1-10min","d) &gt;10min")))</f>
        <v>c) 1-10min</v>
      </c>
      <c r="R842" s="38" t="n">
        <v>2309.02</v>
      </c>
      <c r="S842" s="38" t="n">
        <v>2309.02</v>
      </c>
      <c r="T842" s="22" t="s">
        <v>189</v>
      </c>
      <c r="U842" s="39" t="n">
        <f aca="false">IF(R842="","",IF(F842="BUY",R842-S842,S842-R842))</f>
        <v>0</v>
      </c>
      <c r="V842" s="39" t="n">
        <f aca="false">IF(F842="BUY",S842-J842,J842-S842)</f>
        <v>0.5</v>
      </c>
      <c r="W842" s="6" t="n">
        <v>2.5</v>
      </c>
      <c r="X842" s="26" t="n">
        <f aca="false">IFERROR(W842/N842,0)</f>
        <v>0.0833333333333333</v>
      </c>
      <c r="Y842" s="22" t="str">
        <f aca="false">IF(W842&gt;0,"Win",IF(W842&lt;0,"Loss","Flat"))</f>
        <v>Win</v>
      </c>
      <c r="Z842" s="24" t="n">
        <f aca="false">Summary!$C$5+SUM(W$2:W842)</f>
        <v>3573.82</v>
      </c>
      <c r="AA842" s="24" t="n">
        <f aca="false">MAX(AA841,Z842)</f>
        <v>5000</v>
      </c>
      <c r="AB842" s="24" t="n">
        <f aca="false">AA842-Z842</f>
        <v>1426.18</v>
      </c>
      <c r="AC842" s="23" t="n">
        <f aca="false">IFERROR(AB842/AA842,0)</f>
        <v>0.285236</v>
      </c>
      <c r="AD842" s="22" t="s">
        <v>1079</v>
      </c>
    </row>
    <row r="843" customFormat="false" ht="15" hidden="false" customHeight="false" outlineLevel="0" collapsed="false">
      <c r="A843" s="22" t="n">
        <v>842</v>
      </c>
      <c r="B843" s="22" t="s">
        <v>145</v>
      </c>
      <c r="C843" s="37" t="n">
        <v>45420.3905092593</v>
      </c>
      <c r="D843" s="22" t="s">
        <v>204</v>
      </c>
      <c r="E843" s="22" t="n">
        <v>9</v>
      </c>
      <c r="F843" s="22" t="s">
        <v>182</v>
      </c>
      <c r="G843" s="22" t="s">
        <v>241</v>
      </c>
      <c r="H843" s="22" t="n">
        <v>0.05</v>
      </c>
      <c r="I843" s="38" t="n">
        <v>2316.72</v>
      </c>
      <c r="J843" s="38" t="n">
        <v>2316.69</v>
      </c>
      <c r="K843" s="39" t="n">
        <f aca="false">IF(F843="BUY",J843-I843,I843-J843)</f>
        <v>0.0299999999997453</v>
      </c>
      <c r="L843" s="38" t="n">
        <v>2322.72</v>
      </c>
      <c r="M843" s="39" t="n">
        <f aca="false">ABS(I843-L843)</f>
        <v>6</v>
      </c>
      <c r="N843" s="24" t="n">
        <f aca="false">M843*H843*Summary!$C$6</f>
        <v>30</v>
      </c>
      <c r="O843" s="37" t="n">
        <v>45420.5587962963</v>
      </c>
      <c r="P843" s="22" t="n">
        <f aca="false">ROUND((O843-C843)*86400,0)</f>
        <v>14540</v>
      </c>
      <c r="Q843" s="22" t="str">
        <f aca="false">IF(P843&lt;10,"a) &lt;10s",IF(P843&lt;60,"b) 10-60s",IF(P843&lt;600,"c) 1-10min","d) &gt;10min")))</f>
        <v>d) &gt;10min</v>
      </c>
      <c r="R843" s="38" t="n">
        <v>2316.19</v>
      </c>
      <c r="S843" s="38" t="n">
        <v>2316.2</v>
      </c>
      <c r="T843" s="22" t="s">
        <v>189</v>
      </c>
      <c r="U843" s="39" t="n">
        <f aca="false">IF(R843="","",IF(F843="BUY",R843-S843,S843-R843))</f>
        <v>0.00999999999976353</v>
      </c>
      <c r="V843" s="39" t="n">
        <f aca="false">IF(F843="BUY",S843-J843,J843-S843)</f>
        <v>0.490000000000236</v>
      </c>
      <c r="W843" s="6" t="n">
        <v>2.45</v>
      </c>
      <c r="X843" s="26" t="n">
        <f aca="false">IFERROR(W843/N843,0)</f>
        <v>0.0816666666666667</v>
      </c>
      <c r="Y843" s="22" t="str">
        <f aca="false">IF(W843&gt;0,"Win",IF(W843&lt;0,"Loss","Flat"))</f>
        <v>Win</v>
      </c>
      <c r="Z843" s="24" t="n">
        <f aca="false">Summary!$C$5+SUM(W$2:W843)</f>
        <v>3576.27</v>
      </c>
      <c r="AA843" s="24" t="n">
        <f aca="false">MAX(AA842,Z843)</f>
        <v>5000</v>
      </c>
      <c r="AB843" s="24" t="n">
        <f aca="false">AA843-Z843</f>
        <v>1423.73</v>
      </c>
      <c r="AC843" s="23" t="n">
        <f aca="false">IFERROR(AB843/AA843,0)</f>
        <v>0.284746</v>
      </c>
      <c r="AD843" s="22" t="s">
        <v>1080</v>
      </c>
    </row>
    <row r="844" customFormat="false" ht="15" hidden="false" customHeight="false" outlineLevel="0" collapsed="false">
      <c r="A844" s="22" t="n">
        <v>843</v>
      </c>
      <c r="B844" s="22" t="s">
        <v>145</v>
      </c>
      <c r="C844" s="37" t="n">
        <v>45421.4341435185</v>
      </c>
      <c r="D844" s="22" t="s">
        <v>205</v>
      </c>
      <c r="E844" s="22" t="n">
        <v>10</v>
      </c>
      <c r="F844" s="22" t="s">
        <v>182</v>
      </c>
      <c r="G844" s="22" t="s">
        <v>241</v>
      </c>
      <c r="H844" s="22" t="n">
        <v>0.05</v>
      </c>
      <c r="I844" s="38" t="n">
        <v>2311.84</v>
      </c>
      <c r="J844" s="38" t="n">
        <v>2311.8</v>
      </c>
      <c r="K844" s="39" t="n">
        <f aca="false">IF(F844="BUY",J844-I844,I844-J844)</f>
        <v>0.0399999999999636</v>
      </c>
      <c r="L844" s="38" t="n">
        <v>2317.84</v>
      </c>
      <c r="M844" s="39" t="n">
        <f aca="false">ABS(I844-L844)</f>
        <v>6</v>
      </c>
      <c r="N844" s="24" t="n">
        <f aca="false">M844*H844*Summary!$C$6</f>
        <v>30</v>
      </c>
      <c r="O844" s="37" t="n">
        <v>45421.4628819445</v>
      </c>
      <c r="P844" s="22" t="n">
        <f aca="false">ROUND((O844-C844)*86400,0)</f>
        <v>2483</v>
      </c>
      <c r="Q844" s="22" t="str">
        <f aca="false">IF(P844&lt;10,"a) &lt;10s",IF(P844&lt;60,"b) 10-60s",IF(P844&lt;600,"c) 1-10min","d) &gt;10min")))</f>
        <v>d) &gt;10min</v>
      </c>
      <c r="R844" s="38" t="n">
        <v>2311.3</v>
      </c>
      <c r="S844" s="38" t="n">
        <v>2311.34</v>
      </c>
      <c r="T844" s="22" t="s">
        <v>189</v>
      </c>
      <c r="U844" s="39" t="n">
        <f aca="false">IF(R844="","",IF(F844="BUY",R844-S844,S844-R844))</f>
        <v>0.0399999999999636</v>
      </c>
      <c r="V844" s="39" t="n">
        <f aca="false">IF(F844="BUY",S844-J844,J844-S844)</f>
        <v>0.460000000000036</v>
      </c>
      <c r="W844" s="6" t="n">
        <v>2.3</v>
      </c>
      <c r="X844" s="26" t="n">
        <f aca="false">IFERROR(W844/N844,0)</f>
        <v>0.0766666666666667</v>
      </c>
      <c r="Y844" s="22" t="str">
        <f aca="false">IF(W844&gt;0,"Win",IF(W844&lt;0,"Loss","Flat"))</f>
        <v>Win</v>
      </c>
      <c r="Z844" s="24" t="n">
        <f aca="false">Summary!$C$5+SUM(W$2:W844)</f>
        <v>3578.57</v>
      </c>
      <c r="AA844" s="24" t="n">
        <f aca="false">MAX(AA843,Z844)</f>
        <v>5000</v>
      </c>
      <c r="AB844" s="24" t="n">
        <f aca="false">AA844-Z844</f>
        <v>1421.43</v>
      </c>
      <c r="AC844" s="23" t="n">
        <f aca="false">IFERROR(AB844/AA844,0)</f>
        <v>0.284286</v>
      </c>
      <c r="AD844" s="22" t="s">
        <v>1081</v>
      </c>
    </row>
    <row r="845" customFormat="false" ht="15" hidden="false" customHeight="false" outlineLevel="0" collapsed="false">
      <c r="A845" s="22" t="n">
        <v>844</v>
      </c>
      <c r="B845" s="22" t="s">
        <v>145</v>
      </c>
      <c r="C845" s="37" t="n">
        <v>45421.6464236111</v>
      </c>
      <c r="D845" s="22" t="s">
        <v>205</v>
      </c>
      <c r="E845" s="22" t="n">
        <v>15</v>
      </c>
      <c r="F845" s="22" t="s">
        <v>181</v>
      </c>
      <c r="G845" s="22" t="s">
        <v>243</v>
      </c>
      <c r="H845" s="22" t="n">
        <v>0.05</v>
      </c>
      <c r="I845" s="38" t="n">
        <v>2321.35</v>
      </c>
      <c r="J845" s="38" t="n">
        <v>2321.4</v>
      </c>
      <c r="K845" s="39" t="n">
        <f aca="false">IF(F845="BUY",J845-I845,I845-J845)</f>
        <v>0.0500000000001819</v>
      </c>
      <c r="L845" s="38" t="n">
        <v>2315.35</v>
      </c>
      <c r="M845" s="39" t="n">
        <f aca="false">ABS(I845-L845)</f>
        <v>6</v>
      </c>
      <c r="N845" s="24" t="n">
        <f aca="false">M845*H845*Summary!$C$6</f>
        <v>30</v>
      </c>
      <c r="O845" s="37" t="n">
        <v>45421.6500694445</v>
      </c>
      <c r="P845" s="22" t="n">
        <f aca="false">ROUND((O845-C845)*86400,0)</f>
        <v>315</v>
      </c>
      <c r="Q845" s="22" t="str">
        <f aca="false">IF(P845&lt;10,"a) &lt;10s",IF(P845&lt;60,"b) 10-60s",IF(P845&lt;600,"c) 1-10min","d) &gt;10min")))</f>
        <v>c) 1-10min</v>
      </c>
      <c r="R845" s="38" t="n">
        <v>2321.9</v>
      </c>
      <c r="S845" s="38" t="n">
        <v>2321.9</v>
      </c>
      <c r="T845" s="22" t="s">
        <v>189</v>
      </c>
      <c r="U845" s="39" t="n">
        <f aca="false">IF(R845="","",IF(F845="BUY",R845-S845,S845-R845))</f>
        <v>0</v>
      </c>
      <c r="V845" s="39" t="n">
        <f aca="false">IF(F845="BUY",S845-J845,J845-S845)</f>
        <v>0.5</v>
      </c>
      <c r="W845" s="6" t="n">
        <v>2.5</v>
      </c>
      <c r="X845" s="26" t="n">
        <f aca="false">IFERROR(W845/N845,0)</f>
        <v>0.0833333333333333</v>
      </c>
      <c r="Y845" s="22" t="str">
        <f aca="false">IF(W845&gt;0,"Win",IF(W845&lt;0,"Loss","Flat"))</f>
        <v>Win</v>
      </c>
      <c r="Z845" s="24" t="n">
        <f aca="false">Summary!$C$5+SUM(W$2:W845)</f>
        <v>3581.07</v>
      </c>
      <c r="AA845" s="24" t="n">
        <f aca="false">MAX(AA844,Z845)</f>
        <v>5000</v>
      </c>
      <c r="AB845" s="24" t="n">
        <f aca="false">AA845-Z845</f>
        <v>1418.93</v>
      </c>
      <c r="AC845" s="23" t="n">
        <f aca="false">IFERROR(AB845/AA845,0)</f>
        <v>0.283786</v>
      </c>
      <c r="AD845" s="22" t="s">
        <v>1082</v>
      </c>
    </row>
    <row r="846" customFormat="false" ht="15" hidden="false" customHeight="false" outlineLevel="0" collapsed="false">
      <c r="A846" s="22" t="n">
        <v>845</v>
      </c>
      <c r="B846" s="22" t="s">
        <v>145</v>
      </c>
      <c r="C846" s="37" t="n">
        <v>45422.3765509259</v>
      </c>
      <c r="D846" s="22" t="s">
        <v>206</v>
      </c>
      <c r="E846" s="22" t="n">
        <v>9</v>
      </c>
      <c r="F846" s="22" t="s">
        <v>181</v>
      </c>
      <c r="G846" s="22" t="s">
        <v>235</v>
      </c>
      <c r="H846" s="22" t="n">
        <v>0.05</v>
      </c>
      <c r="I846" s="38" t="n">
        <v>2358.66</v>
      </c>
      <c r="J846" s="38" t="n">
        <v>2358.66</v>
      </c>
      <c r="K846" s="39" t="n">
        <f aca="false">IF(F846="BUY",J846-I846,I846-J846)</f>
        <v>0</v>
      </c>
      <c r="L846" s="38" t="n">
        <v>2352.66</v>
      </c>
      <c r="M846" s="39" t="n">
        <f aca="false">ABS(I846-L846)</f>
        <v>6</v>
      </c>
      <c r="N846" s="24" t="n">
        <f aca="false">M846*H846*Summary!$C$6</f>
        <v>30</v>
      </c>
      <c r="O846" s="37" t="n">
        <v>45422.7475578704</v>
      </c>
      <c r="P846" s="22" t="n">
        <f aca="false">ROUND((O846-C846)*86400,0)</f>
        <v>32055</v>
      </c>
      <c r="Q846" s="22" t="str">
        <f aca="false">IF(P846&lt;10,"a) &lt;10s",IF(P846&lt;60,"b) 10-60s",IF(P846&lt;600,"c) 1-10min","d) &gt;10min")))</f>
        <v>d) &gt;10min</v>
      </c>
      <c r="R846" s="38" t="n">
        <v>2359.16</v>
      </c>
      <c r="S846" s="38" t="n">
        <v>2359.1</v>
      </c>
      <c r="T846" s="22" t="s">
        <v>189</v>
      </c>
      <c r="U846" s="39" t="n">
        <f aca="false">IF(R846="","",IF(F846="BUY",R846-S846,S846-R846))</f>
        <v>0.0599999999999454</v>
      </c>
      <c r="V846" s="39" t="n">
        <f aca="false">IF(F846="BUY",S846-J846,J846-S846)</f>
        <v>0.440000000000055</v>
      </c>
      <c r="W846" s="6" t="n">
        <v>2.2</v>
      </c>
      <c r="X846" s="26" t="n">
        <f aca="false">IFERROR(W846/N846,0)</f>
        <v>0.0733333333333333</v>
      </c>
      <c r="Y846" s="22" t="str">
        <f aca="false">IF(W846&gt;0,"Win",IF(W846&lt;0,"Loss","Flat"))</f>
        <v>Win</v>
      </c>
      <c r="Z846" s="24" t="n">
        <f aca="false">Summary!$C$5+SUM(W$2:W846)</f>
        <v>3583.27</v>
      </c>
      <c r="AA846" s="24" t="n">
        <f aca="false">MAX(AA845,Z846)</f>
        <v>5000</v>
      </c>
      <c r="AB846" s="24" t="n">
        <f aca="false">AA846-Z846</f>
        <v>1416.73</v>
      </c>
      <c r="AC846" s="23" t="n">
        <f aca="false">IFERROR(AB846/AA846,0)</f>
        <v>0.283346</v>
      </c>
      <c r="AD846" s="22" t="s">
        <v>1083</v>
      </c>
    </row>
    <row r="847" customFormat="false" ht="15" hidden="false" customHeight="false" outlineLevel="0" collapsed="false">
      <c r="A847" s="22" t="n">
        <v>846</v>
      </c>
      <c r="B847" s="22" t="s">
        <v>145</v>
      </c>
      <c r="C847" s="37" t="n">
        <v>45425.3827199074</v>
      </c>
      <c r="D847" s="22" t="s">
        <v>202</v>
      </c>
      <c r="E847" s="22" t="n">
        <v>9</v>
      </c>
      <c r="F847" s="22" t="s">
        <v>182</v>
      </c>
      <c r="G847" s="22" t="s">
        <v>241</v>
      </c>
      <c r="H847" s="22" t="n">
        <v>0.05</v>
      </c>
      <c r="I847" s="38" t="n">
        <v>2351.08</v>
      </c>
      <c r="J847" s="38" t="n">
        <v>2350.93</v>
      </c>
      <c r="K847" s="39" t="n">
        <f aca="false">IF(F847="BUY",J847-I847,I847-J847)</f>
        <v>0.150000000000091</v>
      </c>
      <c r="L847" s="38" t="n">
        <v>2357.08</v>
      </c>
      <c r="M847" s="39" t="n">
        <f aca="false">ABS(I847-L847)</f>
        <v>6</v>
      </c>
      <c r="N847" s="24" t="n">
        <f aca="false">M847*H847*Summary!$C$6</f>
        <v>30</v>
      </c>
      <c r="O847" s="37" t="n">
        <v>45425.4233101852</v>
      </c>
      <c r="P847" s="22" t="n">
        <f aca="false">ROUND((O847-C847)*86400,0)</f>
        <v>3507</v>
      </c>
      <c r="Q847" s="22" t="str">
        <f aca="false">IF(P847&lt;10,"a) &lt;10s",IF(P847&lt;60,"b) 10-60s",IF(P847&lt;600,"c) 1-10min","d) &gt;10min")))</f>
        <v>d) &gt;10min</v>
      </c>
      <c r="R847" s="38" t="n">
        <v>2350.43</v>
      </c>
      <c r="S847" s="38" t="n">
        <v>2350.46</v>
      </c>
      <c r="T847" s="22" t="s">
        <v>189</v>
      </c>
      <c r="U847" s="39" t="n">
        <f aca="false">IF(R847="","",IF(F847="BUY",R847-S847,S847-R847))</f>
        <v>0.0300000000002001</v>
      </c>
      <c r="V847" s="39" t="n">
        <f aca="false">IF(F847="BUY",S847-J847,J847-S847)</f>
        <v>0.4699999999998</v>
      </c>
      <c r="W847" s="6" t="n">
        <v>2.35</v>
      </c>
      <c r="X847" s="26" t="n">
        <f aca="false">IFERROR(W847/N847,0)</f>
        <v>0.0783333333333333</v>
      </c>
      <c r="Y847" s="22" t="str">
        <f aca="false">IF(W847&gt;0,"Win",IF(W847&lt;0,"Loss","Flat"))</f>
        <v>Win</v>
      </c>
      <c r="Z847" s="24" t="n">
        <f aca="false">Summary!$C$5+SUM(W$2:W847)</f>
        <v>3585.62</v>
      </c>
      <c r="AA847" s="24" t="n">
        <f aca="false">MAX(AA846,Z847)</f>
        <v>5000</v>
      </c>
      <c r="AB847" s="24" t="n">
        <f aca="false">AA847-Z847</f>
        <v>1414.38</v>
      </c>
      <c r="AC847" s="23" t="n">
        <f aca="false">IFERROR(AB847/AA847,0)</f>
        <v>0.282876</v>
      </c>
      <c r="AD847" s="22" t="s">
        <v>1084</v>
      </c>
    </row>
    <row r="848" customFormat="false" ht="15" hidden="false" customHeight="false" outlineLevel="0" collapsed="false">
      <c r="A848" s="22" t="n">
        <v>847</v>
      </c>
      <c r="B848" s="22" t="s">
        <v>145</v>
      </c>
      <c r="C848" s="37" t="n">
        <v>45425.4833680556</v>
      </c>
      <c r="D848" s="22" t="s">
        <v>202</v>
      </c>
      <c r="E848" s="22" t="n">
        <v>11</v>
      </c>
      <c r="F848" s="22" t="s">
        <v>182</v>
      </c>
      <c r="G848" s="22" t="s">
        <v>237</v>
      </c>
      <c r="H848" s="22" t="n">
        <v>0.05</v>
      </c>
      <c r="I848" s="38" t="n">
        <v>2342.97</v>
      </c>
      <c r="J848" s="38" t="n">
        <v>2342.95</v>
      </c>
      <c r="K848" s="39" t="n">
        <f aca="false">IF(F848="BUY",J848-I848,I848-J848)</f>
        <v>0.0199999999999818</v>
      </c>
      <c r="L848" s="38" t="n">
        <v>2348.97</v>
      </c>
      <c r="M848" s="39" t="n">
        <f aca="false">ABS(I848-L848)</f>
        <v>6</v>
      </c>
      <c r="N848" s="24" t="n">
        <f aca="false">M848*H848*Summary!$C$6</f>
        <v>30</v>
      </c>
      <c r="O848" s="37" t="n">
        <v>45425.5538310185</v>
      </c>
      <c r="P848" s="22" t="n">
        <f aca="false">ROUND((O848-C848)*86400,0)</f>
        <v>6088</v>
      </c>
      <c r="Q848" s="22" t="str">
        <f aca="false">IF(P848&lt;10,"a) &lt;10s",IF(P848&lt;60,"b) 10-60s",IF(P848&lt;600,"c) 1-10min","d) &gt;10min")))</f>
        <v>d) &gt;10min</v>
      </c>
      <c r="R848" s="38" t="n">
        <v>2342.45</v>
      </c>
      <c r="S848" s="38" t="n">
        <v>2342.45</v>
      </c>
      <c r="T848" s="22" t="s">
        <v>189</v>
      </c>
      <c r="U848" s="39" t="n">
        <f aca="false">IF(R848="","",IF(F848="BUY",R848-S848,S848-R848))</f>
        <v>0</v>
      </c>
      <c r="V848" s="39" t="n">
        <f aca="false">IF(F848="BUY",S848-J848,J848-S848)</f>
        <v>0.5</v>
      </c>
      <c r="W848" s="6" t="n">
        <v>2.5</v>
      </c>
      <c r="X848" s="26" t="n">
        <f aca="false">IFERROR(W848/N848,0)</f>
        <v>0.0833333333333333</v>
      </c>
      <c r="Y848" s="22" t="str">
        <f aca="false">IF(W848&gt;0,"Win",IF(W848&lt;0,"Loss","Flat"))</f>
        <v>Win</v>
      </c>
      <c r="Z848" s="24" t="n">
        <f aca="false">Summary!$C$5+SUM(W$2:W848)</f>
        <v>3588.12</v>
      </c>
      <c r="AA848" s="24" t="n">
        <f aca="false">MAX(AA847,Z848)</f>
        <v>5000</v>
      </c>
      <c r="AB848" s="24" t="n">
        <f aca="false">AA848-Z848</f>
        <v>1411.88</v>
      </c>
      <c r="AC848" s="23" t="n">
        <f aca="false">IFERROR(AB848/AA848,0)</f>
        <v>0.282376</v>
      </c>
      <c r="AD848" s="22" t="s">
        <v>1085</v>
      </c>
    </row>
    <row r="849" customFormat="false" ht="15" hidden="false" customHeight="false" outlineLevel="0" collapsed="false">
      <c r="A849" s="22" t="n">
        <v>848</v>
      </c>
      <c r="B849" s="22" t="s">
        <v>145</v>
      </c>
      <c r="C849" s="37" t="n">
        <v>45426.3848263889</v>
      </c>
      <c r="D849" s="22" t="s">
        <v>203</v>
      </c>
      <c r="E849" s="22" t="n">
        <v>9</v>
      </c>
      <c r="F849" s="22" t="s">
        <v>182</v>
      </c>
      <c r="G849" s="22" t="s">
        <v>241</v>
      </c>
      <c r="H849" s="22" t="n">
        <v>0.05</v>
      </c>
      <c r="I849" s="38" t="n">
        <v>2342.48</v>
      </c>
      <c r="J849" s="38" t="n">
        <v>2342.42</v>
      </c>
      <c r="K849" s="39" t="n">
        <f aca="false">IF(F849="BUY",J849-I849,I849-J849)</f>
        <v>0.0599999999999454</v>
      </c>
      <c r="L849" s="38" t="n">
        <v>2348.48</v>
      </c>
      <c r="M849" s="39" t="n">
        <f aca="false">ABS(I849-L849)</f>
        <v>6</v>
      </c>
      <c r="N849" s="24" t="n">
        <f aca="false">M849*H849*Summary!$C$6</f>
        <v>30</v>
      </c>
      <c r="O849" s="37" t="n">
        <v>45426.4935300926</v>
      </c>
      <c r="P849" s="22" t="n">
        <f aca="false">ROUND((O849-C849)*86400,0)</f>
        <v>9392</v>
      </c>
      <c r="Q849" s="22" t="str">
        <f aca="false">IF(P849&lt;10,"a) &lt;10s",IF(P849&lt;60,"b) 10-60s",IF(P849&lt;600,"c) 1-10min","d) &gt;10min")))</f>
        <v>d) &gt;10min</v>
      </c>
      <c r="R849" s="38" t="n">
        <v>2341.92</v>
      </c>
      <c r="S849" s="38" t="n">
        <v>2341.92</v>
      </c>
      <c r="T849" s="22" t="s">
        <v>189</v>
      </c>
      <c r="U849" s="39" t="n">
        <f aca="false">IF(R849="","",IF(F849="BUY",R849-S849,S849-R849))</f>
        <v>0</v>
      </c>
      <c r="V849" s="39" t="n">
        <f aca="false">IF(F849="BUY",S849-J849,J849-S849)</f>
        <v>0.5</v>
      </c>
      <c r="W849" s="6" t="n">
        <v>2.5</v>
      </c>
      <c r="X849" s="26" t="n">
        <f aca="false">IFERROR(W849/N849,0)</f>
        <v>0.0833333333333333</v>
      </c>
      <c r="Y849" s="22" t="str">
        <f aca="false">IF(W849&gt;0,"Win",IF(W849&lt;0,"Loss","Flat"))</f>
        <v>Win</v>
      </c>
      <c r="Z849" s="24" t="n">
        <f aca="false">Summary!$C$5+SUM(W$2:W849)</f>
        <v>3590.62</v>
      </c>
      <c r="AA849" s="24" t="n">
        <f aca="false">MAX(AA848,Z849)</f>
        <v>5000</v>
      </c>
      <c r="AB849" s="24" t="n">
        <f aca="false">AA849-Z849</f>
        <v>1409.38</v>
      </c>
      <c r="AC849" s="23" t="n">
        <f aca="false">IFERROR(AB849/AA849,0)</f>
        <v>0.281876</v>
      </c>
      <c r="AD849" s="22" t="s">
        <v>1086</v>
      </c>
    </row>
    <row r="850" customFormat="false" ht="15" hidden="false" customHeight="false" outlineLevel="0" collapsed="false">
      <c r="A850" s="22" t="n">
        <v>849</v>
      </c>
      <c r="B850" s="22" t="s">
        <v>145</v>
      </c>
      <c r="C850" s="37" t="n">
        <v>45427.2575</v>
      </c>
      <c r="D850" s="22" t="s">
        <v>204</v>
      </c>
      <c r="E850" s="22" t="n">
        <v>6</v>
      </c>
      <c r="F850" s="22" t="s">
        <v>181</v>
      </c>
      <c r="G850" s="22" t="s">
        <v>243</v>
      </c>
      <c r="H850" s="22" t="n">
        <v>0.05</v>
      </c>
      <c r="I850" s="38" t="n">
        <v>2359.56</v>
      </c>
      <c r="J850" s="38" t="n">
        <v>2359.63</v>
      </c>
      <c r="K850" s="39" t="n">
        <f aca="false">IF(F850="BUY",J850-I850,I850-J850)</f>
        <v>0.0700000000001637</v>
      </c>
      <c r="L850" s="38" t="n">
        <v>2353.56</v>
      </c>
      <c r="M850" s="39" t="n">
        <f aca="false">ABS(I850-L850)</f>
        <v>6</v>
      </c>
      <c r="N850" s="24" t="n">
        <f aca="false">M850*H850*Summary!$C$6</f>
        <v>30</v>
      </c>
      <c r="O850" s="37" t="n">
        <v>45427.6451157407</v>
      </c>
      <c r="P850" s="22" t="n">
        <f aca="false">ROUND((O850-C850)*86400,0)</f>
        <v>33490</v>
      </c>
      <c r="Q850" s="22" t="str">
        <f aca="false">IF(P850&lt;10,"a) &lt;10s",IF(P850&lt;60,"b) 10-60s",IF(P850&lt;600,"c) 1-10min","d) &gt;10min")))</f>
        <v>d) &gt;10min</v>
      </c>
      <c r="R850" s="38" t="n">
        <v>2360.13</v>
      </c>
      <c r="S850" s="38" t="n">
        <v>2359</v>
      </c>
      <c r="T850" s="22" t="s">
        <v>189</v>
      </c>
      <c r="U850" s="39" t="n">
        <f aca="false">IF(R850="","",IF(F850="BUY",R850-S850,S850-R850))</f>
        <v>1.13000000000011</v>
      </c>
      <c r="V850" s="39" t="n">
        <f aca="false">IF(F850="BUY",S850-J850,J850-S850)</f>
        <v>-0.630000000000109</v>
      </c>
      <c r="W850" s="6" t="n">
        <v>-3.15</v>
      </c>
      <c r="X850" s="26" t="n">
        <f aca="false">IFERROR(W850/N850,0)</f>
        <v>-0.105</v>
      </c>
      <c r="Y850" s="22" t="str">
        <f aca="false">IF(W850&gt;0,"Win",IF(W850&lt;0,"Loss","Flat"))</f>
        <v>Loss</v>
      </c>
      <c r="Z850" s="24" t="n">
        <f aca="false">Summary!$C$5+SUM(W$2:W850)</f>
        <v>3587.47</v>
      </c>
      <c r="AA850" s="24" t="n">
        <f aca="false">MAX(AA849,Z850)</f>
        <v>5000</v>
      </c>
      <c r="AB850" s="24" t="n">
        <f aca="false">AA850-Z850</f>
        <v>1412.53</v>
      </c>
      <c r="AC850" s="23" t="n">
        <f aca="false">IFERROR(AB850/AA850,0)</f>
        <v>0.282506</v>
      </c>
      <c r="AD850" s="22" t="s">
        <v>1087</v>
      </c>
    </row>
    <row r="851" customFormat="false" ht="15" hidden="false" customHeight="false" outlineLevel="0" collapsed="false">
      <c r="A851" s="22" t="n">
        <v>850</v>
      </c>
      <c r="B851" s="22" t="s">
        <v>145</v>
      </c>
      <c r="C851" s="37" t="n">
        <v>45427.7029166667</v>
      </c>
      <c r="D851" s="22" t="s">
        <v>204</v>
      </c>
      <c r="E851" s="22" t="n">
        <v>16</v>
      </c>
      <c r="F851" s="22" t="s">
        <v>182</v>
      </c>
      <c r="G851" s="22" t="s">
        <v>241</v>
      </c>
      <c r="H851" s="22" t="n">
        <v>0.05</v>
      </c>
      <c r="I851" s="38" t="n">
        <v>2355.58</v>
      </c>
      <c r="J851" s="38" t="n">
        <v>2355.57</v>
      </c>
      <c r="K851" s="39" t="n">
        <f aca="false">IF(F851="BUY",J851-I851,I851-J851)</f>
        <v>0.00999999999976353</v>
      </c>
      <c r="L851" s="38" t="n">
        <v>2361.58</v>
      </c>
      <c r="M851" s="39" t="n">
        <f aca="false">ABS(I851-L851)</f>
        <v>6</v>
      </c>
      <c r="N851" s="24" t="n">
        <f aca="false">M851*H851*Summary!$C$6</f>
        <v>30</v>
      </c>
      <c r="O851" s="37" t="n">
        <v>45427.705</v>
      </c>
      <c r="P851" s="22" t="n">
        <f aca="false">ROUND((O851-C851)*86400,0)</f>
        <v>180</v>
      </c>
      <c r="Q851" s="22" t="str">
        <f aca="false">IF(P851&lt;10,"a) &lt;10s",IF(P851&lt;60,"b) 10-60s",IF(P851&lt;600,"c) 1-10min","d) &gt;10min")))</f>
        <v>c) 1-10min</v>
      </c>
      <c r="R851" s="38" t="n">
        <v>2355.07</v>
      </c>
      <c r="S851" s="38" t="n">
        <v>2355.15</v>
      </c>
      <c r="T851" s="22" t="s">
        <v>189</v>
      </c>
      <c r="U851" s="39" t="n">
        <f aca="false">IF(R851="","",IF(F851="BUY",R851-S851,S851-R851))</f>
        <v>0.0799999999999272</v>
      </c>
      <c r="V851" s="39" t="n">
        <f aca="false">IF(F851="BUY",S851-J851,J851-S851)</f>
        <v>0.420000000000073</v>
      </c>
      <c r="W851" s="6" t="n">
        <v>2.1</v>
      </c>
      <c r="X851" s="26" t="n">
        <f aca="false">IFERROR(W851/N851,0)</f>
        <v>0.07</v>
      </c>
      <c r="Y851" s="22" t="str">
        <f aca="false">IF(W851&gt;0,"Win",IF(W851&lt;0,"Loss","Flat"))</f>
        <v>Win</v>
      </c>
      <c r="Z851" s="24" t="n">
        <f aca="false">Summary!$C$5+SUM(W$2:W851)</f>
        <v>3589.57</v>
      </c>
      <c r="AA851" s="24" t="n">
        <f aca="false">MAX(AA850,Z851)</f>
        <v>5000</v>
      </c>
      <c r="AB851" s="24" t="n">
        <f aca="false">AA851-Z851</f>
        <v>1410.43</v>
      </c>
      <c r="AC851" s="23" t="n">
        <f aca="false">IFERROR(AB851/AA851,0)</f>
        <v>0.282086</v>
      </c>
      <c r="AD851" s="22" t="s">
        <v>1088</v>
      </c>
    </row>
    <row r="852" customFormat="false" ht="15" hidden="false" customHeight="false" outlineLevel="0" collapsed="false">
      <c r="A852" s="22" t="n">
        <v>851</v>
      </c>
      <c r="B852" s="22" t="s">
        <v>145</v>
      </c>
      <c r="C852" s="37" t="n">
        <v>45428.0929513889</v>
      </c>
      <c r="D852" s="22" t="s">
        <v>205</v>
      </c>
      <c r="E852" s="22" t="n">
        <v>2</v>
      </c>
      <c r="F852" s="22" t="s">
        <v>181</v>
      </c>
      <c r="G852" s="22" t="s">
        <v>243</v>
      </c>
      <c r="H852" s="22" t="n">
        <v>0.05</v>
      </c>
      <c r="I852" s="38" t="n">
        <v>2390.19</v>
      </c>
      <c r="J852" s="38" t="n">
        <v>2390.22</v>
      </c>
      <c r="K852" s="39" t="n">
        <f aca="false">IF(F852="BUY",J852-I852,I852-J852)</f>
        <v>0.0299999999997453</v>
      </c>
      <c r="L852" s="38" t="n">
        <v>2384.19</v>
      </c>
      <c r="M852" s="39" t="n">
        <f aca="false">ABS(I852-L852)</f>
        <v>6</v>
      </c>
      <c r="N852" s="24" t="n">
        <f aca="false">M852*H852*Summary!$C$6</f>
        <v>30</v>
      </c>
      <c r="O852" s="37" t="n">
        <v>45428.2012384259</v>
      </c>
      <c r="P852" s="22" t="n">
        <f aca="false">ROUND((O852-C852)*86400,0)</f>
        <v>9356</v>
      </c>
      <c r="Q852" s="22" t="str">
        <f aca="false">IF(P852&lt;10,"a) &lt;10s",IF(P852&lt;60,"b) 10-60s",IF(P852&lt;600,"c) 1-10min","d) &gt;10min")))</f>
        <v>d) &gt;10min</v>
      </c>
      <c r="R852" s="38" t="n">
        <v>2390.72</v>
      </c>
      <c r="S852" s="38" t="n">
        <v>2390.72</v>
      </c>
      <c r="T852" s="22" t="s">
        <v>189</v>
      </c>
      <c r="U852" s="39" t="n">
        <f aca="false">IF(R852="","",IF(F852="BUY",R852-S852,S852-R852))</f>
        <v>0</v>
      </c>
      <c r="V852" s="39" t="n">
        <f aca="false">IF(F852="BUY",S852-J852,J852-S852)</f>
        <v>0.5</v>
      </c>
      <c r="W852" s="6" t="n">
        <v>2.5</v>
      </c>
      <c r="X852" s="26" t="n">
        <f aca="false">IFERROR(W852/N852,0)</f>
        <v>0.0833333333333333</v>
      </c>
      <c r="Y852" s="22" t="str">
        <f aca="false">IF(W852&gt;0,"Win",IF(W852&lt;0,"Loss","Flat"))</f>
        <v>Win</v>
      </c>
      <c r="Z852" s="24" t="n">
        <f aca="false">Summary!$C$5+SUM(W$2:W852)</f>
        <v>3592.07</v>
      </c>
      <c r="AA852" s="24" t="n">
        <f aca="false">MAX(AA851,Z852)</f>
        <v>5000</v>
      </c>
      <c r="AB852" s="24" t="n">
        <f aca="false">AA852-Z852</f>
        <v>1407.93</v>
      </c>
      <c r="AC852" s="23" t="n">
        <f aca="false">IFERROR(AB852/AA852,0)</f>
        <v>0.281586</v>
      </c>
      <c r="AD852" s="22" t="s">
        <v>1089</v>
      </c>
    </row>
    <row r="853" customFormat="false" ht="15" hidden="false" customHeight="false" outlineLevel="0" collapsed="false">
      <c r="A853" s="22" t="n">
        <v>852</v>
      </c>
      <c r="B853" s="22" t="s">
        <v>145</v>
      </c>
      <c r="C853" s="37" t="n">
        <v>45428.4019097222</v>
      </c>
      <c r="D853" s="22" t="s">
        <v>205</v>
      </c>
      <c r="E853" s="22" t="n">
        <v>9</v>
      </c>
      <c r="F853" s="22" t="s">
        <v>182</v>
      </c>
      <c r="G853" s="22" t="s">
        <v>241</v>
      </c>
      <c r="H853" s="22" t="n">
        <v>0.05</v>
      </c>
      <c r="I853" s="38" t="n">
        <v>2386.95</v>
      </c>
      <c r="J853" s="38" t="n">
        <v>2386.9</v>
      </c>
      <c r="K853" s="39" t="n">
        <f aca="false">IF(F853="BUY",J853-I853,I853-J853)</f>
        <v>0.0499999999997272</v>
      </c>
      <c r="L853" s="38" t="n">
        <v>2392.95</v>
      </c>
      <c r="M853" s="39" t="n">
        <f aca="false">ABS(I853-L853)</f>
        <v>6</v>
      </c>
      <c r="N853" s="24" t="n">
        <f aca="false">M853*H853*Summary!$C$6</f>
        <v>30</v>
      </c>
      <c r="O853" s="37" t="n">
        <v>45428.5320949074</v>
      </c>
      <c r="P853" s="22" t="n">
        <f aca="false">ROUND((O853-C853)*86400,0)</f>
        <v>11248</v>
      </c>
      <c r="Q853" s="22" t="str">
        <f aca="false">IF(P853&lt;10,"a) &lt;10s",IF(P853&lt;60,"b) 10-60s",IF(P853&lt;600,"c) 1-10min","d) &gt;10min")))</f>
        <v>d) &gt;10min</v>
      </c>
      <c r="R853" s="38" t="n">
        <v>2386.4</v>
      </c>
      <c r="S853" s="38" t="n">
        <v>2386.41</v>
      </c>
      <c r="T853" s="22" t="s">
        <v>189</v>
      </c>
      <c r="U853" s="39" t="n">
        <f aca="false">IF(R853="","",IF(F853="BUY",R853-S853,S853-R853))</f>
        <v>0.00999999999976353</v>
      </c>
      <c r="V853" s="39" t="n">
        <f aca="false">IF(F853="BUY",S853-J853,J853-S853)</f>
        <v>0.490000000000236</v>
      </c>
      <c r="W853" s="6" t="n">
        <v>2.45</v>
      </c>
      <c r="X853" s="26" t="n">
        <f aca="false">IFERROR(W853/N853,0)</f>
        <v>0.0816666666666667</v>
      </c>
      <c r="Y853" s="22" t="str">
        <f aca="false">IF(W853&gt;0,"Win",IF(W853&lt;0,"Loss","Flat"))</f>
        <v>Win</v>
      </c>
      <c r="Z853" s="24" t="n">
        <f aca="false">Summary!$C$5+SUM(W$2:W853)</f>
        <v>3594.52</v>
      </c>
      <c r="AA853" s="24" t="n">
        <f aca="false">MAX(AA852,Z853)</f>
        <v>5000</v>
      </c>
      <c r="AB853" s="24" t="n">
        <f aca="false">AA853-Z853</f>
        <v>1405.48</v>
      </c>
      <c r="AC853" s="23" t="n">
        <f aca="false">IFERROR(AB853/AA853,0)</f>
        <v>0.281096</v>
      </c>
      <c r="AD853" s="22" t="s">
        <v>1090</v>
      </c>
    </row>
    <row r="854" customFormat="false" ht="15" hidden="false" customHeight="false" outlineLevel="0" collapsed="false">
      <c r="A854" s="22" t="n">
        <v>853</v>
      </c>
      <c r="B854" s="22" t="s">
        <v>145</v>
      </c>
      <c r="C854" s="37" t="n">
        <v>45429.3781134259</v>
      </c>
      <c r="D854" s="22" t="s">
        <v>206</v>
      </c>
      <c r="E854" s="22" t="n">
        <v>9</v>
      </c>
      <c r="F854" s="22" t="s">
        <v>181</v>
      </c>
      <c r="G854" s="22" t="s">
        <v>235</v>
      </c>
      <c r="H854" s="22" t="n">
        <v>0.05</v>
      </c>
      <c r="I854" s="38" t="n">
        <v>2382.25</v>
      </c>
      <c r="J854" s="38" t="n">
        <v>2382.25</v>
      </c>
      <c r="K854" s="39" t="n">
        <f aca="false">IF(F854="BUY",J854-I854,I854-J854)</f>
        <v>0</v>
      </c>
      <c r="L854" s="38" t="n">
        <v>2376.25</v>
      </c>
      <c r="M854" s="39" t="n">
        <f aca="false">ABS(I854-L854)</f>
        <v>6</v>
      </c>
      <c r="N854" s="24" t="n">
        <f aca="false">M854*H854*Summary!$C$6</f>
        <v>30</v>
      </c>
      <c r="O854" s="37" t="n">
        <v>45429.4651851852</v>
      </c>
      <c r="P854" s="22" t="n">
        <f aca="false">ROUND((O854-C854)*86400,0)</f>
        <v>7523</v>
      </c>
      <c r="Q854" s="22" t="str">
        <f aca="false">IF(P854&lt;10,"a) &lt;10s",IF(P854&lt;60,"b) 10-60s",IF(P854&lt;600,"c) 1-10min","d) &gt;10min")))</f>
        <v>d) &gt;10min</v>
      </c>
      <c r="R854" s="38" t="n">
        <v>2382.75</v>
      </c>
      <c r="S854" s="38" t="n">
        <v>2382.74</v>
      </c>
      <c r="T854" s="22" t="s">
        <v>189</v>
      </c>
      <c r="U854" s="39" t="n">
        <f aca="false">IF(R854="","",IF(F854="BUY",R854-S854,S854-R854))</f>
        <v>0.0100000000002183</v>
      </c>
      <c r="V854" s="39" t="n">
        <f aca="false">IF(F854="BUY",S854-J854,J854-S854)</f>
        <v>0.489999999999782</v>
      </c>
      <c r="W854" s="6" t="n">
        <v>2.45</v>
      </c>
      <c r="X854" s="26" t="n">
        <f aca="false">IFERROR(W854/N854,0)</f>
        <v>0.0816666666666667</v>
      </c>
      <c r="Y854" s="22" t="str">
        <f aca="false">IF(W854&gt;0,"Win",IF(W854&lt;0,"Loss","Flat"))</f>
        <v>Win</v>
      </c>
      <c r="Z854" s="24" t="n">
        <f aca="false">Summary!$C$5+SUM(W$2:W854)</f>
        <v>3596.97</v>
      </c>
      <c r="AA854" s="24" t="n">
        <f aca="false">MAX(AA853,Z854)</f>
        <v>5000</v>
      </c>
      <c r="AB854" s="24" t="n">
        <f aca="false">AA854-Z854</f>
        <v>1403.03</v>
      </c>
      <c r="AC854" s="23" t="n">
        <f aca="false">IFERROR(AB854/AA854,0)</f>
        <v>0.280606</v>
      </c>
      <c r="AD854" s="22" t="s">
        <v>1091</v>
      </c>
    </row>
    <row r="855" customFormat="false" ht="15" hidden="false" customHeight="false" outlineLevel="0" collapsed="false">
      <c r="A855" s="22" t="n">
        <v>854</v>
      </c>
      <c r="B855" s="22" t="s">
        <v>145</v>
      </c>
      <c r="C855" s="37" t="n">
        <v>45429.668587963</v>
      </c>
      <c r="D855" s="22" t="s">
        <v>206</v>
      </c>
      <c r="E855" s="22" t="n">
        <v>16</v>
      </c>
      <c r="F855" s="22" t="s">
        <v>181</v>
      </c>
      <c r="G855" s="22" t="s">
        <v>243</v>
      </c>
      <c r="H855" s="22" t="n">
        <v>0.05</v>
      </c>
      <c r="I855" s="38" t="n">
        <v>2397.28</v>
      </c>
      <c r="J855" s="38" t="n">
        <v>2397.28</v>
      </c>
      <c r="K855" s="39" t="n">
        <f aca="false">IF(F855="BUY",J855-I855,I855-J855)</f>
        <v>0</v>
      </c>
      <c r="L855" s="38" t="n">
        <v>2391.28</v>
      </c>
      <c r="M855" s="39" t="n">
        <f aca="false">ABS(I855-L855)</f>
        <v>6</v>
      </c>
      <c r="N855" s="24" t="n">
        <f aca="false">M855*H855*Summary!$C$6</f>
        <v>30</v>
      </c>
      <c r="O855" s="37" t="n">
        <v>45429.6923726852</v>
      </c>
      <c r="P855" s="22" t="n">
        <f aca="false">ROUND((O855-C855)*86400,0)</f>
        <v>2055</v>
      </c>
      <c r="Q855" s="22" t="str">
        <f aca="false">IF(P855&lt;10,"a) &lt;10s",IF(P855&lt;60,"b) 10-60s",IF(P855&lt;600,"c) 1-10min","d) &gt;10min")))</f>
        <v>d) &gt;10min</v>
      </c>
      <c r="R855" s="38" t="n">
        <v>2397.78</v>
      </c>
      <c r="S855" s="38" t="n">
        <v>2397.77</v>
      </c>
      <c r="T855" s="22" t="s">
        <v>189</v>
      </c>
      <c r="U855" s="39" t="n">
        <f aca="false">IF(R855="","",IF(F855="BUY",R855-S855,S855-R855))</f>
        <v>0.0100000000002183</v>
      </c>
      <c r="V855" s="39" t="n">
        <f aca="false">IF(F855="BUY",S855-J855,J855-S855)</f>
        <v>0.489999999999782</v>
      </c>
      <c r="W855" s="6" t="n">
        <v>2.45</v>
      </c>
      <c r="X855" s="26" t="n">
        <f aca="false">IFERROR(W855/N855,0)</f>
        <v>0.0816666666666667</v>
      </c>
      <c r="Y855" s="22" t="str">
        <f aca="false">IF(W855&gt;0,"Win",IF(W855&lt;0,"Loss","Flat"))</f>
        <v>Win</v>
      </c>
      <c r="Z855" s="24" t="n">
        <f aca="false">Summary!$C$5+SUM(W$2:W855)</f>
        <v>3599.42</v>
      </c>
      <c r="AA855" s="24" t="n">
        <f aca="false">MAX(AA854,Z855)</f>
        <v>5000</v>
      </c>
      <c r="AB855" s="24" t="n">
        <f aca="false">AA855-Z855</f>
        <v>1400.58</v>
      </c>
      <c r="AC855" s="23" t="n">
        <f aca="false">IFERROR(AB855/AA855,0)</f>
        <v>0.280116</v>
      </c>
      <c r="AD855" s="22" t="s">
        <v>1092</v>
      </c>
    </row>
    <row r="856" customFormat="false" ht="15" hidden="false" customHeight="false" outlineLevel="0" collapsed="false">
      <c r="A856" s="22" t="n">
        <v>855</v>
      </c>
      <c r="B856" s="22" t="s">
        <v>145</v>
      </c>
      <c r="C856" s="37" t="n">
        <v>45432.375</v>
      </c>
      <c r="D856" s="22" t="s">
        <v>202</v>
      </c>
      <c r="E856" s="22" t="n">
        <v>9</v>
      </c>
      <c r="F856" s="22" t="s">
        <v>181</v>
      </c>
      <c r="G856" s="22" t="s">
        <v>235</v>
      </c>
      <c r="H856" s="22" t="n">
        <v>0.05</v>
      </c>
      <c r="I856" s="38" t="n">
        <v>2449.99</v>
      </c>
      <c r="J856" s="38" t="n">
        <v>2450.07</v>
      </c>
      <c r="K856" s="39" t="n">
        <f aca="false">IF(F856="BUY",J856-I856,I856-J856)</f>
        <v>0.080000000000382</v>
      </c>
      <c r="L856" s="38" t="n">
        <v>2443.99</v>
      </c>
      <c r="M856" s="39" t="n">
        <f aca="false">ABS(I856-L856)</f>
        <v>6</v>
      </c>
      <c r="N856" s="24" t="n">
        <f aca="false">M856*H856*Summary!$C$6</f>
        <v>30</v>
      </c>
      <c r="O856" s="37" t="n">
        <v>45432.3891782407</v>
      </c>
      <c r="P856" s="22" t="n">
        <f aca="false">ROUND((O856-C856)*86400,0)</f>
        <v>1225</v>
      </c>
      <c r="Q856" s="22" t="str">
        <f aca="false">IF(P856&lt;10,"a) &lt;10s",IF(P856&lt;60,"b) 10-60s",IF(P856&lt;600,"c) 1-10min","d) &gt;10min")))</f>
        <v>d) &gt;10min</v>
      </c>
      <c r="R856" s="38" t="n">
        <v>2443.99</v>
      </c>
      <c r="S856" s="38" t="n">
        <v>2443.99</v>
      </c>
      <c r="T856" s="22" t="s">
        <v>188</v>
      </c>
      <c r="U856" s="39" t="n">
        <f aca="false">IF(R856="","",IF(F856="BUY",R856-S856,S856-R856))</f>
        <v>0</v>
      </c>
      <c r="V856" s="39" t="n">
        <f aca="false">IF(F856="BUY",S856-J856,J856-S856)</f>
        <v>-6.08000000000038</v>
      </c>
      <c r="W856" s="6" t="n">
        <v>-30.4</v>
      </c>
      <c r="X856" s="26" t="n">
        <f aca="false">IFERROR(W856/N856,0)</f>
        <v>-1.01333333333333</v>
      </c>
      <c r="Y856" s="22" t="str">
        <f aca="false">IF(W856&gt;0,"Win",IF(W856&lt;0,"Loss","Flat"))</f>
        <v>Loss</v>
      </c>
      <c r="Z856" s="24" t="n">
        <f aca="false">Summary!$C$5+SUM(W$2:W856)</f>
        <v>3569.02</v>
      </c>
      <c r="AA856" s="24" t="n">
        <f aca="false">MAX(AA855,Z856)</f>
        <v>5000</v>
      </c>
      <c r="AB856" s="24" t="n">
        <f aca="false">AA856-Z856</f>
        <v>1430.98</v>
      </c>
      <c r="AC856" s="23" t="n">
        <f aca="false">IFERROR(AB856/AA856,0)</f>
        <v>0.286196</v>
      </c>
      <c r="AD856" s="22" t="s">
        <v>1093</v>
      </c>
    </row>
    <row r="857" customFormat="false" ht="15" hidden="false" customHeight="false" outlineLevel="0" collapsed="false">
      <c r="A857" s="22" t="n">
        <v>856</v>
      </c>
      <c r="B857" s="22" t="s">
        <v>145</v>
      </c>
      <c r="C857" s="37" t="n">
        <v>45433.2693634259</v>
      </c>
      <c r="D857" s="22" t="s">
        <v>203</v>
      </c>
      <c r="E857" s="22" t="n">
        <v>6</v>
      </c>
      <c r="F857" s="22" t="s">
        <v>182</v>
      </c>
      <c r="G857" s="22" t="s">
        <v>237</v>
      </c>
      <c r="H857" s="22" t="n">
        <v>0.05</v>
      </c>
      <c r="I857" s="38" t="n">
        <v>2407.15</v>
      </c>
      <c r="J857" s="38" t="n">
        <v>2407.15</v>
      </c>
      <c r="K857" s="39" t="n">
        <f aca="false">IF(F857="BUY",J857-I857,I857-J857)</f>
        <v>0</v>
      </c>
      <c r="L857" s="38" t="n">
        <v>2413.15</v>
      </c>
      <c r="M857" s="39" t="n">
        <f aca="false">ABS(I857-L857)</f>
        <v>6</v>
      </c>
      <c r="N857" s="24" t="n">
        <f aca="false">M857*H857*Summary!$C$6</f>
        <v>30</v>
      </c>
      <c r="O857" s="37" t="n">
        <v>45433.285162037</v>
      </c>
      <c r="P857" s="22" t="n">
        <f aca="false">ROUND((O857-C857)*86400,0)</f>
        <v>1365</v>
      </c>
      <c r="Q857" s="22" t="str">
        <f aca="false">IF(P857&lt;10,"a) &lt;10s",IF(P857&lt;60,"b) 10-60s",IF(P857&lt;600,"c) 1-10min","d) &gt;10min")))</f>
        <v>d) &gt;10min</v>
      </c>
      <c r="R857" s="38" t="n">
        <v>2413.15</v>
      </c>
      <c r="S857" s="38" t="n">
        <v>2413.18</v>
      </c>
      <c r="T857" s="22" t="s">
        <v>188</v>
      </c>
      <c r="U857" s="39" t="n">
        <f aca="false">IF(R857="","",IF(F857="BUY",R857-S857,S857-R857))</f>
        <v>0.0299999999997453</v>
      </c>
      <c r="V857" s="39" t="n">
        <f aca="false">IF(F857="BUY",S857-J857,J857-S857)</f>
        <v>-6.02999999999975</v>
      </c>
      <c r="W857" s="6" t="n">
        <v>-30.15</v>
      </c>
      <c r="X857" s="26" t="n">
        <f aca="false">IFERROR(W857/N857,0)</f>
        <v>-1.005</v>
      </c>
      <c r="Y857" s="22" t="str">
        <f aca="false">IF(W857&gt;0,"Win",IF(W857&lt;0,"Loss","Flat"))</f>
        <v>Loss</v>
      </c>
      <c r="Z857" s="24" t="n">
        <f aca="false">Summary!$C$5+SUM(W$2:W857)</f>
        <v>3538.87</v>
      </c>
      <c r="AA857" s="24" t="n">
        <f aca="false">MAX(AA856,Z857)</f>
        <v>5000</v>
      </c>
      <c r="AB857" s="24" t="n">
        <f aca="false">AA857-Z857</f>
        <v>1461.13</v>
      </c>
      <c r="AC857" s="23" t="n">
        <f aca="false">IFERROR(AB857/AA857,0)</f>
        <v>0.292226</v>
      </c>
      <c r="AD857" s="22" t="s">
        <v>1094</v>
      </c>
    </row>
    <row r="858" customFormat="false" ht="15" hidden="false" customHeight="false" outlineLevel="0" collapsed="false">
      <c r="A858" s="22" t="n">
        <v>857</v>
      </c>
      <c r="B858" s="22" t="s">
        <v>145</v>
      </c>
      <c r="C858" s="37" t="n">
        <v>45433.4106597222</v>
      </c>
      <c r="D858" s="22" t="s">
        <v>203</v>
      </c>
      <c r="E858" s="22" t="n">
        <v>9</v>
      </c>
      <c r="F858" s="22" t="s">
        <v>182</v>
      </c>
      <c r="G858" s="22" t="s">
        <v>241</v>
      </c>
      <c r="H858" s="22" t="n">
        <v>0.05</v>
      </c>
      <c r="I858" s="38" t="n">
        <v>2410.56</v>
      </c>
      <c r="J858" s="38" t="n">
        <v>2410.55</v>
      </c>
      <c r="K858" s="39" t="n">
        <f aca="false">IF(F858="BUY",J858-I858,I858-J858)</f>
        <v>0.00999999999976353</v>
      </c>
      <c r="L858" s="38" t="n">
        <v>2416.56</v>
      </c>
      <c r="M858" s="39" t="n">
        <f aca="false">ABS(I858-L858)</f>
        <v>6</v>
      </c>
      <c r="N858" s="24" t="n">
        <f aca="false">M858*H858*Summary!$C$6</f>
        <v>30</v>
      </c>
      <c r="O858" s="37" t="n">
        <v>45433.4349537037</v>
      </c>
      <c r="P858" s="22" t="n">
        <f aca="false">ROUND((O858-C858)*86400,0)</f>
        <v>2099</v>
      </c>
      <c r="Q858" s="22" t="str">
        <f aca="false">IF(P858&lt;10,"a) &lt;10s",IF(P858&lt;60,"b) 10-60s",IF(P858&lt;600,"c) 1-10min","d) &gt;10min")))</f>
        <v>d) &gt;10min</v>
      </c>
      <c r="R858" s="38" t="n">
        <v>2416.56</v>
      </c>
      <c r="S858" s="38" t="n">
        <v>2416.74</v>
      </c>
      <c r="T858" s="22" t="s">
        <v>188</v>
      </c>
      <c r="U858" s="39" t="n">
        <f aca="false">IF(R858="","",IF(F858="BUY",R858-S858,S858-R858))</f>
        <v>0.179999999999836</v>
      </c>
      <c r="V858" s="39" t="n">
        <f aca="false">IF(F858="BUY",S858-J858,J858-S858)</f>
        <v>-6.1899999999996</v>
      </c>
      <c r="W858" s="6" t="n">
        <v>-30.95</v>
      </c>
      <c r="X858" s="26" t="n">
        <f aca="false">IFERROR(W858/N858,0)</f>
        <v>-1.03166666666667</v>
      </c>
      <c r="Y858" s="22" t="str">
        <f aca="false">IF(W858&gt;0,"Win",IF(W858&lt;0,"Loss","Flat"))</f>
        <v>Loss</v>
      </c>
      <c r="Z858" s="24" t="n">
        <f aca="false">Summary!$C$5+SUM(W$2:W858)</f>
        <v>3507.92</v>
      </c>
      <c r="AA858" s="24" t="n">
        <f aca="false">MAX(AA857,Z858)</f>
        <v>5000</v>
      </c>
      <c r="AB858" s="24" t="n">
        <f aca="false">AA858-Z858</f>
        <v>1492.08</v>
      </c>
      <c r="AC858" s="23" t="n">
        <f aca="false">IFERROR(AB858/AA858,0)</f>
        <v>0.298416</v>
      </c>
      <c r="AD858" s="22" t="s">
        <v>1095</v>
      </c>
    </row>
    <row r="859" customFormat="false" ht="15" hidden="false" customHeight="false" outlineLevel="0" collapsed="false">
      <c r="A859" s="22" t="n">
        <v>858</v>
      </c>
      <c r="B859" s="22" t="s">
        <v>145</v>
      </c>
      <c r="C859" s="37" t="n">
        <v>45434.4776967593</v>
      </c>
      <c r="D859" s="22" t="s">
        <v>204</v>
      </c>
      <c r="E859" s="22" t="n">
        <v>11</v>
      </c>
      <c r="F859" s="22" t="s">
        <v>182</v>
      </c>
      <c r="G859" s="22" t="s">
        <v>241</v>
      </c>
      <c r="H859" s="22" t="n">
        <v>0.05</v>
      </c>
      <c r="I859" s="38" t="n">
        <v>2411.21</v>
      </c>
      <c r="J859" s="38" t="n">
        <v>2411.2</v>
      </c>
      <c r="K859" s="39" t="n">
        <f aca="false">IF(F859="BUY",J859-I859,I859-J859)</f>
        <v>0.0100000000002183</v>
      </c>
      <c r="L859" s="38" t="n">
        <v>2417.21</v>
      </c>
      <c r="M859" s="39" t="n">
        <f aca="false">ABS(I859-L859)</f>
        <v>6</v>
      </c>
      <c r="N859" s="24" t="n">
        <f aca="false">M859*H859*Summary!$C$6</f>
        <v>30</v>
      </c>
      <c r="O859" s="37" t="n">
        <v>45434.4988194444</v>
      </c>
      <c r="P859" s="22" t="n">
        <f aca="false">ROUND((O859-C859)*86400,0)</f>
        <v>1825</v>
      </c>
      <c r="Q859" s="22" t="str">
        <f aca="false">IF(P859&lt;10,"a) &lt;10s",IF(P859&lt;60,"b) 10-60s",IF(P859&lt;600,"c) 1-10min","d) &gt;10min")))</f>
        <v>d) &gt;10min</v>
      </c>
      <c r="R859" s="38" t="n">
        <v>2417.21</v>
      </c>
      <c r="S859" s="38" t="n">
        <v>2417.22</v>
      </c>
      <c r="T859" s="22" t="s">
        <v>188</v>
      </c>
      <c r="U859" s="39" t="n">
        <f aca="false">IF(R859="","",IF(F859="BUY",R859-S859,S859-R859))</f>
        <v>0.00999999999976353</v>
      </c>
      <c r="V859" s="39" t="n">
        <f aca="false">IF(F859="BUY",S859-J859,J859-S859)</f>
        <v>-6.01999999999998</v>
      </c>
      <c r="W859" s="6" t="n">
        <v>-30.1</v>
      </c>
      <c r="X859" s="26" t="n">
        <f aca="false">IFERROR(W859/N859,0)</f>
        <v>-1.00333333333333</v>
      </c>
      <c r="Y859" s="22" t="str">
        <f aca="false">IF(W859&gt;0,"Win",IF(W859&lt;0,"Loss","Flat"))</f>
        <v>Loss</v>
      </c>
      <c r="Z859" s="24" t="n">
        <f aca="false">Summary!$C$5+SUM(W$2:W859)</f>
        <v>3477.82</v>
      </c>
      <c r="AA859" s="24" t="n">
        <f aca="false">MAX(AA858,Z859)</f>
        <v>5000</v>
      </c>
      <c r="AB859" s="24" t="n">
        <f aca="false">AA859-Z859</f>
        <v>1522.18</v>
      </c>
      <c r="AC859" s="23" t="n">
        <f aca="false">IFERROR(AB859/AA859,0)</f>
        <v>0.304436</v>
      </c>
      <c r="AD859" s="22" t="s">
        <v>1096</v>
      </c>
    </row>
    <row r="860" customFormat="false" ht="15" hidden="false" customHeight="false" outlineLevel="0" collapsed="false">
      <c r="A860" s="22" t="n">
        <v>859</v>
      </c>
      <c r="B860" s="22" t="s">
        <v>145</v>
      </c>
      <c r="C860" s="37" t="n">
        <v>45434.6133796296</v>
      </c>
      <c r="D860" s="22" t="s">
        <v>204</v>
      </c>
      <c r="E860" s="22" t="n">
        <v>14</v>
      </c>
      <c r="F860" s="22" t="s">
        <v>182</v>
      </c>
      <c r="G860" s="22" t="s">
        <v>237</v>
      </c>
      <c r="H860" s="22" t="n">
        <v>0.05</v>
      </c>
      <c r="I860" s="38" t="n">
        <v>2406.16</v>
      </c>
      <c r="J860" s="38" t="n">
        <v>2405.58</v>
      </c>
      <c r="K860" s="39" t="n">
        <f aca="false">IF(F860="BUY",J860-I860,I860-J860)</f>
        <v>0.579999999999927</v>
      </c>
      <c r="L860" s="38" t="n">
        <v>2412.16</v>
      </c>
      <c r="M860" s="39" t="n">
        <f aca="false">ABS(I860-L860)</f>
        <v>6</v>
      </c>
      <c r="N860" s="24" t="n">
        <f aca="false">M860*H860*Summary!$C$6</f>
        <v>30</v>
      </c>
      <c r="O860" s="37" t="n">
        <v>45434.6304050926</v>
      </c>
      <c r="P860" s="22" t="n">
        <f aca="false">ROUND((O860-C860)*86400,0)</f>
        <v>1471</v>
      </c>
      <c r="Q860" s="22" t="str">
        <f aca="false">IF(P860&lt;10,"a) &lt;10s",IF(P860&lt;60,"b) 10-60s",IF(P860&lt;600,"c) 1-10min","d) &gt;10min")))</f>
        <v>d) &gt;10min</v>
      </c>
      <c r="R860" s="38" t="n">
        <v>2412.16</v>
      </c>
      <c r="S860" s="38" t="n">
        <v>2412.16</v>
      </c>
      <c r="T860" s="22" t="s">
        <v>188</v>
      </c>
      <c r="U860" s="39" t="n">
        <f aca="false">IF(R860="","",IF(F860="BUY",R860-S860,S860-R860))</f>
        <v>0</v>
      </c>
      <c r="V860" s="39" t="n">
        <f aca="false">IF(F860="BUY",S860-J860,J860-S860)</f>
        <v>-6.57999999999993</v>
      </c>
      <c r="W860" s="6" t="n">
        <v>-32.9</v>
      </c>
      <c r="X860" s="26" t="n">
        <f aca="false">IFERROR(W860/N860,0)</f>
        <v>-1.09666666666667</v>
      </c>
      <c r="Y860" s="22" t="str">
        <f aca="false">IF(W860&gt;0,"Win",IF(W860&lt;0,"Loss","Flat"))</f>
        <v>Loss</v>
      </c>
      <c r="Z860" s="24" t="n">
        <f aca="false">Summary!$C$5+SUM(W$2:W860)</f>
        <v>3444.92</v>
      </c>
      <c r="AA860" s="24" t="n">
        <f aca="false">MAX(AA859,Z860)</f>
        <v>5000</v>
      </c>
      <c r="AB860" s="24" t="n">
        <f aca="false">AA860-Z860</f>
        <v>1555.08</v>
      </c>
      <c r="AC860" s="23" t="n">
        <f aca="false">IFERROR(AB860/AA860,0)</f>
        <v>0.311016</v>
      </c>
      <c r="AD860" s="22" t="s">
        <v>1097</v>
      </c>
    </row>
    <row r="861" customFormat="false" ht="15" hidden="false" customHeight="false" outlineLevel="0" collapsed="false">
      <c r="A861" s="22" t="n">
        <v>860</v>
      </c>
      <c r="B861" s="22" t="s">
        <v>145</v>
      </c>
      <c r="C861" s="37" t="n">
        <v>45435.1748611111</v>
      </c>
      <c r="D861" s="22" t="s">
        <v>205</v>
      </c>
      <c r="E861" s="22" t="n">
        <v>4</v>
      </c>
      <c r="F861" s="22" t="s">
        <v>182</v>
      </c>
      <c r="G861" s="22" t="s">
        <v>237</v>
      </c>
      <c r="H861" s="22" t="n">
        <v>0.05</v>
      </c>
      <c r="I861" s="38" t="n">
        <v>2374.86</v>
      </c>
      <c r="J861" s="38" t="n">
        <v>2374.8</v>
      </c>
      <c r="K861" s="39" t="n">
        <f aca="false">IF(F861="BUY",J861-I861,I861-J861)</f>
        <v>0.0599999999999454</v>
      </c>
      <c r="L861" s="38" t="n">
        <v>2380.86</v>
      </c>
      <c r="M861" s="39" t="n">
        <f aca="false">ABS(I861-L861)</f>
        <v>6</v>
      </c>
      <c r="N861" s="24" t="n">
        <f aca="false">M861*H861*Summary!$C$6</f>
        <v>30</v>
      </c>
      <c r="O861" s="37" t="n">
        <v>45435.2067592593</v>
      </c>
      <c r="P861" s="22" t="n">
        <f aca="false">ROUND((O861-C861)*86400,0)</f>
        <v>2756</v>
      </c>
      <c r="Q861" s="22" t="str">
        <f aca="false">IF(P861&lt;10,"a) &lt;10s",IF(P861&lt;60,"b) 10-60s",IF(P861&lt;600,"c) 1-10min","d) &gt;10min")))</f>
        <v>d) &gt;10min</v>
      </c>
      <c r="R861" s="38" t="n">
        <v>2374.3</v>
      </c>
      <c r="S861" s="38" t="n">
        <v>2374.31</v>
      </c>
      <c r="T861" s="22" t="s">
        <v>189</v>
      </c>
      <c r="U861" s="39" t="n">
        <f aca="false">IF(R861="","",IF(F861="BUY",R861-S861,S861-R861))</f>
        <v>0.00999999999976353</v>
      </c>
      <c r="V861" s="39" t="n">
        <f aca="false">IF(F861="BUY",S861-J861,J861-S861)</f>
        <v>0.490000000000236</v>
      </c>
      <c r="W861" s="6" t="n">
        <v>2.45</v>
      </c>
      <c r="X861" s="26" t="n">
        <f aca="false">IFERROR(W861/N861,0)</f>
        <v>0.0816666666666667</v>
      </c>
      <c r="Y861" s="22" t="str">
        <f aca="false">IF(W861&gt;0,"Win",IF(W861&lt;0,"Loss","Flat"))</f>
        <v>Win</v>
      </c>
      <c r="Z861" s="24" t="n">
        <f aca="false">Summary!$C$5+SUM(W$2:W861)</f>
        <v>3447.37</v>
      </c>
      <c r="AA861" s="24" t="n">
        <f aca="false">MAX(AA860,Z861)</f>
        <v>5000</v>
      </c>
      <c r="AB861" s="24" t="n">
        <f aca="false">AA861-Z861</f>
        <v>1552.63</v>
      </c>
      <c r="AC861" s="23" t="n">
        <f aca="false">IFERROR(AB861/AA861,0)</f>
        <v>0.310526</v>
      </c>
      <c r="AD861" s="22" t="s">
        <v>1098</v>
      </c>
    </row>
    <row r="862" customFormat="false" ht="15" hidden="false" customHeight="false" outlineLevel="0" collapsed="false">
      <c r="A862" s="22" t="n">
        <v>861</v>
      </c>
      <c r="B862" s="22" t="s">
        <v>145</v>
      </c>
      <c r="C862" s="37" t="n">
        <v>45435.3755208333</v>
      </c>
      <c r="D862" s="22" t="s">
        <v>205</v>
      </c>
      <c r="E862" s="22" t="n">
        <v>9</v>
      </c>
      <c r="F862" s="22" t="s">
        <v>182</v>
      </c>
      <c r="G862" s="22" t="s">
        <v>241</v>
      </c>
      <c r="H862" s="22" t="n">
        <v>0.05</v>
      </c>
      <c r="I862" s="38" t="n">
        <v>2358.19</v>
      </c>
      <c r="J862" s="38" t="n">
        <v>2358.13</v>
      </c>
      <c r="K862" s="39" t="n">
        <f aca="false">IF(F862="BUY",J862-I862,I862-J862)</f>
        <v>0.0599999999999454</v>
      </c>
      <c r="L862" s="38" t="n">
        <v>2364.19</v>
      </c>
      <c r="M862" s="39" t="n">
        <f aca="false">ABS(I862-L862)</f>
        <v>6</v>
      </c>
      <c r="N862" s="24" t="n">
        <f aca="false">M862*H862*Summary!$C$6</f>
        <v>30</v>
      </c>
      <c r="O862" s="37" t="n">
        <v>45435.3768402778</v>
      </c>
      <c r="P862" s="22" t="n">
        <f aca="false">ROUND((O862-C862)*86400,0)</f>
        <v>114</v>
      </c>
      <c r="Q862" s="22" t="str">
        <f aca="false">IF(P862&lt;10,"a) &lt;10s",IF(P862&lt;60,"b) 10-60s",IF(P862&lt;600,"c) 1-10min","d) &gt;10min")))</f>
        <v>c) 1-10min</v>
      </c>
      <c r="R862" s="38" t="n">
        <v>2357.63</v>
      </c>
      <c r="S862" s="38" t="n">
        <v>2357.66</v>
      </c>
      <c r="T862" s="22" t="s">
        <v>189</v>
      </c>
      <c r="U862" s="39" t="n">
        <f aca="false">IF(R862="","",IF(F862="BUY",R862-S862,S862-R862))</f>
        <v>0.0299999999997453</v>
      </c>
      <c r="V862" s="39" t="n">
        <f aca="false">IF(F862="BUY",S862-J862,J862-S862)</f>
        <v>0.470000000000255</v>
      </c>
      <c r="W862" s="6" t="n">
        <v>2.35</v>
      </c>
      <c r="X862" s="26" t="n">
        <f aca="false">IFERROR(W862/N862,0)</f>
        <v>0.0783333333333333</v>
      </c>
      <c r="Y862" s="22" t="str">
        <f aca="false">IF(W862&gt;0,"Win",IF(W862&lt;0,"Loss","Flat"))</f>
        <v>Win</v>
      </c>
      <c r="Z862" s="24" t="n">
        <f aca="false">Summary!$C$5+SUM(W$2:W862)</f>
        <v>3449.72</v>
      </c>
      <c r="AA862" s="24" t="n">
        <f aca="false">MAX(AA861,Z862)</f>
        <v>5000</v>
      </c>
      <c r="AB862" s="24" t="n">
        <f aca="false">AA862-Z862</f>
        <v>1550.28</v>
      </c>
      <c r="AC862" s="23" t="n">
        <f aca="false">IFERROR(AB862/AA862,0)</f>
        <v>0.310056</v>
      </c>
      <c r="AD862" s="22" t="s">
        <v>1099</v>
      </c>
    </row>
    <row r="863" customFormat="false" ht="15" hidden="false" customHeight="false" outlineLevel="0" collapsed="false">
      <c r="A863" s="22" t="n">
        <v>862</v>
      </c>
      <c r="B863" s="22" t="s">
        <v>145</v>
      </c>
      <c r="C863" s="37" t="n">
        <v>45436.1712384259</v>
      </c>
      <c r="D863" s="22" t="s">
        <v>206</v>
      </c>
      <c r="E863" s="22" t="n">
        <v>4</v>
      </c>
      <c r="F863" s="22" t="s">
        <v>182</v>
      </c>
      <c r="G863" s="22" t="s">
        <v>237</v>
      </c>
      <c r="H863" s="22" t="n">
        <v>0.05</v>
      </c>
      <c r="I863" s="38" t="n">
        <v>2326.85</v>
      </c>
      <c r="J863" s="38" t="n">
        <v>2326.72</v>
      </c>
      <c r="K863" s="39" t="n">
        <f aca="false">IF(F863="BUY",J863-I863,I863-J863)</f>
        <v>0.130000000000109</v>
      </c>
      <c r="L863" s="38" t="n">
        <v>2332.85</v>
      </c>
      <c r="M863" s="39" t="n">
        <f aca="false">ABS(I863-L863)</f>
        <v>6</v>
      </c>
      <c r="N863" s="24" t="n">
        <f aca="false">M863*H863*Summary!$C$6</f>
        <v>30</v>
      </c>
      <c r="O863" s="37" t="n">
        <v>45436.1802199074</v>
      </c>
      <c r="P863" s="22" t="n">
        <f aca="false">ROUND((O863-C863)*86400,0)</f>
        <v>776</v>
      </c>
      <c r="Q863" s="22" t="str">
        <f aca="false">IF(P863&lt;10,"a) &lt;10s",IF(P863&lt;60,"b) 10-60s",IF(P863&lt;600,"c) 1-10min","d) &gt;10min")))</f>
        <v>d) &gt;10min</v>
      </c>
      <c r="R863" s="38" t="n">
        <v>2332.85</v>
      </c>
      <c r="S863" s="38" t="n">
        <v>2332.85</v>
      </c>
      <c r="T863" s="22" t="s">
        <v>188</v>
      </c>
      <c r="U863" s="39" t="n">
        <f aca="false">IF(R863="","",IF(F863="BUY",R863-S863,S863-R863))</f>
        <v>0</v>
      </c>
      <c r="V863" s="39" t="n">
        <f aca="false">IF(F863="BUY",S863-J863,J863-S863)</f>
        <v>-6.13000000000011</v>
      </c>
      <c r="W863" s="6" t="n">
        <v>-30.65</v>
      </c>
      <c r="X863" s="26" t="n">
        <f aca="false">IFERROR(W863/N863,0)</f>
        <v>-1.02166666666667</v>
      </c>
      <c r="Y863" s="22" t="str">
        <f aca="false">IF(W863&gt;0,"Win",IF(W863&lt;0,"Loss","Flat"))</f>
        <v>Loss</v>
      </c>
      <c r="Z863" s="24" t="n">
        <f aca="false">Summary!$C$5+SUM(W$2:W863)</f>
        <v>3419.07</v>
      </c>
      <c r="AA863" s="24" t="n">
        <f aca="false">MAX(AA862,Z863)</f>
        <v>5000</v>
      </c>
      <c r="AB863" s="24" t="n">
        <f aca="false">AA863-Z863</f>
        <v>1580.93</v>
      </c>
      <c r="AC863" s="23" t="n">
        <f aca="false">IFERROR(AB863/AA863,0)</f>
        <v>0.316186</v>
      </c>
      <c r="AD863" s="22" t="s">
        <v>1100</v>
      </c>
    </row>
    <row r="864" customFormat="false" ht="15" hidden="false" customHeight="false" outlineLevel="0" collapsed="false">
      <c r="A864" s="22" t="n">
        <v>863</v>
      </c>
      <c r="B864" s="22" t="s">
        <v>145</v>
      </c>
      <c r="C864" s="37" t="n">
        <v>45436.3849652778</v>
      </c>
      <c r="D864" s="22" t="s">
        <v>206</v>
      </c>
      <c r="E864" s="22" t="n">
        <v>9</v>
      </c>
      <c r="F864" s="22" t="s">
        <v>181</v>
      </c>
      <c r="G864" s="22" t="s">
        <v>235</v>
      </c>
      <c r="H864" s="22" t="n">
        <v>0.05</v>
      </c>
      <c r="I864" s="38" t="n">
        <v>2339.2</v>
      </c>
      <c r="J864" s="38" t="n">
        <v>2339.21</v>
      </c>
      <c r="K864" s="39" t="n">
        <f aca="false">IF(F864="BUY",J864-I864,I864-J864)</f>
        <v>0.0100000000002183</v>
      </c>
      <c r="L864" s="38" t="n">
        <v>2333.2</v>
      </c>
      <c r="M864" s="39" t="n">
        <f aca="false">ABS(I864-L864)</f>
        <v>6</v>
      </c>
      <c r="N864" s="24" t="n">
        <f aca="false">M864*H864*Summary!$C$6</f>
        <v>30</v>
      </c>
      <c r="O864" s="37" t="n">
        <v>45436.5176967593</v>
      </c>
      <c r="P864" s="22" t="n">
        <f aca="false">ROUND((O864-C864)*86400,0)</f>
        <v>11468</v>
      </c>
      <c r="Q864" s="22" t="str">
        <f aca="false">IF(P864&lt;10,"a) &lt;10s",IF(P864&lt;60,"b) 10-60s",IF(P864&lt;600,"c) 1-10min","d) &gt;10min")))</f>
        <v>d) &gt;10min</v>
      </c>
      <c r="R864" s="38" t="n">
        <v>2339.71</v>
      </c>
      <c r="S864" s="38" t="n">
        <v>2339.71</v>
      </c>
      <c r="T864" s="22" t="s">
        <v>189</v>
      </c>
      <c r="U864" s="39" t="n">
        <f aca="false">IF(R864="","",IF(F864="BUY",R864-S864,S864-R864))</f>
        <v>0</v>
      </c>
      <c r="V864" s="39" t="n">
        <f aca="false">IF(F864="BUY",S864-J864,J864-S864)</f>
        <v>0.5</v>
      </c>
      <c r="W864" s="6" t="n">
        <v>2.5</v>
      </c>
      <c r="X864" s="26" t="n">
        <f aca="false">IFERROR(W864/N864,0)</f>
        <v>0.0833333333333333</v>
      </c>
      <c r="Y864" s="22" t="str">
        <f aca="false">IF(W864&gt;0,"Win",IF(W864&lt;0,"Loss","Flat"))</f>
        <v>Win</v>
      </c>
      <c r="Z864" s="24" t="n">
        <f aca="false">Summary!$C$5+SUM(W$2:W864)</f>
        <v>3421.57</v>
      </c>
      <c r="AA864" s="24" t="n">
        <f aca="false">MAX(AA863,Z864)</f>
        <v>5000</v>
      </c>
      <c r="AB864" s="24" t="n">
        <f aca="false">AA864-Z864</f>
        <v>1578.43</v>
      </c>
      <c r="AC864" s="23" t="n">
        <f aca="false">IFERROR(AB864/AA864,0)</f>
        <v>0.315686</v>
      </c>
      <c r="AD864" s="22" t="s">
        <v>1101</v>
      </c>
    </row>
    <row r="865" customFormat="false" ht="15" hidden="false" customHeight="false" outlineLevel="0" collapsed="false">
      <c r="A865" s="22" t="n">
        <v>864</v>
      </c>
      <c r="B865" s="22" t="s">
        <v>145</v>
      </c>
      <c r="C865" s="37" t="n">
        <v>45439.2503240741</v>
      </c>
      <c r="D865" s="22" t="s">
        <v>202</v>
      </c>
      <c r="E865" s="22" t="n">
        <v>6</v>
      </c>
      <c r="F865" s="22" t="s">
        <v>181</v>
      </c>
      <c r="G865" s="22" t="s">
        <v>243</v>
      </c>
      <c r="H865" s="22" t="n">
        <v>0.05</v>
      </c>
      <c r="I865" s="38" t="n">
        <v>2347.33</v>
      </c>
      <c r="J865" s="38" t="n">
        <v>2347.33</v>
      </c>
      <c r="K865" s="39" t="n">
        <f aca="false">IF(F865="BUY",J865-I865,I865-J865)</f>
        <v>0</v>
      </c>
      <c r="L865" s="38" t="n">
        <v>2341.33</v>
      </c>
      <c r="M865" s="39" t="n">
        <f aca="false">ABS(I865-L865)</f>
        <v>6</v>
      </c>
      <c r="N865" s="24" t="n">
        <f aca="false">M865*H865*Summary!$C$6</f>
        <v>30</v>
      </c>
      <c r="O865" s="37" t="n">
        <v>45439.3047453704</v>
      </c>
      <c r="P865" s="22" t="n">
        <f aca="false">ROUND((O865-C865)*86400,0)</f>
        <v>4702</v>
      </c>
      <c r="Q865" s="22" t="str">
        <f aca="false">IF(P865&lt;10,"a) &lt;10s",IF(P865&lt;60,"b) 10-60s",IF(P865&lt;600,"c) 1-10min","d) &gt;10min")))</f>
        <v>d) &gt;10min</v>
      </c>
      <c r="R865" s="38" t="n">
        <v>2341.33</v>
      </c>
      <c r="S865" s="38" t="n">
        <v>2341.33</v>
      </c>
      <c r="T865" s="22" t="s">
        <v>188</v>
      </c>
      <c r="U865" s="39" t="n">
        <f aca="false">IF(R865="","",IF(F865="BUY",R865-S865,S865-R865))</f>
        <v>0</v>
      </c>
      <c r="V865" s="39" t="n">
        <f aca="false">IF(F865="BUY",S865-J865,J865-S865)</f>
        <v>-6</v>
      </c>
      <c r="W865" s="6" t="n">
        <v>-30</v>
      </c>
      <c r="X865" s="26" t="n">
        <f aca="false">IFERROR(W865/N865,0)</f>
        <v>-1</v>
      </c>
      <c r="Y865" s="22" t="str">
        <f aca="false">IF(W865&gt;0,"Win",IF(W865&lt;0,"Loss","Flat"))</f>
        <v>Loss</v>
      </c>
      <c r="Z865" s="24" t="n">
        <f aca="false">Summary!$C$5+SUM(W$2:W865)</f>
        <v>3391.57</v>
      </c>
      <c r="AA865" s="24" t="n">
        <f aca="false">MAX(AA864,Z865)</f>
        <v>5000</v>
      </c>
      <c r="AB865" s="24" t="n">
        <f aca="false">AA865-Z865</f>
        <v>1608.43</v>
      </c>
      <c r="AC865" s="23" t="n">
        <f aca="false">IFERROR(AB865/AA865,0)</f>
        <v>0.321686</v>
      </c>
      <c r="AD865" s="22" t="s">
        <v>1102</v>
      </c>
    </row>
    <row r="866" customFormat="false" ht="15" hidden="false" customHeight="false" outlineLevel="0" collapsed="false">
      <c r="A866" s="22" t="n">
        <v>865</v>
      </c>
      <c r="B866" s="22" t="s">
        <v>145</v>
      </c>
      <c r="C866" s="37" t="n">
        <v>45439.4176273148</v>
      </c>
      <c r="D866" s="22" t="s">
        <v>202</v>
      </c>
      <c r="E866" s="22" t="n">
        <v>10</v>
      </c>
      <c r="F866" s="22" t="s">
        <v>182</v>
      </c>
      <c r="G866" s="22" t="s">
        <v>241</v>
      </c>
      <c r="H866" s="22" t="n">
        <v>0.05</v>
      </c>
      <c r="I866" s="38" t="n">
        <v>2340.2</v>
      </c>
      <c r="J866" s="38" t="n">
        <v>2340.12</v>
      </c>
      <c r="K866" s="39" t="n">
        <f aca="false">IF(F866="BUY",J866-I866,I866-J866)</f>
        <v>0.0799999999999272</v>
      </c>
      <c r="L866" s="38" t="n">
        <v>2346.2</v>
      </c>
      <c r="M866" s="39" t="n">
        <f aca="false">ABS(I866-L866)</f>
        <v>6</v>
      </c>
      <c r="N866" s="24" t="n">
        <f aca="false">M866*H866*Summary!$C$6</f>
        <v>30</v>
      </c>
      <c r="O866" s="37" t="n">
        <v>45439.4984259259</v>
      </c>
      <c r="P866" s="22" t="n">
        <f aca="false">ROUND((O866-C866)*86400,0)</f>
        <v>6981</v>
      </c>
      <c r="Q866" s="22" t="str">
        <f aca="false">IF(P866&lt;10,"a) &lt;10s",IF(P866&lt;60,"b) 10-60s",IF(P866&lt;600,"c) 1-10min","d) &gt;10min")))</f>
        <v>d) &gt;10min</v>
      </c>
      <c r="R866" s="38" t="n">
        <v>2346.2</v>
      </c>
      <c r="S866" s="38" t="n">
        <v>2346.24</v>
      </c>
      <c r="T866" s="22" t="s">
        <v>188</v>
      </c>
      <c r="U866" s="39" t="n">
        <f aca="false">IF(R866="","",IF(F866="BUY",R866-S866,S866-R866))</f>
        <v>0.0399999999999636</v>
      </c>
      <c r="V866" s="39" t="n">
        <f aca="false">IF(F866="BUY",S866-J866,J866-S866)</f>
        <v>-6.11999999999989</v>
      </c>
      <c r="W866" s="6" t="n">
        <v>-30.6</v>
      </c>
      <c r="X866" s="26" t="n">
        <f aca="false">IFERROR(W866/N866,0)</f>
        <v>-1.02</v>
      </c>
      <c r="Y866" s="22" t="str">
        <f aca="false">IF(W866&gt;0,"Win",IF(W866&lt;0,"Loss","Flat"))</f>
        <v>Loss</v>
      </c>
      <c r="Z866" s="24" t="n">
        <f aca="false">Summary!$C$5+SUM(W$2:W866)</f>
        <v>3360.97</v>
      </c>
      <c r="AA866" s="24" t="n">
        <f aca="false">MAX(AA865,Z866)</f>
        <v>5000</v>
      </c>
      <c r="AB866" s="24" t="n">
        <f aca="false">AA866-Z866</f>
        <v>1639.03</v>
      </c>
      <c r="AC866" s="23" t="n">
        <f aca="false">IFERROR(AB866/AA866,0)</f>
        <v>0.327806</v>
      </c>
      <c r="AD866" s="22" t="s">
        <v>1103</v>
      </c>
    </row>
    <row r="867" customFormat="false" ht="15" hidden="false" customHeight="false" outlineLevel="0" collapsed="false">
      <c r="A867" s="22" t="n">
        <v>866</v>
      </c>
      <c r="B867" s="22" t="s">
        <v>145</v>
      </c>
      <c r="C867" s="37" t="n">
        <v>45440.3758217593</v>
      </c>
      <c r="D867" s="22" t="s">
        <v>203</v>
      </c>
      <c r="E867" s="22" t="n">
        <v>9</v>
      </c>
      <c r="F867" s="22" t="s">
        <v>182</v>
      </c>
      <c r="G867" s="22" t="s">
        <v>241</v>
      </c>
      <c r="H867" s="22" t="n">
        <v>0.05</v>
      </c>
      <c r="I867" s="38" t="n">
        <v>2349.43</v>
      </c>
      <c r="J867" s="38" t="n">
        <v>2349.41</v>
      </c>
      <c r="K867" s="39" t="n">
        <f aca="false">IF(F867="BUY",J867-I867,I867-J867)</f>
        <v>0.0199999999999818</v>
      </c>
      <c r="L867" s="38" t="n">
        <v>2355.43</v>
      </c>
      <c r="M867" s="39" t="n">
        <f aca="false">ABS(I867-L867)</f>
        <v>6</v>
      </c>
      <c r="N867" s="24" t="n">
        <f aca="false">M867*H867*Summary!$C$6</f>
        <v>30</v>
      </c>
      <c r="O867" s="37" t="n">
        <v>45440.6300925926</v>
      </c>
      <c r="P867" s="22" t="n">
        <f aca="false">ROUND((O867-C867)*86400,0)</f>
        <v>21969</v>
      </c>
      <c r="Q867" s="22" t="str">
        <f aca="false">IF(P867&lt;10,"a) &lt;10s",IF(P867&lt;60,"b) 10-60s",IF(P867&lt;600,"c) 1-10min","d) &gt;10min")))</f>
        <v>d) &gt;10min</v>
      </c>
      <c r="R867" s="38" t="n">
        <v>2348.91</v>
      </c>
      <c r="S867" s="38" t="n">
        <v>2349.02</v>
      </c>
      <c r="T867" s="22" t="s">
        <v>189</v>
      </c>
      <c r="U867" s="39" t="n">
        <f aca="false">IF(R867="","",IF(F867="BUY",R867-S867,S867-R867))</f>
        <v>0.110000000000127</v>
      </c>
      <c r="V867" s="39" t="n">
        <f aca="false">IF(F867="BUY",S867-J867,J867-S867)</f>
        <v>0.389999999999873</v>
      </c>
      <c r="W867" s="6" t="n">
        <v>1.95</v>
      </c>
      <c r="X867" s="26" t="n">
        <f aca="false">IFERROR(W867/N867,0)</f>
        <v>0.065</v>
      </c>
      <c r="Y867" s="22" t="str">
        <f aca="false">IF(W867&gt;0,"Win",IF(W867&lt;0,"Loss","Flat"))</f>
        <v>Win</v>
      </c>
      <c r="Z867" s="24" t="n">
        <f aca="false">Summary!$C$5+SUM(W$2:W867)</f>
        <v>3362.92</v>
      </c>
      <c r="AA867" s="24" t="n">
        <f aca="false">MAX(AA866,Z867)</f>
        <v>5000</v>
      </c>
      <c r="AB867" s="24" t="n">
        <f aca="false">AA867-Z867</f>
        <v>1637.08</v>
      </c>
      <c r="AC867" s="23" t="n">
        <f aca="false">IFERROR(AB867/AA867,0)</f>
        <v>0.327416</v>
      </c>
      <c r="AD867" s="22" t="s">
        <v>1104</v>
      </c>
    </row>
    <row r="868" customFormat="false" ht="15" hidden="false" customHeight="false" outlineLevel="0" collapsed="false">
      <c r="A868" s="22" t="n">
        <v>867</v>
      </c>
      <c r="B868" s="22" t="s">
        <v>145</v>
      </c>
      <c r="C868" s="37" t="n">
        <v>45440.6776041667</v>
      </c>
      <c r="D868" s="22" t="s">
        <v>203</v>
      </c>
      <c r="E868" s="22" t="n">
        <v>16</v>
      </c>
      <c r="F868" s="22" t="s">
        <v>181</v>
      </c>
      <c r="G868" s="22" t="s">
        <v>243</v>
      </c>
      <c r="H868" s="22" t="n">
        <v>0.05</v>
      </c>
      <c r="I868" s="38" t="n">
        <v>2358.39</v>
      </c>
      <c r="J868" s="38" t="n">
        <v>2358.43</v>
      </c>
      <c r="K868" s="39" t="n">
        <f aca="false">IF(F868="BUY",J868-I868,I868-J868)</f>
        <v>0.0399999999999636</v>
      </c>
      <c r="L868" s="38" t="n">
        <v>2352.39</v>
      </c>
      <c r="M868" s="39" t="n">
        <f aca="false">ABS(I868-L868)</f>
        <v>6</v>
      </c>
      <c r="N868" s="24" t="n">
        <f aca="false">M868*H868*Summary!$C$6</f>
        <v>30</v>
      </c>
      <c r="O868" s="37" t="n">
        <v>45440.6925347222</v>
      </c>
      <c r="P868" s="22" t="n">
        <f aca="false">ROUND((O868-C868)*86400,0)</f>
        <v>1290</v>
      </c>
      <c r="Q868" s="22" t="str">
        <f aca="false">IF(P868&lt;10,"a) &lt;10s",IF(P868&lt;60,"b) 10-60s",IF(P868&lt;600,"c) 1-10min","d) &gt;10min")))</f>
        <v>d) &gt;10min</v>
      </c>
      <c r="R868" s="38" t="n">
        <v>2358.93</v>
      </c>
      <c r="S868" s="38" t="n">
        <v>2358.91</v>
      </c>
      <c r="T868" s="22" t="s">
        <v>189</v>
      </c>
      <c r="U868" s="39" t="n">
        <f aca="false">IF(R868="","",IF(F868="BUY",R868-S868,S868-R868))</f>
        <v>0.0199999999999818</v>
      </c>
      <c r="V868" s="39" t="n">
        <f aca="false">IF(F868="BUY",S868-J868,J868-S868)</f>
        <v>0.480000000000018</v>
      </c>
      <c r="W868" s="6" t="n">
        <v>2.4</v>
      </c>
      <c r="X868" s="26" t="n">
        <f aca="false">IFERROR(W868/N868,0)</f>
        <v>0.08</v>
      </c>
      <c r="Y868" s="22" t="str">
        <f aca="false">IF(W868&gt;0,"Win",IF(W868&lt;0,"Loss","Flat"))</f>
        <v>Win</v>
      </c>
      <c r="Z868" s="24" t="n">
        <f aca="false">Summary!$C$5+SUM(W$2:W868)</f>
        <v>3365.32</v>
      </c>
      <c r="AA868" s="24" t="n">
        <f aca="false">MAX(AA867,Z868)</f>
        <v>5000</v>
      </c>
      <c r="AB868" s="24" t="n">
        <f aca="false">AA868-Z868</f>
        <v>1634.68</v>
      </c>
      <c r="AC868" s="23" t="n">
        <f aca="false">IFERROR(AB868/AA868,0)</f>
        <v>0.326936</v>
      </c>
      <c r="AD868" s="22" t="s">
        <v>1105</v>
      </c>
    </row>
    <row r="869" customFormat="false" ht="15" hidden="false" customHeight="false" outlineLevel="0" collapsed="false">
      <c r="A869" s="22" t="n">
        <v>868</v>
      </c>
      <c r="B869" s="22" t="s">
        <v>145</v>
      </c>
      <c r="C869" s="37" t="n">
        <v>45441.3750231482</v>
      </c>
      <c r="D869" s="22" t="s">
        <v>204</v>
      </c>
      <c r="E869" s="22" t="n">
        <v>9</v>
      </c>
      <c r="F869" s="22" t="s">
        <v>182</v>
      </c>
      <c r="G869" s="22" t="s">
        <v>241</v>
      </c>
      <c r="H869" s="22" t="n">
        <v>0.05</v>
      </c>
      <c r="I869" s="38" t="n">
        <v>2356.4</v>
      </c>
      <c r="J869" s="38" t="n">
        <v>2356.38</v>
      </c>
      <c r="K869" s="39" t="n">
        <f aca="false">IF(F869="BUY",J869-I869,I869-J869)</f>
        <v>0.0199999999999818</v>
      </c>
      <c r="L869" s="38" t="n">
        <v>2362.4</v>
      </c>
      <c r="M869" s="39" t="n">
        <f aca="false">ABS(I869-L869)</f>
        <v>6</v>
      </c>
      <c r="N869" s="24" t="n">
        <f aca="false">M869*H869*Summary!$C$6</f>
        <v>30</v>
      </c>
      <c r="O869" s="37" t="n">
        <v>45441.3812037037</v>
      </c>
      <c r="P869" s="22" t="n">
        <f aca="false">ROUND((O869-C869)*86400,0)</f>
        <v>534</v>
      </c>
      <c r="Q869" s="22" t="str">
        <f aca="false">IF(P869&lt;10,"a) &lt;10s",IF(P869&lt;60,"b) 10-60s",IF(P869&lt;600,"c) 1-10min","d) &gt;10min")))</f>
        <v>c) 1-10min</v>
      </c>
      <c r="R869" s="38" t="n">
        <v>2355.88</v>
      </c>
      <c r="S869" s="38" t="n">
        <v>2355.94</v>
      </c>
      <c r="T869" s="22" t="s">
        <v>189</v>
      </c>
      <c r="U869" s="39" t="n">
        <f aca="false">IF(R869="","",IF(F869="BUY",R869-S869,S869-R869))</f>
        <v>0.0599999999999454</v>
      </c>
      <c r="V869" s="39" t="n">
        <f aca="false">IF(F869="BUY",S869-J869,J869-S869)</f>
        <v>0.440000000000055</v>
      </c>
      <c r="W869" s="6" t="n">
        <v>2.2</v>
      </c>
      <c r="X869" s="26" t="n">
        <f aca="false">IFERROR(W869/N869,0)</f>
        <v>0.0733333333333333</v>
      </c>
      <c r="Y869" s="22" t="str">
        <f aca="false">IF(W869&gt;0,"Win",IF(W869&lt;0,"Loss","Flat"))</f>
        <v>Win</v>
      </c>
      <c r="Z869" s="24" t="n">
        <f aca="false">Summary!$C$5+SUM(W$2:W869)</f>
        <v>3367.52</v>
      </c>
      <c r="AA869" s="24" t="n">
        <f aca="false">MAX(AA868,Z869)</f>
        <v>5000</v>
      </c>
      <c r="AB869" s="24" t="n">
        <f aca="false">AA869-Z869</f>
        <v>1632.48</v>
      </c>
      <c r="AC869" s="23" t="n">
        <f aca="false">IFERROR(AB869/AA869,0)</f>
        <v>0.326496</v>
      </c>
      <c r="AD869" s="22" t="s">
        <v>1106</v>
      </c>
    </row>
    <row r="870" customFormat="false" ht="15" hidden="false" customHeight="false" outlineLevel="0" collapsed="false">
      <c r="A870" s="22" t="n">
        <v>869</v>
      </c>
      <c r="B870" s="22" t="s">
        <v>145</v>
      </c>
      <c r="C870" s="37" t="n">
        <v>45441.6203125</v>
      </c>
      <c r="D870" s="22" t="s">
        <v>204</v>
      </c>
      <c r="E870" s="22" t="n">
        <v>14</v>
      </c>
      <c r="F870" s="22" t="s">
        <v>182</v>
      </c>
      <c r="G870" s="22" t="s">
        <v>237</v>
      </c>
      <c r="H870" s="22" t="n">
        <v>0.05</v>
      </c>
      <c r="I870" s="38" t="n">
        <v>2340.16</v>
      </c>
      <c r="J870" s="38" t="n">
        <v>2339.93</v>
      </c>
      <c r="K870" s="39" t="n">
        <f aca="false">IF(F870="BUY",J870-I870,I870-J870)</f>
        <v>0.230000000000018</v>
      </c>
      <c r="L870" s="38" t="n">
        <v>2346.16</v>
      </c>
      <c r="M870" s="39" t="n">
        <f aca="false">ABS(I870-L870)</f>
        <v>6</v>
      </c>
      <c r="N870" s="24" t="n">
        <f aca="false">M870*H870*Summary!$C$6</f>
        <v>30</v>
      </c>
      <c r="O870" s="37" t="n">
        <v>45441.6679976852</v>
      </c>
      <c r="P870" s="22" t="n">
        <f aca="false">ROUND((O870-C870)*86400,0)</f>
        <v>4120</v>
      </c>
      <c r="Q870" s="22" t="str">
        <f aca="false">IF(P870&lt;10,"a) &lt;10s",IF(P870&lt;60,"b) 10-60s",IF(P870&lt;600,"c) 1-10min","d) &gt;10min")))</f>
        <v>d) &gt;10min</v>
      </c>
      <c r="R870" s="38" t="n">
        <v>2339.43</v>
      </c>
      <c r="S870" s="38" t="n">
        <v>2339.44</v>
      </c>
      <c r="T870" s="22" t="s">
        <v>189</v>
      </c>
      <c r="U870" s="39" t="n">
        <f aca="false">IF(R870="","",IF(F870="BUY",R870-S870,S870-R870))</f>
        <v>0.0100000000002183</v>
      </c>
      <c r="V870" s="39" t="n">
        <f aca="false">IF(F870="BUY",S870-J870,J870-S870)</f>
        <v>0.489999999999782</v>
      </c>
      <c r="W870" s="6" t="n">
        <v>2.45</v>
      </c>
      <c r="X870" s="26" t="n">
        <f aca="false">IFERROR(W870/N870,0)</f>
        <v>0.0816666666666667</v>
      </c>
      <c r="Y870" s="22" t="str">
        <f aca="false">IF(W870&gt;0,"Win",IF(W870&lt;0,"Loss","Flat"))</f>
        <v>Win</v>
      </c>
      <c r="Z870" s="24" t="n">
        <f aca="false">Summary!$C$5+SUM(W$2:W870)</f>
        <v>3369.97</v>
      </c>
      <c r="AA870" s="24" t="n">
        <f aca="false">MAX(AA869,Z870)</f>
        <v>5000</v>
      </c>
      <c r="AB870" s="24" t="n">
        <f aca="false">AA870-Z870</f>
        <v>1630.03</v>
      </c>
      <c r="AC870" s="23" t="n">
        <f aca="false">IFERROR(AB870/AA870,0)</f>
        <v>0.326006</v>
      </c>
      <c r="AD870" s="22" t="s">
        <v>1107</v>
      </c>
    </row>
    <row r="871" customFormat="false" ht="15" hidden="false" customHeight="false" outlineLevel="0" collapsed="false">
      <c r="A871" s="22" t="n">
        <v>870</v>
      </c>
      <c r="B871" s="22" t="s">
        <v>145</v>
      </c>
      <c r="C871" s="37" t="n">
        <v>45442.1507175926</v>
      </c>
      <c r="D871" s="22" t="s">
        <v>205</v>
      </c>
      <c r="E871" s="22" t="n">
        <v>3</v>
      </c>
      <c r="F871" s="22" t="s">
        <v>182</v>
      </c>
      <c r="G871" s="22" t="s">
        <v>237</v>
      </c>
      <c r="H871" s="22" t="n">
        <v>0.05</v>
      </c>
      <c r="I871" s="38" t="n">
        <v>2334.44</v>
      </c>
      <c r="J871" s="38" t="n">
        <v>2334.34</v>
      </c>
      <c r="K871" s="39" t="n">
        <f aca="false">IF(F871="BUY",J871-I871,I871-J871)</f>
        <v>0.0999999999999091</v>
      </c>
      <c r="L871" s="38" t="n">
        <v>2340.44</v>
      </c>
      <c r="M871" s="39" t="n">
        <f aca="false">ABS(I871-L871)</f>
        <v>6</v>
      </c>
      <c r="N871" s="24" t="n">
        <f aca="false">M871*H871*Summary!$C$6</f>
        <v>30</v>
      </c>
      <c r="O871" s="37" t="n">
        <v>45442.2773611111</v>
      </c>
      <c r="P871" s="22" t="n">
        <f aca="false">ROUND((O871-C871)*86400,0)</f>
        <v>10942</v>
      </c>
      <c r="Q871" s="22" t="str">
        <f aca="false">IF(P871&lt;10,"a) &lt;10s",IF(P871&lt;60,"b) 10-60s",IF(P871&lt;600,"c) 1-10min","d) &gt;10min")))</f>
        <v>d) &gt;10min</v>
      </c>
      <c r="R871" s="38" t="n">
        <v>2333.84</v>
      </c>
      <c r="S871" s="38" t="n">
        <v>2333.85</v>
      </c>
      <c r="T871" s="22" t="s">
        <v>189</v>
      </c>
      <c r="U871" s="39" t="n">
        <f aca="false">IF(R871="","",IF(F871="BUY",R871-S871,S871-R871))</f>
        <v>0.00999999999976353</v>
      </c>
      <c r="V871" s="39" t="n">
        <f aca="false">IF(F871="BUY",S871-J871,J871-S871)</f>
        <v>0.490000000000236</v>
      </c>
      <c r="W871" s="6" t="n">
        <v>2.45</v>
      </c>
      <c r="X871" s="26" t="n">
        <f aca="false">IFERROR(W871/N871,0)</f>
        <v>0.0816666666666667</v>
      </c>
      <c r="Y871" s="22" t="str">
        <f aca="false">IF(W871&gt;0,"Win",IF(W871&lt;0,"Loss","Flat"))</f>
        <v>Win</v>
      </c>
      <c r="Z871" s="24" t="n">
        <f aca="false">Summary!$C$5+SUM(W$2:W871)</f>
        <v>3372.42</v>
      </c>
      <c r="AA871" s="24" t="n">
        <f aca="false">MAX(AA870,Z871)</f>
        <v>5000</v>
      </c>
      <c r="AB871" s="24" t="n">
        <f aca="false">AA871-Z871</f>
        <v>1627.58</v>
      </c>
      <c r="AC871" s="23" t="n">
        <f aca="false">IFERROR(AB871/AA871,0)</f>
        <v>0.325516</v>
      </c>
      <c r="AD871" s="22" t="s">
        <v>1108</v>
      </c>
    </row>
    <row r="872" customFormat="false" ht="15" hidden="false" customHeight="false" outlineLevel="0" collapsed="false">
      <c r="A872" s="22" t="n">
        <v>871</v>
      </c>
      <c r="B872" s="22" t="s">
        <v>145</v>
      </c>
      <c r="C872" s="37" t="n">
        <v>45442.4259606482</v>
      </c>
      <c r="D872" s="22" t="s">
        <v>205</v>
      </c>
      <c r="E872" s="22" t="n">
        <v>10</v>
      </c>
      <c r="F872" s="22" t="s">
        <v>181</v>
      </c>
      <c r="G872" s="22" t="s">
        <v>235</v>
      </c>
      <c r="H872" s="22" t="n">
        <v>0.05</v>
      </c>
      <c r="I872" s="38" t="n">
        <v>2337.04</v>
      </c>
      <c r="J872" s="38" t="n">
        <v>2337.05</v>
      </c>
      <c r="K872" s="39" t="n">
        <f aca="false">IF(F872="BUY",J872-I872,I872-J872)</f>
        <v>0.0100000000002183</v>
      </c>
      <c r="L872" s="38" t="n">
        <v>2331.04</v>
      </c>
      <c r="M872" s="39" t="n">
        <f aca="false">ABS(I872-L872)</f>
        <v>6</v>
      </c>
      <c r="N872" s="24" t="n">
        <f aca="false">M872*H872*Summary!$C$6</f>
        <v>30</v>
      </c>
      <c r="O872" s="37" t="n">
        <v>45442.5497685185</v>
      </c>
      <c r="P872" s="22" t="n">
        <f aca="false">ROUND((O872-C872)*86400,0)</f>
        <v>10697</v>
      </c>
      <c r="Q872" s="22" t="str">
        <f aca="false">IF(P872&lt;10,"a) &lt;10s",IF(P872&lt;60,"b) 10-60s",IF(P872&lt;600,"c) 1-10min","d) &gt;10min")))</f>
        <v>d) &gt;10min</v>
      </c>
      <c r="R872" s="38" t="n">
        <v>2331.04</v>
      </c>
      <c r="S872" s="38" t="n">
        <v>2331.04</v>
      </c>
      <c r="T872" s="22" t="s">
        <v>188</v>
      </c>
      <c r="U872" s="39" t="n">
        <f aca="false">IF(R872="","",IF(F872="BUY",R872-S872,S872-R872))</f>
        <v>0</v>
      </c>
      <c r="V872" s="39" t="n">
        <f aca="false">IF(F872="BUY",S872-J872,J872-S872)</f>
        <v>-6.01000000000022</v>
      </c>
      <c r="W872" s="6" t="n">
        <v>-30.05</v>
      </c>
      <c r="X872" s="26" t="n">
        <f aca="false">IFERROR(W872/N872,0)</f>
        <v>-1.00166666666667</v>
      </c>
      <c r="Y872" s="22" t="str">
        <f aca="false">IF(W872&gt;0,"Win",IF(W872&lt;0,"Loss","Flat"))</f>
        <v>Loss</v>
      </c>
      <c r="Z872" s="24" t="n">
        <f aca="false">Summary!$C$5+SUM(W$2:W872)</f>
        <v>3342.37</v>
      </c>
      <c r="AA872" s="24" t="n">
        <f aca="false">MAX(AA871,Z872)</f>
        <v>5000</v>
      </c>
      <c r="AB872" s="24" t="n">
        <f aca="false">AA872-Z872</f>
        <v>1657.63</v>
      </c>
      <c r="AC872" s="23" t="n">
        <f aca="false">IFERROR(AB872/AA872,0)</f>
        <v>0.331526</v>
      </c>
      <c r="AD872" s="22" t="s">
        <v>1109</v>
      </c>
    </row>
    <row r="873" customFormat="false" ht="15" hidden="false" customHeight="false" outlineLevel="0" collapsed="false">
      <c r="A873" s="22" t="n">
        <v>872</v>
      </c>
      <c r="B873" s="22" t="s">
        <v>145</v>
      </c>
      <c r="C873" s="37" t="n">
        <v>45443.4045833333</v>
      </c>
      <c r="D873" s="22" t="s">
        <v>206</v>
      </c>
      <c r="E873" s="22" t="n">
        <v>9</v>
      </c>
      <c r="F873" s="22" t="s">
        <v>181</v>
      </c>
      <c r="G873" s="22" t="s">
        <v>235</v>
      </c>
      <c r="H873" s="22" t="n">
        <v>0.05</v>
      </c>
      <c r="I873" s="38" t="n">
        <v>2345.4</v>
      </c>
      <c r="J873" s="38" t="n">
        <v>2345.43</v>
      </c>
      <c r="K873" s="39" t="n">
        <f aca="false">IF(F873="BUY",J873-I873,I873-J873)</f>
        <v>0.0299999999997453</v>
      </c>
      <c r="L873" s="38" t="n">
        <v>2339.4</v>
      </c>
      <c r="M873" s="39" t="n">
        <f aca="false">ABS(I873-L873)</f>
        <v>6</v>
      </c>
      <c r="N873" s="24" t="n">
        <f aca="false">M873*H873*Summary!$C$6</f>
        <v>30</v>
      </c>
      <c r="O873" s="37" t="n">
        <v>45443.6511574074</v>
      </c>
      <c r="P873" s="22" t="n">
        <f aca="false">ROUND((O873-C873)*86400,0)</f>
        <v>21304</v>
      </c>
      <c r="Q873" s="22" t="str">
        <f aca="false">IF(P873&lt;10,"a) &lt;10s",IF(P873&lt;60,"b) 10-60s",IF(P873&lt;600,"c) 1-10min","d) &gt;10min")))</f>
        <v>d) &gt;10min</v>
      </c>
      <c r="R873" s="38" t="n">
        <v>2345.93</v>
      </c>
      <c r="S873" s="38" t="n">
        <v>2345.9</v>
      </c>
      <c r="T873" s="22" t="s">
        <v>189</v>
      </c>
      <c r="U873" s="39" t="n">
        <f aca="false">IF(R873="","",IF(F873="BUY",R873-S873,S873-R873))</f>
        <v>0.0299999999997453</v>
      </c>
      <c r="V873" s="39" t="n">
        <f aca="false">IF(F873="BUY",S873-J873,J873-S873)</f>
        <v>0.470000000000255</v>
      </c>
      <c r="W873" s="6" t="n">
        <v>2.35</v>
      </c>
      <c r="X873" s="26" t="n">
        <f aca="false">IFERROR(W873/N873,0)</f>
        <v>0.0783333333333333</v>
      </c>
      <c r="Y873" s="22" t="str">
        <f aca="false">IF(W873&gt;0,"Win",IF(W873&lt;0,"Loss","Flat"))</f>
        <v>Win</v>
      </c>
      <c r="Z873" s="24" t="n">
        <f aca="false">Summary!$C$5+SUM(W$2:W873)</f>
        <v>3344.72</v>
      </c>
      <c r="AA873" s="24" t="n">
        <f aca="false">MAX(AA872,Z873)</f>
        <v>5000</v>
      </c>
      <c r="AB873" s="24" t="n">
        <f aca="false">AA873-Z873</f>
        <v>1655.28</v>
      </c>
      <c r="AC873" s="23" t="n">
        <f aca="false">IFERROR(AB873/AA873,0)</f>
        <v>0.331056</v>
      </c>
      <c r="AD873" s="22" t="s">
        <v>1110</v>
      </c>
    </row>
    <row r="874" customFormat="false" ht="15" hidden="false" customHeight="false" outlineLevel="0" collapsed="false">
      <c r="A874" s="22" t="n">
        <v>873</v>
      </c>
      <c r="B874" s="22" t="s">
        <v>145</v>
      </c>
      <c r="C874" s="37" t="n">
        <v>45443.656087963</v>
      </c>
      <c r="D874" s="22" t="s">
        <v>206</v>
      </c>
      <c r="E874" s="22" t="n">
        <v>15</v>
      </c>
      <c r="F874" s="22" t="s">
        <v>181</v>
      </c>
      <c r="G874" s="22" t="s">
        <v>243</v>
      </c>
      <c r="H874" s="22" t="n">
        <v>0.05</v>
      </c>
      <c r="I874" s="38" t="n">
        <v>2351.7</v>
      </c>
      <c r="J874" s="38" t="n">
        <v>2351.7</v>
      </c>
      <c r="K874" s="39" t="n">
        <f aca="false">IF(F874="BUY",J874-I874,I874-J874)</f>
        <v>0</v>
      </c>
      <c r="L874" s="38" t="n">
        <v>2345.7</v>
      </c>
      <c r="M874" s="39" t="n">
        <f aca="false">ABS(I874-L874)</f>
        <v>6</v>
      </c>
      <c r="N874" s="24" t="n">
        <f aca="false">M874*H874*Summary!$C$6</f>
        <v>30</v>
      </c>
      <c r="O874" s="37" t="n">
        <v>45443.6881828704</v>
      </c>
      <c r="P874" s="22" t="n">
        <f aca="false">ROUND((O874-C874)*86400,0)</f>
        <v>2773</v>
      </c>
      <c r="Q874" s="22" t="str">
        <f aca="false">IF(P874&lt;10,"a) &lt;10s",IF(P874&lt;60,"b) 10-60s",IF(P874&lt;600,"c) 1-10min","d) &gt;10min")))</f>
        <v>d) &gt;10min</v>
      </c>
      <c r="R874" s="38" t="n">
        <v>2352.2</v>
      </c>
      <c r="S874" s="38" t="n">
        <v>2352.18</v>
      </c>
      <c r="T874" s="22" t="s">
        <v>189</v>
      </c>
      <c r="U874" s="39" t="n">
        <f aca="false">IF(R874="","",IF(F874="BUY",R874-S874,S874-R874))</f>
        <v>0.0199999999999818</v>
      </c>
      <c r="V874" s="39" t="n">
        <f aca="false">IF(F874="BUY",S874-J874,J874-S874)</f>
        <v>0.480000000000018</v>
      </c>
      <c r="W874" s="6" t="n">
        <v>2.4</v>
      </c>
      <c r="X874" s="26" t="n">
        <f aca="false">IFERROR(W874/N874,0)</f>
        <v>0.08</v>
      </c>
      <c r="Y874" s="22" t="str">
        <f aca="false">IF(W874&gt;0,"Win",IF(W874&lt;0,"Loss","Flat"))</f>
        <v>Win</v>
      </c>
      <c r="Z874" s="24" t="n">
        <f aca="false">Summary!$C$5+SUM(W$2:W874)</f>
        <v>3347.12</v>
      </c>
      <c r="AA874" s="24" t="n">
        <f aca="false">MAX(AA873,Z874)</f>
        <v>5000</v>
      </c>
      <c r="AB874" s="24" t="n">
        <f aca="false">AA874-Z874</f>
        <v>1652.88</v>
      </c>
      <c r="AC874" s="23" t="n">
        <f aca="false">IFERROR(AB874/AA874,0)</f>
        <v>0.330576</v>
      </c>
      <c r="AD874" s="22" t="s">
        <v>1111</v>
      </c>
    </row>
    <row r="875" customFormat="false" ht="15" hidden="false" customHeight="false" outlineLevel="0" collapsed="false">
      <c r="A875" s="22" t="n">
        <v>874</v>
      </c>
      <c r="B875" s="22" t="s">
        <v>146</v>
      </c>
      <c r="C875" s="37" t="n">
        <v>45446.293287037</v>
      </c>
      <c r="D875" s="22" t="s">
        <v>202</v>
      </c>
      <c r="E875" s="22" t="n">
        <v>7</v>
      </c>
      <c r="F875" s="22" t="s">
        <v>182</v>
      </c>
      <c r="G875" s="22" t="s">
        <v>237</v>
      </c>
      <c r="H875" s="22" t="n">
        <v>0.05</v>
      </c>
      <c r="I875" s="38" t="n">
        <v>2320.4</v>
      </c>
      <c r="J875" s="38" t="n">
        <v>2320.32</v>
      </c>
      <c r="K875" s="39" t="n">
        <f aca="false">IF(F875="BUY",J875-I875,I875-J875)</f>
        <v>0.0799999999999272</v>
      </c>
      <c r="L875" s="38" t="n">
        <v>2326.4</v>
      </c>
      <c r="M875" s="39" t="n">
        <f aca="false">ABS(I875-L875)</f>
        <v>6</v>
      </c>
      <c r="N875" s="24" t="n">
        <f aca="false">M875*H875*Summary!$C$6</f>
        <v>30</v>
      </c>
      <c r="O875" s="37" t="n">
        <v>45446.3716319444</v>
      </c>
      <c r="P875" s="22" t="n">
        <f aca="false">ROUND((O875-C875)*86400,0)</f>
        <v>6769</v>
      </c>
      <c r="Q875" s="22" t="str">
        <f aca="false">IF(P875&lt;10,"a) &lt;10s",IF(P875&lt;60,"b) 10-60s",IF(P875&lt;600,"c) 1-10min","d) &gt;10min")))</f>
        <v>d) &gt;10min</v>
      </c>
      <c r="R875" s="38" t="n">
        <v>2319.82</v>
      </c>
      <c r="S875" s="38" t="n">
        <v>2319.83</v>
      </c>
      <c r="T875" s="22" t="s">
        <v>189</v>
      </c>
      <c r="U875" s="39" t="n">
        <f aca="false">IF(R875="","",IF(F875="BUY",R875-S875,S875-R875))</f>
        <v>0.00999999999976353</v>
      </c>
      <c r="V875" s="39" t="n">
        <f aca="false">IF(F875="BUY",S875-J875,J875-S875)</f>
        <v>0.490000000000236</v>
      </c>
      <c r="W875" s="6" t="n">
        <v>2.45</v>
      </c>
      <c r="X875" s="26" t="n">
        <f aca="false">IFERROR(W875/N875,0)</f>
        <v>0.0816666666666667</v>
      </c>
      <c r="Y875" s="22" t="str">
        <f aca="false">IF(W875&gt;0,"Win",IF(W875&lt;0,"Loss","Flat"))</f>
        <v>Win</v>
      </c>
      <c r="Z875" s="24" t="n">
        <f aca="false">Summary!$C$5+SUM(W$2:W875)</f>
        <v>3349.57</v>
      </c>
      <c r="AA875" s="24" t="n">
        <f aca="false">MAX(AA874,Z875)</f>
        <v>5000</v>
      </c>
      <c r="AB875" s="24" t="n">
        <f aca="false">AA875-Z875</f>
        <v>1650.43</v>
      </c>
      <c r="AC875" s="23" t="n">
        <f aca="false">IFERROR(AB875/AA875,0)</f>
        <v>0.330086</v>
      </c>
      <c r="AD875" s="22" t="s">
        <v>1112</v>
      </c>
    </row>
    <row r="876" customFormat="false" ht="15" hidden="false" customHeight="false" outlineLevel="0" collapsed="false">
      <c r="A876" s="22" t="n">
        <v>875</v>
      </c>
      <c r="B876" s="22" t="s">
        <v>146</v>
      </c>
      <c r="C876" s="37" t="n">
        <v>45446.3896296296</v>
      </c>
      <c r="D876" s="22" t="s">
        <v>202</v>
      </c>
      <c r="E876" s="22" t="n">
        <v>9</v>
      </c>
      <c r="F876" s="22" t="s">
        <v>182</v>
      </c>
      <c r="G876" s="22" t="s">
        <v>241</v>
      </c>
      <c r="H876" s="22" t="n">
        <v>0.05</v>
      </c>
      <c r="I876" s="38" t="n">
        <v>2315.22</v>
      </c>
      <c r="J876" s="38" t="n">
        <v>2315.15</v>
      </c>
      <c r="K876" s="39" t="n">
        <f aca="false">IF(F876="BUY",J876-I876,I876-J876)</f>
        <v>0.069999999999709</v>
      </c>
      <c r="L876" s="38" t="n">
        <v>2321.22</v>
      </c>
      <c r="M876" s="39" t="n">
        <f aca="false">ABS(I876-L876)</f>
        <v>6</v>
      </c>
      <c r="N876" s="24" t="n">
        <f aca="false">M876*H876*Summary!$C$6</f>
        <v>30</v>
      </c>
      <c r="O876" s="37" t="n">
        <v>45446.4147685185</v>
      </c>
      <c r="P876" s="22" t="n">
        <f aca="false">ROUND((O876-C876)*86400,0)</f>
        <v>2172</v>
      </c>
      <c r="Q876" s="22" t="str">
        <f aca="false">IF(P876&lt;10,"a) &lt;10s",IF(P876&lt;60,"b) 10-60s",IF(P876&lt;600,"c) 1-10min","d) &gt;10min")))</f>
        <v>d) &gt;10min</v>
      </c>
      <c r="R876" s="38" t="n">
        <v>2321.22</v>
      </c>
      <c r="S876" s="38" t="n">
        <v>2321.24</v>
      </c>
      <c r="T876" s="22" t="s">
        <v>188</v>
      </c>
      <c r="U876" s="39" t="n">
        <f aca="false">IF(R876="","",IF(F876="BUY",R876-S876,S876-R876))</f>
        <v>0.0199999999999818</v>
      </c>
      <c r="V876" s="39" t="n">
        <f aca="false">IF(F876="BUY",S876-J876,J876-S876)</f>
        <v>-6.08999999999969</v>
      </c>
      <c r="W876" s="6" t="n">
        <v>-30.45</v>
      </c>
      <c r="X876" s="26" t="n">
        <f aca="false">IFERROR(W876/N876,0)</f>
        <v>-1.015</v>
      </c>
      <c r="Y876" s="22" t="str">
        <f aca="false">IF(W876&gt;0,"Win",IF(W876&lt;0,"Loss","Flat"))</f>
        <v>Loss</v>
      </c>
      <c r="Z876" s="24" t="n">
        <f aca="false">Summary!$C$5+SUM(W$2:W876)</f>
        <v>3319.12</v>
      </c>
      <c r="AA876" s="24" t="n">
        <f aca="false">MAX(AA875,Z876)</f>
        <v>5000</v>
      </c>
      <c r="AB876" s="24" t="n">
        <f aca="false">AA876-Z876</f>
        <v>1680.88</v>
      </c>
      <c r="AC876" s="23" t="n">
        <f aca="false">IFERROR(AB876/AA876,0)</f>
        <v>0.336176</v>
      </c>
      <c r="AD876" s="22" t="s">
        <v>1113</v>
      </c>
    </row>
    <row r="877" customFormat="false" ht="15" hidden="false" customHeight="false" outlineLevel="0" collapsed="false">
      <c r="A877" s="22" t="n">
        <v>876</v>
      </c>
      <c r="B877" s="22" t="s">
        <v>146</v>
      </c>
      <c r="C877" s="37" t="n">
        <v>45447.3777662037</v>
      </c>
      <c r="D877" s="22" t="s">
        <v>203</v>
      </c>
      <c r="E877" s="22" t="n">
        <v>9</v>
      </c>
      <c r="F877" s="22" t="s">
        <v>181</v>
      </c>
      <c r="G877" s="22" t="s">
        <v>235</v>
      </c>
      <c r="H877" s="22" t="n">
        <v>0.05</v>
      </c>
      <c r="I877" s="38" t="n">
        <v>2349.77</v>
      </c>
      <c r="J877" s="38" t="n">
        <v>2349.77</v>
      </c>
      <c r="K877" s="39" t="n">
        <f aca="false">IF(F877="BUY",J877-I877,I877-J877)</f>
        <v>0</v>
      </c>
      <c r="L877" s="38" t="n">
        <v>2343.77</v>
      </c>
      <c r="M877" s="39" t="n">
        <f aca="false">ABS(I877-L877)</f>
        <v>6</v>
      </c>
      <c r="N877" s="24" t="n">
        <f aca="false">M877*H877*Summary!$C$6</f>
        <v>30</v>
      </c>
      <c r="O877" s="37" t="n">
        <v>45447.4167361111</v>
      </c>
      <c r="P877" s="22" t="n">
        <f aca="false">ROUND((O877-C877)*86400,0)</f>
        <v>3367</v>
      </c>
      <c r="Q877" s="22" t="str">
        <f aca="false">IF(P877&lt;10,"a) &lt;10s",IF(P877&lt;60,"b) 10-60s",IF(P877&lt;600,"c) 1-10min","d) &gt;10min")))</f>
        <v>d) &gt;10min</v>
      </c>
      <c r="R877" s="38" t="n">
        <v>2343.77</v>
      </c>
      <c r="S877" s="38" t="n">
        <v>2343.74</v>
      </c>
      <c r="T877" s="22" t="s">
        <v>188</v>
      </c>
      <c r="U877" s="39" t="n">
        <f aca="false">IF(R877="","",IF(F877="BUY",R877-S877,S877-R877))</f>
        <v>0.0300000000002001</v>
      </c>
      <c r="V877" s="39" t="n">
        <f aca="false">IF(F877="BUY",S877-J877,J877-S877)</f>
        <v>-6.0300000000002</v>
      </c>
      <c r="W877" s="6" t="n">
        <v>-30.15</v>
      </c>
      <c r="X877" s="26" t="n">
        <f aca="false">IFERROR(W877/N877,0)</f>
        <v>-1.005</v>
      </c>
      <c r="Y877" s="22" t="str">
        <f aca="false">IF(W877&gt;0,"Win",IF(W877&lt;0,"Loss","Flat"))</f>
        <v>Loss</v>
      </c>
      <c r="Z877" s="24" t="n">
        <f aca="false">Summary!$C$5+SUM(W$2:W877)</f>
        <v>3288.97</v>
      </c>
      <c r="AA877" s="24" t="n">
        <f aca="false">MAX(AA876,Z877)</f>
        <v>5000</v>
      </c>
      <c r="AB877" s="24" t="n">
        <f aca="false">AA877-Z877</f>
        <v>1711.03</v>
      </c>
      <c r="AC877" s="23" t="n">
        <f aca="false">IFERROR(AB877/AA877,0)</f>
        <v>0.342206</v>
      </c>
      <c r="AD877" s="22" t="s">
        <v>1114</v>
      </c>
    </row>
    <row r="878" customFormat="false" ht="15" hidden="false" customHeight="false" outlineLevel="0" collapsed="false">
      <c r="A878" s="22" t="n">
        <v>877</v>
      </c>
      <c r="B878" s="22" t="s">
        <v>146</v>
      </c>
      <c r="C878" s="37" t="n">
        <v>45448.3805092593</v>
      </c>
      <c r="D878" s="22" t="s">
        <v>204</v>
      </c>
      <c r="E878" s="22" t="n">
        <v>9</v>
      </c>
      <c r="F878" s="22" t="s">
        <v>182</v>
      </c>
      <c r="G878" s="22" t="s">
        <v>241</v>
      </c>
      <c r="H878" s="22" t="n">
        <v>0.05</v>
      </c>
      <c r="I878" s="38" t="n">
        <v>2335.74</v>
      </c>
      <c r="J878" s="38" t="n">
        <v>2335.65</v>
      </c>
      <c r="K878" s="39" t="n">
        <f aca="false">IF(F878="BUY",J878-I878,I878-J878)</f>
        <v>0.0899999999996908</v>
      </c>
      <c r="L878" s="38" t="n">
        <v>2341.74</v>
      </c>
      <c r="M878" s="39" t="n">
        <f aca="false">ABS(I878-L878)</f>
        <v>6</v>
      </c>
      <c r="N878" s="24" t="n">
        <f aca="false">M878*H878*Summary!$C$6</f>
        <v>30</v>
      </c>
      <c r="O878" s="37" t="n">
        <v>45448.4892592593</v>
      </c>
      <c r="P878" s="22" t="n">
        <f aca="false">ROUND((O878-C878)*86400,0)</f>
        <v>9396</v>
      </c>
      <c r="Q878" s="22" t="str">
        <f aca="false">IF(P878&lt;10,"a) &lt;10s",IF(P878&lt;60,"b) 10-60s",IF(P878&lt;600,"c) 1-10min","d) &gt;10min")))</f>
        <v>d) &gt;10min</v>
      </c>
      <c r="R878" s="38" t="n">
        <v>2335.15</v>
      </c>
      <c r="S878" s="38" t="n">
        <v>2335.22</v>
      </c>
      <c r="T878" s="22" t="s">
        <v>189</v>
      </c>
      <c r="U878" s="39" t="n">
        <f aca="false">IF(R878="","",IF(F878="BUY",R878-S878,S878-R878))</f>
        <v>0.069999999999709</v>
      </c>
      <c r="V878" s="39" t="n">
        <f aca="false">IF(F878="BUY",S878-J878,J878-S878)</f>
        <v>0.430000000000291</v>
      </c>
      <c r="W878" s="6" t="n">
        <v>2.15</v>
      </c>
      <c r="X878" s="26" t="n">
        <f aca="false">IFERROR(W878/N878,0)</f>
        <v>0.0716666666666667</v>
      </c>
      <c r="Y878" s="22" t="str">
        <f aca="false">IF(W878&gt;0,"Win",IF(W878&lt;0,"Loss","Flat"))</f>
        <v>Win</v>
      </c>
      <c r="Z878" s="24" t="n">
        <f aca="false">Summary!$C$5+SUM(W$2:W878)</f>
        <v>3291.12</v>
      </c>
      <c r="AA878" s="24" t="n">
        <f aca="false">MAX(AA877,Z878)</f>
        <v>5000</v>
      </c>
      <c r="AB878" s="24" t="n">
        <f aca="false">AA878-Z878</f>
        <v>1708.88</v>
      </c>
      <c r="AC878" s="23" t="n">
        <f aca="false">IFERROR(AB878/AA878,0)</f>
        <v>0.341776</v>
      </c>
      <c r="AD878" s="22" t="s">
        <v>1115</v>
      </c>
    </row>
    <row r="879" customFormat="false" ht="15" hidden="false" customHeight="false" outlineLevel="0" collapsed="false">
      <c r="A879" s="22" t="n">
        <v>878</v>
      </c>
      <c r="B879" s="22" t="s">
        <v>146</v>
      </c>
      <c r="C879" s="37" t="n">
        <v>45448.7507060185</v>
      </c>
      <c r="D879" s="22" t="s">
        <v>204</v>
      </c>
      <c r="E879" s="22" t="n">
        <v>18</v>
      </c>
      <c r="F879" s="22" t="s">
        <v>181</v>
      </c>
      <c r="G879" s="22" t="s">
        <v>243</v>
      </c>
      <c r="H879" s="22" t="n">
        <v>0.05</v>
      </c>
      <c r="I879" s="38" t="n">
        <v>2352.65</v>
      </c>
      <c r="J879" s="38" t="n">
        <v>2352.66</v>
      </c>
      <c r="K879" s="39" t="n">
        <f aca="false">IF(F879="BUY",J879-I879,I879-J879)</f>
        <v>0.00999999999976353</v>
      </c>
      <c r="L879" s="38" t="n">
        <v>2346.65</v>
      </c>
      <c r="M879" s="39" t="n">
        <f aca="false">ABS(I879-L879)</f>
        <v>6</v>
      </c>
      <c r="N879" s="24" t="n">
        <f aca="false">M879*H879*Summary!$C$6</f>
        <v>30</v>
      </c>
      <c r="O879" s="37" t="n">
        <v>45448.7874884259</v>
      </c>
      <c r="P879" s="22" t="n">
        <f aca="false">ROUND((O879-C879)*86400,0)</f>
        <v>3178</v>
      </c>
      <c r="Q879" s="22" t="str">
        <f aca="false">IF(P879&lt;10,"a) &lt;10s",IF(P879&lt;60,"b) 10-60s",IF(P879&lt;600,"c) 1-10min","d) &gt;10min")))</f>
        <v>d) &gt;10min</v>
      </c>
      <c r="R879" s="38" t="n">
        <v>2353.16</v>
      </c>
      <c r="S879" s="38" t="n">
        <v>2353.15</v>
      </c>
      <c r="T879" s="22" t="s">
        <v>189</v>
      </c>
      <c r="U879" s="39" t="n">
        <f aca="false">IF(R879="","",IF(F879="BUY",R879-S879,S879-R879))</f>
        <v>0.00999999999976353</v>
      </c>
      <c r="V879" s="39" t="n">
        <f aca="false">IF(F879="BUY",S879-J879,J879-S879)</f>
        <v>0.490000000000236</v>
      </c>
      <c r="W879" s="6" t="n">
        <v>2.45</v>
      </c>
      <c r="X879" s="26" t="n">
        <f aca="false">IFERROR(W879/N879,0)</f>
        <v>0.0816666666666667</v>
      </c>
      <c r="Y879" s="22" t="str">
        <f aca="false">IF(W879&gt;0,"Win",IF(W879&lt;0,"Loss","Flat"))</f>
        <v>Win</v>
      </c>
      <c r="Z879" s="24" t="n">
        <f aca="false">Summary!$C$5+SUM(W$2:W879)</f>
        <v>3293.57</v>
      </c>
      <c r="AA879" s="24" t="n">
        <f aca="false">MAX(AA878,Z879)</f>
        <v>5000</v>
      </c>
      <c r="AB879" s="24" t="n">
        <f aca="false">AA879-Z879</f>
        <v>1706.43</v>
      </c>
      <c r="AC879" s="23" t="n">
        <f aca="false">IFERROR(AB879/AA879,0)</f>
        <v>0.341286</v>
      </c>
      <c r="AD879" s="22" t="s">
        <v>1116</v>
      </c>
    </row>
    <row r="880" customFormat="false" ht="15" hidden="false" customHeight="false" outlineLevel="0" collapsed="false">
      <c r="A880" s="22" t="n">
        <v>879</v>
      </c>
      <c r="B880" s="22" t="s">
        <v>146</v>
      </c>
      <c r="C880" s="37" t="n">
        <v>45449.3850115741</v>
      </c>
      <c r="D880" s="22" t="s">
        <v>205</v>
      </c>
      <c r="E880" s="22" t="n">
        <v>9</v>
      </c>
      <c r="F880" s="22" t="s">
        <v>182</v>
      </c>
      <c r="G880" s="22" t="s">
        <v>241</v>
      </c>
      <c r="H880" s="22" t="n">
        <v>0.05</v>
      </c>
      <c r="I880" s="38" t="n">
        <v>2366.23</v>
      </c>
      <c r="J880" s="38" t="n">
        <v>2366.17</v>
      </c>
      <c r="K880" s="39" t="n">
        <f aca="false">IF(F880="BUY",J880-I880,I880-J880)</f>
        <v>0.0599999999999454</v>
      </c>
      <c r="L880" s="38" t="n">
        <v>2372.23</v>
      </c>
      <c r="M880" s="39" t="n">
        <f aca="false">ABS(I880-L880)</f>
        <v>6</v>
      </c>
      <c r="N880" s="24" t="n">
        <f aca="false">M880*H880*Summary!$C$6</f>
        <v>30</v>
      </c>
      <c r="O880" s="37" t="n">
        <v>45449.4044675926</v>
      </c>
      <c r="P880" s="22" t="n">
        <f aca="false">ROUND((O880-C880)*86400,0)</f>
        <v>1681</v>
      </c>
      <c r="Q880" s="22" t="str">
        <f aca="false">IF(P880&lt;10,"a) &lt;10s",IF(P880&lt;60,"b) 10-60s",IF(P880&lt;600,"c) 1-10min","d) &gt;10min")))</f>
        <v>d) &gt;10min</v>
      </c>
      <c r="R880" s="38" t="n">
        <v>2365.67</v>
      </c>
      <c r="S880" s="38" t="n">
        <v>2365.67</v>
      </c>
      <c r="T880" s="22" t="s">
        <v>189</v>
      </c>
      <c r="U880" s="39" t="n">
        <f aca="false">IF(R880="","",IF(F880="BUY",R880-S880,S880-R880))</f>
        <v>0</v>
      </c>
      <c r="V880" s="39" t="n">
        <f aca="false">IF(F880="BUY",S880-J880,J880-S880)</f>
        <v>0.5</v>
      </c>
      <c r="W880" s="6" t="n">
        <v>2.5</v>
      </c>
      <c r="X880" s="26" t="n">
        <f aca="false">IFERROR(W880/N880,0)</f>
        <v>0.0833333333333333</v>
      </c>
      <c r="Y880" s="22" t="str">
        <f aca="false">IF(W880&gt;0,"Win",IF(W880&lt;0,"Loss","Flat"))</f>
        <v>Win</v>
      </c>
      <c r="Z880" s="24" t="n">
        <f aca="false">Summary!$C$5+SUM(W$2:W880)</f>
        <v>3296.07</v>
      </c>
      <c r="AA880" s="24" t="n">
        <f aca="false">MAX(AA879,Z880)</f>
        <v>5000</v>
      </c>
      <c r="AB880" s="24" t="n">
        <f aca="false">AA880-Z880</f>
        <v>1703.93</v>
      </c>
      <c r="AC880" s="23" t="n">
        <f aca="false">IFERROR(AB880/AA880,0)</f>
        <v>0.340786</v>
      </c>
      <c r="AD880" s="22" t="s">
        <v>1117</v>
      </c>
    </row>
    <row r="881" customFormat="false" ht="15" hidden="false" customHeight="false" outlineLevel="0" collapsed="false">
      <c r="A881" s="22" t="n">
        <v>880</v>
      </c>
      <c r="B881" s="22" t="s">
        <v>146</v>
      </c>
      <c r="C881" s="37" t="n">
        <v>45450.099837963</v>
      </c>
      <c r="D881" s="22" t="s">
        <v>206</v>
      </c>
      <c r="E881" s="22" t="n">
        <v>2</v>
      </c>
      <c r="F881" s="22" t="s">
        <v>181</v>
      </c>
      <c r="G881" s="22" t="s">
        <v>243</v>
      </c>
      <c r="H881" s="22" t="n">
        <v>0.05</v>
      </c>
      <c r="I881" s="38" t="n">
        <v>2378.41</v>
      </c>
      <c r="J881" s="38" t="n">
        <v>2378.41</v>
      </c>
      <c r="K881" s="39" t="n">
        <f aca="false">IF(F881="BUY",J881-I881,I881-J881)</f>
        <v>0</v>
      </c>
      <c r="L881" s="38" t="n">
        <v>2372.41</v>
      </c>
      <c r="M881" s="39" t="n">
        <f aca="false">ABS(I881-L881)</f>
        <v>6</v>
      </c>
      <c r="N881" s="24" t="n">
        <f aca="false">M881*H881*Summary!$C$6</f>
        <v>30</v>
      </c>
      <c r="O881" s="37" t="n">
        <v>45450.1858333333</v>
      </c>
      <c r="P881" s="22" t="n">
        <f aca="false">ROUND((O881-C881)*86400,0)</f>
        <v>7430</v>
      </c>
      <c r="Q881" s="22" t="str">
        <f aca="false">IF(P881&lt;10,"a) &lt;10s",IF(P881&lt;60,"b) 10-60s",IF(P881&lt;600,"c) 1-10min","d) &gt;10min")))</f>
        <v>d) &gt;10min</v>
      </c>
      <c r="R881" s="38" t="n">
        <v>2372.41</v>
      </c>
      <c r="S881" s="38" t="n">
        <v>2372.41</v>
      </c>
      <c r="T881" s="22" t="s">
        <v>188</v>
      </c>
      <c r="U881" s="39" t="n">
        <f aca="false">IF(R881="","",IF(F881="BUY",R881-S881,S881-R881))</f>
        <v>0</v>
      </c>
      <c r="V881" s="39" t="n">
        <f aca="false">IF(F881="BUY",S881-J881,J881-S881)</f>
        <v>-6</v>
      </c>
      <c r="W881" s="6" t="n">
        <v>-30</v>
      </c>
      <c r="X881" s="26" t="n">
        <f aca="false">IFERROR(W881/N881,0)</f>
        <v>-1</v>
      </c>
      <c r="Y881" s="22" t="str">
        <f aca="false">IF(W881&gt;0,"Win",IF(W881&lt;0,"Loss","Flat"))</f>
        <v>Loss</v>
      </c>
      <c r="Z881" s="24" t="n">
        <f aca="false">Summary!$C$5+SUM(W$2:W881)</f>
        <v>3266.07</v>
      </c>
      <c r="AA881" s="24" t="n">
        <f aca="false">MAX(AA880,Z881)</f>
        <v>5000</v>
      </c>
      <c r="AB881" s="24" t="n">
        <f aca="false">AA881-Z881</f>
        <v>1733.93</v>
      </c>
      <c r="AC881" s="23" t="n">
        <f aca="false">IFERROR(AB881/AA881,0)</f>
        <v>0.346786</v>
      </c>
      <c r="AD881" s="22" t="s">
        <v>1118</v>
      </c>
    </row>
    <row r="882" customFormat="false" ht="15" hidden="false" customHeight="false" outlineLevel="0" collapsed="false">
      <c r="A882" s="22" t="n">
        <v>881</v>
      </c>
      <c r="B882" s="22" t="s">
        <v>146</v>
      </c>
      <c r="C882" s="37" t="n">
        <v>45450.3750231482</v>
      </c>
      <c r="D882" s="22" t="s">
        <v>206</v>
      </c>
      <c r="E882" s="22" t="n">
        <v>9</v>
      </c>
      <c r="F882" s="22" t="s">
        <v>182</v>
      </c>
      <c r="G882" s="22" t="s">
        <v>241</v>
      </c>
      <c r="H882" s="22" t="n">
        <v>0.05</v>
      </c>
      <c r="I882" s="38" t="n">
        <v>2374.91</v>
      </c>
      <c r="J882" s="38" t="n">
        <v>2374.91</v>
      </c>
      <c r="K882" s="39" t="n">
        <f aca="false">IF(F882="BUY",J882-I882,I882-J882)</f>
        <v>0</v>
      </c>
      <c r="L882" s="38" t="n">
        <v>2380.91</v>
      </c>
      <c r="M882" s="39" t="n">
        <f aca="false">ABS(I882-L882)</f>
        <v>6</v>
      </c>
      <c r="N882" s="24" t="n">
        <f aca="false">M882*H882*Summary!$C$6</f>
        <v>30</v>
      </c>
      <c r="O882" s="37" t="n">
        <v>45450.4870023148</v>
      </c>
      <c r="P882" s="22" t="n">
        <f aca="false">ROUND((O882-C882)*86400,0)</f>
        <v>9675</v>
      </c>
      <c r="Q882" s="22" t="str">
        <f aca="false">IF(P882&lt;10,"a) &lt;10s",IF(P882&lt;60,"b) 10-60s",IF(P882&lt;600,"c) 1-10min","d) &gt;10min")))</f>
        <v>d) &gt;10min</v>
      </c>
      <c r="R882" s="38"/>
      <c r="S882" s="38" t="n">
        <v>2344.52</v>
      </c>
      <c r="T882" s="22" t="s">
        <v>187</v>
      </c>
      <c r="U882" s="39" t="str">
        <f aca="false">IF(R882="","",IF(F882="BUY",R882-S882,S882-R882))</f>
        <v/>
      </c>
      <c r="V882" s="39" t="n">
        <f aca="false">IF(F882="BUY",S882-J882,J882-S882)</f>
        <v>30.3899999999999</v>
      </c>
      <c r="W882" s="6" t="n">
        <v>151.95</v>
      </c>
      <c r="X882" s="26" t="n">
        <f aca="false">IFERROR(W882/N882,0)</f>
        <v>5.065</v>
      </c>
      <c r="Y882" s="22" t="str">
        <f aca="false">IF(W882&gt;0,"Win",IF(W882&lt;0,"Loss","Flat"))</f>
        <v>Win</v>
      </c>
      <c r="Z882" s="24" t="n">
        <f aca="false">Summary!$C$5+SUM(W$2:W882)</f>
        <v>3418.02</v>
      </c>
      <c r="AA882" s="24" t="n">
        <f aca="false">MAX(AA881,Z882)</f>
        <v>5000</v>
      </c>
      <c r="AB882" s="24" t="n">
        <f aca="false">AA882-Z882</f>
        <v>1581.98</v>
      </c>
      <c r="AC882" s="23" t="n">
        <f aca="false">IFERROR(AB882/AA882,0)</f>
        <v>0.316396</v>
      </c>
      <c r="AD882" s="22" t="s">
        <v>1119</v>
      </c>
    </row>
    <row r="883" customFormat="false" ht="15" hidden="false" customHeight="false" outlineLevel="0" collapsed="false">
      <c r="A883" s="22" t="n">
        <v>882</v>
      </c>
      <c r="B883" s="22" t="s">
        <v>146</v>
      </c>
      <c r="C883" s="37" t="n">
        <v>45453.3942939815</v>
      </c>
      <c r="D883" s="22" t="s">
        <v>202</v>
      </c>
      <c r="E883" s="22" t="n">
        <v>9</v>
      </c>
      <c r="F883" s="22" t="s">
        <v>182</v>
      </c>
      <c r="G883" s="22" t="s">
        <v>241</v>
      </c>
      <c r="H883" s="22" t="n">
        <v>0.05</v>
      </c>
      <c r="I883" s="38" t="n">
        <v>2292.03</v>
      </c>
      <c r="J883" s="38" t="n">
        <v>2291.98</v>
      </c>
      <c r="K883" s="39" t="n">
        <f aca="false">IF(F883="BUY",J883-I883,I883-J883)</f>
        <v>0.0500000000001819</v>
      </c>
      <c r="L883" s="38" t="n">
        <v>2298.03</v>
      </c>
      <c r="M883" s="39" t="n">
        <f aca="false">ABS(I883-L883)</f>
        <v>6</v>
      </c>
      <c r="N883" s="24" t="n">
        <f aca="false">M883*H883*Summary!$C$6</f>
        <v>30</v>
      </c>
      <c r="O883" s="37" t="n">
        <v>45453.4110300926</v>
      </c>
      <c r="P883" s="22" t="n">
        <f aca="false">ROUND((O883-C883)*86400,0)</f>
        <v>1446</v>
      </c>
      <c r="Q883" s="22" t="str">
        <f aca="false">IF(P883&lt;10,"a) &lt;10s",IF(P883&lt;60,"b) 10-60s",IF(P883&lt;600,"c) 1-10min","d) &gt;10min")))</f>
        <v>d) &gt;10min</v>
      </c>
      <c r="R883" s="38" t="n">
        <v>2291.48</v>
      </c>
      <c r="S883" s="38" t="n">
        <v>2291.49</v>
      </c>
      <c r="T883" s="22" t="s">
        <v>189</v>
      </c>
      <c r="U883" s="39" t="n">
        <f aca="false">IF(R883="","",IF(F883="BUY",R883-S883,S883-R883))</f>
        <v>0.00999999999976353</v>
      </c>
      <c r="V883" s="39" t="n">
        <f aca="false">IF(F883="BUY",S883-J883,J883-S883)</f>
        <v>0.490000000000236</v>
      </c>
      <c r="W883" s="6" t="n">
        <v>2.45</v>
      </c>
      <c r="X883" s="26" t="n">
        <f aca="false">IFERROR(W883/N883,0)</f>
        <v>0.0816666666666667</v>
      </c>
      <c r="Y883" s="22" t="str">
        <f aca="false">IF(W883&gt;0,"Win",IF(W883&lt;0,"Loss","Flat"))</f>
        <v>Win</v>
      </c>
      <c r="Z883" s="24" t="n">
        <f aca="false">Summary!$C$5+SUM(W$2:W883)</f>
        <v>3420.47</v>
      </c>
      <c r="AA883" s="24" t="n">
        <f aca="false">MAX(AA882,Z883)</f>
        <v>5000</v>
      </c>
      <c r="AB883" s="24" t="n">
        <f aca="false">AA883-Z883</f>
        <v>1579.53</v>
      </c>
      <c r="AC883" s="23" t="n">
        <f aca="false">IFERROR(AB883/AA883,0)</f>
        <v>0.315906</v>
      </c>
      <c r="AD883" s="22" t="s">
        <v>1120</v>
      </c>
    </row>
    <row r="884" customFormat="false" ht="15" hidden="false" customHeight="false" outlineLevel="0" collapsed="false">
      <c r="A884" s="22" t="n">
        <v>883</v>
      </c>
      <c r="B884" s="22" t="s">
        <v>146</v>
      </c>
      <c r="C884" s="37" t="n">
        <v>45454.3997453704</v>
      </c>
      <c r="D884" s="22" t="s">
        <v>203</v>
      </c>
      <c r="E884" s="22" t="n">
        <v>9</v>
      </c>
      <c r="F884" s="22" t="s">
        <v>181</v>
      </c>
      <c r="G884" s="22" t="s">
        <v>235</v>
      </c>
      <c r="H884" s="22" t="n">
        <v>0.05</v>
      </c>
      <c r="I884" s="38" t="n">
        <v>2304.27</v>
      </c>
      <c r="J884" s="38" t="n">
        <v>2304.33</v>
      </c>
      <c r="K884" s="39" t="n">
        <f aca="false">IF(F884="BUY",J884-I884,I884-J884)</f>
        <v>0.0599999999999454</v>
      </c>
      <c r="L884" s="38" t="n">
        <v>2298.27</v>
      </c>
      <c r="M884" s="39" t="n">
        <f aca="false">ABS(I884-L884)</f>
        <v>6</v>
      </c>
      <c r="N884" s="24" t="n">
        <f aca="false">M884*H884*Summary!$C$6</f>
        <v>30</v>
      </c>
      <c r="O884" s="37" t="n">
        <v>45454.470787037</v>
      </c>
      <c r="P884" s="22" t="n">
        <f aca="false">ROUND((O884-C884)*86400,0)</f>
        <v>6138</v>
      </c>
      <c r="Q884" s="22" t="str">
        <f aca="false">IF(P884&lt;10,"a) &lt;10s",IF(P884&lt;60,"b) 10-60s",IF(P884&lt;600,"c) 1-10min","d) &gt;10min")))</f>
        <v>d) &gt;10min</v>
      </c>
      <c r="R884" s="38" t="n">
        <v>2304.83</v>
      </c>
      <c r="S884" s="38" t="n">
        <v>2304.83</v>
      </c>
      <c r="T884" s="22" t="s">
        <v>189</v>
      </c>
      <c r="U884" s="39" t="n">
        <f aca="false">IF(R884="","",IF(F884="BUY",R884-S884,S884-R884))</f>
        <v>0</v>
      </c>
      <c r="V884" s="39" t="n">
        <f aca="false">IF(F884="BUY",S884-J884,J884-S884)</f>
        <v>0.5</v>
      </c>
      <c r="W884" s="6" t="n">
        <v>2.5</v>
      </c>
      <c r="X884" s="26" t="n">
        <f aca="false">IFERROR(W884/N884,0)</f>
        <v>0.0833333333333333</v>
      </c>
      <c r="Y884" s="22" t="str">
        <f aca="false">IF(W884&gt;0,"Win",IF(W884&lt;0,"Loss","Flat"))</f>
        <v>Win</v>
      </c>
      <c r="Z884" s="24" t="n">
        <f aca="false">Summary!$C$5+SUM(W$2:W884)</f>
        <v>3422.97</v>
      </c>
      <c r="AA884" s="24" t="n">
        <f aca="false">MAX(AA883,Z884)</f>
        <v>5000</v>
      </c>
      <c r="AB884" s="24" t="n">
        <f aca="false">AA884-Z884</f>
        <v>1577.03</v>
      </c>
      <c r="AC884" s="23" t="n">
        <f aca="false">IFERROR(AB884/AA884,0)</f>
        <v>0.315406</v>
      </c>
      <c r="AD884" s="22" t="s">
        <v>1121</v>
      </c>
    </row>
    <row r="885" customFormat="false" ht="15" hidden="false" customHeight="false" outlineLevel="0" collapsed="false">
      <c r="A885" s="22" t="n">
        <v>884</v>
      </c>
      <c r="B885" s="22" t="s">
        <v>146</v>
      </c>
      <c r="C885" s="37" t="n">
        <v>45454.6387962963</v>
      </c>
      <c r="D885" s="22" t="s">
        <v>203</v>
      </c>
      <c r="E885" s="22" t="n">
        <v>15</v>
      </c>
      <c r="F885" s="22" t="s">
        <v>181</v>
      </c>
      <c r="G885" s="22" t="s">
        <v>243</v>
      </c>
      <c r="H885" s="22" t="n">
        <v>0.05</v>
      </c>
      <c r="I885" s="38" t="n">
        <v>2313.66</v>
      </c>
      <c r="J885" s="38" t="n">
        <v>2313.69</v>
      </c>
      <c r="K885" s="39" t="n">
        <f aca="false">IF(F885="BUY",J885-I885,I885-J885)</f>
        <v>0.0300000000002001</v>
      </c>
      <c r="L885" s="38" t="n">
        <v>2307.66</v>
      </c>
      <c r="M885" s="39" t="n">
        <f aca="false">ABS(I885-L885)</f>
        <v>6</v>
      </c>
      <c r="N885" s="24" t="n">
        <f aca="false">M885*H885*Summary!$C$6</f>
        <v>30</v>
      </c>
      <c r="O885" s="37" t="n">
        <v>45454.6694444444</v>
      </c>
      <c r="P885" s="22" t="n">
        <f aca="false">ROUND((O885-C885)*86400,0)</f>
        <v>2648</v>
      </c>
      <c r="Q885" s="22" t="str">
        <f aca="false">IF(P885&lt;10,"a) &lt;10s",IF(P885&lt;60,"b) 10-60s",IF(P885&lt;600,"c) 1-10min","d) &gt;10min")))</f>
        <v>d) &gt;10min</v>
      </c>
      <c r="R885" s="38" t="n">
        <v>2314.19</v>
      </c>
      <c r="S885" s="38" t="n">
        <v>2314.17</v>
      </c>
      <c r="T885" s="22" t="s">
        <v>189</v>
      </c>
      <c r="U885" s="39" t="n">
        <f aca="false">IF(R885="","",IF(F885="BUY",R885-S885,S885-R885))</f>
        <v>0.0199999999999818</v>
      </c>
      <c r="V885" s="39" t="n">
        <f aca="false">IF(F885="BUY",S885-J885,J885-S885)</f>
        <v>0.480000000000018</v>
      </c>
      <c r="W885" s="6" t="n">
        <v>2.4</v>
      </c>
      <c r="X885" s="26" t="n">
        <f aca="false">IFERROR(W885/N885,0)</f>
        <v>0.08</v>
      </c>
      <c r="Y885" s="22" t="str">
        <f aca="false">IF(W885&gt;0,"Win",IF(W885&lt;0,"Loss","Flat"))</f>
        <v>Win</v>
      </c>
      <c r="Z885" s="24" t="n">
        <f aca="false">Summary!$C$5+SUM(W$2:W885)</f>
        <v>3425.37</v>
      </c>
      <c r="AA885" s="24" t="n">
        <f aca="false">MAX(AA884,Z885)</f>
        <v>5000</v>
      </c>
      <c r="AB885" s="24" t="n">
        <f aca="false">AA885-Z885</f>
        <v>1574.63</v>
      </c>
      <c r="AC885" s="23" t="n">
        <f aca="false">IFERROR(AB885/AA885,0)</f>
        <v>0.314926</v>
      </c>
      <c r="AD885" s="22" t="s">
        <v>1122</v>
      </c>
    </row>
    <row r="886" customFormat="false" ht="15" hidden="false" customHeight="false" outlineLevel="0" collapsed="false">
      <c r="A886" s="22" t="n">
        <v>885</v>
      </c>
      <c r="B886" s="22" t="s">
        <v>146</v>
      </c>
      <c r="C886" s="37" t="n">
        <v>45455.4328819444</v>
      </c>
      <c r="D886" s="22" t="s">
        <v>204</v>
      </c>
      <c r="E886" s="22" t="n">
        <v>10</v>
      </c>
      <c r="F886" s="22" t="s">
        <v>182</v>
      </c>
      <c r="G886" s="22" t="s">
        <v>241</v>
      </c>
      <c r="H886" s="22" t="n">
        <v>0.05</v>
      </c>
      <c r="I886" s="38" t="n">
        <v>2312.32</v>
      </c>
      <c r="J886" s="38" t="n">
        <v>2312.28</v>
      </c>
      <c r="K886" s="39" t="n">
        <f aca="false">IF(F886="BUY",J886-I886,I886-J886)</f>
        <v>0.0399999999999636</v>
      </c>
      <c r="L886" s="38" t="n">
        <v>2318.32</v>
      </c>
      <c r="M886" s="39" t="n">
        <f aca="false">ABS(I886-L886)</f>
        <v>6</v>
      </c>
      <c r="N886" s="24" t="n">
        <f aca="false">M886*H886*Summary!$C$6</f>
        <v>30</v>
      </c>
      <c r="O886" s="37" t="n">
        <v>45455.6458449074</v>
      </c>
      <c r="P886" s="22" t="n">
        <f aca="false">ROUND((O886-C886)*86400,0)</f>
        <v>18400</v>
      </c>
      <c r="Q886" s="22" t="str">
        <f aca="false">IF(P886&lt;10,"a) &lt;10s",IF(P886&lt;60,"b) 10-60s",IF(P886&lt;600,"c) 1-10min","d) &gt;10min")))</f>
        <v>d) &gt;10min</v>
      </c>
      <c r="R886" s="38" t="n">
        <v>2318.32</v>
      </c>
      <c r="S886" s="38" t="n">
        <v>2320.34</v>
      </c>
      <c r="T886" s="22" t="s">
        <v>188</v>
      </c>
      <c r="U886" s="39" t="n">
        <f aca="false">IF(R886="","",IF(F886="BUY",R886-S886,S886-R886))</f>
        <v>2.01999999999998</v>
      </c>
      <c r="V886" s="39" t="n">
        <f aca="false">IF(F886="BUY",S886-J886,J886-S886)</f>
        <v>-8.05999999999995</v>
      </c>
      <c r="W886" s="6" t="n">
        <v>-40.3</v>
      </c>
      <c r="X886" s="26" t="n">
        <f aca="false">IFERROR(W886/N886,0)</f>
        <v>-1.34333333333333</v>
      </c>
      <c r="Y886" s="22" t="str">
        <f aca="false">IF(W886&gt;0,"Win",IF(W886&lt;0,"Loss","Flat"))</f>
        <v>Loss</v>
      </c>
      <c r="Z886" s="24" t="n">
        <f aca="false">Summary!$C$5+SUM(W$2:W886)</f>
        <v>3385.07</v>
      </c>
      <c r="AA886" s="24" t="n">
        <f aca="false">MAX(AA885,Z886)</f>
        <v>5000</v>
      </c>
      <c r="AB886" s="24" t="n">
        <f aca="false">AA886-Z886</f>
        <v>1614.93</v>
      </c>
      <c r="AC886" s="23" t="n">
        <f aca="false">IFERROR(AB886/AA886,0)</f>
        <v>0.322986</v>
      </c>
      <c r="AD886" s="22" t="s">
        <v>1123</v>
      </c>
    </row>
    <row r="887" customFormat="false" ht="15" hidden="false" customHeight="false" outlineLevel="0" collapsed="false">
      <c r="A887" s="22" t="n">
        <v>886</v>
      </c>
      <c r="B887" s="22" t="s">
        <v>146</v>
      </c>
      <c r="C887" s="37" t="n">
        <v>45456.1846759259</v>
      </c>
      <c r="D887" s="22" t="s">
        <v>205</v>
      </c>
      <c r="E887" s="22" t="n">
        <v>4</v>
      </c>
      <c r="F887" s="22" t="s">
        <v>182</v>
      </c>
      <c r="G887" s="22" t="s">
        <v>237</v>
      </c>
      <c r="H887" s="22" t="n">
        <v>0.05</v>
      </c>
      <c r="I887" s="38" t="n">
        <v>2310.58</v>
      </c>
      <c r="J887" s="38" t="n">
        <v>2310.56</v>
      </c>
      <c r="K887" s="39" t="n">
        <f aca="false">IF(F887="BUY",J887-I887,I887-J887)</f>
        <v>0.0199999999999818</v>
      </c>
      <c r="L887" s="38" t="n">
        <v>2316.58</v>
      </c>
      <c r="M887" s="39" t="n">
        <f aca="false">ABS(I887-L887)</f>
        <v>6</v>
      </c>
      <c r="N887" s="24" t="n">
        <f aca="false">M887*H887*Summary!$C$6</f>
        <v>30</v>
      </c>
      <c r="O887" s="37" t="n">
        <v>45456.1935648148</v>
      </c>
      <c r="P887" s="22" t="n">
        <f aca="false">ROUND((O887-C887)*86400,0)</f>
        <v>768</v>
      </c>
      <c r="Q887" s="22" t="str">
        <f aca="false">IF(P887&lt;10,"a) &lt;10s",IF(P887&lt;60,"b) 10-60s",IF(P887&lt;600,"c) 1-10min","d) &gt;10min")))</f>
        <v>d) &gt;10min</v>
      </c>
      <c r="R887" s="38" t="n">
        <v>2310.06</v>
      </c>
      <c r="S887" s="38" t="n">
        <v>2310.07</v>
      </c>
      <c r="T887" s="22" t="s">
        <v>189</v>
      </c>
      <c r="U887" s="39" t="n">
        <f aca="false">IF(R887="","",IF(F887="BUY",R887-S887,S887-R887))</f>
        <v>0.0100000000002183</v>
      </c>
      <c r="V887" s="39" t="n">
        <f aca="false">IF(F887="BUY",S887-J887,J887-S887)</f>
        <v>0.489999999999782</v>
      </c>
      <c r="W887" s="6" t="n">
        <v>2.45</v>
      </c>
      <c r="X887" s="26" t="n">
        <f aca="false">IFERROR(W887/N887,0)</f>
        <v>0.0816666666666667</v>
      </c>
      <c r="Y887" s="22" t="str">
        <f aca="false">IF(W887&gt;0,"Win",IF(W887&lt;0,"Loss","Flat"))</f>
        <v>Win</v>
      </c>
      <c r="Z887" s="24" t="n">
        <f aca="false">Summary!$C$5+SUM(W$2:W887)</f>
        <v>3387.52</v>
      </c>
      <c r="AA887" s="24" t="n">
        <f aca="false">MAX(AA886,Z887)</f>
        <v>5000</v>
      </c>
      <c r="AB887" s="24" t="n">
        <f aca="false">AA887-Z887</f>
        <v>1612.48</v>
      </c>
      <c r="AC887" s="23" t="n">
        <f aca="false">IFERROR(AB887/AA887,0)</f>
        <v>0.322496</v>
      </c>
      <c r="AD887" s="22" t="s">
        <v>1124</v>
      </c>
    </row>
    <row r="888" customFormat="false" ht="15" hidden="false" customHeight="false" outlineLevel="0" collapsed="false">
      <c r="A888" s="22" t="n">
        <v>887</v>
      </c>
      <c r="B888" s="22" t="s">
        <v>146</v>
      </c>
      <c r="C888" s="37" t="n">
        <v>45456.3813310185</v>
      </c>
      <c r="D888" s="22" t="s">
        <v>205</v>
      </c>
      <c r="E888" s="22" t="n">
        <v>9</v>
      </c>
      <c r="F888" s="22" t="s">
        <v>181</v>
      </c>
      <c r="G888" s="22" t="s">
        <v>235</v>
      </c>
      <c r="H888" s="22" t="n">
        <v>0.05</v>
      </c>
      <c r="I888" s="38" t="n">
        <v>2314.66</v>
      </c>
      <c r="J888" s="38" t="n">
        <v>2314.69</v>
      </c>
      <c r="K888" s="39" t="n">
        <f aca="false">IF(F888="BUY",J888-I888,I888-J888)</f>
        <v>0.0300000000002001</v>
      </c>
      <c r="L888" s="38" t="n">
        <v>2308.66</v>
      </c>
      <c r="M888" s="39" t="n">
        <f aca="false">ABS(I888-L888)</f>
        <v>6</v>
      </c>
      <c r="N888" s="24" t="n">
        <f aca="false">M888*H888*Summary!$C$6</f>
        <v>30</v>
      </c>
      <c r="O888" s="37" t="n">
        <v>45456.4333912037</v>
      </c>
      <c r="P888" s="22" t="n">
        <f aca="false">ROUND((O888-C888)*86400,0)</f>
        <v>4498</v>
      </c>
      <c r="Q888" s="22" t="str">
        <f aca="false">IF(P888&lt;10,"a) &lt;10s",IF(P888&lt;60,"b) 10-60s",IF(P888&lt;600,"c) 1-10min","d) &gt;10min")))</f>
        <v>d) &gt;10min</v>
      </c>
      <c r="R888" s="38" t="n">
        <v>2315.19</v>
      </c>
      <c r="S888" s="38" t="n">
        <v>2315.16</v>
      </c>
      <c r="T888" s="22" t="s">
        <v>189</v>
      </c>
      <c r="U888" s="39" t="n">
        <f aca="false">IF(R888="","",IF(F888="BUY",R888-S888,S888-R888))</f>
        <v>0.0300000000002001</v>
      </c>
      <c r="V888" s="39" t="n">
        <f aca="false">IF(F888="BUY",S888-J888,J888-S888)</f>
        <v>0.4699999999998</v>
      </c>
      <c r="W888" s="6" t="n">
        <v>2.35</v>
      </c>
      <c r="X888" s="26" t="n">
        <f aca="false">IFERROR(W888/N888,0)</f>
        <v>0.0783333333333333</v>
      </c>
      <c r="Y888" s="22" t="str">
        <f aca="false">IF(W888&gt;0,"Win",IF(W888&lt;0,"Loss","Flat"))</f>
        <v>Win</v>
      </c>
      <c r="Z888" s="24" t="n">
        <f aca="false">Summary!$C$5+SUM(W$2:W888)</f>
        <v>3389.87</v>
      </c>
      <c r="AA888" s="24" t="n">
        <f aca="false">MAX(AA887,Z888)</f>
        <v>5000</v>
      </c>
      <c r="AB888" s="24" t="n">
        <f aca="false">AA888-Z888</f>
        <v>1610.13</v>
      </c>
      <c r="AC888" s="23" t="n">
        <f aca="false">IFERROR(AB888/AA888,0)</f>
        <v>0.322026</v>
      </c>
      <c r="AD888" s="22" t="s">
        <v>1125</v>
      </c>
    </row>
    <row r="889" customFormat="false" ht="15" hidden="false" customHeight="false" outlineLevel="0" collapsed="false">
      <c r="A889" s="22" t="n">
        <v>888</v>
      </c>
      <c r="B889" s="22" t="s">
        <v>146</v>
      </c>
      <c r="C889" s="37" t="n">
        <v>45457.3842476852</v>
      </c>
      <c r="D889" s="22" t="s">
        <v>206</v>
      </c>
      <c r="E889" s="22" t="n">
        <v>9</v>
      </c>
      <c r="F889" s="22" t="s">
        <v>181</v>
      </c>
      <c r="G889" s="22" t="s">
        <v>235</v>
      </c>
      <c r="H889" s="22" t="n">
        <v>0.05</v>
      </c>
      <c r="I889" s="38" t="n">
        <v>2311.47</v>
      </c>
      <c r="J889" s="38" t="n">
        <v>2311.51</v>
      </c>
      <c r="K889" s="39" t="n">
        <f aca="false">IF(F889="BUY",J889-I889,I889-J889)</f>
        <v>0.0400000000004184</v>
      </c>
      <c r="L889" s="38" t="n">
        <v>2305.47</v>
      </c>
      <c r="M889" s="39" t="n">
        <f aca="false">ABS(I889-L889)</f>
        <v>6</v>
      </c>
      <c r="N889" s="24" t="n">
        <f aca="false">M889*H889*Summary!$C$6</f>
        <v>30</v>
      </c>
      <c r="O889" s="37" t="n">
        <v>45457.9270833333</v>
      </c>
      <c r="P889" s="22" t="n">
        <f aca="false">ROUND((O889-C889)*86400,0)</f>
        <v>46901</v>
      </c>
      <c r="Q889" s="22" t="str">
        <f aca="false">IF(P889&lt;10,"a) &lt;10s",IF(P889&lt;60,"b) 10-60s",IF(P889&lt;600,"c) 1-10min","d) &gt;10min")))</f>
        <v>d) &gt;10min</v>
      </c>
      <c r="R889" s="38"/>
      <c r="S889" s="38" t="n">
        <v>2332.61</v>
      </c>
      <c r="T889" s="22" t="s">
        <v>191</v>
      </c>
      <c r="U889" s="39" t="str">
        <f aca="false">IF(R889="","",IF(F889="BUY",R889-S889,S889-R889))</f>
        <v/>
      </c>
      <c r="V889" s="39" t="n">
        <f aca="false">IF(F889="BUY",S889-J889,J889-S889)</f>
        <v>21.0999999999999</v>
      </c>
      <c r="W889" s="6" t="n">
        <v>105.5</v>
      </c>
      <c r="X889" s="26" t="n">
        <f aca="false">IFERROR(W889/N889,0)</f>
        <v>3.51666666666667</v>
      </c>
      <c r="Y889" s="22" t="str">
        <f aca="false">IF(W889&gt;0,"Win",IF(W889&lt;0,"Loss","Flat"))</f>
        <v>Win</v>
      </c>
      <c r="Z889" s="24" t="n">
        <f aca="false">Summary!$C$5+SUM(W$2:W889)</f>
        <v>3495.37</v>
      </c>
      <c r="AA889" s="24" t="n">
        <f aca="false">MAX(AA888,Z889)</f>
        <v>5000</v>
      </c>
      <c r="AB889" s="24" t="n">
        <f aca="false">AA889-Z889</f>
        <v>1504.63</v>
      </c>
      <c r="AC889" s="23" t="n">
        <f aca="false">IFERROR(AB889/AA889,0)</f>
        <v>0.300926</v>
      </c>
      <c r="AD889" s="22" t="s">
        <v>1126</v>
      </c>
    </row>
    <row r="890" customFormat="false" ht="15" hidden="false" customHeight="false" outlineLevel="0" collapsed="false">
      <c r="A890" s="22" t="n">
        <v>889</v>
      </c>
      <c r="B890" s="22" t="s">
        <v>146</v>
      </c>
      <c r="C890" s="37" t="n">
        <v>45460.3757638889</v>
      </c>
      <c r="D890" s="22" t="s">
        <v>202</v>
      </c>
      <c r="E890" s="22" t="n">
        <v>9</v>
      </c>
      <c r="F890" s="22" t="s">
        <v>182</v>
      </c>
      <c r="G890" s="22" t="s">
        <v>241</v>
      </c>
      <c r="H890" s="22" t="n">
        <v>0.05</v>
      </c>
      <c r="I890" s="38" t="n">
        <v>2317.69</v>
      </c>
      <c r="J890" s="38" t="n">
        <v>2317.69</v>
      </c>
      <c r="K890" s="39" t="n">
        <f aca="false">IF(F890="BUY",J890-I890,I890-J890)</f>
        <v>0</v>
      </c>
      <c r="L890" s="38" t="n">
        <v>2323.69</v>
      </c>
      <c r="M890" s="39" t="n">
        <f aca="false">ABS(I890-L890)</f>
        <v>6</v>
      </c>
      <c r="N890" s="24" t="n">
        <f aca="false">M890*H890*Summary!$C$6</f>
        <v>30</v>
      </c>
      <c r="O890" s="37" t="n">
        <v>45460.6742361111</v>
      </c>
      <c r="P890" s="22" t="n">
        <f aca="false">ROUND((O890-C890)*86400,0)</f>
        <v>25788</v>
      </c>
      <c r="Q890" s="22" t="str">
        <f aca="false">IF(P890&lt;10,"a) &lt;10s",IF(P890&lt;60,"b) 10-60s",IF(P890&lt;600,"c) 1-10min","d) &gt;10min")))</f>
        <v>d) &gt;10min</v>
      </c>
      <c r="R890" s="38" t="n">
        <v>2323.69</v>
      </c>
      <c r="S890" s="38" t="n">
        <v>2323.69</v>
      </c>
      <c r="T890" s="22" t="s">
        <v>188</v>
      </c>
      <c r="U890" s="39" t="n">
        <f aca="false">IF(R890="","",IF(F890="BUY",R890-S890,S890-R890))</f>
        <v>0</v>
      </c>
      <c r="V890" s="39" t="n">
        <f aca="false">IF(F890="BUY",S890-J890,J890-S890)</f>
        <v>-6</v>
      </c>
      <c r="W890" s="6" t="n">
        <v>-30</v>
      </c>
      <c r="X890" s="26" t="n">
        <f aca="false">IFERROR(W890/N890,0)</f>
        <v>-1</v>
      </c>
      <c r="Y890" s="22" t="str">
        <f aca="false">IF(W890&gt;0,"Win",IF(W890&lt;0,"Loss","Flat"))</f>
        <v>Loss</v>
      </c>
      <c r="Z890" s="24" t="n">
        <f aca="false">Summary!$C$5+SUM(W$2:W890)</f>
        <v>3465.37</v>
      </c>
      <c r="AA890" s="24" t="n">
        <f aca="false">MAX(AA889,Z890)</f>
        <v>5000</v>
      </c>
      <c r="AB890" s="24" t="n">
        <f aca="false">AA890-Z890</f>
        <v>1534.63</v>
      </c>
      <c r="AC890" s="23" t="n">
        <f aca="false">IFERROR(AB890/AA890,0)</f>
        <v>0.306926</v>
      </c>
      <c r="AD890" s="22" t="s">
        <v>1127</v>
      </c>
    </row>
    <row r="891" customFormat="false" ht="15" hidden="false" customHeight="false" outlineLevel="0" collapsed="false">
      <c r="A891" s="22" t="n">
        <v>890</v>
      </c>
      <c r="B891" s="22" t="s">
        <v>146</v>
      </c>
      <c r="C891" s="37" t="n">
        <v>45461.4078703704</v>
      </c>
      <c r="D891" s="22" t="s">
        <v>203</v>
      </c>
      <c r="E891" s="22" t="n">
        <v>9</v>
      </c>
      <c r="F891" s="22" t="s">
        <v>182</v>
      </c>
      <c r="G891" s="22" t="s">
        <v>241</v>
      </c>
      <c r="H891" s="22" t="n">
        <v>0.05</v>
      </c>
      <c r="I891" s="38" t="n">
        <v>2319.32</v>
      </c>
      <c r="J891" s="38" t="n">
        <v>2319.32</v>
      </c>
      <c r="K891" s="39" t="n">
        <f aca="false">IF(F891="BUY",J891-I891,I891-J891)</f>
        <v>0</v>
      </c>
      <c r="L891" s="38" t="n">
        <v>2325.32</v>
      </c>
      <c r="M891" s="39" t="n">
        <f aca="false">ABS(I891-L891)</f>
        <v>6</v>
      </c>
      <c r="N891" s="24" t="n">
        <f aca="false">M891*H891*Summary!$C$6</f>
        <v>30</v>
      </c>
      <c r="O891" s="37" t="n">
        <v>45461.6458680556</v>
      </c>
      <c r="P891" s="22" t="n">
        <f aca="false">ROUND((O891-C891)*86400,0)</f>
        <v>20563</v>
      </c>
      <c r="Q891" s="22" t="str">
        <f aca="false">IF(P891&lt;10,"a) &lt;10s",IF(P891&lt;60,"b) 10-60s",IF(P891&lt;600,"c) 1-10min","d) &gt;10min")))</f>
        <v>d) &gt;10min</v>
      </c>
      <c r="R891" s="38" t="n">
        <v>2318.82</v>
      </c>
      <c r="S891" s="38" t="n">
        <v>2318.89</v>
      </c>
      <c r="T891" s="22" t="s">
        <v>189</v>
      </c>
      <c r="U891" s="39" t="n">
        <f aca="false">IF(R891="","",IF(F891="BUY",R891-S891,S891-R891))</f>
        <v>0.069999999999709</v>
      </c>
      <c r="V891" s="39" t="n">
        <f aca="false">IF(F891="BUY",S891-J891,J891-S891)</f>
        <v>0.430000000000291</v>
      </c>
      <c r="W891" s="6" t="n">
        <v>2.15</v>
      </c>
      <c r="X891" s="26" t="n">
        <f aca="false">IFERROR(W891/N891,0)</f>
        <v>0.0716666666666667</v>
      </c>
      <c r="Y891" s="22" t="str">
        <f aca="false">IF(W891&gt;0,"Win",IF(W891&lt;0,"Loss","Flat"))</f>
        <v>Win</v>
      </c>
      <c r="Z891" s="24" t="n">
        <f aca="false">Summary!$C$5+SUM(W$2:W891)</f>
        <v>3467.52</v>
      </c>
      <c r="AA891" s="24" t="n">
        <f aca="false">MAX(AA890,Z891)</f>
        <v>5000</v>
      </c>
      <c r="AB891" s="24" t="n">
        <f aca="false">AA891-Z891</f>
        <v>1532.48</v>
      </c>
      <c r="AC891" s="23" t="n">
        <f aca="false">IFERROR(AB891/AA891,0)</f>
        <v>0.306496</v>
      </c>
      <c r="AD891" s="22" t="s">
        <v>1128</v>
      </c>
    </row>
    <row r="892" customFormat="false" ht="15" hidden="false" customHeight="false" outlineLevel="0" collapsed="false">
      <c r="A892" s="22" t="n">
        <v>891</v>
      </c>
      <c r="B892" s="22" t="s">
        <v>146</v>
      </c>
      <c r="C892" s="37" t="n">
        <v>45461.8526388889</v>
      </c>
      <c r="D892" s="22" t="s">
        <v>203</v>
      </c>
      <c r="E892" s="22" t="n">
        <v>20</v>
      </c>
      <c r="F892" s="22" t="s">
        <v>181</v>
      </c>
      <c r="G892" s="22" t="s">
        <v>243</v>
      </c>
      <c r="H892" s="22" t="n">
        <v>0.05</v>
      </c>
      <c r="I892" s="38" t="n">
        <v>2332.49</v>
      </c>
      <c r="J892" s="38" t="n">
        <v>2332.5</v>
      </c>
      <c r="K892" s="39" t="n">
        <f aca="false">IF(F892="BUY",J892-I892,I892-J892)</f>
        <v>0.0100000000002183</v>
      </c>
      <c r="L892" s="38" t="n">
        <v>2326.49</v>
      </c>
      <c r="M892" s="39" t="n">
        <f aca="false">ABS(I892-L892)</f>
        <v>6</v>
      </c>
      <c r="N892" s="24" t="n">
        <f aca="false">M892*H892*Summary!$C$6</f>
        <v>30</v>
      </c>
      <c r="O892" s="37" t="n">
        <v>45461.9270833333</v>
      </c>
      <c r="P892" s="22" t="n">
        <f aca="false">ROUND((O892-C892)*86400,0)</f>
        <v>6432</v>
      </c>
      <c r="Q892" s="22" t="str">
        <f aca="false">IF(P892&lt;10,"a) &lt;10s",IF(P892&lt;60,"b) 10-60s",IF(P892&lt;600,"c) 1-10min","d) &gt;10min")))</f>
        <v>d) &gt;10min</v>
      </c>
      <c r="R892" s="38"/>
      <c r="S892" s="38" t="n">
        <v>2329.23</v>
      </c>
      <c r="T892" s="22" t="s">
        <v>191</v>
      </c>
      <c r="U892" s="39" t="str">
        <f aca="false">IF(R892="","",IF(F892="BUY",R892-S892,S892-R892))</f>
        <v/>
      </c>
      <c r="V892" s="39" t="n">
        <f aca="false">IF(F892="BUY",S892-J892,J892-S892)</f>
        <v>-3.26999999999998</v>
      </c>
      <c r="W892" s="6" t="n">
        <v>-16.35</v>
      </c>
      <c r="X892" s="26" t="n">
        <f aca="false">IFERROR(W892/N892,0)</f>
        <v>-0.545</v>
      </c>
      <c r="Y892" s="22" t="str">
        <f aca="false">IF(W892&gt;0,"Win",IF(W892&lt;0,"Loss","Flat"))</f>
        <v>Loss</v>
      </c>
      <c r="Z892" s="24" t="n">
        <f aca="false">Summary!$C$5+SUM(W$2:W892)</f>
        <v>3451.17</v>
      </c>
      <c r="AA892" s="24" t="n">
        <f aca="false">MAX(AA891,Z892)</f>
        <v>5000</v>
      </c>
      <c r="AB892" s="24" t="n">
        <f aca="false">AA892-Z892</f>
        <v>1548.83</v>
      </c>
      <c r="AC892" s="23" t="n">
        <f aca="false">IFERROR(AB892/AA892,0)</f>
        <v>0.309766</v>
      </c>
      <c r="AD892" s="22" t="s">
        <v>1129</v>
      </c>
    </row>
    <row r="893" customFormat="false" ht="15" hidden="false" customHeight="false" outlineLevel="0" collapsed="false">
      <c r="A893" s="22" t="n">
        <v>892</v>
      </c>
      <c r="B893" s="22" t="s">
        <v>146</v>
      </c>
      <c r="C893" s="37" t="n">
        <v>45462.3759837963</v>
      </c>
      <c r="D893" s="22" t="s">
        <v>204</v>
      </c>
      <c r="E893" s="22" t="n">
        <v>9</v>
      </c>
      <c r="F893" s="22" t="s">
        <v>181</v>
      </c>
      <c r="G893" s="22" t="s">
        <v>235</v>
      </c>
      <c r="H893" s="22" t="n">
        <v>0.05</v>
      </c>
      <c r="I893" s="38" t="n">
        <v>2330.01</v>
      </c>
      <c r="J893" s="38" t="n">
        <v>2330.01</v>
      </c>
      <c r="K893" s="39" t="n">
        <f aca="false">IF(F893="BUY",J893-I893,I893-J893)</f>
        <v>0</v>
      </c>
      <c r="L893" s="38" t="n">
        <v>2324.01</v>
      </c>
      <c r="M893" s="39" t="n">
        <f aca="false">ABS(I893-L893)</f>
        <v>6</v>
      </c>
      <c r="N893" s="24" t="n">
        <f aca="false">M893*H893*Summary!$C$6</f>
        <v>30</v>
      </c>
      <c r="O893" s="37" t="n">
        <v>45462.4229166667</v>
      </c>
      <c r="P893" s="22" t="n">
        <f aca="false">ROUND((O893-C893)*86400,0)</f>
        <v>4055</v>
      </c>
      <c r="Q893" s="22" t="str">
        <f aca="false">IF(P893&lt;10,"a) &lt;10s",IF(P893&lt;60,"b) 10-60s",IF(P893&lt;600,"c) 1-10min","d) &gt;10min")))</f>
        <v>d) &gt;10min</v>
      </c>
      <c r="R893" s="38" t="n">
        <v>2330.51</v>
      </c>
      <c r="S893" s="38" t="n">
        <v>2330.49</v>
      </c>
      <c r="T893" s="22" t="s">
        <v>189</v>
      </c>
      <c r="U893" s="39" t="n">
        <f aca="false">IF(R893="","",IF(F893="BUY",R893-S893,S893-R893))</f>
        <v>0.0200000000004366</v>
      </c>
      <c r="V893" s="39" t="n">
        <f aca="false">IF(F893="BUY",S893-J893,J893-S893)</f>
        <v>0.479999999999563</v>
      </c>
      <c r="W893" s="6" t="n">
        <v>2.4</v>
      </c>
      <c r="X893" s="26" t="n">
        <f aca="false">IFERROR(W893/N893,0)</f>
        <v>0.08</v>
      </c>
      <c r="Y893" s="22" t="str">
        <f aca="false">IF(W893&gt;0,"Win",IF(W893&lt;0,"Loss","Flat"))</f>
        <v>Win</v>
      </c>
      <c r="Z893" s="24" t="n">
        <f aca="false">Summary!$C$5+SUM(W$2:W893)</f>
        <v>3453.57</v>
      </c>
      <c r="AA893" s="24" t="n">
        <f aca="false">MAX(AA892,Z893)</f>
        <v>5000</v>
      </c>
      <c r="AB893" s="24" t="n">
        <f aca="false">AA893-Z893</f>
        <v>1546.43</v>
      </c>
      <c r="AC893" s="23" t="n">
        <f aca="false">IFERROR(AB893/AA893,0)</f>
        <v>0.309286</v>
      </c>
      <c r="AD893" s="22" t="s">
        <v>1130</v>
      </c>
    </row>
    <row r="894" customFormat="false" ht="15" hidden="false" customHeight="false" outlineLevel="0" collapsed="false">
      <c r="A894" s="22" t="n">
        <v>893</v>
      </c>
      <c r="B894" s="22" t="s">
        <v>146</v>
      </c>
      <c r="C894" s="37" t="n">
        <v>45462.45875</v>
      </c>
      <c r="D894" s="22" t="s">
        <v>204</v>
      </c>
      <c r="E894" s="22" t="n">
        <v>11</v>
      </c>
      <c r="F894" s="22" t="s">
        <v>181</v>
      </c>
      <c r="G894" s="22" t="s">
        <v>243</v>
      </c>
      <c r="H894" s="22" t="n">
        <v>0.05</v>
      </c>
      <c r="I894" s="38" t="n">
        <v>2333.01</v>
      </c>
      <c r="J894" s="38" t="n">
        <v>2333.04</v>
      </c>
      <c r="K894" s="39" t="n">
        <f aca="false">IF(F894="BUY",J894-I894,I894-J894)</f>
        <v>0.0299999999997453</v>
      </c>
      <c r="L894" s="38" t="n">
        <v>2327.01</v>
      </c>
      <c r="M894" s="39" t="n">
        <f aca="false">ABS(I894-L894)</f>
        <v>6</v>
      </c>
      <c r="N894" s="24" t="n">
        <f aca="false">M894*H894*Summary!$C$6</f>
        <v>30</v>
      </c>
      <c r="O894" s="37" t="n">
        <v>45462.5859722222</v>
      </c>
      <c r="P894" s="22" t="n">
        <f aca="false">ROUND((O894-C894)*86400,0)</f>
        <v>10992</v>
      </c>
      <c r="Q894" s="22" t="str">
        <f aca="false">IF(P894&lt;10,"a) &lt;10s",IF(P894&lt;60,"b) 10-60s",IF(P894&lt;600,"c) 1-10min","d) &gt;10min")))</f>
        <v>d) &gt;10min</v>
      </c>
      <c r="R894" s="38" t="n">
        <v>2327.01</v>
      </c>
      <c r="S894" s="38" t="n">
        <v>2326.97</v>
      </c>
      <c r="T894" s="22" t="s">
        <v>188</v>
      </c>
      <c r="U894" s="39" t="n">
        <f aca="false">IF(R894="","",IF(F894="BUY",R894-S894,S894-R894))</f>
        <v>0.0400000000004184</v>
      </c>
      <c r="V894" s="39" t="n">
        <f aca="false">IF(F894="BUY",S894-J894,J894-S894)</f>
        <v>-6.07000000000016</v>
      </c>
      <c r="W894" s="6" t="n">
        <v>-30.35</v>
      </c>
      <c r="X894" s="26" t="n">
        <f aca="false">IFERROR(W894/N894,0)</f>
        <v>-1.01166666666667</v>
      </c>
      <c r="Y894" s="22" t="str">
        <f aca="false">IF(W894&gt;0,"Win",IF(W894&lt;0,"Loss","Flat"))</f>
        <v>Loss</v>
      </c>
      <c r="Z894" s="24" t="n">
        <f aca="false">Summary!$C$5+SUM(W$2:W894)</f>
        <v>3423.22</v>
      </c>
      <c r="AA894" s="24" t="n">
        <f aca="false">MAX(AA893,Z894)</f>
        <v>5000</v>
      </c>
      <c r="AB894" s="24" t="n">
        <f aca="false">AA894-Z894</f>
        <v>1576.78</v>
      </c>
      <c r="AC894" s="23" t="n">
        <f aca="false">IFERROR(AB894/AA894,0)</f>
        <v>0.315356</v>
      </c>
      <c r="AD894" s="22" t="s">
        <v>1131</v>
      </c>
    </row>
    <row r="895" customFormat="false" ht="15" hidden="false" customHeight="false" outlineLevel="0" collapsed="false">
      <c r="A895" s="22" t="n">
        <v>894</v>
      </c>
      <c r="B895" s="22" t="s">
        <v>146</v>
      </c>
      <c r="C895" s="37" t="n">
        <v>45463.1707407407</v>
      </c>
      <c r="D895" s="22" t="s">
        <v>205</v>
      </c>
      <c r="E895" s="22" t="n">
        <v>4</v>
      </c>
      <c r="F895" s="22" t="s">
        <v>181</v>
      </c>
      <c r="G895" s="22" t="s">
        <v>243</v>
      </c>
      <c r="H895" s="22" t="n">
        <v>0.05</v>
      </c>
      <c r="I895" s="38" t="n">
        <v>2334.87</v>
      </c>
      <c r="J895" s="38" t="n">
        <v>2334.91</v>
      </c>
      <c r="K895" s="39" t="n">
        <f aca="false">IF(F895="BUY",J895-I895,I895-J895)</f>
        <v>0.0399999999999636</v>
      </c>
      <c r="L895" s="38" t="n">
        <v>2328.87</v>
      </c>
      <c r="M895" s="39" t="n">
        <f aca="false">ABS(I895-L895)</f>
        <v>6</v>
      </c>
      <c r="N895" s="24" t="n">
        <f aca="false">M895*H895*Summary!$C$6</f>
        <v>30</v>
      </c>
      <c r="O895" s="37" t="n">
        <v>45463.2104976852</v>
      </c>
      <c r="P895" s="22" t="n">
        <f aca="false">ROUND((O895-C895)*86400,0)</f>
        <v>3435</v>
      </c>
      <c r="Q895" s="22" t="str">
        <f aca="false">IF(P895&lt;10,"a) &lt;10s",IF(P895&lt;60,"b) 10-60s",IF(P895&lt;600,"c) 1-10min","d) &gt;10min")))</f>
        <v>d) &gt;10min</v>
      </c>
      <c r="R895" s="38" t="n">
        <v>2335.41</v>
      </c>
      <c r="S895" s="38" t="n">
        <v>2335.4</v>
      </c>
      <c r="T895" s="22" t="s">
        <v>189</v>
      </c>
      <c r="U895" s="39" t="n">
        <f aca="false">IF(R895="","",IF(F895="BUY",R895-S895,S895-R895))</f>
        <v>0.00999999999976353</v>
      </c>
      <c r="V895" s="39" t="n">
        <f aca="false">IF(F895="BUY",S895-J895,J895-S895)</f>
        <v>0.490000000000236</v>
      </c>
      <c r="W895" s="6" t="n">
        <v>2.45</v>
      </c>
      <c r="X895" s="26" t="n">
        <f aca="false">IFERROR(W895/N895,0)</f>
        <v>0.0816666666666667</v>
      </c>
      <c r="Y895" s="22" t="str">
        <f aca="false">IF(W895&gt;0,"Win",IF(W895&lt;0,"Loss","Flat"))</f>
        <v>Win</v>
      </c>
      <c r="Z895" s="24" t="n">
        <f aca="false">Summary!$C$5+SUM(W$2:W895)</f>
        <v>3425.67</v>
      </c>
      <c r="AA895" s="24" t="n">
        <f aca="false">MAX(AA894,Z895)</f>
        <v>5000</v>
      </c>
      <c r="AB895" s="24" t="n">
        <f aca="false">AA895-Z895</f>
        <v>1574.33</v>
      </c>
      <c r="AC895" s="23" t="n">
        <f aca="false">IFERROR(AB895/AA895,0)</f>
        <v>0.314866</v>
      </c>
      <c r="AD895" s="22" t="s">
        <v>1132</v>
      </c>
    </row>
    <row r="896" customFormat="false" ht="15" hidden="false" customHeight="false" outlineLevel="0" collapsed="false">
      <c r="A896" s="22" t="n">
        <v>895</v>
      </c>
      <c r="B896" s="22" t="s">
        <v>146</v>
      </c>
      <c r="C896" s="37" t="n">
        <v>45463.393287037</v>
      </c>
      <c r="D896" s="22" t="s">
        <v>205</v>
      </c>
      <c r="E896" s="22" t="n">
        <v>9</v>
      </c>
      <c r="F896" s="22" t="s">
        <v>181</v>
      </c>
      <c r="G896" s="22" t="s">
        <v>235</v>
      </c>
      <c r="H896" s="22" t="n">
        <v>0.05</v>
      </c>
      <c r="I896" s="38" t="n">
        <v>2344.74</v>
      </c>
      <c r="J896" s="38" t="n">
        <v>2344.74</v>
      </c>
      <c r="K896" s="39" t="n">
        <f aca="false">IF(F896="BUY",J896-I896,I896-J896)</f>
        <v>0</v>
      </c>
      <c r="L896" s="38" t="n">
        <v>2338.74</v>
      </c>
      <c r="M896" s="39" t="n">
        <f aca="false">ABS(I896-L896)</f>
        <v>6</v>
      </c>
      <c r="N896" s="24" t="n">
        <f aca="false">M896*H896*Summary!$C$6</f>
        <v>30</v>
      </c>
      <c r="O896" s="37" t="n">
        <v>45463.4578703704</v>
      </c>
      <c r="P896" s="22" t="n">
        <f aca="false">ROUND((O896-C896)*86400,0)</f>
        <v>5580</v>
      </c>
      <c r="Q896" s="22" t="str">
        <f aca="false">IF(P896&lt;10,"a) &lt;10s",IF(P896&lt;60,"b) 10-60s",IF(P896&lt;600,"c) 1-10min","d) &gt;10min")))</f>
        <v>d) &gt;10min</v>
      </c>
      <c r="R896" s="38" t="n">
        <v>2338.74</v>
      </c>
      <c r="S896" s="38" t="n">
        <v>2338.72</v>
      </c>
      <c r="T896" s="22" t="s">
        <v>188</v>
      </c>
      <c r="U896" s="39" t="n">
        <f aca="false">IF(R896="","",IF(F896="BUY",R896-S896,S896-R896))</f>
        <v>0.0199999999999818</v>
      </c>
      <c r="V896" s="39" t="n">
        <f aca="false">IF(F896="BUY",S896-J896,J896-S896)</f>
        <v>-6.01999999999998</v>
      </c>
      <c r="W896" s="6" t="n">
        <v>-30.1</v>
      </c>
      <c r="X896" s="26" t="n">
        <f aca="false">IFERROR(W896/N896,0)</f>
        <v>-1.00333333333333</v>
      </c>
      <c r="Y896" s="22" t="str">
        <f aca="false">IF(W896&gt;0,"Win",IF(W896&lt;0,"Loss","Flat"))</f>
        <v>Loss</v>
      </c>
      <c r="Z896" s="24" t="n">
        <f aca="false">Summary!$C$5+SUM(W$2:W896)</f>
        <v>3395.57</v>
      </c>
      <c r="AA896" s="24" t="n">
        <f aca="false">MAX(AA895,Z896)</f>
        <v>5000</v>
      </c>
      <c r="AB896" s="24" t="n">
        <f aca="false">AA896-Z896</f>
        <v>1604.43</v>
      </c>
      <c r="AC896" s="23" t="n">
        <f aca="false">IFERROR(AB896/AA896,0)</f>
        <v>0.320886</v>
      </c>
      <c r="AD896" s="22" t="s">
        <v>1133</v>
      </c>
    </row>
    <row r="897" customFormat="false" ht="15" hidden="false" customHeight="false" outlineLevel="0" collapsed="false">
      <c r="A897" s="22" t="n">
        <v>896</v>
      </c>
      <c r="B897" s="22" t="s">
        <v>146</v>
      </c>
      <c r="C897" s="37" t="n">
        <v>45464.369212963</v>
      </c>
      <c r="D897" s="22" t="s">
        <v>206</v>
      </c>
      <c r="E897" s="22" t="n">
        <v>8</v>
      </c>
      <c r="F897" s="22" t="s">
        <v>181</v>
      </c>
      <c r="G897" s="22" t="s">
        <v>243</v>
      </c>
      <c r="H897" s="22" t="n">
        <v>0.05</v>
      </c>
      <c r="I897" s="38" t="n">
        <v>2365.38</v>
      </c>
      <c r="J897" s="38" t="n">
        <v>2365.42</v>
      </c>
      <c r="K897" s="39" t="n">
        <f aca="false">IF(F897="BUY",J897-I897,I897-J897)</f>
        <v>0.0399999999999636</v>
      </c>
      <c r="L897" s="38" t="n">
        <v>2359.38</v>
      </c>
      <c r="M897" s="39" t="n">
        <f aca="false">ABS(I897-L897)</f>
        <v>6</v>
      </c>
      <c r="N897" s="24" t="n">
        <f aca="false">M897*H897*Summary!$C$6</f>
        <v>30</v>
      </c>
      <c r="O897" s="37" t="n">
        <v>45464.4035648148</v>
      </c>
      <c r="P897" s="22" t="n">
        <f aca="false">ROUND((O897-C897)*86400,0)</f>
        <v>2968</v>
      </c>
      <c r="Q897" s="22" t="str">
        <f aca="false">IF(P897&lt;10,"a) &lt;10s",IF(P897&lt;60,"b) 10-60s",IF(P897&lt;600,"c) 1-10min","d) &gt;10min")))</f>
        <v>d) &gt;10min</v>
      </c>
      <c r="R897" s="38" t="n">
        <v>2359.38</v>
      </c>
      <c r="S897" s="38" t="n">
        <v>2359.31</v>
      </c>
      <c r="T897" s="22" t="s">
        <v>188</v>
      </c>
      <c r="U897" s="39" t="n">
        <f aca="false">IF(R897="","",IF(F897="BUY",R897-S897,S897-R897))</f>
        <v>0.0700000000001637</v>
      </c>
      <c r="V897" s="39" t="n">
        <f aca="false">IF(F897="BUY",S897-J897,J897-S897)</f>
        <v>-6.11000000000013</v>
      </c>
      <c r="W897" s="6" t="n">
        <v>-30.55</v>
      </c>
      <c r="X897" s="26" t="n">
        <f aca="false">IFERROR(W897/N897,0)</f>
        <v>-1.01833333333333</v>
      </c>
      <c r="Y897" s="22" t="str">
        <f aca="false">IF(W897&gt;0,"Win",IF(W897&lt;0,"Loss","Flat"))</f>
        <v>Loss</v>
      </c>
      <c r="Z897" s="24" t="n">
        <f aca="false">Summary!$C$5+SUM(W$2:W897)</f>
        <v>3365.02</v>
      </c>
      <c r="AA897" s="24" t="n">
        <f aca="false">MAX(AA896,Z897)</f>
        <v>5000</v>
      </c>
      <c r="AB897" s="24" t="n">
        <f aca="false">AA897-Z897</f>
        <v>1634.98</v>
      </c>
      <c r="AC897" s="23" t="n">
        <f aca="false">IFERROR(AB897/AA897,0)</f>
        <v>0.326996</v>
      </c>
      <c r="AD897" s="22" t="s">
        <v>1134</v>
      </c>
    </row>
    <row r="898" customFormat="false" ht="15" hidden="false" customHeight="false" outlineLevel="0" collapsed="false">
      <c r="A898" s="22" t="n">
        <v>897</v>
      </c>
      <c r="B898" s="22" t="s">
        <v>146</v>
      </c>
      <c r="C898" s="37" t="n">
        <v>45464.4689814815</v>
      </c>
      <c r="D898" s="22" t="s">
        <v>206</v>
      </c>
      <c r="E898" s="22" t="n">
        <v>11</v>
      </c>
      <c r="F898" s="22" t="s">
        <v>181</v>
      </c>
      <c r="G898" s="22" t="s">
        <v>235</v>
      </c>
      <c r="H898" s="22" t="n">
        <v>0.05</v>
      </c>
      <c r="I898" s="38" t="n">
        <v>2365.49</v>
      </c>
      <c r="J898" s="38" t="n">
        <v>2365.5</v>
      </c>
      <c r="K898" s="39" t="n">
        <f aca="false">IF(F898="BUY",J898-I898,I898-J898)</f>
        <v>0.0100000000002183</v>
      </c>
      <c r="L898" s="38" t="n">
        <v>2359.49</v>
      </c>
      <c r="M898" s="39" t="n">
        <f aca="false">ABS(I898-L898)</f>
        <v>6</v>
      </c>
      <c r="N898" s="24" t="n">
        <f aca="false">M898*H898*Summary!$C$6</f>
        <v>30</v>
      </c>
      <c r="O898" s="37" t="n">
        <v>45464.4821296296</v>
      </c>
      <c r="P898" s="22" t="n">
        <f aca="false">ROUND((O898-C898)*86400,0)</f>
        <v>1136</v>
      </c>
      <c r="Q898" s="22" t="str">
        <f aca="false">IF(P898&lt;10,"a) &lt;10s",IF(P898&lt;60,"b) 10-60s",IF(P898&lt;600,"c) 1-10min","d) &gt;10min")))</f>
        <v>d) &gt;10min</v>
      </c>
      <c r="R898" s="38" t="n">
        <v>2366</v>
      </c>
      <c r="S898" s="38" t="n">
        <v>2365.98</v>
      </c>
      <c r="T898" s="22" t="s">
        <v>189</v>
      </c>
      <c r="U898" s="39" t="n">
        <f aca="false">IF(R898="","",IF(F898="BUY",R898-S898,S898-R898))</f>
        <v>0.0199999999999818</v>
      </c>
      <c r="V898" s="39" t="n">
        <f aca="false">IF(F898="BUY",S898-J898,J898-S898)</f>
        <v>0.480000000000018</v>
      </c>
      <c r="W898" s="6" t="n">
        <v>2.4</v>
      </c>
      <c r="X898" s="26" t="n">
        <f aca="false">IFERROR(W898/N898,0)</f>
        <v>0.08</v>
      </c>
      <c r="Y898" s="22" t="str">
        <f aca="false">IF(W898&gt;0,"Win",IF(W898&lt;0,"Loss","Flat"))</f>
        <v>Win</v>
      </c>
      <c r="Z898" s="24" t="n">
        <f aca="false">Summary!$C$5+SUM(W$2:W898)</f>
        <v>3367.42</v>
      </c>
      <c r="AA898" s="24" t="n">
        <f aca="false">MAX(AA897,Z898)</f>
        <v>5000</v>
      </c>
      <c r="AB898" s="24" t="n">
        <f aca="false">AA898-Z898</f>
        <v>1632.58</v>
      </c>
      <c r="AC898" s="23" t="n">
        <f aca="false">IFERROR(AB898/AA898,0)</f>
        <v>0.326516</v>
      </c>
      <c r="AD898" s="22" t="s">
        <v>1135</v>
      </c>
    </row>
    <row r="899" customFormat="false" ht="15" hidden="false" customHeight="false" outlineLevel="0" collapsed="false">
      <c r="A899" s="22" t="n">
        <v>898</v>
      </c>
      <c r="B899" s="22" t="s">
        <v>146</v>
      </c>
      <c r="C899" s="37" t="n">
        <v>45467.3778240741</v>
      </c>
      <c r="D899" s="22" t="s">
        <v>202</v>
      </c>
      <c r="E899" s="22" t="n">
        <v>9</v>
      </c>
      <c r="F899" s="22" t="s">
        <v>182</v>
      </c>
      <c r="G899" s="22" t="s">
        <v>241</v>
      </c>
      <c r="H899" s="22" t="n">
        <v>0.05</v>
      </c>
      <c r="I899" s="38" t="n">
        <v>2323.54</v>
      </c>
      <c r="J899" s="38" t="n">
        <v>2323.53</v>
      </c>
      <c r="K899" s="39" t="n">
        <f aca="false">IF(F899="BUY",J899-I899,I899-J899)</f>
        <v>0.00999999999976353</v>
      </c>
      <c r="L899" s="38" t="n">
        <v>2329.54</v>
      </c>
      <c r="M899" s="39" t="n">
        <f aca="false">ABS(I899-L899)</f>
        <v>6</v>
      </c>
      <c r="N899" s="24" t="n">
        <f aca="false">M899*H899*Summary!$C$6</f>
        <v>30</v>
      </c>
      <c r="O899" s="37" t="n">
        <v>45467.4402777778</v>
      </c>
      <c r="P899" s="22" t="n">
        <f aca="false">ROUND((O899-C899)*86400,0)</f>
        <v>5396</v>
      </c>
      <c r="Q899" s="22" t="str">
        <f aca="false">IF(P899&lt;10,"a) &lt;10s",IF(P899&lt;60,"b) 10-60s",IF(P899&lt;600,"c) 1-10min","d) &gt;10min")))</f>
        <v>d) &gt;10min</v>
      </c>
      <c r="R899" s="38" t="n">
        <v>2329.54</v>
      </c>
      <c r="S899" s="38" t="n">
        <v>2329.63</v>
      </c>
      <c r="T899" s="22" t="s">
        <v>188</v>
      </c>
      <c r="U899" s="39" t="n">
        <f aca="false">IF(R899="","",IF(F899="BUY",R899-S899,S899-R899))</f>
        <v>0.0900000000001455</v>
      </c>
      <c r="V899" s="39" t="n">
        <f aca="false">IF(F899="BUY",S899-J899,J899-S899)</f>
        <v>-6.09999999999991</v>
      </c>
      <c r="W899" s="6" t="n">
        <v>-30.5</v>
      </c>
      <c r="X899" s="26" t="n">
        <f aca="false">IFERROR(W899/N899,0)</f>
        <v>-1.01666666666667</v>
      </c>
      <c r="Y899" s="22" t="str">
        <f aca="false">IF(W899&gt;0,"Win",IF(W899&lt;0,"Loss","Flat"))</f>
        <v>Loss</v>
      </c>
      <c r="Z899" s="24" t="n">
        <f aca="false">Summary!$C$5+SUM(W$2:W899)</f>
        <v>3336.92</v>
      </c>
      <c r="AA899" s="24" t="n">
        <f aca="false">MAX(AA898,Z899)</f>
        <v>5000</v>
      </c>
      <c r="AB899" s="24" t="n">
        <f aca="false">AA899-Z899</f>
        <v>1663.08</v>
      </c>
      <c r="AC899" s="23" t="n">
        <f aca="false">IFERROR(AB899/AA899,0)</f>
        <v>0.332616</v>
      </c>
      <c r="AD899" s="22" t="s">
        <v>1136</v>
      </c>
    </row>
    <row r="900" customFormat="false" ht="15" hidden="false" customHeight="false" outlineLevel="0" collapsed="false">
      <c r="A900" s="22" t="n">
        <v>899</v>
      </c>
      <c r="B900" s="22" t="s">
        <v>146</v>
      </c>
      <c r="C900" s="37" t="n">
        <v>45468.4965162037</v>
      </c>
      <c r="D900" s="22" t="s">
        <v>203</v>
      </c>
      <c r="E900" s="22" t="n">
        <v>11</v>
      </c>
      <c r="F900" s="22" t="s">
        <v>181</v>
      </c>
      <c r="G900" s="22" t="s">
        <v>235</v>
      </c>
      <c r="H900" s="22" t="n">
        <v>0.05</v>
      </c>
      <c r="I900" s="38" t="n">
        <v>2330.02</v>
      </c>
      <c r="J900" s="38" t="n">
        <v>2330.04</v>
      </c>
      <c r="K900" s="39" t="n">
        <f aca="false">IF(F900="BUY",J900-I900,I900-J900)</f>
        <v>0.0199999999999818</v>
      </c>
      <c r="L900" s="38" t="n">
        <v>2324.02</v>
      </c>
      <c r="M900" s="39" t="n">
        <f aca="false">ABS(I900-L900)</f>
        <v>6</v>
      </c>
      <c r="N900" s="24" t="n">
        <f aca="false">M900*H900*Summary!$C$6</f>
        <v>30</v>
      </c>
      <c r="O900" s="37" t="n">
        <v>45468.6025115741</v>
      </c>
      <c r="P900" s="22" t="n">
        <f aca="false">ROUND((O900-C900)*86400,0)</f>
        <v>9158</v>
      </c>
      <c r="Q900" s="22" t="str">
        <f aca="false">IF(P900&lt;10,"a) &lt;10s",IF(P900&lt;60,"b) 10-60s",IF(P900&lt;600,"c) 1-10min","d) &gt;10min")))</f>
        <v>d) &gt;10min</v>
      </c>
      <c r="R900" s="38" t="n">
        <v>2330.54</v>
      </c>
      <c r="S900" s="38" t="n">
        <v>2330.54</v>
      </c>
      <c r="T900" s="22" t="s">
        <v>189</v>
      </c>
      <c r="U900" s="39" t="n">
        <f aca="false">IF(R900="","",IF(F900="BUY",R900-S900,S900-R900))</f>
        <v>0</v>
      </c>
      <c r="V900" s="39" t="n">
        <f aca="false">IF(F900="BUY",S900-J900,J900-S900)</f>
        <v>0.5</v>
      </c>
      <c r="W900" s="6" t="n">
        <v>2.5</v>
      </c>
      <c r="X900" s="26" t="n">
        <f aca="false">IFERROR(W900/N900,0)</f>
        <v>0.0833333333333333</v>
      </c>
      <c r="Y900" s="22" t="str">
        <f aca="false">IF(W900&gt;0,"Win",IF(W900&lt;0,"Loss","Flat"))</f>
        <v>Win</v>
      </c>
      <c r="Z900" s="24" t="n">
        <f aca="false">Summary!$C$5+SUM(W$2:W900)</f>
        <v>3339.42</v>
      </c>
      <c r="AA900" s="24" t="n">
        <f aca="false">MAX(AA899,Z900)</f>
        <v>5000</v>
      </c>
      <c r="AB900" s="24" t="n">
        <f aca="false">AA900-Z900</f>
        <v>1660.58</v>
      </c>
      <c r="AC900" s="23" t="n">
        <f aca="false">IFERROR(AB900/AA900,0)</f>
        <v>0.332116</v>
      </c>
      <c r="AD900" s="22" t="s">
        <v>1137</v>
      </c>
    </row>
    <row r="901" customFormat="false" ht="15" hidden="false" customHeight="false" outlineLevel="0" collapsed="false">
      <c r="A901" s="22" t="n">
        <v>900</v>
      </c>
      <c r="B901" s="22" t="s">
        <v>146</v>
      </c>
      <c r="C901" s="37" t="n">
        <v>45468.7721643519</v>
      </c>
      <c r="D901" s="22" t="s">
        <v>203</v>
      </c>
      <c r="E901" s="22" t="n">
        <v>18</v>
      </c>
      <c r="F901" s="22" t="s">
        <v>182</v>
      </c>
      <c r="G901" s="22" t="s">
        <v>237</v>
      </c>
      <c r="H901" s="22" t="n">
        <v>0.05</v>
      </c>
      <c r="I901" s="38" t="n">
        <v>2317.58</v>
      </c>
      <c r="J901" s="38" t="n">
        <v>2317.47</v>
      </c>
      <c r="K901" s="39" t="n">
        <f aca="false">IF(F901="BUY",J901-I901,I901-J901)</f>
        <v>0.110000000000127</v>
      </c>
      <c r="L901" s="38" t="n">
        <v>2323.58</v>
      </c>
      <c r="M901" s="39" t="n">
        <f aca="false">ABS(I901-L901)</f>
        <v>6</v>
      </c>
      <c r="N901" s="24" t="n">
        <f aca="false">M901*H901*Summary!$C$6</f>
        <v>30</v>
      </c>
      <c r="O901" s="37" t="n">
        <v>45468.7876388889</v>
      </c>
      <c r="P901" s="22" t="n">
        <f aca="false">ROUND((O901-C901)*86400,0)</f>
        <v>1337</v>
      </c>
      <c r="Q901" s="22" t="str">
        <f aca="false">IF(P901&lt;10,"a) &lt;10s",IF(P901&lt;60,"b) 10-60s",IF(P901&lt;600,"c) 1-10min","d) &gt;10min")))</f>
        <v>d) &gt;10min</v>
      </c>
      <c r="R901" s="38" t="n">
        <v>2323.58</v>
      </c>
      <c r="S901" s="38" t="n">
        <v>2323.65</v>
      </c>
      <c r="T901" s="22" t="s">
        <v>188</v>
      </c>
      <c r="U901" s="39" t="n">
        <f aca="false">IF(R901="","",IF(F901="BUY",R901-S901,S901-R901))</f>
        <v>0.0700000000001637</v>
      </c>
      <c r="V901" s="39" t="n">
        <f aca="false">IF(F901="BUY",S901-J901,J901-S901)</f>
        <v>-6.18000000000029</v>
      </c>
      <c r="W901" s="6" t="n">
        <v>-30.9</v>
      </c>
      <c r="X901" s="26" t="n">
        <f aca="false">IFERROR(W901/N901,0)</f>
        <v>-1.03</v>
      </c>
      <c r="Y901" s="22" t="str">
        <f aca="false">IF(W901&gt;0,"Win",IF(W901&lt;0,"Loss","Flat"))</f>
        <v>Loss</v>
      </c>
      <c r="Z901" s="24" t="n">
        <f aca="false">Summary!$C$5+SUM(W$2:W901)</f>
        <v>3308.52</v>
      </c>
      <c r="AA901" s="24" t="n">
        <f aca="false">MAX(AA900,Z901)</f>
        <v>5000</v>
      </c>
      <c r="AB901" s="24" t="n">
        <f aca="false">AA901-Z901</f>
        <v>1691.48</v>
      </c>
      <c r="AC901" s="23" t="n">
        <f aca="false">IFERROR(AB901/AA901,0)</f>
        <v>0.338296</v>
      </c>
      <c r="AD901" s="22" t="s">
        <v>1138</v>
      </c>
    </row>
    <row r="902" customFormat="false" ht="15" hidden="false" customHeight="false" outlineLevel="0" collapsed="false">
      <c r="A902" s="22" t="n">
        <v>901</v>
      </c>
      <c r="B902" s="22" t="s">
        <v>146</v>
      </c>
      <c r="C902" s="37" t="n">
        <v>45469.1937268519</v>
      </c>
      <c r="D902" s="22" t="s">
        <v>204</v>
      </c>
      <c r="E902" s="22" t="n">
        <v>4</v>
      </c>
      <c r="F902" s="22" t="s">
        <v>182</v>
      </c>
      <c r="G902" s="22" t="s">
        <v>237</v>
      </c>
      <c r="H902" s="22" t="n">
        <v>0.05</v>
      </c>
      <c r="I902" s="38" t="n">
        <v>2315.41</v>
      </c>
      <c r="J902" s="38" t="n">
        <v>2315.41</v>
      </c>
      <c r="K902" s="39" t="n">
        <f aca="false">IF(F902="BUY",J902-I902,I902-J902)</f>
        <v>0</v>
      </c>
      <c r="L902" s="38" t="n">
        <v>2321.41</v>
      </c>
      <c r="M902" s="39" t="n">
        <f aca="false">ABS(I902-L902)</f>
        <v>6</v>
      </c>
      <c r="N902" s="24" t="n">
        <f aca="false">M902*H902*Summary!$C$6</f>
        <v>30</v>
      </c>
      <c r="O902" s="37" t="n">
        <v>45469.1940625</v>
      </c>
      <c r="P902" s="22" t="n">
        <f aca="false">ROUND((O902-C902)*86400,0)</f>
        <v>29</v>
      </c>
      <c r="Q902" s="22" t="str">
        <f aca="false">IF(P902&lt;10,"a) &lt;10s",IF(P902&lt;60,"b) 10-60s",IF(P902&lt;600,"c) 1-10min","d) &gt;10min")))</f>
        <v>b) 10-60s</v>
      </c>
      <c r="R902" s="38" t="n">
        <v>2314.91</v>
      </c>
      <c r="S902" s="38" t="n">
        <v>2314.91</v>
      </c>
      <c r="T902" s="22" t="s">
        <v>189</v>
      </c>
      <c r="U902" s="39" t="n">
        <f aca="false">IF(R902="","",IF(F902="BUY",R902-S902,S902-R902))</f>
        <v>0</v>
      </c>
      <c r="V902" s="39" t="n">
        <f aca="false">IF(F902="BUY",S902-J902,J902-S902)</f>
        <v>0.5</v>
      </c>
      <c r="W902" s="6" t="n">
        <v>2.5</v>
      </c>
      <c r="X902" s="26" t="n">
        <f aca="false">IFERROR(W902/N902,0)</f>
        <v>0.0833333333333333</v>
      </c>
      <c r="Y902" s="22" t="str">
        <f aca="false">IF(W902&gt;0,"Win",IF(W902&lt;0,"Loss","Flat"))</f>
        <v>Win</v>
      </c>
      <c r="Z902" s="24" t="n">
        <f aca="false">Summary!$C$5+SUM(W$2:W902)</f>
        <v>3311.02</v>
      </c>
      <c r="AA902" s="24" t="n">
        <f aca="false">MAX(AA901,Z902)</f>
        <v>5000</v>
      </c>
      <c r="AB902" s="24" t="n">
        <f aca="false">AA902-Z902</f>
        <v>1688.98</v>
      </c>
      <c r="AC902" s="23" t="n">
        <f aca="false">IFERROR(AB902/AA902,0)</f>
        <v>0.337796</v>
      </c>
      <c r="AD902" s="22" t="s">
        <v>1139</v>
      </c>
    </row>
    <row r="903" customFormat="false" ht="15" hidden="false" customHeight="false" outlineLevel="0" collapsed="false">
      <c r="A903" s="22" t="n">
        <v>902</v>
      </c>
      <c r="B903" s="22" t="s">
        <v>146</v>
      </c>
      <c r="C903" s="37" t="n">
        <v>45469.375</v>
      </c>
      <c r="D903" s="22" t="s">
        <v>204</v>
      </c>
      <c r="E903" s="22" t="n">
        <v>9</v>
      </c>
      <c r="F903" s="22" t="s">
        <v>182</v>
      </c>
      <c r="G903" s="22" t="s">
        <v>241</v>
      </c>
      <c r="H903" s="22" t="n">
        <v>0.05</v>
      </c>
      <c r="I903" s="38" t="n">
        <v>2311.74</v>
      </c>
      <c r="J903" s="38" t="n">
        <v>2311.69</v>
      </c>
      <c r="K903" s="39" t="n">
        <f aca="false">IF(F903="BUY",J903-I903,I903-J903)</f>
        <v>0.0499999999997272</v>
      </c>
      <c r="L903" s="38" t="n">
        <v>2317.74</v>
      </c>
      <c r="M903" s="39" t="n">
        <f aca="false">ABS(I903-L903)</f>
        <v>6</v>
      </c>
      <c r="N903" s="24" t="n">
        <f aca="false">M903*H903*Summary!$C$6</f>
        <v>30</v>
      </c>
      <c r="O903" s="37" t="n">
        <v>45469.4792013889</v>
      </c>
      <c r="P903" s="22" t="n">
        <f aca="false">ROUND((O903-C903)*86400,0)</f>
        <v>9003</v>
      </c>
      <c r="Q903" s="22" t="str">
        <f aca="false">IF(P903&lt;10,"a) &lt;10s",IF(P903&lt;60,"b) 10-60s",IF(P903&lt;600,"c) 1-10min","d) &gt;10min")))</f>
        <v>d) &gt;10min</v>
      </c>
      <c r="R903" s="38" t="n">
        <v>2317.74</v>
      </c>
      <c r="S903" s="38" t="n">
        <v>2317.81</v>
      </c>
      <c r="T903" s="22" t="s">
        <v>188</v>
      </c>
      <c r="U903" s="39" t="n">
        <f aca="false">IF(R903="","",IF(F903="BUY",R903-S903,S903-R903))</f>
        <v>0.0700000000001637</v>
      </c>
      <c r="V903" s="39" t="n">
        <f aca="false">IF(F903="BUY",S903-J903,J903-S903)</f>
        <v>-6.11999999999989</v>
      </c>
      <c r="W903" s="6" t="n">
        <v>-30.6</v>
      </c>
      <c r="X903" s="26" t="n">
        <f aca="false">IFERROR(W903/N903,0)</f>
        <v>-1.02</v>
      </c>
      <c r="Y903" s="22" t="str">
        <f aca="false">IF(W903&gt;0,"Win",IF(W903&lt;0,"Loss","Flat"))</f>
        <v>Loss</v>
      </c>
      <c r="Z903" s="24" t="n">
        <f aca="false">Summary!$C$5+SUM(W$2:W903)</f>
        <v>3280.42</v>
      </c>
      <c r="AA903" s="24" t="n">
        <f aca="false">MAX(AA902,Z903)</f>
        <v>5000</v>
      </c>
      <c r="AB903" s="24" t="n">
        <f aca="false">AA903-Z903</f>
        <v>1719.58</v>
      </c>
      <c r="AC903" s="23" t="n">
        <f aca="false">IFERROR(AB903/AA903,0)</f>
        <v>0.343916</v>
      </c>
      <c r="AD903" s="22" t="s">
        <v>1140</v>
      </c>
    </row>
    <row r="904" customFormat="false" ht="15" hidden="false" customHeight="false" outlineLevel="0" collapsed="false">
      <c r="A904" s="22" t="n">
        <v>903</v>
      </c>
      <c r="B904" s="22" t="s">
        <v>146</v>
      </c>
      <c r="C904" s="37" t="n">
        <v>45470.3757638889</v>
      </c>
      <c r="D904" s="22" t="s">
        <v>205</v>
      </c>
      <c r="E904" s="22" t="n">
        <v>9</v>
      </c>
      <c r="F904" s="22" t="s">
        <v>182</v>
      </c>
      <c r="G904" s="22" t="s">
        <v>241</v>
      </c>
      <c r="H904" s="22" t="n">
        <v>0.05</v>
      </c>
      <c r="I904" s="38" t="n">
        <v>2296.72</v>
      </c>
      <c r="J904" s="38" t="n">
        <v>2296.63</v>
      </c>
      <c r="K904" s="39" t="n">
        <f aca="false">IF(F904="BUY",J904-I904,I904-J904)</f>
        <v>0.0899999999996908</v>
      </c>
      <c r="L904" s="38" t="n">
        <v>2302.72</v>
      </c>
      <c r="M904" s="39" t="n">
        <f aca="false">ABS(I904-L904)</f>
        <v>6</v>
      </c>
      <c r="N904" s="24" t="n">
        <f aca="false">M904*H904*Summary!$C$6</f>
        <v>30</v>
      </c>
      <c r="O904" s="37" t="n">
        <v>45470.3968865741</v>
      </c>
      <c r="P904" s="22" t="n">
        <f aca="false">ROUND((O904-C904)*86400,0)</f>
        <v>1825</v>
      </c>
      <c r="Q904" s="22" t="str">
        <f aca="false">IF(P904&lt;10,"a) &lt;10s",IF(P904&lt;60,"b) 10-60s",IF(P904&lt;600,"c) 1-10min","d) &gt;10min")))</f>
        <v>d) &gt;10min</v>
      </c>
      <c r="R904" s="38" t="n">
        <v>2302.72</v>
      </c>
      <c r="S904" s="38" t="n">
        <v>2302.77</v>
      </c>
      <c r="T904" s="22" t="s">
        <v>188</v>
      </c>
      <c r="U904" s="39" t="n">
        <f aca="false">IF(R904="","",IF(F904="BUY",R904-S904,S904-R904))</f>
        <v>0.0500000000001819</v>
      </c>
      <c r="V904" s="39" t="n">
        <f aca="false">IF(F904="BUY",S904-J904,J904-S904)</f>
        <v>-6.13999999999987</v>
      </c>
      <c r="W904" s="6" t="n">
        <v>-30.7</v>
      </c>
      <c r="X904" s="26" t="n">
        <f aca="false">IFERROR(W904/N904,0)</f>
        <v>-1.02333333333333</v>
      </c>
      <c r="Y904" s="22" t="str">
        <f aca="false">IF(W904&gt;0,"Win",IF(W904&lt;0,"Loss","Flat"))</f>
        <v>Loss</v>
      </c>
      <c r="Z904" s="24" t="n">
        <f aca="false">Summary!$C$5+SUM(W$2:W904)</f>
        <v>3249.72</v>
      </c>
      <c r="AA904" s="24" t="n">
        <f aca="false">MAX(AA903,Z904)</f>
        <v>5000</v>
      </c>
      <c r="AB904" s="24" t="n">
        <f aca="false">AA904-Z904</f>
        <v>1750.28</v>
      </c>
      <c r="AC904" s="23" t="n">
        <f aca="false">IFERROR(AB904/AA904,0)</f>
        <v>0.350056</v>
      </c>
      <c r="AD904" s="22" t="s">
        <v>1141</v>
      </c>
    </row>
    <row r="905" customFormat="false" ht="15" hidden="false" customHeight="false" outlineLevel="0" collapsed="false">
      <c r="A905" s="22" t="n">
        <v>904</v>
      </c>
      <c r="B905" s="22" t="s">
        <v>146</v>
      </c>
      <c r="C905" s="37" t="n">
        <v>45470.6526736111</v>
      </c>
      <c r="D905" s="22" t="s">
        <v>205</v>
      </c>
      <c r="E905" s="22" t="n">
        <v>15</v>
      </c>
      <c r="F905" s="22" t="s">
        <v>181</v>
      </c>
      <c r="G905" s="22" t="s">
        <v>243</v>
      </c>
      <c r="H905" s="22" t="n">
        <v>0.05</v>
      </c>
      <c r="I905" s="38" t="n">
        <v>2323.74</v>
      </c>
      <c r="J905" s="38" t="n">
        <v>2323.83</v>
      </c>
      <c r="K905" s="39" t="n">
        <f aca="false">IF(F905="BUY",J905-I905,I905-J905)</f>
        <v>0.0900000000001455</v>
      </c>
      <c r="L905" s="38" t="n">
        <v>2317.74</v>
      </c>
      <c r="M905" s="39" t="n">
        <f aca="false">ABS(I905-L905)</f>
        <v>6</v>
      </c>
      <c r="N905" s="24" t="n">
        <f aca="false">M905*H905*Summary!$C$6</f>
        <v>30</v>
      </c>
      <c r="O905" s="37" t="n">
        <v>45470.7225347222</v>
      </c>
      <c r="P905" s="22" t="n">
        <f aca="false">ROUND((O905-C905)*86400,0)</f>
        <v>6036</v>
      </c>
      <c r="Q905" s="22" t="str">
        <f aca="false">IF(P905&lt;10,"a) &lt;10s",IF(P905&lt;60,"b) 10-60s",IF(P905&lt;600,"c) 1-10min","d) &gt;10min")))</f>
        <v>d) &gt;10min</v>
      </c>
      <c r="R905" s="38" t="n">
        <v>2324.33</v>
      </c>
      <c r="S905" s="38" t="n">
        <v>2324.3</v>
      </c>
      <c r="T905" s="22" t="s">
        <v>189</v>
      </c>
      <c r="U905" s="39" t="n">
        <f aca="false">IF(R905="","",IF(F905="BUY",R905-S905,S905-R905))</f>
        <v>0.0299999999997453</v>
      </c>
      <c r="V905" s="39" t="n">
        <f aca="false">IF(F905="BUY",S905-J905,J905-S905)</f>
        <v>0.470000000000255</v>
      </c>
      <c r="W905" s="6" t="n">
        <v>2.35</v>
      </c>
      <c r="X905" s="26" t="n">
        <f aca="false">IFERROR(W905/N905,0)</f>
        <v>0.0783333333333333</v>
      </c>
      <c r="Y905" s="22" t="str">
        <f aca="false">IF(W905&gt;0,"Win",IF(W905&lt;0,"Loss","Flat"))</f>
        <v>Win</v>
      </c>
      <c r="Z905" s="24" t="n">
        <f aca="false">Summary!$C$5+SUM(W$2:W905)</f>
        <v>3252.07</v>
      </c>
      <c r="AA905" s="24" t="n">
        <f aca="false">MAX(AA904,Z905)</f>
        <v>5000</v>
      </c>
      <c r="AB905" s="24" t="n">
        <f aca="false">AA905-Z905</f>
        <v>1747.93</v>
      </c>
      <c r="AC905" s="23" t="n">
        <f aca="false">IFERROR(AB905/AA905,0)</f>
        <v>0.349586</v>
      </c>
      <c r="AD905" s="22" t="s">
        <v>1142</v>
      </c>
    </row>
    <row r="906" customFormat="false" ht="15" hidden="false" customHeight="false" outlineLevel="0" collapsed="false">
      <c r="A906" s="22" t="n">
        <v>905</v>
      </c>
      <c r="B906" s="22" t="s">
        <v>146</v>
      </c>
      <c r="C906" s="37" t="n">
        <v>45471.3831828704</v>
      </c>
      <c r="D906" s="22" t="s">
        <v>206</v>
      </c>
      <c r="E906" s="22" t="n">
        <v>9</v>
      </c>
      <c r="F906" s="22" t="s">
        <v>181</v>
      </c>
      <c r="G906" s="22" t="s">
        <v>235</v>
      </c>
      <c r="H906" s="22" t="n">
        <v>0.05</v>
      </c>
      <c r="I906" s="38" t="n">
        <v>2326.91</v>
      </c>
      <c r="J906" s="38" t="n">
        <v>2326.91</v>
      </c>
      <c r="K906" s="39" t="n">
        <f aca="false">IF(F906="BUY",J906-I906,I906-J906)</f>
        <v>0</v>
      </c>
      <c r="L906" s="38" t="n">
        <v>2320.91</v>
      </c>
      <c r="M906" s="39" t="n">
        <f aca="false">ABS(I906-L906)</f>
        <v>6</v>
      </c>
      <c r="N906" s="24" t="n">
        <f aca="false">M906*H906*Summary!$C$6</f>
        <v>30</v>
      </c>
      <c r="O906" s="37" t="n">
        <v>45471.5148726852</v>
      </c>
      <c r="P906" s="22" t="n">
        <f aca="false">ROUND((O906-C906)*86400,0)</f>
        <v>11378</v>
      </c>
      <c r="Q906" s="22" t="str">
        <f aca="false">IF(P906&lt;10,"a) &lt;10s",IF(P906&lt;60,"b) 10-60s",IF(P906&lt;600,"c) 1-10min","d) &gt;10min")))</f>
        <v>d) &gt;10min</v>
      </c>
      <c r="R906" s="38" t="n">
        <v>2327.41</v>
      </c>
      <c r="S906" s="38" t="n">
        <v>2327.41</v>
      </c>
      <c r="T906" s="22" t="s">
        <v>189</v>
      </c>
      <c r="U906" s="39" t="n">
        <f aca="false">IF(R906="","",IF(F906="BUY",R906-S906,S906-R906))</f>
        <v>0</v>
      </c>
      <c r="V906" s="39" t="n">
        <f aca="false">IF(F906="BUY",S906-J906,J906-S906)</f>
        <v>0.5</v>
      </c>
      <c r="W906" s="6" t="n">
        <v>2.5</v>
      </c>
      <c r="X906" s="26" t="n">
        <f aca="false">IFERROR(W906/N906,0)</f>
        <v>0.0833333333333333</v>
      </c>
      <c r="Y906" s="22" t="str">
        <f aca="false">IF(W906&gt;0,"Win",IF(W906&lt;0,"Loss","Flat"))</f>
        <v>Win</v>
      </c>
      <c r="Z906" s="24" t="n">
        <f aca="false">Summary!$C$5+SUM(W$2:W906)</f>
        <v>3254.57</v>
      </c>
      <c r="AA906" s="24" t="n">
        <f aca="false">MAX(AA905,Z906)</f>
        <v>5000</v>
      </c>
      <c r="AB906" s="24" t="n">
        <f aca="false">AA906-Z906</f>
        <v>1745.43</v>
      </c>
      <c r="AC906" s="23" t="n">
        <f aca="false">IFERROR(AB906/AA906,0)</f>
        <v>0.349086</v>
      </c>
      <c r="AD906" s="22" t="s">
        <v>1143</v>
      </c>
    </row>
    <row r="907" customFormat="false" ht="15" hidden="false" customHeight="false" outlineLevel="0" collapsed="false">
      <c r="A907" s="22" t="n">
        <v>906</v>
      </c>
      <c r="B907" s="22" t="s">
        <v>147</v>
      </c>
      <c r="C907" s="37" t="n">
        <v>45474.3543055556</v>
      </c>
      <c r="D907" s="22" t="s">
        <v>202</v>
      </c>
      <c r="E907" s="22" t="n">
        <v>8</v>
      </c>
      <c r="F907" s="22" t="s">
        <v>182</v>
      </c>
      <c r="G907" s="22" t="s">
        <v>237</v>
      </c>
      <c r="H907" s="22" t="n">
        <v>0.05</v>
      </c>
      <c r="I907" s="38" t="n">
        <v>2318.91</v>
      </c>
      <c r="J907" s="38" t="n">
        <v>2318.9</v>
      </c>
      <c r="K907" s="39" t="n">
        <f aca="false">IF(F907="BUY",J907-I907,I907-J907)</f>
        <v>0.00999999999976353</v>
      </c>
      <c r="L907" s="38" t="n">
        <v>2324.91</v>
      </c>
      <c r="M907" s="39" t="n">
        <f aca="false">ABS(I907-L907)</f>
        <v>6</v>
      </c>
      <c r="N907" s="24" t="n">
        <f aca="false">M907*H907*Summary!$C$6</f>
        <v>30</v>
      </c>
      <c r="O907" s="37" t="n">
        <v>45474.3850347222</v>
      </c>
      <c r="P907" s="22" t="n">
        <f aca="false">ROUND((O907-C907)*86400,0)</f>
        <v>2655</v>
      </c>
      <c r="Q907" s="22" t="str">
        <f aca="false">IF(P907&lt;10,"a) &lt;10s",IF(P907&lt;60,"b) 10-60s",IF(P907&lt;600,"c) 1-10min","d) &gt;10min")))</f>
        <v>d) &gt;10min</v>
      </c>
      <c r="R907" s="38" t="n">
        <v>2324.91</v>
      </c>
      <c r="S907" s="38" t="n">
        <v>2325.01</v>
      </c>
      <c r="T907" s="22" t="s">
        <v>188</v>
      </c>
      <c r="U907" s="39" t="n">
        <f aca="false">IF(R907="","",IF(F907="BUY",R907-S907,S907-R907))</f>
        <v>0.100000000000364</v>
      </c>
      <c r="V907" s="39" t="n">
        <f aca="false">IF(F907="BUY",S907-J907,J907-S907)</f>
        <v>-6.11000000000013</v>
      </c>
      <c r="W907" s="6" t="n">
        <v>-30.55</v>
      </c>
      <c r="X907" s="26" t="n">
        <f aca="false">IFERROR(W907/N907,0)</f>
        <v>-1.01833333333333</v>
      </c>
      <c r="Y907" s="22" t="str">
        <f aca="false">IF(W907&gt;0,"Win",IF(W907&lt;0,"Loss","Flat"))</f>
        <v>Loss</v>
      </c>
      <c r="Z907" s="24" t="n">
        <f aca="false">Summary!$C$5+SUM(W$2:W907)</f>
        <v>3224.02</v>
      </c>
      <c r="AA907" s="24" t="n">
        <f aca="false">MAX(AA906,Z907)</f>
        <v>5000</v>
      </c>
      <c r="AB907" s="24" t="n">
        <f aca="false">AA907-Z907</f>
        <v>1775.98</v>
      </c>
      <c r="AC907" s="23" t="n">
        <f aca="false">IFERROR(AB907/AA907,0)</f>
        <v>0.355196</v>
      </c>
      <c r="AD907" s="22" t="s">
        <v>1144</v>
      </c>
    </row>
    <row r="908" customFormat="false" ht="15" hidden="false" customHeight="false" outlineLevel="0" collapsed="false">
      <c r="A908" s="22" t="n">
        <v>907</v>
      </c>
      <c r="B908" s="22" t="s">
        <v>147</v>
      </c>
      <c r="C908" s="37" t="n">
        <v>45474.3891087963</v>
      </c>
      <c r="D908" s="22" t="s">
        <v>202</v>
      </c>
      <c r="E908" s="22" t="n">
        <v>9</v>
      </c>
      <c r="F908" s="22" t="s">
        <v>181</v>
      </c>
      <c r="G908" s="22" t="s">
        <v>235</v>
      </c>
      <c r="H908" s="22" t="n">
        <v>0.05</v>
      </c>
      <c r="I908" s="38" t="n">
        <v>2325.97</v>
      </c>
      <c r="J908" s="38" t="n">
        <v>2326.01</v>
      </c>
      <c r="K908" s="39" t="n">
        <f aca="false">IF(F908="BUY",J908-I908,I908-J908)</f>
        <v>0.0400000000004184</v>
      </c>
      <c r="L908" s="38" t="n">
        <v>2319.97</v>
      </c>
      <c r="M908" s="39" t="n">
        <f aca="false">ABS(I908-L908)</f>
        <v>6</v>
      </c>
      <c r="N908" s="24" t="n">
        <f aca="false">M908*H908*Summary!$C$6</f>
        <v>30</v>
      </c>
      <c r="O908" s="37" t="n">
        <v>45474.4039583333</v>
      </c>
      <c r="P908" s="22" t="n">
        <f aca="false">ROUND((O908-C908)*86400,0)</f>
        <v>1283</v>
      </c>
      <c r="Q908" s="22" t="str">
        <f aca="false">IF(P908&lt;10,"a) &lt;10s",IF(P908&lt;60,"b) 10-60s",IF(P908&lt;600,"c) 1-10min","d) &gt;10min")))</f>
        <v>d) &gt;10min</v>
      </c>
      <c r="R908" s="38" t="n">
        <v>2326.51</v>
      </c>
      <c r="S908" s="38" t="n">
        <v>2326.51</v>
      </c>
      <c r="T908" s="22" t="s">
        <v>189</v>
      </c>
      <c r="U908" s="39" t="n">
        <f aca="false">IF(R908="","",IF(F908="BUY",R908-S908,S908-R908))</f>
        <v>0</v>
      </c>
      <c r="V908" s="39" t="n">
        <f aca="false">IF(F908="BUY",S908-J908,J908-S908)</f>
        <v>0.5</v>
      </c>
      <c r="W908" s="6" t="n">
        <v>2.5</v>
      </c>
      <c r="X908" s="26" t="n">
        <f aca="false">IFERROR(W908/N908,0)</f>
        <v>0.0833333333333333</v>
      </c>
      <c r="Y908" s="22" t="str">
        <f aca="false">IF(W908&gt;0,"Win",IF(W908&lt;0,"Loss","Flat"))</f>
        <v>Win</v>
      </c>
      <c r="Z908" s="24" t="n">
        <f aca="false">Summary!$C$5+SUM(W$2:W908)</f>
        <v>3226.52</v>
      </c>
      <c r="AA908" s="24" t="n">
        <f aca="false">MAX(AA907,Z908)</f>
        <v>5000</v>
      </c>
      <c r="AB908" s="24" t="n">
        <f aca="false">AA908-Z908</f>
        <v>1773.48</v>
      </c>
      <c r="AC908" s="23" t="n">
        <f aca="false">IFERROR(AB908/AA908,0)</f>
        <v>0.354696</v>
      </c>
      <c r="AD908" s="22" t="s">
        <v>1145</v>
      </c>
    </row>
    <row r="909" customFormat="false" ht="15" hidden="false" customHeight="false" outlineLevel="0" collapsed="false">
      <c r="A909" s="22" t="n">
        <v>908</v>
      </c>
      <c r="B909" s="22" t="s">
        <v>147</v>
      </c>
      <c r="C909" s="37" t="n">
        <v>45475.3752430556</v>
      </c>
      <c r="D909" s="22" t="s">
        <v>203</v>
      </c>
      <c r="E909" s="22" t="n">
        <v>9</v>
      </c>
      <c r="F909" s="22" t="s">
        <v>181</v>
      </c>
      <c r="G909" s="22" t="s">
        <v>235</v>
      </c>
      <c r="H909" s="22" t="n">
        <v>0.05</v>
      </c>
      <c r="I909" s="38" t="n">
        <v>2330.7</v>
      </c>
      <c r="J909" s="38" t="n">
        <v>2330.71</v>
      </c>
      <c r="K909" s="39" t="n">
        <f aca="false">IF(F909="BUY",J909-I909,I909-J909)</f>
        <v>0.0100000000002183</v>
      </c>
      <c r="L909" s="38" t="n">
        <v>2324.7</v>
      </c>
      <c r="M909" s="39" t="n">
        <f aca="false">ABS(I909-L909)</f>
        <v>6</v>
      </c>
      <c r="N909" s="24" t="n">
        <f aca="false">M909*H909*Summary!$C$6</f>
        <v>30</v>
      </c>
      <c r="O909" s="37" t="n">
        <v>45475.4280671296</v>
      </c>
      <c r="P909" s="22" t="n">
        <f aca="false">ROUND((O909-C909)*86400,0)</f>
        <v>4564</v>
      </c>
      <c r="Q909" s="22" t="str">
        <f aca="false">IF(P909&lt;10,"a) &lt;10s",IF(P909&lt;60,"b) 10-60s",IF(P909&lt;600,"c) 1-10min","d) &gt;10min")))</f>
        <v>d) &gt;10min</v>
      </c>
      <c r="R909" s="38" t="n">
        <v>2324.7</v>
      </c>
      <c r="S909" s="38" t="n">
        <v>2324.65</v>
      </c>
      <c r="T909" s="22" t="s">
        <v>188</v>
      </c>
      <c r="U909" s="39" t="n">
        <f aca="false">IF(R909="","",IF(F909="BUY",R909-S909,S909-R909))</f>
        <v>0.0499999999997272</v>
      </c>
      <c r="V909" s="39" t="n">
        <f aca="false">IF(F909="BUY",S909-J909,J909-S909)</f>
        <v>-6.05999999999995</v>
      </c>
      <c r="W909" s="6" t="n">
        <v>-30.3</v>
      </c>
      <c r="X909" s="26" t="n">
        <f aca="false">IFERROR(W909/N909,0)</f>
        <v>-1.01</v>
      </c>
      <c r="Y909" s="22" t="str">
        <f aca="false">IF(W909&gt;0,"Win",IF(W909&lt;0,"Loss","Flat"))</f>
        <v>Loss</v>
      </c>
      <c r="Z909" s="24" t="n">
        <f aca="false">Summary!$C$5+SUM(W$2:W909)</f>
        <v>3196.22</v>
      </c>
      <c r="AA909" s="24" t="n">
        <f aca="false">MAX(AA908,Z909)</f>
        <v>5000</v>
      </c>
      <c r="AB909" s="24" t="n">
        <f aca="false">AA909-Z909</f>
        <v>1803.78</v>
      </c>
      <c r="AC909" s="23" t="n">
        <f aca="false">IFERROR(AB909/AA909,0)</f>
        <v>0.360756</v>
      </c>
      <c r="AD909" s="22" t="s">
        <v>1146</v>
      </c>
    </row>
    <row r="910" customFormat="false" ht="15" hidden="false" customHeight="false" outlineLevel="0" collapsed="false">
      <c r="A910" s="22" t="n">
        <v>909</v>
      </c>
      <c r="B910" s="22" t="s">
        <v>147</v>
      </c>
      <c r="C910" s="37" t="n">
        <v>45476.3799074074</v>
      </c>
      <c r="D910" s="22" t="s">
        <v>204</v>
      </c>
      <c r="E910" s="22" t="n">
        <v>9</v>
      </c>
      <c r="F910" s="22" t="s">
        <v>181</v>
      </c>
      <c r="G910" s="22" t="s">
        <v>235</v>
      </c>
      <c r="H910" s="22" t="n">
        <v>0.05</v>
      </c>
      <c r="I910" s="38" t="n">
        <v>2335.66</v>
      </c>
      <c r="J910" s="38" t="n">
        <v>2335.67</v>
      </c>
      <c r="K910" s="39" t="n">
        <f aca="false">IF(F910="BUY",J910-I910,I910-J910)</f>
        <v>0.0100000000002183</v>
      </c>
      <c r="L910" s="38" t="n">
        <v>2329.66</v>
      </c>
      <c r="M910" s="39" t="n">
        <f aca="false">ABS(I910-L910)</f>
        <v>6</v>
      </c>
      <c r="N910" s="24" t="n">
        <f aca="false">M910*H910*Summary!$C$6</f>
        <v>30</v>
      </c>
      <c r="O910" s="37" t="n">
        <v>45476.4098726852</v>
      </c>
      <c r="P910" s="22" t="n">
        <f aca="false">ROUND((O910-C910)*86400,0)</f>
        <v>2589</v>
      </c>
      <c r="Q910" s="22" t="str">
        <f aca="false">IF(P910&lt;10,"a) &lt;10s",IF(P910&lt;60,"b) 10-60s",IF(P910&lt;600,"c) 1-10min","d) &gt;10min")))</f>
        <v>d) &gt;10min</v>
      </c>
      <c r="R910" s="38" t="n">
        <v>2336.17</v>
      </c>
      <c r="S910" s="38" t="n">
        <v>2336.17</v>
      </c>
      <c r="T910" s="22" t="s">
        <v>189</v>
      </c>
      <c r="U910" s="39" t="n">
        <f aca="false">IF(R910="","",IF(F910="BUY",R910-S910,S910-R910))</f>
        <v>0</v>
      </c>
      <c r="V910" s="39" t="n">
        <f aca="false">IF(F910="BUY",S910-J910,J910-S910)</f>
        <v>0.5</v>
      </c>
      <c r="W910" s="6" t="n">
        <v>2.5</v>
      </c>
      <c r="X910" s="26" t="n">
        <f aca="false">IFERROR(W910/N910,0)</f>
        <v>0.0833333333333333</v>
      </c>
      <c r="Y910" s="22" t="str">
        <f aca="false">IF(W910&gt;0,"Win",IF(W910&lt;0,"Loss","Flat"))</f>
        <v>Win</v>
      </c>
      <c r="Z910" s="24" t="n">
        <f aca="false">Summary!$C$5+SUM(W$2:W910)</f>
        <v>3198.72</v>
      </c>
      <c r="AA910" s="24" t="n">
        <f aca="false">MAX(AA909,Z910)</f>
        <v>5000</v>
      </c>
      <c r="AB910" s="24" t="n">
        <f aca="false">AA910-Z910</f>
        <v>1801.28</v>
      </c>
      <c r="AC910" s="23" t="n">
        <f aca="false">IFERROR(AB910/AA910,0)</f>
        <v>0.360256</v>
      </c>
      <c r="AD910" s="22" t="s">
        <v>1147</v>
      </c>
    </row>
    <row r="911" customFormat="false" ht="15" hidden="false" customHeight="false" outlineLevel="0" collapsed="false">
      <c r="A911" s="22" t="n">
        <v>910</v>
      </c>
      <c r="B911" s="22" t="s">
        <v>147</v>
      </c>
      <c r="C911" s="37" t="n">
        <v>45477.3803587963</v>
      </c>
      <c r="D911" s="22" t="s">
        <v>205</v>
      </c>
      <c r="E911" s="22" t="n">
        <v>9</v>
      </c>
      <c r="F911" s="22" t="s">
        <v>182</v>
      </c>
      <c r="G911" s="22" t="s">
        <v>241</v>
      </c>
      <c r="H911" s="22" t="n">
        <v>0.05</v>
      </c>
      <c r="I911" s="38" t="n">
        <v>2355.41</v>
      </c>
      <c r="J911" s="38" t="n">
        <v>2355.39</v>
      </c>
      <c r="K911" s="39" t="n">
        <f aca="false">IF(F911="BUY",J911-I911,I911-J911)</f>
        <v>0.0199999999999818</v>
      </c>
      <c r="L911" s="38" t="n">
        <v>2361.41</v>
      </c>
      <c r="M911" s="39" t="n">
        <f aca="false">ABS(I911-L911)</f>
        <v>6</v>
      </c>
      <c r="N911" s="24" t="n">
        <f aca="false">M911*H911*Summary!$C$6</f>
        <v>30</v>
      </c>
      <c r="O911" s="37" t="n">
        <v>45477.4038425926</v>
      </c>
      <c r="P911" s="22" t="n">
        <f aca="false">ROUND((O911-C911)*86400,0)</f>
        <v>2029</v>
      </c>
      <c r="Q911" s="22" t="str">
        <f aca="false">IF(P911&lt;10,"a) &lt;10s",IF(P911&lt;60,"b) 10-60s",IF(P911&lt;600,"c) 1-10min","d) &gt;10min")))</f>
        <v>d) &gt;10min</v>
      </c>
      <c r="R911" s="38" t="n">
        <v>2354.89</v>
      </c>
      <c r="S911" s="38" t="n">
        <v>2354.89</v>
      </c>
      <c r="T911" s="22" t="s">
        <v>189</v>
      </c>
      <c r="U911" s="39" t="n">
        <f aca="false">IF(R911="","",IF(F911="BUY",R911-S911,S911-R911))</f>
        <v>0</v>
      </c>
      <c r="V911" s="39" t="n">
        <f aca="false">IF(F911="BUY",S911-J911,J911-S911)</f>
        <v>0.5</v>
      </c>
      <c r="W911" s="6" t="n">
        <v>2.5</v>
      </c>
      <c r="X911" s="26" t="n">
        <f aca="false">IFERROR(W911/N911,0)</f>
        <v>0.0833333333333333</v>
      </c>
      <c r="Y911" s="22" t="str">
        <f aca="false">IF(W911&gt;0,"Win",IF(W911&lt;0,"Loss","Flat"))</f>
        <v>Win</v>
      </c>
      <c r="Z911" s="24" t="n">
        <f aca="false">Summary!$C$5+SUM(W$2:W911)</f>
        <v>3201.22</v>
      </c>
      <c r="AA911" s="24" t="n">
        <f aca="false">MAX(AA910,Z911)</f>
        <v>5000</v>
      </c>
      <c r="AB911" s="24" t="n">
        <f aca="false">AA911-Z911</f>
        <v>1798.78</v>
      </c>
      <c r="AC911" s="23" t="n">
        <f aca="false">IFERROR(AB911/AA911,0)</f>
        <v>0.359756</v>
      </c>
      <c r="AD911" s="22" t="s">
        <v>1148</v>
      </c>
    </row>
    <row r="912" customFormat="false" ht="15" hidden="false" customHeight="false" outlineLevel="0" collapsed="false">
      <c r="A912" s="22" t="n">
        <v>911</v>
      </c>
      <c r="B912" s="22" t="s">
        <v>147</v>
      </c>
      <c r="C912" s="37" t="n">
        <v>45478.2354050926</v>
      </c>
      <c r="D912" s="22" t="s">
        <v>206</v>
      </c>
      <c r="E912" s="22" t="n">
        <v>5</v>
      </c>
      <c r="F912" s="22" t="s">
        <v>181</v>
      </c>
      <c r="G912" s="22" t="s">
        <v>243</v>
      </c>
      <c r="H912" s="22" t="n">
        <v>0.05</v>
      </c>
      <c r="I912" s="38" t="n">
        <v>2362.39</v>
      </c>
      <c r="J912" s="38" t="n">
        <v>2362.4</v>
      </c>
      <c r="K912" s="39" t="n">
        <f aca="false">IF(F912="BUY",J912-I912,I912-J912)</f>
        <v>0.0100000000002183</v>
      </c>
      <c r="L912" s="38" t="n">
        <v>2356.39</v>
      </c>
      <c r="M912" s="39" t="n">
        <f aca="false">ABS(I912-L912)</f>
        <v>6</v>
      </c>
      <c r="N912" s="24" t="n">
        <f aca="false">M912*H912*Summary!$C$6</f>
        <v>30</v>
      </c>
      <c r="O912" s="37" t="n">
        <v>45478.3401273148</v>
      </c>
      <c r="P912" s="22" t="n">
        <f aca="false">ROUND((O912-C912)*86400,0)</f>
        <v>9048</v>
      </c>
      <c r="Q912" s="22" t="str">
        <f aca="false">IF(P912&lt;10,"a) &lt;10s",IF(P912&lt;60,"b) 10-60s",IF(P912&lt;600,"c) 1-10min","d) &gt;10min")))</f>
        <v>d) &gt;10min</v>
      </c>
      <c r="R912" s="38" t="n">
        <v>2362.9</v>
      </c>
      <c r="S912" s="38" t="n">
        <v>2362.88</v>
      </c>
      <c r="T912" s="22" t="s">
        <v>189</v>
      </c>
      <c r="U912" s="39" t="n">
        <f aca="false">IF(R912="","",IF(F912="BUY",R912-S912,S912-R912))</f>
        <v>0.0199999999999818</v>
      </c>
      <c r="V912" s="39" t="n">
        <f aca="false">IF(F912="BUY",S912-J912,J912-S912)</f>
        <v>0.480000000000018</v>
      </c>
      <c r="W912" s="6" t="n">
        <v>2.4</v>
      </c>
      <c r="X912" s="26" t="n">
        <f aca="false">IFERROR(W912/N912,0)</f>
        <v>0.08</v>
      </c>
      <c r="Y912" s="22" t="str">
        <f aca="false">IF(W912&gt;0,"Win",IF(W912&lt;0,"Loss","Flat"))</f>
        <v>Win</v>
      </c>
      <c r="Z912" s="24" t="n">
        <f aca="false">Summary!$C$5+SUM(W$2:W912)</f>
        <v>3203.62</v>
      </c>
      <c r="AA912" s="24" t="n">
        <f aca="false">MAX(AA911,Z912)</f>
        <v>5000</v>
      </c>
      <c r="AB912" s="24" t="n">
        <f aca="false">AA912-Z912</f>
        <v>1796.38</v>
      </c>
      <c r="AC912" s="23" t="n">
        <f aca="false">IFERROR(AB912/AA912,0)</f>
        <v>0.359276</v>
      </c>
      <c r="AD912" s="22" t="s">
        <v>1149</v>
      </c>
    </row>
    <row r="913" customFormat="false" ht="15" hidden="false" customHeight="false" outlineLevel="0" collapsed="false">
      <c r="A913" s="22" t="n">
        <v>912</v>
      </c>
      <c r="B913" s="22" t="s">
        <v>147</v>
      </c>
      <c r="C913" s="37" t="n">
        <v>45478.6458449074</v>
      </c>
      <c r="D913" s="22" t="s">
        <v>206</v>
      </c>
      <c r="E913" s="22" t="n">
        <v>15</v>
      </c>
      <c r="F913" s="22" t="s">
        <v>182</v>
      </c>
      <c r="G913" s="22" t="s">
        <v>241</v>
      </c>
      <c r="H913" s="22" t="n">
        <v>0.05</v>
      </c>
      <c r="I913" s="38" t="n">
        <v>2361.24</v>
      </c>
      <c r="J913" s="38" t="n">
        <v>2353.77</v>
      </c>
      <c r="K913" s="39" t="n">
        <f aca="false">IF(F913="BUY",J913-I913,I913-J913)</f>
        <v>7.4699999999998</v>
      </c>
      <c r="L913" s="38" t="n">
        <v>2367.24</v>
      </c>
      <c r="M913" s="39" t="n">
        <f aca="false">ABS(I913-L913)</f>
        <v>6</v>
      </c>
      <c r="N913" s="24" t="n">
        <f aca="false">M913*H913*Summary!$C$6</f>
        <v>30</v>
      </c>
      <c r="O913" s="37" t="n">
        <v>45478.6458564815</v>
      </c>
      <c r="P913" s="22" t="n">
        <f aca="false">ROUND((O913-C913)*86400,0)</f>
        <v>1</v>
      </c>
      <c r="Q913" s="22" t="str">
        <f aca="false">IF(P913&lt;10,"a) &lt;10s",IF(P913&lt;60,"b) 10-60s",IF(P913&lt;600,"c) 1-10min","d) &gt;10min")))</f>
        <v>a) &lt;10s</v>
      </c>
      <c r="R913" s="38" t="n">
        <v>2353.27</v>
      </c>
      <c r="S913" s="38" t="n">
        <v>2353.5</v>
      </c>
      <c r="T913" s="22" t="s">
        <v>189</v>
      </c>
      <c r="U913" s="39" t="n">
        <f aca="false">IF(R913="","",IF(F913="BUY",R913-S913,S913-R913))</f>
        <v>0.230000000000018</v>
      </c>
      <c r="V913" s="39" t="n">
        <f aca="false">IF(F913="BUY",S913-J913,J913-S913)</f>
        <v>0.269999999999982</v>
      </c>
      <c r="W913" s="6" t="n">
        <v>1.35</v>
      </c>
      <c r="X913" s="26" t="n">
        <f aca="false">IFERROR(W913/N913,0)</f>
        <v>0.045</v>
      </c>
      <c r="Y913" s="22" t="str">
        <f aca="false">IF(W913&gt;0,"Win",IF(W913&lt;0,"Loss","Flat"))</f>
        <v>Win</v>
      </c>
      <c r="Z913" s="24" t="n">
        <f aca="false">Summary!$C$5+SUM(W$2:W913)</f>
        <v>3204.97</v>
      </c>
      <c r="AA913" s="24" t="n">
        <f aca="false">MAX(AA912,Z913)</f>
        <v>5000</v>
      </c>
      <c r="AB913" s="24" t="n">
        <f aca="false">AA913-Z913</f>
        <v>1795.03</v>
      </c>
      <c r="AC913" s="23" t="n">
        <f aca="false">IFERROR(AB913/AA913,0)</f>
        <v>0.359006</v>
      </c>
      <c r="AD913" s="22" t="s">
        <v>1150</v>
      </c>
    </row>
    <row r="914" customFormat="false" ht="15" hidden="false" customHeight="false" outlineLevel="0" collapsed="false">
      <c r="A914" s="22" t="n">
        <v>913</v>
      </c>
      <c r="B914" s="22" t="s">
        <v>147</v>
      </c>
      <c r="C914" s="37" t="n">
        <v>45481.3767592593</v>
      </c>
      <c r="D914" s="22" t="s">
        <v>202</v>
      </c>
      <c r="E914" s="22" t="n">
        <v>9</v>
      </c>
      <c r="F914" s="22" t="s">
        <v>182</v>
      </c>
      <c r="G914" s="22" t="s">
        <v>241</v>
      </c>
      <c r="H914" s="22" t="n">
        <v>0.05</v>
      </c>
      <c r="I914" s="38" t="n">
        <v>2381.43</v>
      </c>
      <c r="J914" s="38" t="n">
        <v>2381.38</v>
      </c>
      <c r="K914" s="39" t="n">
        <f aca="false">IF(F914="BUY",J914-I914,I914-J914)</f>
        <v>0.0499999999997272</v>
      </c>
      <c r="L914" s="38" t="n">
        <v>2387.43</v>
      </c>
      <c r="M914" s="39" t="n">
        <f aca="false">ABS(I914-L914)</f>
        <v>6</v>
      </c>
      <c r="N914" s="24" t="n">
        <f aca="false">M914*H914*Summary!$C$6</f>
        <v>30</v>
      </c>
      <c r="O914" s="37" t="n">
        <v>45481.4290162037</v>
      </c>
      <c r="P914" s="22" t="n">
        <f aca="false">ROUND((O914-C914)*86400,0)</f>
        <v>4515</v>
      </c>
      <c r="Q914" s="22" t="str">
        <f aca="false">IF(P914&lt;10,"a) &lt;10s",IF(P914&lt;60,"b) 10-60s",IF(P914&lt;600,"c) 1-10min","d) &gt;10min")))</f>
        <v>d) &gt;10min</v>
      </c>
      <c r="R914" s="38" t="n">
        <v>2380.88</v>
      </c>
      <c r="S914" s="38" t="n">
        <v>2380.88</v>
      </c>
      <c r="T914" s="22" t="s">
        <v>189</v>
      </c>
      <c r="U914" s="39" t="n">
        <f aca="false">IF(R914="","",IF(F914="BUY",R914-S914,S914-R914))</f>
        <v>0</v>
      </c>
      <c r="V914" s="39" t="n">
        <f aca="false">IF(F914="BUY",S914-J914,J914-S914)</f>
        <v>0.5</v>
      </c>
      <c r="W914" s="6" t="n">
        <v>2.5</v>
      </c>
      <c r="X914" s="26" t="n">
        <f aca="false">IFERROR(W914/N914,0)</f>
        <v>0.0833333333333333</v>
      </c>
      <c r="Y914" s="22" t="str">
        <f aca="false">IF(W914&gt;0,"Win",IF(W914&lt;0,"Loss","Flat"))</f>
        <v>Win</v>
      </c>
      <c r="Z914" s="24" t="n">
        <f aca="false">Summary!$C$5+SUM(W$2:W914)</f>
        <v>3207.47</v>
      </c>
      <c r="AA914" s="24" t="n">
        <f aca="false">MAX(AA913,Z914)</f>
        <v>5000</v>
      </c>
      <c r="AB914" s="24" t="n">
        <f aca="false">AA914-Z914</f>
        <v>1792.53</v>
      </c>
      <c r="AC914" s="23" t="n">
        <f aca="false">IFERROR(AB914/AA914,0)</f>
        <v>0.358506</v>
      </c>
      <c r="AD914" s="22" t="s">
        <v>1151</v>
      </c>
    </row>
    <row r="915" customFormat="false" ht="15" hidden="false" customHeight="false" outlineLevel="0" collapsed="false">
      <c r="A915" s="22" t="n">
        <v>914</v>
      </c>
      <c r="B915" s="22" t="s">
        <v>147</v>
      </c>
      <c r="C915" s="37" t="n">
        <v>45482.3844328704</v>
      </c>
      <c r="D915" s="22" t="s">
        <v>203</v>
      </c>
      <c r="E915" s="22" t="n">
        <v>9</v>
      </c>
      <c r="F915" s="22" t="s">
        <v>182</v>
      </c>
      <c r="G915" s="22" t="s">
        <v>241</v>
      </c>
      <c r="H915" s="22" t="n">
        <v>0.05</v>
      </c>
      <c r="I915" s="38" t="n">
        <v>2364.06</v>
      </c>
      <c r="J915" s="38" t="n">
        <v>2364.04</v>
      </c>
      <c r="K915" s="39" t="n">
        <f aca="false">IF(F915="BUY",J915-I915,I915-J915)</f>
        <v>0.0199999999999818</v>
      </c>
      <c r="L915" s="38" t="n">
        <v>2370.06</v>
      </c>
      <c r="M915" s="39" t="n">
        <f aca="false">ABS(I915-L915)</f>
        <v>6</v>
      </c>
      <c r="N915" s="24" t="n">
        <f aca="false">M915*H915*Summary!$C$6</f>
        <v>30</v>
      </c>
      <c r="O915" s="37" t="n">
        <v>45482.5062037037</v>
      </c>
      <c r="P915" s="22" t="n">
        <f aca="false">ROUND((O915-C915)*86400,0)</f>
        <v>10521</v>
      </c>
      <c r="Q915" s="22" t="str">
        <f aca="false">IF(P915&lt;10,"a) &lt;10s",IF(P915&lt;60,"b) 10-60s",IF(P915&lt;600,"c) 1-10min","d) &gt;10min")))</f>
        <v>d) &gt;10min</v>
      </c>
      <c r="R915" s="38" t="n">
        <v>2363.54</v>
      </c>
      <c r="S915" s="38" t="n">
        <v>2363.54</v>
      </c>
      <c r="T915" s="22" t="s">
        <v>189</v>
      </c>
      <c r="U915" s="39" t="n">
        <f aca="false">IF(R915="","",IF(F915="BUY",R915-S915,S915-R915))</f>
        <v>0</v>
      </c>
      <c r="V915" s="39" t="n">
        <f aca="false">IF(F915="BUY",S915-J915,J915-S915)</f>
        <v>0.5</v>
      </c>
      <c r="W915" s="6" t="n">
        <v>2.5</v>
      </c>
      <c r="X915" s="26" t="n">
        <f aca="false">IFERROR(W915/N915,0)</f>
        <v>0.0833333333333333</v>
      </c>
      <c r="Y915" s="22" t="str">
        <f aca="false">IF(W915&gt;0,"Win",IF(W915&lt;0,"Loss","Flat"))</f>
        <v>Win</v>
      </c>
      <c r="Z915" s="24" t="n">
        <f aca="false">Summary!$C$5+SUM(W$2:W915)</f>
        <v>3209.97</v>
      </c>
      <c r="AA915" s="24" t="n">
        <f aca="false">MAX(AA914,Z915)</f>
        <v>5000</v>
      </c>
      <c r="AB915" s="24" t="n">
        <f aca="false">AA915-Z915</f>
        <v>1790.03</v>
      </c>
      <c r="AC915" s="23" t="n">
        <f aca="false">IFERROR(AB915/AA915,0)</f>
        <v>0.358006</v>
      </c>
      <c r="AD915" s="22" t="s">
        <v>1152</v>
      </c>
    </row>
    <row r="916" customFormat="false" ht="15" hidden="false" customHeight="false" outlineLevel="0" collapsed="false">
      <c r="A916" s="22" t="n">
        <v>915</v>
      </c>
      <c r="B916" s="22" t="s">
        <v>147</v>
      </c>
      <c r="C916" s="37" t="n">
        <v>45482.7646759259</v>
      </c>
      <c r="D916" s="22" t="s">
        <v>203</v>
      </c>
      <c r="E916" s="22" t="n">
        <v>18</v>
      </c>
      <c r="F916" s="22" t="s">
        <v>182</v>
      </c>
      <c r="G916" s="22" t="s">
        <v>237</v>
      </c>
      <c r="H916" s="22" t="n">
        <v>0.05</v>
      </c>
      <c r="I916" s="38" t="n">
        <v>2350.92</v>
      </c>
      <c r="J916" s="38" t="n">
        <v>2350.88</v>
      </c>
      <c r="K916" s="39" t="n">
        <f aca="false">IF(F916="BUY",J916-I916,I916-J916)</f>
        <v>0.0399999999999636</v>
      </c>
      <c r="L916" s="38" t="n">
        <v>2356.92</v>
      </c>
      <c r="M916" s="39" t="n">
        <f aca="false">ABS(I916-L916)</f>
        <v>6</v>
      </c>
      <c r="N916" s="24" t="n">
        <f aca="false">M916*H916*Summary!$C$6</f>
        <v>30</v>
      </c>
      <c r="O916" s="37" t="n">
        <v>45482.7770833333</v>
      </c>
      <c r="P916" s="22" t="n">
        <f aca="false">ROUND((O916-C916)*86400,0)</f>
        <v>1072</v>
      </c>
      <c r="Q916" s="22" t="str">
        <f aca="false">IF(P916&lt;10,"a) &lt;10s",IF(P916&lt;60,"b) 10-60s",IF(P916&lt;600,"c) 1-10min","d) &gt;10min")))</f>
        <v>d) &gt;10min</v>
      </c>
      <c r="R916" s="38" t="n">
        <v>2356.92</v>
      </c>
      <c r="S916" s="38" t="n">
        <v>2356.96</v>
      </c>
      <c r="T916" s="22" t="s">
        <v>188</v>
      </c>
      <c r="U916" s="39" t="n">
        <f aca="false">IF(R916="","",IF(F916="BUY",R916-S916,S916-R916))</f>
        <v>0.0399999999999636</v>
      </c>
      <c r="V916" s="39" t="n">
        <f aca="false">IF(F916="BUY",S916-J916,J916-S916)</f>
        <v>-6.07999999999993</v>
      </c>
      <c r="W916" s="6" t="n">
        <v>-30.4</v>
      </c>
      <c r="X916" s="26" t="n">
        <f aca="false">IFERROR(W916/N916,0)</f>
        <v>-1.01333333333333</v>
      </c>
      <c r="Y916" s="22" t="str">
        <f aca="false">IF(W916&gt;0,"Win",IF(W916&lt;0,"Loss","Flat"))</f>
        <v>Loss</v>
      </c>
      <c r="Z916" s="24" t="n">
        <f aca="false">Summary!$C$5+SUM(W$2:W916)</f>
        <v>3179.57</v>
      </c>
      <c r="AA916" s="24" t="n">
        <f aca="false">MAX(AA915,Z916)</f>
        <v>5000</v>
      </c>
      <c r="AB916" s="24" t="n">
        <f aca="false">AA916-Z916</f>
        <v>1820.43</v>
      </c>
      <c r="AC916" s="23" t="n">
        <f aca="false">IFERROR(AB916/AA916,0)</f>
        <v>0.364086</v>
      </c>
      <c r="AD916" s="22" t="s">
        <v>1153</v>
      </c>
    </row>
    <row r="917" customFormat="false" ht="15" hidden="false" customHeight="false" outlineLevel="0" collapsed="false">
      <c r="A917" s="22" t="n">
        <v>916</v>
      </c>
      <c r="B917" s="22" t="s">
        <v>147</v>
      </c>
      <c r="C917" s="37" t="n">
        <v>45483.3923726852</v>
      </c>
      <c r="D917" s="22" t="s">
        <v>204</v>
      </c>
      <c r="E917" s="22" t="n">
        <v>9</v>
      </c>
      <c r="F917" s="22" t="s">
        <v>181</v>
      </c>
      <c r="G917" s="22" t="s">
        <v>235</v>
      </c>
      <c r="H917" s="22" t="n">
        <v>0.05</v>
      </c>
      <c r="I917" s="38" t="n">
        <v>2370.23</v>
      </c>
      <c r="J917" s="38" t="n">
        <v>2370.28</v>
      </c>
      <c r="K917" s="39" t="n">
        <f aca="false">IF(F917="BUY",J917-I917,I917-J917)</f>
        <v>0.0500000000001819</v>
      </c>
      <c r="L917" s="38" t="n">
        <v>2364.23</v>
      </c>
      <c r="M917" s="39" t="n">
        <f aca="false">ABS(I917-L917)</f>
        <v>6</v>
      </c>
      <c r="N917" s="24" t="n">
        <f aca="false">M917*H917*Summary!$C$6</f>
        <v>30</v>
      </c>
      <c r="O917" s="37" t="n">
        <v>45483.8620486111</v>
      </c>
      <c r="P917" s="22" t="n">
        <f aca="false">ROUND((O917-C917)*86400,0)</f>
        <v>40580</v>
      </c>
      <c r="Q917" s="22" t="str">
        <f aca="false">IF(P917&lt;10,"a) &lt;10s",IF(P917&lt;60,"b) 10-60s",IF(P917&lt;600,"c) 1-10min","d) &gt;10min")))</f>
        <v>d) &gt;10min</v>
      </c>
      <c r="R917" s="38" t="n">
        <v>2370.78</v>
      </c>
      <c r="S917" s="38" t="n">
        <v>2370.62</v>
      </c>
      <c r="T917" s="22" t="s">
        <v>189</v>
      </c>
      <c r="U917" s="39" t="n">
        <f aca="false">IF(R917="","",IF(F917="BUY",R917-S917,S917-R917))</f>
        <v>0.160000000000309</v>
      </c>
      <c r="V917" s="39" t="n">
        <f aca="false">IF(F917="BUY",S917-J917,J917-S917)</f>
        <v>0.339999999999691</v>
      </c>
      <c r="W917" s="6" t="n">
        <v>1.7</v>
      </c>
      <c r="X917" s="26" t="n">
        <f aca="false">IFERROR(W917/N917,0)</f>
        <v>0.0566666666666667</v>
      </c>
      <c r="Y917" s="22" t="str">
        <f aca="false">IF(W917&gt;0,"Win",IF(W917&lt;0,"Loss","Flat"))</f>
        <v>Win</v>
      </c>
      <c r="Z917" s="24" t="n">
        <f aca="false">Summary!$C$5+SUM(W$2:W917)</f>
        <v>3181.27</v>
      </c>
      <c r="AA917" s="24" t="n">
        <f aca="false">MAX(AA916,Z917)</f>
        <v>5000</v>
      </c>
      <c r="AB917" s="24" t="n">
        <f aca="false">AA917-Z917</f>
        <v>1818.73</v>
      </c>
      <c r="AC917" s="23" t="n">
        <f aca="false">IFERROR(AB917/AA917,0)</f>
        <v>0.363746</v>
      </c>
      <c r="AD917" s="22" t="s">
        <v>1154</v>
      </c>
    </row>
    <row r="918" customFormat="false" ht="15" hidden="false" customHeight="false" outlineLevel="0" collapsed="false">
      <c r="A918" s="22" t="n">
        <v>917</v>
      </c>
      <c r="B918" s="22" t="s">
        <v>147</v>
      </c>
      <c r="C918" s="37" t="n">
        <v>45484.3750115741</v>
      </c>
      <c r="D918" s="22" t="s">
        <v>205</v>
      </c>
      <c r="E918" s="22" t="n">
        <v>9</v>
      </c>
      <c r="F918" s="22" t="s">
        <v>181</v>
      </c>
      <c r="G918" s="22" t="s">
        <v>235</v>
      </c>
      <c r="H918" s="22" t="n">
        <v>0.05</v>
      </c>
      <c r="I918" s="38" t="n">
        <v>2382.86</v>
      </c>
      <c r="J918" s="38" t="n">
        <v>2382.89</v>
      </c>
      <c r="K918" s="39" t="n">
        <f aca="false">IF(F918="BUY",J918-I918,I918-J918)</f>
        <v>0.0299999999997453</v>
      </c>
      <c r="L918" s="38" t="n">
        <v>2376.86</v>
      </c>
      <c r="M918" s="39" t="n">
        <f aca="false">ABS(I918-L918)</f>
        <v>6</v>
      </c>
      <c r="N918" s="24" t="n">
        <f aca="false">M918*H918*Summary!$C$6</f>
        <v>30</v>
      </c>
      <c r="O918" s="37" t="n">
        <v>45484.6844675926</v>
      </c>
      <c r="P918" s="22" t="n">
        <f aca="false">ROUND((O918-C918)*86400,0)</f>
        <v>26737</v>
      </c>
      <c r="Q918" s="22" t="str">
        <f aca="false">IF(P918&lt;10,"a) &lt;10s",IF(P918&lt;60,"b) 10-60s",IF(P918&lt;600,"c) 1-10min","d) &gt;10min")))</f>
        <v>d) &gt;10min</v>
      </c>
      <c r="R918" s="38"/>
      <c r="S918" s="38" t="n">
        <v>2412.88</v>
      </c>
      <c r="T918" s="22" t="s">
        <v>187</v>
      </c>
      <c r="U918" s="39" t="str">
        <f aca="false">IF(R918="","",IF(F918="BUY",R918-S918,S918-R918))</f>
        <v/>
      </c>
      <c r="V918" s="39" t="n">
        <f aca="false">IF(F918="BUY",S918-J918,J918-S918)</f>
        <v>29.9900000000002</v>
      </c>
      <c r="W918" s="6" t="n">
        <v>149.95</v>
      </c>
      <c r="X918" s="26" t="n">
        <f aca="false">IFERROR(W918/N918,0)</f>
        <v>4.99833333333333</v>
      </c>
      <c r="Y918" s="22" t="str">
        <f aca="false">IF(W918&gt;0,"Win",IF(W918&lt;0,"Loss","Flat"))</f>
        <v>Win</v>
      </c>
      <c r="Z918" s="24" t="n">
        <f aca="false">Summary!$C$5+SUM(W$2:W918)</f>
        <v>3331.22</v>
      </c>
      <c r="AA918" s="24" t="n">
        <f aca="false">MAX(AA917,Z918)</f>
        <v>5000</v>
      </c>
      <c r="AB918" s="24" t="n">
        <f aca="false">AA918-Z918</f>
        <v>1668.78</v>
      </c>
      <c r="AC918" s="23" t="n">
        <f aca="false">IFERROR(AB918/AA918,0)</f>
        <v>0.333756</v>
      </c>
      <c r="AD918" s="22" t="s">
        <v>1155</v>
      </c>
    </row>
    <row r="919" customFormat="false" ht="15" hidden="false" customHeight="false" outlineLevel="0" collapsed="false">
      <c r="A919" s="22" t="n">
        <v>918</v>
      </c>
      <c r="B919" s="22" t="s">
        <v>147</v>
      </c>
      <c r="C919" s="37" t="n">
        <v>45485.3944791667</v>
      </c>
      <c r="D919" s="22" t="s">
        <v>206</v>
      </c>
      <c r="E919" s="22" t="n">
        <v>9</v>
      </c>
      <c r="F919" s="22" t="s">
        <v>182</v>
      </c>
      <c r="G919" s="22" t="s">
        <v>241</v>
      </c>
      <c r="H919" s="22" t="n">
        <v>0.05</v>
      </c>
      <c r="I919" s="38" t="n">
        <v>2405.32</v>
      </c>
      <c r="J919" s="38" t="n">
        <v>2405.32</v>
      </c>
      <c r="K919" s="39" t="n">
        <f aca="false">IF(F919="BUY",J919-I919,I919-J919)</f>
        <v>0</v>
      </c>
      <c r="L919" s="38" t="n">
        <v>2411.32</v>
      </c>
      <c r="M919" s="39" t="n">
        <f aca="false">ABS(I919-L919)</f>
        <v>6</v>
      </c>
      <c r="N919" s="24" t="n">
        <f aca="false">M919*H919*Summary!$C$6</f>
        <v>30</v>
      </c>
      <c r="O919" s="37" t="n">
        <v>45485.4138194445</v>
      </c>
      <c r="P919" s="22" t="n">
        <f aca="false">ROUND((O919-C919)*86400,0)</f>
        <v>1671</v>
      </c>
      <c r="Q919" s="22" t="str">
        <f aca="false">IF(P919&lt;10,"a) &lt;10s",IF(P919&lt;60,"b) 10-60s",IF(P919&lt;600,"c) 1-10min","d) &gt;10min")))</f>
        <v>d) &gt;10min</v>
      </c>
      <c r="R919" s="38" t="n">
        <v>2404.82</v>
      </c>
      <c r="S919" s="38" t="n">
        <v>2404.87</v>
      </c>
      <c r="T919" s="22" t="s">
        <v>189</v>
      </c>
      <c r="U919" s="39" t="n">
        <f aca="false">IF(R919="","",IF(F919="BUY",R919-S919,S919-R919))</f>
        <v>0.0499999999997272</v>
      </c>
      <c r="V919" s="39" t="n">
        <f aca="false">IF(F919="BUY",S919-J919,J919-S919)</f>
        <v>0.450000000000273</v>
      </c>
      <c r="W919" s="6" t="n">
        <v>2.25</v>
      </c>
      <c r="X919" s="26" t="n">
        <f aca="false">IFERROR(W919/N919,0)</f>
        <v>0.075</v>
      </c>
      <c r="Y919" s="22" t="str">
        <f aca="false">IF(W919&gt;0,"Win",IF(W919&lt;0,"Loss","Flat"))</f>
        <v>Win</v>
      </c>
      <c r="Z919" s="24" t="n">
        <f aca="false">Summary!$C$5+SUM(W$2:W919)</f>
        <v>3333.47</v>
      </c>
      <c r="AA919" s="24" t="n">
        <f aca="false">MAX(AA918,Z919)</f>
        <v>5000</v>
      </c>
      <c r="AB919" s="24" t="n">
        <f aca="false">AA919-Z919</f>
        <v>1666.53</v>
      </c>
      <c r="AC919" s="23" t="n">
        <f aca="false">IFERROR(AB919/AA919,0)</f>
        <v>0.333306</v>
      </c>
      <c r="AD919" s="22" t="s">
        <v>1156</v>
      </c>
    </row>
    <row r="920" customFormat="false" ht="15" hidden="false" customHeight="false" outlineLevel="0" collapsed="false">
      <c r="A920" s="22" t="n">
        <v>919</v>
      </c>
      <c r="B920" s="22" t="s">
        <v>147</v>
      </c>
      <c r="C920" s="37" t="n">
        <v>45488.3754976852</v>
      </c>
      <c r="D920" s="22" t="s">
        <v>202</v>
      </c>
      <c r="E920" s="22" t="n">
        <v>9</v>
      </c>
      <c r="F920" s="22" t="s">
        <v>182</v>
      </c>
      <c r="G920" s="22" t="s">
        <v>241</v>
      </c>
      <c r="H920" s="22" t="n">
        <v>0.05</v>
      </c>
      <c r="I920" s="38" t="n">
        <v>2407.86</v>
      </c>
      <c r="J920" s="38" t="n">
        <v>2407.83</v>
      </c>
      <c r="K920" s="39" t="n">
        <f aca="false">IF(F920="BUY",J920-I920,I920-J920)</f>
        <v>0.0300000000002001</v>
      </c>
      <c r="L920" s="38" t="n">
        <v>2413.86</v>
      </c>
      <c r="M920" s="39" t="n">
        <f aca="false">ABS(I920-L920)</f>
        <v>6</v>
      </c>
      <c r="N920" s="24" t="n">
        <f aca="false">M920*H920*Summary!$C$6</f>
        <v>30</v>
      </c>
      <c r="O920" s="37" t="n">
        <v>45488.452337963</v>
      </c>
      <c r="P920" s="22" t="n">
        <f aca="false">ROUND((O920-C920)*86400,0)</f>
        <v>6639</v>
      </c>
      <c r="Q920" s="22" t="str">
        <f aca="false">IF(P920&lt;10,"a) &lt;10s",IF(P920&lt;60,"b) 10-60s",IF(P920&lt;600,"c) 1-10min","d) &gt;10min")))</f>
        <v>d) &gt;10min</v>
      </c>
      <c r="R920" s="38" t="n">
        <v>2407.33</v>
      </c>
      <c r="S920" s="38" t="n">
        <v>2407.34</v>
      </c>
      <c r="T920" s="22" t="s">
        <v>189</v>
      </c>
      <c r="U920" s="39" t="n">
        <f aca="false">IF(R920="","",IF(F920="BUY",R920-S920,S920-R920))</f>
        <v>0.0100000000002183</v>
      </c>
      <c r="V920" s="39" t="n">
        <f aca="false">IF(F920="BUY",S920-J920,J920-S920)</f>
        <v>0.489999999999782</v>
      </c>
      <c r="W920" s="6" t="n">
        <v>2.45</v>
      </c>
      <c r="X920" s="26" t="n">
        <f aca="false">IFERROR(W920/N920,0)</f>
        <v>0.0816666666666667</v>
      </c>
      <c r="Y920" s="22" t="str">
        <f aca="false">IF(W920&gt;0,"Win",IF(W920&lt;0,"Loss","Flat"))</f>
        <v>Win</v>
      </c>
      <c r="Z920" s="24" t="n">
        <f aca="false">Summary!$C$5+SUM(W$2:W920)</f>
        <v>3335.92</v>
      </c>
      <c r="AA920" s="24" t="n">
        <f aca="false">MAX(AA919,Z920)</f>
        <v>5000</v>
      </c>
      <c r="AB920" s="24" t="n">
        <f aca="false">AA920-Z920</f>
        <v>1664.08</v>
      </c>
      <c r="AC920" s="23" t="n">
        <f aca="false">IFERROR(AB920/AA920,0)</f>
        <v>0.332816</v>
      </c>
      <c r="AD920" s="22" t="s">
        <v>1157</v>
      </c>
    </row>
    <row r="921" customFormat="false" ht="15" hidden="false" customHeight="false" outlineLevel="0" collapsed="false">
      <c r="A921" s="22" t="n">
        <v>920</v>
      </c>
      <c r="B921" s="22" t="s">
        <v>147</v>
      </c>
      <c r="C921" s="37" t="n">
        <v>45488.590775463</v>
      </c>
      <c r="D921" s="22" t="s">
        <v>202</v>
      </c>
      <c r="E921" s="22" t="n">
        <v>14</v>
      </c>
      <c r="F921" s="22" t="s">
        <v>181</v>
      </c>
      <c r="G921" s="22" t="s">
        <v>243</v>
      </c>
      <c r="H921" s="22" t="n">
        <v>0.05</v>
      </c>
      <c r="I921" s="38" t="n">
        <v>2418.13</v>
      </c>
      <c r="J921" s="38" t="n">
        <v>2418.13</v>
      </c>
      <c r="K921" s="39" t="n">
        <f aca="false">IF(F921="BUY",J921-I921,I921-J921)</f>
        <v>0</v>
      </c>
      <c r="L921" s="38" t="n">
        <v>2412.13</v>
      </c>
      <c r="M921" s="39" t="n">
        <f aca="false">ABS(I921-L921)</f>
        <v>6</v>
      </c>
      <c r="N921" s="24" t="n">
        <f aca="false">M921*H921*Summary!$C$6</f>
        <v>30</v>
      </c>
      <c r="O921" s="37" t="n">
        <v>45488.6127314815</v>
      </c>
      <c r="P921" s="22" t="n">
        <f aca="false">ROUND((O921-C921)*86400,0)</f>
        <v>1897</v>
      </c>
      <c r="Q921" s="22" t="str">
        <f aca="false">IF(P921&lt;10,"a) &lt;10s",IF(P921&lt;60,"b) 10-60s",IF(P921&lt;600,"c) 1-10min","d) &gt;10min")))</f>
        <v>d) &gt;10min</v>
      </c>
      <c r="R921" s="38" t="n">
        <v>2418.63</v>
      </c>
      <c r="S921" s="38" t="n">
        <v>2418.62</v>
      </c>
      <c r="T921" s="22" t="s">
        <v>189</v>
      </c>
      <c r="U921" s="39" t="n">
        <f aca="false">IF(R921="","",IF(F921="BUY",R921-S921,S921-R921))</f>
        <v>0.0100000000002183</v>
      </c>
      <c r="V921" s="39" t="n">
        <f aca="false">IF(F921="BUY",S921-J921,J921-S921)</f>
        <v>0.489999999999782</v>
      </c>
      <c r="W921" s="6" t="n">
        <v>2.45</v>
      </c>
      <c r="X921" s="26" t="n">
        <f aca="false">IFERROR(W921/N921,0)</f>
        <v>0.0816666666666667</v>
      </c>
      <c r="Y921" s="22" t="str">
        <f aca="false">IF(W921&gt;0,"Win",IF(W921&lt;0,"Loss","Flat"))</f>
        <v>Win</v>
      </c>
      <c r="Z921" s="24" t="n">
        <f aca="false">Summary!$C$5+SUM(W$2:W921)</f>
        <v>3338.37</v>
      </c>
      <c r="AA921" s="24" t="n">
        <f aca="false">MAX(AA920,Z921)</f>
        <v>5000</v>
      </c>
      <c r="AB921" s="24" t="n">
        <f aca="false">AA921-Z921</f>
        <v>1661.63</v>
      </c>
      <c r="AC921" s="23" t="n">
        <f aca="false">IFERROR(AB921/AA921,0)</f>
        <v>0.332326</v>
      </c>
      <c r="AD921" s="22" t="s">
        <v>1158</v>
      </c>
    </row>
    <row r="922" customFormat="false" ht="15" hidden="false" customHeight="false" outlineLevel="0" collapsed="false">
      <c r="A922" s="22" t="n">
        <v>921</v>
      </c>
      <c r="B922" s="22" t="s">
        <v>147</v>
      </c>
      <c r="C922" s="37" t="n">
        <v>45489.4045717593</v>
      </c>
      <c r="D922" s="22" t="s">
        <v>203</v>
      </c>
      <c r="E922" s="22" t="n">
        <v>9</v>
      </c>
      <c r="F922" s="22" t="s">
        <v>181</v>
      </c>
      <c r="G922" s="22" t="s">
        <v>235</v>
      </c>
      <c r="H922" s="22" t="n">
        <v>0.05</v>
      </c>
      <c r="I922" s="38" t="n">
        <v>2432.65</v>
      </c>
      <c r="J922" s="38" t="n">
        <v>2432.65</v>
      </c>
      <c r="K922" s="39" t="n">
        <f aca="false">IF(F922="BUY",J922-I922,I922-J922)</f>
        <v>0</v>
      </c>
      <c r="L922" s="38" t="n">
        <v>2426.65</v>
      </c>
      <c r="M922" s="39" t="n">
        <f aca="false">ABS(I922-L922)</f>
        <v>6</v>
      </c>
      <c r="N922" s="24" t="n">
        <f aca="false">M922*H922*Summary!$C$6</f>
        <v>30</v>
      </c>
      <c r="O922" s="37" t="n">
        <v>45489.4202546296</v>
      </c>
      <c r="P922" s="22" t="n">
        <f aca="false">ROUND((O922-C922)*86400,0)</f>
        <v>1355</v>
      </c>
      <c r="Q922" s="22" t="str">
        <f aca="false">IF(P922&lt;10,"a) &lt;10s",IF(P922&lt;60,"b) 10-60s",IF(P922&lt;600,"c) 1-10min","d) &gt;10min")))</f>
        <v>d) &gt;10min</v>
      </c>
      <c r="R922" s="38" t="n">
        <v>2433.15</v>
      </c>
      <c r="S922" s="38" t="n">
        <v>2433.14</v>
      </c>
      <c r="T922" s="22" t="s">
        <v>189</v>
      </c>
      <c r="U922" s="39" t="n">
        <f aca="false">IF(R922="","",IF(F922="BUY",R922-S922,S922-R922))</f>
        <v>0.0100000000002183</v>
      </c>
      <c r="V922" s="39" t="n">
        <f aca="false">IF(F922="BUY",S922-J922,J922-S922)</f>
        <v>0.489999999999782</v>
      </c>
      <c r="W922" s="6" t="n">
        <v>2.45</v>
      </c>
      <c r="X922" s="26" t="n">
        <f aca="false">IFERROR(W922/N922,0)</f>
        <v>0.0816666666666667</v>
      </c>
      <c r="Y922" s="22" t="str">
        <f aca="false">IF(W922&gt;0,"Win",IF(W922&lt;0,"Loss","Flat"))</f>
        <v>Win</v>
      </c>
      <c r="Z922" s="24" t="n">
        <f aca="false">Summary!$C$5+SUM(W$2:W922)</f>
        <v>3340.82</v>
      </c>
      <c r="AA922" s="24" t="n">
        <f aca="false">MAX(AA921,Z922)</f>
        <v>5000</v>
      </c>
      <c r="AB922" s="24" t="n">
        <f aca="false">AA922-Z922</f>
        <v>1659.18</v>
      </c>
      <c r="AC922" s="23" t="n">
        <f aca="false">IFERROR(AB922/AA922,0)</f>
        <v>0.331836</v>
      </c>
      <c r="AD922" s="22" t="s">
        <v>1159</v>
      </c>
    </row>
    <row r="923" customFormat="false" ht="15" hidden="false" customHeight="false" outlineLevel="0" collapsed="false">
      <c r="A923" s="22" t="n">
        <v>922</v>
      </c>
      <c r="B923" s="22" t="s">
        <v>147</v>
      </c>
      <c r="C923" s="37" t="n">
        <v>45489.5152083333</v>
      </c>
      <c r="D923" s="22" t="s">
        <v>203</v>
      </c>
      <c r="E923" s="22" t="n">
        <v>12</v>
      </c>
      <c r="F923" s="22" t="s">
        <v>181</v>
      </c>
      <c r="G923" s="22" t="s">
        <v>243</v>
      </c>
      <c r="H923" s="22" t="n">
        <v>0.05</v>
      </c>
      <c r="I923" s="38" t="n">
        <v>2439.63</v>
      </c>
      <c r="J923" s="38" t="n">
        <v>2439.63</v>
      </c>
      <c r="K923" s="39" t="n">
        <f aca="false">IF(F923="BUY",J923-I923,I923-J923)</f>
        <v>0</v>
      </c>
      <c r="L923" s="38" t="n">
        <v>2433.63</v>
      </c>
      <c r="M923" s="39" t="n">
        <f aca="false">ABS(I923-L923)</f>
        <v>6</v>
      </c>
      <c r="N923" s="24" t="n">
        <f aca="false">M923*H923*Summary!$C$6</f>
        <v>30</v>
      </c>
      <c r="O923" s="37" t="n">
        <v>45489.5582523148</v>
      </c>
      <c r="P923" s="22" t="n">
        <f aca="false">ROUND((O923-C923)*86400,0)</f>
        <v>3719</v>
      </c>
      <c r="Q923" s="22" t="str">
        <f aca="false">IF(P923&lt;10,"a) &lt;10s",IF(P923&lt;60,"b) 10-60s",IF(P923&lt;600,"c) 1-10min","d) &gt;10min")))</f>
        <v>d) &gt;10min</v>
      </c>
      <c r="R923" s="38" t="n">
        <v>2440.13</v>
      </c>
      <c r="S923" s="38" t="n">
        <v>2440.11</v>
      </c>
      <c r="T923" s="22" t="s">
        <v>189</v>
      </c>
      <c r="U923" s="39" t="n">
        <f aca="false">IF(R923="","",IF(F923="BUY",R923-S923,S923-R923))</f>
        <v>0.0199999999999818</v>
      </c>
      <c r="V923" s="39" t="n">
        <f aca="false">IF(F923="BUY",S923-J923,J923-S923)</f>
        <v>0.480000000000018</v>
      </c>
      <c r="W923" s="6" t="n">
        <v>2.4</v>
      </c>
      <c r="X923" s="26" t="n">
        <f aca="false">IFERROR(W923/N923,0)</f>
        <v>0.08</v>
      </c>
      <c r="Y923" s="22" t="str">
        <f aca="false">IF(W923&gt;0,"Win",IF(W923&lt;0,"Loss","Flat"))</f>
        <v>Win</v>
      </c>
      <c r="Z923" s="24" t="n">
        <f aca="false">Summary!$C$5+SUM(W$2:W923)</f>
        <v>3343.22</v>
      </c>
      <c r="AA923" s="24" t="n">
        <f aca="false">MAX(AA922,Z923)</f>
        <v>5000</v>
      </c>
      <c r="AB923" s="24" t="n">
        <f aca="false">AA923-Z923</f>
        <v>1656.78</v>
      </c>
      <c r="AC923" s="23" t="n">
        <f aca="false">IFERROR(AB923/AA923,0)</f>
        <v>0.331356</v>
      </c>
      <c r="AD923" s="22" t="s">
        <v>1160</v>
      </c>
    </row>
    <row r="924" customFormat="false" ht="15" hidden="false" customHeight="false" outlineLevel="0" collapsed="false">
      <c r="A924" s="22" t="n">
        <v>923</v>
      </c>
      <c r="B924" s="22" t="s">
        <v>147</v>
      </c>
      <c r="C924" s="37" t="n">
        <v>45490.0706944445</v>
      </c>
      <c r="D924" s="22" t="s">
        <v>204</v>
      </c>
      <c r="E924" s="22" t="n">
        <v>1</v>
      </c>
      <c r="F924" s="22" t="s">
        <v>181</v>
      </c>
      <c r="G924" s="22" t="s">
        <v>243</v>
      </c>
      <c r="H924" s="22" t="n">
        <v>0.05</v>
      </c>
      <c r="I924" s="38" t="n">
        <v>2469.58</v>
      </c>
      <c r="J924" s="38" t="n">
        <v>2469.59</v>
      </c>
      <c r="K924" s="39" t="n">
        <f aca="false">IF(F924="BUY",J924-I924,I924-J924)</f>
        <v>0.0100000000002183</v>
      </c>
      <c r="L924" s="38" t="n">
        <v>2463.58</v>
      </c>
      <c r="M924" s="39" t="n">
        <f aca="false">ABS(I924-L924)</f>
        <v>6</v>
      </c>
      <c r="N924" s="24" t="n">
        <f aca="false">M924*H924*Summary!$C$6</f>
        <v>30</v>
      </c>
      <c r="O924" s="37" t="n">
        <v>45490.1619560185</v>
      </c>
      <c r="P924" s="22" t="n">
        <f aca="false">ROUND((O924-C924)*86400,0)</f>
        <v>7885</v>
      </c>
      <c r="Q924" s="22" t="str">
        <f aca="false">IF(P924&lt;10,"a) &lt;10s",IF(P924&lt;60,"b) 10-60s",IF(P924&lt;600,"c) 1-10min","d) &gt;10min")))</f>
        <v>d) &gt;10min</v>
      </c>
      <c r="R924" s="38" t="n">
        <v>2470.09</v>
      </c>
      <c r="S924" s="38" t="n">
        <v>2470.04</v>
      </c>
      <c r="T924" s="22" t="s">
        <v>189</v>
      </c>
      <c r="U924" s="39" t="n">
        <f aca="false">IF(R924="","",IF(F924="BUY",R924-S924,S924-R924))</f>
        <v>0.0500000000001819</v>
      </c>
      <c r="V924" s="39" t="n">
        <f aca="false">IF(F924="BUY",S924-J924,J924-S924)</f>
        <v>0.449999999999818</v>
      </c>
      <c r="W924" s="6" t="n">
        <v>2.25</v>
      </c>
      <c r="X924" s="26" t="n">
        <f aca="false">IFERROR(W924/N924,0)</f>
        <v>0.075</v>
      </c>
      <c r="Y924" s="22" t="str">
        <f aca="false">IF(W924&gt;0,"Win",IF(W924&lt;0,"Loss","Flat"))</f>
        <v>Win</v>
      </c>
      <c r="Z924" s="24" t="n">
        <f aca="false">Summary!$C$5+SUM(W$2:W924)</f>
        <v>3345.47</v>
      </c>
      <c r="AA924" s="24" t="n">
        <f aca="false">MAX(AA923,Z924)</f>
        <v>5000</v>
      </c>
      <c r="AB924" s="24" t="n">
        <f aca="false">AA924-Z924</f>
        <v>1654.53</v>
      </c>
      <c r="AC924" s="23" t="n">
        <f aca="false">IFERROR(AB924/AA924,0)</f>
        <v>0.330906</v>
      </c>
      <c r="AD924" s="22" t="s">
        <v>1161</v>
      </c>
    </row>
    <row r="925" customFormat="false" ht="15" hidden="false" customHeight="false" outlineLevel="0" collapsed="false">
      <c r="A925" s="22" t="n">
        <v>924</v>
      </c>
      <c r="B925" s="22" t="s">
        <v>147</v>
      </c>
      <c r="C925" s="37" t="n">
        <v>45490.4525347222</v>
      </c>
      <c r="D925" s="22" t="s">
        <v>204</v>
      </c>
      <c r="E925" s="22" t="n">
        <v>10</v>
      </c>
      <c r="F925" s="22" t="s">
        <v>181</v>
      </c>
      <c r="G925" s="22" t="s">
        <v>235</v>
      </c>
      <c r="H925" s="22" t="n">
        <v>0.05</v>
      </c>
      <c r="I925" s="38" t="n">
        <v>2472.57</v>
      </c>
      <c r="J925" s="38" t="n">
        <v>2472.57</v>
      </c>
      <c r="K925" s="39" t="n">
        <f aca="false">IF(F925="BUY",J925-I925,I925-J925)</f>
        <v>0</v>
      </c>
      <c r="L925" s="38" t="n">
        <v>2466.57</v>
      </c>
      <c r="M925" s="39" t="n">
        <f aca="false">ABS(I925-L925)</f>
        <v>6</v>
      </c>
      <c r="N925" s="24" t="n">
        <f aca="false">M925*H925*Summary!$C$6</f>
        <v>30</v>
      </c>
      <c r="O925" s="37" t="n">
        <v>45490.4821412037</v>
      </c>
      <c r="P925" s="22" t="n">
        <f aca="false">ROUND((O925-C925)*86400,0)</f>
        <v>2558</v>
      </c>
      <c r="Q925" s="22" t="str">
        <f aca="false">IF(P925&lt;10,"a) &lt;10s",IF(P925&lt;60,"b) 10-60s",IF(P925&lt;600,"c) 1-10min","d) &gt;10min")))</f>
        <v>d) &gt;10min</v>
      </c>
      <c r="R925" s="38" t="n">
        <v>2473.07</v>
      </c>
      <c r="S925" s="38" t="n">
        <v>2473.06</v>
      </c>
      <c r="T925" s="22" t="s">
        <v>189</v>
      </c>
      <c r="U925" s="39" t="n">
        <f aca="false">IF(R925="","",IF(F925="BUY",R925-S925,S925-R925))</f>
        <v>0.0100000000002183</v>
      </c>
      <c r="V925" s="39" t="n">
        <f aca="false">IF(F925="BUY",S925-J925,J925-S925)</f>
        <v>0.489999999999782</v>
      </c>
      <c r="W925" s="6" t="n">
        <v>2.45</v>
      </c>
      <c r="X925" s="26" t="n">
        <f aca="false">IFERROR(W925/N925,0)</f>
        <v>0.0816666666666667</v>
      </c>
      <c r="Y925" s="22" t="str">
        <f aca="false">IF(W925&gt;0,"Win",IF(W925&lt;0,"Loss","Flat"))</f>
        <v>Win</v>
      </c>
      <c r="Z925" s="24" t="n">
        <f aca="false">Summary!$C$5+SUM(W$2:W925)</f>
        <v>3347.92</v>
      </c>
      <c r="AA925" s="24" t="n">
        <f aca="false">MAX(AA924,Z925)</f>
        <v>5000</v>
      </c>
      <c r="AB925" s="24" t="n">
        <f aca="false">AA925-Z925</f>
        <v>1652.08</v>
      </c>
      <c r="AC925" s="23" t="n">
        <f aca="false">IFERROR(AB925/AA925,0)</f>
        <v>0.330416</v>
      </c>
      <c r="AD925" s="22" t="s">
        <v>1162</v>
      </c>
    </row>
    <row r="926" customFormat="false" ht="15" hidden="false" customHeight="false" outlineLevel="0" collapsed="false">
      <c r="A926" s="22" t="n">
        <v>925</v>
      </c>
      <c r="B926" s="22" t="s">
        <v>147</v>
      </c>
      <c r="C926" s="37" t="n">
        <v>45491.3775810185</v>
      </c>
      <c r="D926" s="22" t="s">
        <v>205</v>
      </c>
      <c r="E926" s="22" t="n">
        <v>9</v>
      </c>
      <c r="F926" s="22" t="s">
        <v>182</v>
      </c>
      <c r="G926" s="22" t="s">
        <v>241</v>
      </c>
      <c r="H926" s="22" t="n">
        <v>0.05</v>
      </c>
      <c r="I926" s="38" t="n">
        <v>2464.8</v>
      </c>
      <c r="J926" s="38" t="n">
        <v>2464.8</v>
      </c>
      <c r="K926" s="39" t="n">
        <f aca="false">IF(F926="BUY",J926-I926,I926-J926)</f>
        <v>0</v>
      </c>
      <c r="L926" s="38" t="n">
        <v>2470.8</v>
      </c>
      <c r="M926" s="39" t="n">
        <f aca="false">ABS(I926-L926)</f>
        <v>6</v>
      </c>
      <c r="N926" s="24" t="n">
        <f aca="false">M926*H926*Summary!$C$6</f>
        <v>30</v>
      </c>
      <c r="O926" s="37" t="n">
        <v>45491.3966319444</v>
      </c>
      <c r="P926" s="22" t="n">
        <f aca="false">ROUND((O926-C926)*86400,0)</f>
        <v>1646</v>
      </c>
      <c r="Q926" s="22" t="str">
        <f aca="false">IF(P926&lt;10,"a) &lt;10s",IF(P926&lt;60,"b) 10-60s",IF(P926&lt;600,"c) 1-10min","d) &gt;10min")))</f>
        <v>d) &gt;10min</v>
      </c>
      <c r="R926" s="38" t="n">
        <v>2470.8</v>
      </c>
      <c r="S926" s="38" t="n">
        <v>2470.8</v>
      </c>
      <c r="T926" s="22" t="s">
        <v>188</v>
      </c>
      <c r="U926" s="39" t="n">
        <f aca="false">IF(R926="","",IF(F926="BUY",R926-S926,S926-R926))</f>
        <v>0</v>
      </c>
      <c r="V926" s="39" t="n">
        <f aca="false">IF(F926="BUY",S926-J926,J926-S926)</f>
        <v>-6</v>
      </c>
      <c r="W926" s="6" t="n">
        <v>-30</v>
      </c>
      <c r="X926" s="26" t="n">
        <f aca="false">IFERROR(W926/N926,0)</f>
        <v>-1</v>
      </c>
      <c r="Y926" s="22" t="str">
        <f aca="false">IF(W926&gt;0,"Win",IF(W926&lt;0,"Loss","Flat"))</f>
        <v>Loss</v>
      </c>
      <c r="Z926" s="24" t="n">
        <f aca="false">Summary!$C$5+SUM(W$2:W926)</f>
        <v>3317.92</v>
      </c>
      <c r="AA926" s="24" t="n">
        <f aca="false">MAX(AA925,Z926)</f>
        <v>5000</v>
      </c>
      <c r="AB926" s="24" t="n">
        <f aca="false">AA926-Z926</f>
        <v>1682.08</v>
      </c>
      <c r="AC926" s="23" t="n">
        <f aca="false">IFERROR(AB926/AA926,0)</f>
        <v>0.336416</v>
      </c>
      <c r="AD926" s="22" t="s">
        <v>1163</v>
      </c>
    </row>
    <row r="927" customFormat="false" ht="15" hidden="false" customHeight="false" outlineLevel="0" collapsed="false">
      <c r="A927" s="22" t="n">
        <v>926</v>
      </c>
      <c r="B927" s="22" t="s">
        <v>147</v>
      </c>
      <c r="C927" s="37" t="n">
        <v>45491.8967476852</v>
      </c>
      <c r="D927" s="22" t="s">
        <v>205</v>
      </c>
      <c r="E927" s="22" t="n">
        <v>21</v>
      </c>
      <c r="F927" s="22" t="s">
        <v>182</v>
      </c>
      <c r="G927" s="22" t="s">
        <v>237</v>
      </c>
      <c r="H927" s="22" t="n">
        <v>0.05</v>
      </c>
      <c r="I927" s="38" t="n">
        <v>2451.43</v>
      </c>
      <c r="J927" s="38" t="n">
        <v>2451.22</v>
      </c>
      <c r="K927" s="39" t="n">
        <f aca="false">IF(F927="BUY",J927-I927,I927-J927)</f>
        <v>0.210000000000036</v>
      </c>
      <c r="L927" s="38" t="n">
        <v>2457.43</v>
      </c>
      <c r="M927" s="39" t="n">
        <f aca="false">ABS(I927-L927)</f>
        <v>6</v>
      </c>
      <c r="N927" s="24" t="n">
        <f aca="false">M927*H927*Summary!$C$6</f>
        <v>30</v>
      </c>
      <c r="O927" s="37" t="n">
        <v>45491.9270833333</v>
      </c>
      <c r="P927" s="22" t="n">
        <f aca="false">ROUND((O927-C927)*86400,0)</f>
        <v>2621</v>
      </c>
      <c r="Q927" s="22" t="str">
        <f aca="false">IF(P927&lt;10,"a) &lt;10s",IF(P927&lt;60,"b) 10-60s",IF(P927&lt;600,"c) 1-10min","d) &gt;10min")))</f>
        <v>d) &gt;10min</v>
      </c>
      <c r="R927" s="38"/>
      <c r="S927" s="38" t="n">
        <v>2443.22</v>
      </c>
      <c r="T927" s="22" t="s">
        <v>191</v>
      </c>
      <c r="U927" s="39" t="str">
        <f aca="false">IF(R927="","",IF(F927="BUY",R927-S927,S927-R927))</f>
        <v/>
      </c>
      <c r="V927" s="39" t="n">
        <f aca="false">IF(F927="BUY",S927-J927,J927-S927)</f>
        <v>8</v>
      </c>
      <c r="W927" s="6" t="n">
        <v>40</v>
      </c>
      <c r="X927" s="26" t="n">
        <f aca="false">IFERROR(W927/N927,0)</f>
        <v>1.33333333333333</v>
      </c>
      <c r="Y927" s="22" t="str">
        <f aca="false">IF(W927&gt;0,"Win",IF(W927&lt;0,"Loss","Flat"))</f>
        <v>Win</v>
      </c>
      <c r="Z927" s="24" t="n">
        <f aca="false">Summary!$C$5+SUM(W$2:W927)</f>
        <v>3357.92</v>
      </c>
      <c r="AA927" s="24" t="n">
        <f aca="false">MAX(AA926,Z927)</f>
        <v>5000</v>
      </c>
      <c r="AB927" s="24" t="n">
        <f aca="false">AA927-Z927</f>
        <v>1642.08</v>
      </c>
      <c r="AC927" s="23" t="n">
        <f aca="false">IFERROR(AB927/AA927,0)</f>
        <v>0.328416</v>
      </c>
      <c r="AD927" s="22" t="s">
        <v>1164</v>
      </c>
    </row>
    <row r="928" customFormat="false" ht="15" hidden="false" customHeight="false" outlineLevel="0" collapsed="false">
      <c r="A928" s="22" t="n">
        <v>927</v>
      </c>
      <c r="B928" s="22" t="s">
        <v>147</v>
      </c>
      <c r="C928" s="37" t="n">
        <v>45492.1252199074</v>
      </c>
      <c r="D928" s="22" t="s">
        <v>206</v>
      </c>
      <c r="E928" s="22" t="n">
        <v>3</v>
      </c>
      <c r="F928" s="22" t="s">
        <v>182</v>
      </c>
      <c r="G928" s="22" t="s">
        <v>237</v>
      </c>
      <c r="H928" s="22" t="n">
        <v>0.05</v>
      </c>
      <c r="I928" s="38" t="n">
        <v>2440.2</v>
      </c>
      <c r="J928" s="38" t="n">
        <v>2440.15</v>
      </c>
      <c r="K928" s="39" t="n">
        <f aca="false">IF(F928="BUY",J928-I928,I928-J928)</f>
        <v>0.0499999999997272</v>
      </c>
      <c r="L928" s="38" t="n">
        <v>2446.2</v>
      </c>
      <c r="M928" s="39" t="n">
        <f aca="false">ABS(I928-L928)</f>
        <v>6</v>
      </c>
      <c r="N928" s="24" t="n">
        <f aca="false">M928*H928*Summary!$C$6</f>
        <v>30</v>
      </c>
      <c r="O928" s="37" t="n">
        <v>45492.6208449074</v>
      </c>
      <c r="P928" s="22" t="n">
        <f aca="false">ROUND((O928-C928)*86400,0)</f>
        <v>42822</v>
      </c>
      <c r="Q928" s="22" t="str">
        <f aca="false">IF(P928&lt;10,"a) &lt;10s",IF(P928&lt;60,"b) 10-60s",IF(P928&lt;600,"c) 1-10min","d) &gt;10min")))</f>
        <v>d) &gt;10min</v>
      </c>
      <c r="R928" s="38"/>
      <c r="S928" s="38" t="n">
        <v>2410.05</v>
      </c>
      <c r="T928" s="22" t="s">
        <v>187</v>
      </c>
      <c r="U928" s="39" t="str">
        <f aca="false">IF(R928="","",IF(F928="BUY",R928-S928,S928-R928))</f>
        <v/>
      </c>
      <c r="V928" s="39" t="n">
        <f aca="false">IF(F928="BUY",S928-J928,J928-S928)</f>
        <v>30.0999999999999</v>
      </c>
      <c r="W928" s="6" t="n">
        <v>150.5</v>
      </c>
      <c r="X928" s="26" t="n">
        <f aca="false">IFERROR(W928/N928,0)</f>
        <v>5.01666666666667</v>
      </c>
      <c r="Y928" s="22" t="str">
        <f aca="false">IF(W928&gt;0,"Win",IF(W928&lt;0,"Loss","Flat"))</f>
        <v>Win</v>
      </c>
      <c r="Z928" s="24" t="n">
        <f aca="false">Summary!$C$5+SUM(W$2:W928)</f>
        <v>3508.42</v>
      </c>
      <c r="AA928" s="24" t="n">
        <f aca="false">MAX(AA927,Z928)</f>
        <v>5000</v>
      </c>
      <c r="AB928" s="24" t="n">
        <f aca="false">AA928-Z928</f>
        <v>1491.58</v>
      </c>
      <c r="AC928" s="23" t="n">
        <f aca="false">IFERROR(AB928/AA928,0)</f>
        <v>0.298316</v>
      </c>
      <c r="AD928" s="22" t="s">
        <v>1165</v>
      </c>
    </row>
    <row r="929" customFormat="false" ht="15" hidden="false" customHeight="false" outlineLevel="0" collapsed="false">
      <c r="A929" s="22" t="n">
        <v>928</v>
      </c>
      <c r="B929" s="22" t="s">
        <v>147</v>
      </c>
      <c r="C929" s="37" t="n">
        <v>45495.5662847222</v>
      </c>
      <c r="D929" s="22" t="s">
        <v>202</v>
      </c>
      <c r="E929" s="22" t="n">
        <v>13</v>
      </c>
      <c r="F929" s="22" t="s">
        <v>181</v>
      </c>
      <c r="G929" s="22" t="s">
        <v>235</v>
      </c>
      <c r="H929" s="22" t="n">
        <v>0.05</v>
      </c>
      <c r="I929" s="38" t="n">
        <v>2407.18</v>
      </c>
      <c r="J929" s="38" t="n">
        <v>2407.18</v>
      </c>
      <c r="K929" s="39" t="n">
        <f aca="false">IF(F929="BUY",J929-I929,I929-J929)</f>
        <v>0</v>
      </c>
      <c r="L929" s="38" t="n">
        <v>2401.18</v>
      </c>
      <c r="M929" s="39" t="n">
        <f aca="false">ABS(I929-L929)</f>
        <v>6</v>
      </c>
      <c r="N929" s="24" t="n">
        <f aca="false">M929*H929*Summary!$C$6</f>
        <v>30</v>
      </c>
      <c r="O929" s="37" t="n">
        <v>45495.6145601852</v>
      </c>
      <c r="P929" s="22" t="n">
        <f aca="false">ROUND((O929-C929)*86400,0)</f>
        <v>4171</v>
      </c>
      <c r="Q929" s="22" t="str">
        <f aca="false">IF(P929&lt;10,"a) &lt;10s",IF(P929&lt;60,"b) 10-60s",IF(P929&lt;600,"c) 1-10min","d) &gt;10min")))</f>
        <v>d) &gt;10min</v>
      </c>
      <c r="R929" s="38" t="n">
        <v>2401.18</v>
      </c>
      <c r="S929" s="38" t="n">
        <v>2401.14</v>
      </c>
      <c r="T929" s="22" t="s">
        <v>188</v>
      </c>
      <c r="U929" s="39" t="n">
        <f aca="false">IF(R929="","",IF(F929="BUY",R929-S929,S929-R929))</f>
        <v>0.0399999999999636</v>
      </c>
      <c r="V929" s="39" t="n">
        <f aca="false">IF(F929="BUY",S929-J929,J929-S929)</f>
        <v>-6.03999999999996</v>
      </c>
      <c r="W929" s="6" t="n">
        <v>-30.2</v>
      </c>
      <c r="X929" s="26" t="n">
        <f aca="false">IFERROR(W929/N929,0)</f>
        <v>-1.00666666666667</v>
      </c>
      <c r="Y929" s="22" t="str">
        <f aca="false">IF(W929&gt;0,"Win",IF(W929&lt;0,"Loss","Flat"))</f>
        <v>Loss</v>
      </c>
      <c r="Z929" s="24" t="n">
        <f aca="false">Summary!$C$5+SUM(W$2:W929)</f>
        <v>3478.22</v>
      </c>
      <c r="AA929" s="24" t="n">
        <f aca="false">MAX(AA928,Z929)</f>
        <v>5000</v>
      </c>
      <c r="AB929" s="24" t="n">
        <f aca="false">AA929-Z929</f>
        <v>1521.78</v>
      </c>
      <c r="AC929" s="23" t="n">
        <f aca="false">IFERROR(AB929/AA929,0)</f>
        <v>0.304356</v>
      </c>
      <c r="AD929" s="22" t="s">
        <v>1166</v>
      </c>
    </row>
    <row r="930" customFormat="false" ht="15" hidden="false" customHeight="false" outlineLevel="0" collapsed="false">
      <c r="A930" s="22" t="n">
        <v>929</v>
      </c>
      <c r="B930" s="22" t="s">
        <v>147</v>
      </c>
      <c r="C930" s="37" t="n">
        <v>45495.6359722222</v>
      </c>
      <c r="D930" s="22" t="s">
        <v>202</v>
      </c>
      <c r="E930" s="22" t="n">
        <v>15</v>
      </c>
      <c r="F930" s="22" t="s">
        <v>182</v>
      </c>
      <c r="G930" s="22" t="s">
        <v>237</v>
      </c>
      <c r="H930" s="22" t="n">
        <v>0.05</v>
      </c>
      <c r="I930" s="38" t="n">
        <v>2393.68</v>
      </c>
      <c r="J930" s="38" t="n">
        <v>2393.68</v>
      </c>
      <c r="K930" s="39" t="n">
        <f aca="false">IF(F930="BUY",J930-I930,I930-J930)</f>
        <v>0</v>
      </c>
      <c r="L930" s="38" t="n">
        <v>2399.68</v>
      </c>
      <c r="M930" s="39" t="n">
        <f aca="false">ABS(I930-L930)</f>
        <v>6</v>
      </c>
      <c r="N930" s="24" t="n">
        <f aca="false">M930*H930*Summary!$C$6</f>
        <v>30</v>
      </c>
      <c r="O930" s="37" t="n">
        <v>45495.6405324074</v>
      </c>
      <c r="P930" s="22" t="n">
        <f aca="false">ROUND((O930-C930)*86400,0)</f>
        <v>394</v>
      </c>
      <c r="Q930" s="22" t="str">
        <f aca="false">IF(P930&lt;10,"a) &lt;10s",IF(P930&lt;60,"b) 10-60s",IF(P930&lt;600,"c) 1-10min","d) &gt;10min")))</f>
        <v>c) 1-10min</v>
      </c>
      <c r="R930" s="38" t="n">
        <v>2399.68</v>
      </c>
      <c r="S930" s="38" t="n">
        <v>2399.73</v>
      </c>
      <c r="T930" s="22" t="s">
        <v>188</v>
      </c>
      <c r="U930" s="39" t="n">
        <f aca="false">IF(R930="","",IF(F930="BUY",R930-S930,S930-R930))</f>
        <v>0.0500000000001819</v>
      </c>
      <c r="V930" s="39" t="n">
        <f aca="false">IF(F930="BUY",S930-J930,J930-S930)</f>
        <v>-6.05000000000018</v>
      </c>
      <c r="W930" s="6" t="n">
        <v>-30.25</v>
      </c>
      <c r="X930" s="26" t="n">
        <f aca="false">IFERROR(W930/N930,0)</f>
        <v>-1.00833333333333</v>
      </c>
      <c r="Y930" s="22" t="str">
        <f aca="false">IF(W930&gt;0,"Win",IF(W930&lt;0,"Loss","Flat"))</f>
        <v>Loss</v>
      </c>
      <c r="Z930" s="24" t="n">
        <f aca="false">Summary!$C$5+SUM(W$2:W930)</f>
        <v>3447.97</v>
      </c>
      <c r="AA930" s="24" t="n">
        <f aca="false">MAX(AA929,Z930)</f>
        <v>5000</v>
      </c>
      <c r="AB930" s="24" t="n">
        <f aca="false">AA930-Z930</f>
        <v>1552.03</v>
      </c>
      <c r="AC930" s="23" t="n">
        <f aca="false">IFERROR(AB930/AA930,0)</f>
        <v>0.310406</v>
      </c>
      <c r="AD930" s="22" t="s">
        <v>1167</v>
      </c>
    </row>
    <row r="931" customFormat="false" ht="15" hidden="false" customHeight="false" outlineLevel="0" collapsed="false">
      <c r="A931" s="22" t="n">
        <v>930</v>
      </c>
      <c r="B931" s="22" t="s">
        <v>147</v>
      </c>
      <c r="C931" s="37" t="n">
        <v>45496.3848148148</v>
      </c>
      <c r="D931" s="22" t="s">
        <v>203</v>
      </c>
      <c r="E931" s="22" t="n">
        <v>9</v>
      </c>
      <c r="F931" s="22" t="s">
        <v>182</v>
      </c>
      <c r="G931" s="22" t="s">
        <v>241</v>
      </c>
      <c r="H931" s="22" t="n">
        <v>0.05</v>
      </c>
      <c r="I931" s="38" t="n">
        <v>2390.62</v>
      </c>
      <c r="J931" s="38" t="n">
        <v>2390.6</v>
      </c>
      <c r="K931" s="39" t="n">
        <f aca="false">IF(F931="BUY",J931-I931,I931-J931)</f>
        <v>0.0199999999999818</v>
      </c>
      <c r="L931" s="38" t="n">
        <v>2396.62</v>
      </c>
      <c r="M931" s="39" t="n">
        <f aca="false">ABS(I931-L931)</f>
        <v>6</v>
      </c>
      <c r="N931" s="24" t="n">
        <f aca="false">M931*H931*Summary!$C$6</f>
        <v>30</v>
      </c>
      <c r="O931" s="37" t="n">
        <v>45496.3959259259</v>
      </c>
      <c r="P931" s="22" t="n">
        <f aca="false">ROUND((O931-C931)*86400,0)</f>
        <v>960</v>
      </c>
      <c r="Q931" s="22" t="str">
        <f aca="false">IF(P931&lt;10,"a) &lt;10s",IF(P931&lt;60,"b) 10-60s",IF(P931&lt;600,"c) 1-10min","d) &gt;10min")))</f>
        <v>d) &gt;10min</v>
      </c>
      <c r="R931" s="38" t="n">
        <v>2390.1</v>
      </c>
      <c r="S931" s="38" t="n">
        <v>2390.1</v>
      </c>
      <c r="T931" s="22" t="s">
        <v>189</v>
      </c>
      <c r="U931" s="39" t="n">
        <f aca="false">IF(R931="","",IF(F931="BUY",R931-S931,S931-R931))</f>
        <v>0</v>
      </c>
      <c r="V931" s="39" t="n">
        <f aca="false">IF(F931="BUY",S931-J931,J931-S931)</f>
        <v>0.5</v>
      </c>
      <c r="W931" s="6" t="n">
        <v>2.5</v>
      </c>
      <c r="X931" s="26" t="n">
        <f aca="false">IFERROR(W931/N931,0)</f>
        <v>0.0833333333333333</v>
      </c>
      <c r="Y931" s="22" t="str">
        <f aca="false">IF(W931&gt;0,"Win",IF(W931&lt;0,"Loss","Flat"))</f>
        <v>Win</v>
      </c>
      <c r="Z931" s="24" t="n">
        <f aca="false">Summary!$C$5+SUM(W$2:W931)</f>
        <v>3450.47</v>
      </c>
      <c r="AA931" s="24" t="n">
        <f aca="false">MAX(AA930,Z931)</f>
        <v>5000</v>
      </c>
      <c r="AB931" s="24" t="n">
        <f aca="false">AA931-Z931</f>
        <v>1549.53</v>
      </c>
      <c r="AC931" s="23" t="n">
        <f aca="false">IFERROR(AB931/AA931,0)</f>
        <v>0.309906</v>
      </c>
      <c r="AD931" s="22" t="s">
        <v>1168</v>
      </c>
    </row>
    <row r="932" customFormat="false" ht="15" hidden="false" customHeight="false" outlineLevel="0" collapsed="false">
      <c r="A932" s="22" t="n">
        <v>931</v>
      </c>
      <c r="B932" s="22" t="s">
        <v>147</v>
      </c>
      <c r="C932" s="37" t="n">
        <v>45496.6008680556</v>
      </c>
      <c r="D932" s="22" t="s">
        <v>203</v>
      </c>
      <c r="E932" s="22" t="n">
        <v>14</v>
      </c>
      <c r="F932" s="22" t="s">
        <v>181</v>
      </c>
      <c r="G932" s="22" t="s">
        <v>243</v>
      </c>
      <c r="H932" s="22" t="n">
        <v>0.05</v>
      </c>
      <c r="I932" s="38" t="n">
        <v>2412.04</v>
      </c>
      <c r="J932" s="38" t="n">
        <v>2412.11</v>
      </c>
      <c r="K932" s="39" t="n">
        <f aca="false">IF(F932="BUY",J932-I932,I932-J932)</f>
        <v>0.0700000000001637</v>
      </c>
      <c r="L932" s="38" t="n">
        <v>2406.04</v>
      </c>
      <c r="M932" s="39" t="n">
        <f aca="false">ABS(I932-L932)</f>
        <v>6</v>
      </c>
      <c r="N932" s="24" t="n">
        <f aca="false">M932*H932*Summary!$C$6</f>
        <v>30</v>
      </c>
      <c r="O932" s="37" t="n">
        <v>45496.6121643519</v>
      </c>
      <c r="P932" s="22" t="n">
        <f aca="false">ROUND((O932-C932)*86400,0)</f>
        <v>976</v>
      </c>
      <c r="Q932" s="22" t="str">
        <f aca="false">IF(P932&lt;10,"a) &lt;10s",IF(P932&lt;60,"b) 10-60s",IF(P932&lt;600,"c) 1-10min","d) &gt;10min")))</f>
        <v>d) &gt;10min</v>
      </c>
      <c r="R932" s="38" t="n">
        <v>2406.04</v>
      </c>
      <c r="S932" s="38" t="n">
        <v>2406</v>
      </c>
      <c r="T932" s="22" t="s">
        <v>188</v>
      </c>
      <c r="U932" s="39" t="n">
        <f aca="false">IF(R932="","",IF(F932="BUY",R932-S932,S932-R932))</f>
        <v>0.0399999999999636</v>
      </c>
      <c r="V932" s="39" t="n">
        <f aca="false">IF(F932="BUY",S932-J932,J932-S932)</f>
        <v>-6.11000000000013</v>
      </c>
      <c r="W932" s="6" t="n">
        <v>-30.55</v>
      </c>
      <c r="X932" s="26" t="n">
        <f aca="false">IFERROR(W932/N932,0)</f>
        <v>-1.01833333333333</v>
      </c>
      <c r="Y932" s="22" t="str">
        <f aca="false">IF(W932&gt;0,"Win",IF(W932&lt;0,"Loss","Flat"))</f>
        <v>Loss</v>
      </c>
      <c r="Z932" s="24" t="n">
        <f aca="false">Summary!$C$5+SUM(W$2:W932)</f>
        <v>3419.92</v>
      </c>
      <c r="AA932" s="24" t="n">
        <f aca="false">MAX(AA931,Z932)</f>
        <v>5000</v>
      </c>
      <c r="AB932" s="24" t="n">
        <f aca="false">AA932-Z932</f>
        <v>1580.08</v>
      </c>
      <c r="AC932" s="23" t="n">
        <f aca="false">IFERROR(AB932/AA932,0)</f>
        <v>0.316016</v>
      </c>
      <c r="AD932" s="22" t="s">
        <v>1169</v>
      </c>
    </row>
    <row r="933" customFormat="false" ht="15" hidden="false" customHeight="false" outlineLevel="0" collapsed="false">
      <c r="A933" s="22" t="n">
        <v>932</v>
      </c>
      <c r="B933" s="22" t="s">
        <v>147</v>
      </c>
      <c r="C933" s="37" t="n">
        <v>45497.1767592593</v>
      </c>
      <c r="D933" s="22" t="s">
        <v>204</v>
      </c>
      <c r="E933" s="22" t="n">
        <v>4</v>
      </c>
      <c r="F933" s="22" t="s">
        <v>181</v>
      </c>
      <c r="G933" s="22" t="s">
        <v>243</v>
      </c>
      <c r="H933" s="22" t="n">
        <v>0.05</v>
      </c>
      <c r="I933" s="38" t="n">
        <v>2411.91</v>
      </c>
      <c r="J933" s="38" t="n">
        <v>2412.05</v>
      </c>
      <c r="K933" s="39" t="n">
        <f aca="false">IF(F933="BUY",J933-I933,I933-J933)</f>
        <v>0.140000000000327</v>
      </c>
      <c r="L933" s="38" t="n">
        <v>2405.91</v>
      </c>
      <c r="M933" s="39" t="n">
        <f aca="false">ABS(I933-L933)</f>
        <v>6</v>
      </c>
      <c r="N933" s="24" t="n">
        <f aca="false">M933*H933*Summary!$C$6</f>
        <v>30</v>
      </c>
      <c r="O933" s="37" t="n">
        <v>45497.1867939815</v>
      </c>
      <c r="P933" s="22" t="n">
        <f aca="false">ROUND((O933-C933)*86400,0)</f>
        <v>867</v>
      </c>
      <c r="Q933" s="22" t="str">
        <f aca="false">IF(P933&lt;10,"a) &lt;10s",IF(P933&lt;60,"b) 10-60s",IF(P933&lt;600,"c) 1-10min","d) &gt;10min")))</f>
        <v>d) &gt;10min</v>
      </c>
      <c r="R933" s="38" t="n">
        <v>2405.91</v>
      </c>
      <c r="S933" s="38" t="n">
        <v>2405.9</v>
      </c>
      <c r="T933" s="22" t="s">
        <v>188</v>
      </c>
      <c r="U933" s="39" t="n">
        <f aca="false">IF(R933="","",IF(F933="BUY",R933-S933,S933-R933))</f>
        <v>0.00999999999976353</v>
      </c>
      <c r="V933" s="39" t="n">
        <f aca="false">IF(F933="BUY",S933-J933,J933-S933)</f>
        <v>-6.15000000000009</v>
      </c>
      <c r="W933" s="6" t="n">
        <v>-30.75</v>
      </c>
      <c r="X933" s="26" t="n">
        <f aca="false">IFERROR(W933/N933,0)</f>
        <v>-1.025</v>
      </c>
      <c r="Y933" s="22" t="str">
        <f aca="false">IF(W933&gt;0,"Win",IF(W933&lt;0,"Loss","Flat"))</f>
        <v>Loss</v>
      </c>
      <c r="Z933" s="24" t="n">
        <f aca="false">Summary!$C$5+SUM(W$2:W933)</f>
        <v>3389.17</v>
      </c>
      <c r="AA933" s="24" t="n">
        <f aca="false">MAX(AA932,Z933)</f>
        <v>5000</v>
      </c>
      <c r="AB933" s="24" t="n">
        <f aca="false">AA933-Z933</f>
        <v>1610.83</v>
      </c>
      <c r="AC933" s="23" t="n">
        <f aca="false">IFERROR(AB933/AA933,0)</f>
        <v>0.322166</v>
      </c>
      <c r="AD933" s="22" t="s">
        <v>1170</v>
      </c>
    </row>
    <row r="934" customFormat="false" ht="15" hidden="false" customHeight="false" outlineLevel="0" collapsed="false">
      <c r="A934" s="22" t="n">
        <v>933</v>
      </c>
      <c r="B934" s="22" t="s">
        <v>147</v>
      </c>
      <c r="C934" s="37" t="n">
        <v>45497.3763657407</v>
      </c>
      <c r="D934" s="22" t="s">
        <v>204</v>
      </c>
      <c r="E934" s="22" t="n">
        <v>9</v>
      </c>
      <c r="F934" s="22" t="s">
        <v>181</v>
      </c>
      <c r="G934" s="22" t="s">
        <v>235</v>
      </c>
      <c r="H934" s="22" t="n">
        <v>0.05</v>
      </c>
      <c r="I934" s="38" t="n">
        <v>2417.85</v>
      </c>
      <c r="J934" s="38" t="n">
        <v>2418.11</v>
      </c>
      <c r="K934" s="39" t="n">
        <f aca="false">IF(F934="BUY",J934-I934,I934-J934)</f>
        <v>0.260000000000218</v>
      </c>
      <c r="L934" s="38" t="n">
        <v>2411.85</v>
      </c>
      <c r="M934" s="39" t="n">
        <f aca="false">ABS(I934-L934)</f>
        <v>6</v>
      </c>
      <c r="N934" s="24" t="n">
        <f aca="false">M934*H934*Summary!$C$6</f>
        <v>30</v>
      </c>
      <c r="O934" s="37" t="n">
        <v>45497.4480671296</v>
      </c>
      <c r="P934" s="22" t="n">
        <f aca="false">ROUND((O934-C934)*86400,0)</f>
        <v>6195</v>
      </c>
      <c r="Q934" s="22" t="str">
        <f aca="false">IF(P934&lt;10,"a) &lt;10s",IF(P934&lt;60,"b) 10-60s",IF(P934&lt;600,"c) 1-10min","d) &gt;10min")))</f>
        <v>d) &gt;10min</v>
      </c>
      <c r="R934" s="38" t="n">
        <v>2411.85</v>
      </c>
      <c r="S934" s="38" t="n">
        <v>2411.85</v>
      </c>
      <c r="T934" s="22" t="s">
        <v>188</v>
      </c>
      <c r="U934" s="39" t="n">
        <f aca="false">IF(R934="","",IF(F934="BUY",R934-S934,S934-R934))</f>
        <v>0</v>
      </c>
      <c r="V934" s="39" t="n">
        <f aca="false">IF(F934="BUY",S934-J934,J934-S934)</f>
        <v>-6.26000000000022</v>
      </c>
      <c r="W934" s="6" t="n">
        <v>-31.3</v>
      </c>
      <c r="X934" s="26" t="n">
        <f aca="false">IFERROR(W934/N934,0)</f>
        <v>-1.04333333333333</v>
      </c>
      <c r="Y934" s="22" t="str">
        <f aca="false">IF(W934&gt;0,"Win",IF(W934&lt;0,"Loss","Flat"))</f>
        <v>Loss</v>
      </c>
      <c r="Z934" s="24" t="n">
        <f aca="false">Summary!$C$5+SUM(W$2:W934)</f>
        <v>3357.87</v>
      </c>
      <c r="AA934" s="24" t="n">
        <f aca="false">MAX(AA933,Z934)</f>
        <v>5000</v>
      </c>
      <c r="AB934" s="24" t="n">
        <f aca="false">AA934-Z934</f>
        <v>1642.13</v>
      </c>
      <c r="AC934" s="23" t="n">
        <f aca="false">IFERROR(AB934/AA934,0)</f>
        <v>0.328426</v>
      </c>
      <c r="AD934" s="22" t="s">
        <v>1171</v>
      </c>
    </row>
    <row r="935" customFormat="false" ht="15" hidden="false" customHeight="false" outlineLevel="0" collapsed="false">
      <c r="A935" s="22" t="n">
        <v>934</v>
      </c>
      <c r="B935" s="22" t="s">
        <v>147</v>
      </c>
      <c r="C935" s="37" t="n">
        <v>45498.378587963</v>
      </c>
      <c r="D935" s="22" t="s">
        <v>205</v>
      </c>
      <c r="E935" s="22" t="n">
        <v>9</v>
      </c>
      <c r="F935" s="22" t="s">
        <v>181</v>
      </c>
      <c r="G935" s="22" t="s">
        <v>235</v>
      </c>
      <c r="H935" s="22" t="n">
        <v>0.05</v>
      </c>
      <c r="I935" s="38" t="n">
        <v>2377.86</v>
      </c>
      <c r="J935" s="38" t="n">
        <v>2377.87</v>
      </c>
      <c r="K935" s="39" t="n">
        <f aca="false">IF(F935="BUY",J935-I935,I935-J935)</f>
        <v>0.00999999999976353</v>
      </c>
      <c r="L935" s="38" t="n">
        <v>2371.86</v>
      </c>
      <c r="M935" s="39" t="n">
        <f aca="false">ABS(I935-L935)</f>
        <v>6</v>
      </c>
      <c r="N935" s="24" t="n">
        <f aca="false">M935*H935*Summary!$C$6</f>
        <v>30</v>
      </c>
      <c r="O935" s="37" t="n">
        <v>45498.4108217593</v>
      </c>
      <c r="P935" s="22" t="n">
        <f aca="false">ROUND((O935-C935)*86400,0)</f>
        <v>2785</v>
      </c>
      <c r="Q935" s="22" t="str">
        <f aca="false">IF(P935&lt;10,"a) &lt;10s",IF(P935&lt;60,"b) 10-60s",IF(P935&lt;600,"c) 1-10min","d) &gt;10min")))</f>
        <v>d) &gt;10min</v>
      </c>
      <c r="R935" s="38" t="n">
        <v>2371.86</v>
      </c>
      <c r="S935" s="38" t="n">
        <v>2371.82</v>
      </c>
      <c r="T935" s="22" t="s">
        <v>188</v>
      </c>
      <c r="U935" s="39" t="n">
        <f aca="false">IF(R935="","",IF(F935="BUY",R935-S935,S935-R935))</f>
        <v>0.0399999999999636</v>
      </c>
      <c r="V935" s="39" t="n">
        <f aca="false">IF(F935="BUY",S935-J935,J935-S935)</f>
        <v>-6.04999999999973</v>
      </c>
      <c r="W935" s="6" t="n">
        <v>-30.25</v>
      </c>
      <c r="X935" s="26" t="n">
        <f aca="false">IFERROR(W935/N935,0)</f>
        <v>-1.00833333333333</v>
      </c>
      <c r="Y935" s="22" t="str">
        <f aca="false">IF(W935&gt;0,"Win",IF(W935&lt;0,"Loss","Flat"))</f>
        <v>Loss</v>
      </c>
      <c r="Z935" s="24" t="n">
        <f aca="false">Summary!$C$5+SUM(W$2:W935)</f>
        <v>3327.62</v>
      </c>
      <c r="AA935" s="24" t="n">
        <f aca="false">MAX(AA934,Z935)</f>
        <v>5000</v>
      </c>
      <c r="AB935" s="24" t="n">
        <f aca="false">AA935-Z935</f>
        <v>1672.38</v>
      </c>
      <c r="AC935" s="23" t="n">
        <f aca="false">IFERROR(AB935/AA935,0)</f>
        <v>0.334476</v>
      </c>
      <c r="AD935" s="22" t="s">
        <v>1172</v>
      </c>
    </row>
    <row r="936" customFormat="false" ht="15" hidden="false" customHeight="false" outlineLevel="0" collapsed="false">
      <c r="A936" s="22" t="n">
        <v>935</v>
      </c>
      <c r="B936" s="22" t="s">
        <v>147</v>
      </c>
      <c r="C936" s="37" t="n">
        <v>45499.3878472222</v>
      </c>
      <c r="D936" s="22" t="s">
        <v>206</v>
      </c>
      <c r="E936" s="22" t="n">
        <v>9</v>
      </c>
      <c r="F936" s="22" t="s">
        <v>182</v>
      </c>
      <c r="G936" s="22" t="s">
        <v>241</v>
      </c>
      <c r="H936" s="22" t="n">
        <v>0.05</v>
      </c>
      <c r="I936" s="38" t="n">
        <v>2368.05</v>
      </c>
      <c r="J936" s="38" t="n">
        <v>2368.02</v>
      </c>
      <c r="K936" s="39" t="n">
        <f aca="false">IF(F936="BUY",J936-I936,I936-J936)</f>
        <v>0.0300000000002001</v>
      </c>
      <c r="L936" s="38" t="n">
        <v>2374.05</v>
      </c>
      <c r="M936" s="39" t="n">
        <f aca="false">ABS(I936-L936)</f>
        <v>6</v>
      </c>
      <c r="N936" s="24" t="n">
        <f aca="false">M936*H936*Summary!$C$6</f>
        <v>30</v>
      </c>
      <c r="O936" s="37" t="n">
        <v>45499.3893402778</v>
      </c>
      <c r="P936" s="22" t="n">
        <f aca="false">ROUND((O936-C936)*86400,0)</f>
        <v>129</v>
      </c>
      <c r="Q936" s="22" t="str">
        <f aca="false">IF(P936&lt;10,"a) &lt;10s",IF(P936&lt;60,"b) 10-60s",IF(P936&lt;600,"c) 1-10min","d) &gt;10min")))</f>
        <v>c) 1-10min</v>
      </c>
      <c r="R936" s="38" t="n">
        <v>2367.52</v>
      </c>
      <c r="S936" s="38" t="n">
        <v>2367.52</v>
      </c>
      <c r="T936" s="22" t="s">
        <v>189</v>
      </c>
      <c r="U936" s="39" t="n">
        <f aca="false">IF(R936="","",IF(F936="BUY",R936-S936,S936-R936))</f>
        <v>0</v>
      </c>
      <c r="V936" s="39" t="n">
        <f aca="false">IF(F936="BUY",S936-J936,J936-S936)</f>
        <v>0.5</v>
      </c>
      <c r="W936" s="6" t="n">
        <v>2.5</v>
      </c>
      <c r="X936" s="26" t="n">
        <f aca="false">IFERROR(W936/N936,0)</f>
        <v>0.0833333333333333</v>
      </c>
      <c r="Y936" s="22" t="str">
        <f aca="false">IF(W936&gt;0,"Win",IF(W936&lt;0,"Loss","Flat"))</f>
        <v>Win</v>
      </c>
      <c r="Z936" s="24" t="n">
        <f aca="false">Summary!$C$5+SUM(W$2:W936)</f>
        <v>3330.12</v>
      </c>
      <c r="AA936" s="24" t="n">
        <f aca="false">MAX(AA935,Z936)</f>
        <v>5000</v>
      </c>
      <c r="AB936" s="24" t="n">
        <f aca="false">AA936-Z936</f>
        <v>1669.88</v>
      </c>
      <c r="AC936" s="23" t="n">
        <f aca="false">IFERROR(AB936/AA936,0)</f>
        <v>0.333976</v>
      </c>
      <c r="AD936" s="22" t="s">
        <v>1173</v>
      </c>
    </row>
    <row r="937" customFormat="false" ht="15" hidden="false" customHeight="false" outlineLevel="0" collapsed="false">
      <c r="A937" s="22" t="n">
        <v>936</v>
      </c>
      <c r="B937" s="22" t="s">
        <v>147</v>
      </c>
      <c r="C937" s="37" t="n">
        <v>45502.4195023148</v>
      </c>
      <c r="D937" s="22" t="s">
        <v>202</v>
      </c>
      <c r="E937" s="22" t="n">
        <v>10</v>
      </c>
      <c r="F937" s="22" t="s">
        <v>182</v>
      </c>
      <c r="G937" s="22" t="s">
        <v>241</v>
      </c>
      <c r="H937" s="22" t="n">
        <v>0.05</v>
      </c>
      <c r="I937" s="38" t="n">
        <v>2390.07</v>
      </c>
      <c r="J937" s="38" t="n">
        <v>2390.05</v>
      </c>
      <c r="K937" s="39" t="n">
        <f aca="false">IF(F937="BUY",J937-I937,I937-J937)</f>
        <v>0.0199999999999818</v>
      </c>
      <c r="L937" s="38" t="n">
        <v>2396.07</v>
      </c>
      <c r="M937" s="39" t="n">
        <f aca="false">ABS(I937-L937)</f>
        <v>6</v>
      </c>
      <c r="N937" s="24" t="n">
        <f aca="false">M937*H937*Summary!$C$6</f>
        <v>30</v>
      </c>
      <c r="O937" s="37" t="n">
        <v>45502.48625</v>
      </c>
      <c r="P937" s="22" t="n">
        <f aca="false">ROUND((O937-C937)*86400,0)</f>
        <v>5767</v>
      </c>
      <c r="Q937" s="22" t="str">
        <f aca="false">IF(P937&lt;10,"a) &lt;10s",IF(P937&lt;60,"b) 10-60s",IF(P937&lt;600,"c) 1-10min","d) &gt;10min")))</f>
        <v>d) &gt;10min</v>
      </c>
      <c r="R937" s="38" t="n">
        <v>2389.55</v>
      </c>
      <c r="S937" s="38" t="n">
        <v>2389.55</v>
      </c>
      <c r="T937" s="22" t="s">
        <v>189</v>
      </c>
      <c r="U937" s="39" t="n">
        <f aca="false">IF(R937="","",IF(F937="BUY",R937-S937,S937-R937))</f>
        <v>0</v>
      </c>
      <c r="V937" s="39" t="n">
        <f aca="false">IF(F937="BUY",S937-J937,J937-S937)</f>
        <v>0.5</v>
      </c>
      <c r="W937" s="6" t="n">
        <v>2.5</v>
      </c>
      <c r="X937" s="26" t="n">
        <f aca="false">IFERROR(W937/N937,0)</f>
        <v>0.0833333333333333</v>
      </c>
      <c r="Y937" s="22" t="str">
        <f aca="false">IF(W937&gt;0,"Win",IF(W937&lt;0,"Loss","Flat"))</f>
        <v>Win</v>
      </c>
      <c r="Z937" s="24" t="n">
        <f aca="false">Summary!$C$5+SUM(W$2:W937)</f>
        <v>3332.62</v>
      </c>
      <c r="AA937" s="24" t="n">
        <f aca="false">MAX(AA936,Z937)</f>
        <v>5000</v>
      </c>
      <c r="AB937" s="24" t="n">
        <f aca="false">AA937-Z937</f>
        <v>1667.38</v>
      </c>
      <c r="AC937" s="23" t="n">
        <f aca="false">IFERROR(AB937/AA937,0)</f>
        <v>0.333476</v>
      </c>
      <c r="AD937" s="22" t="s">
        <v>1174</v>
      </c>
    </row>
    <row r="938" customFormat="false" ht="15" hidden="false" customHeight="false" outlineLevel="0" collapsed="false">
      <c r="A938" s="22" t="n">
        <v>937</v>
      </c>
      <c r="B938" s="22" t="s">
        <v>147</v>
      </c>
      <c r="C938" s="37" t="n">
        <v>45503.3757291667</v>
      </c>
      <c r="D938" s="22" t="s">
        <v>203</v>
      </c>
      <c r="E938" s="22" t="n">
        <v>9</v>
      </c>
      <c r="F938" s="22" t="s">
        <v>181</v>
      </c>
      <c r="G938" s="22" t="s">
        <v>235</v>
      </c>
      <c r="H938" s="22" t="n">
        <v>0.05</v>
      </c>
      <c r="I938" s="38" t="n">
        <v>2389.7</v>
      </c>
      <c r="J938" s="38" t="n">
        <v>2389.72</v>
      </c>
      <c r="K938" s="39" t="n">
        <f aca="false">IF(F938="BUY",J938-I938,I938-J938)</f>
        <v>0.0199999999999818</v>
      </c>
      <c r="L938" s="38" t="n">
        <v>2383.7</v>
      </c>
      <c r="M938" s="39" t="n">
        <f aca="false">ABS(I938-L938)</f>
        <v>6</v>
      </c>
      <c r="N938" s="24" t="n">
        <f aca="false">M938*H938*Summary!$C$6</f>
        <v>30</v>
      </c>
      <c r="O938" s="37" t="n">
        <v>45503.4242013889</v>
      </c>
      <c r="P938" s="22" t="n">
        <f aca="false">ROUND((O938-C938)*86400,0)</f>
        <v>4188</v>
      </c>
      <c r="Q938" s="22" t="str">
        <f aca="false">IF(P938&lt;10,"a) &lt;10s",IF(P938&lt;60,"b) 10-60s",IF(P938&lt;600,"c) 1-10min","d) &gt;10min")))</f>
        <v>d) &gt;10min</v>
      </c>
      <c r="R938" s="38" t="n">
        <v>2390.22</v>
      </c>
      <c r="S938" s="38" t="n">
        <v>2390.19</v>
      </c>
      <c r="T938" s="22" t="s">
        <v>189</v>
      </c>
      <c r="U938" s="39" t="n">
        <f aca="false">IF(R938="","",IF(F938="BUY",R938-S938,S938-R938))</f>
        <v>0.0299999999997453</v>
      </c>
      <c r="V938" s="39" t="n">
        <f aca="false">IF(F938="BUY",S938-J938,J938-S938)</f>
        <v>0.470000000000255</v>
      </c>
      <c r="W938" s="6" t="n">
        <v>2.35</v>
      </c>
      <c r="X938" s="26" t="n">
        <f aca="false">IFERROR(W938/N938,0)</f>
        <v>0.0783333333333333</v>
      </c>
      <c r="Y938" s="22" t="str">
        <f aca="false">IF(W938&gt;0,"Win",IF(W938&lt;0,"Loss","Flat"))</f>
        <v>Win</v>
      </c>
      <c r="Z938" s="24" t="n">
        <f aca="false">Summary!$C$5+SUM(W$2:W938)</f>
        <v>3334.97</v>
      </c>
      <c r="AA938" s="24" t="n">
        <f aca="false">MAX(AA937,Z938)</f>
        <v>5000</v>
      </c>
      <c r="AB938" s="24" t="n">
        <f aca="false">AA938-Z938</f>
        <v>1665.03</v>
      </c>
      <c r="AC938" s="23" t="n">
        <f aca="false">IFERROR(AB938/AA938,0)</f>
        <v>0.333006</v>
      </c>
      <c r="AD938" s="22" t="s">
        <v>1175</v>
      </c>
    </row>
    <row r="939" customFormat="false" ht="15" hidden="false" customHeight="false" outlineLevel="0" collapsed="false">
      <c r="A939" s="22" t="n">
        <v>938</v>
      </c>
      <c r="B939" s="22" t="s">
        <v>147</v>
      </c>
      <c r="C939" s="37" t="n">
        <v>45503.8340856481</v>
      </c>
      <c r="D939" s="22" t="s">
        <v>203</v>
      </c>
      <c r="E939" s="22" t="n">
        <v>20</v>
      </c>
      <c r="F939" s="22" t="s">
        <v>181</v>
      </c>
      <c r="G939" s="22" t="s">
        <v>243</v>
      </c>
      <c r="H939" s="22" t="n">
        <v>0.05</v>
      </c>
      <c r="I939" s="38" t="n">
        <v>2403</v>
      </c>
      <c r="J939" s="38" t="n">
        <v>2403.02</v>
      </c>
      <c r="K939" s="39" t="n">
        <f aca="false">IF(F939="BUY",J939-I939,I939-J939)</f>
        <v>0.0199999999999818</v>
      </c>
      <c r="L939" s="38" t="n">
        <v>2397</v>
      </c>
      <c r="M939" s="39" t="n">
        <f aca="false">ABS(I939-L939)</f>
        <v>6</v>
      </c>
      <c r="N939" s="24" t="n">
        <f aca="false">M939*H939*Summary!$C$6</f>
        <v>30</v>
      </c>
      <c r="O939" s="37" t="n">
        <v>45503.8375578704</v>
      </c>
      <c r="P939" s="22" t="n">
        <f aca="false">ROUND((O939-C939)*86400,0)</f>
        <v>300</v>
      </c>
      <c r="Q939" s="22" t="str">
        <f aca="false">IF(P939&lt;10,"a) &lt;10s",IF(P939&lt;60,"b) 10-60s",IF(P939&lt;600,"c) 1-10min","d) &gt;10min")))</f>
        <v>c) 1-10min</v>
      </c>
      <c r="R939" s="38" t="n">
        <v>2403.52</v>
      </c>
      <c r="S939" s="38" t="n">
        <v>2403.49</v>
      </c>
      <c r="T939" s="22" t="s">
        <v>189</v>
      </c>
      <c r="U939" s="39" t="n">
        <f aca="false">IF(R939="","",IF(F939="BUY",R939-S939,S939-R939))</f>
        <v>0.0300000000002001</v>
      </c>
      <c r="V939" s="39" t="n">
        <f aca="false">IF(F939="BUY",S939-J939,J939-S939)</f>
        <v>0.4699999999998</v>
      </c>
      <c r="W939" s="6" t="n">
        <v>2.35</v>
      </c>
      <c r="X939" s="26" t="n">
        <f aca="false">IFERROR(W939/N939,0)</f>
        <v>0.0783333333333333</v>
      </c>
      <c r="Y939" s="22" t="str">
        <f aca="false">IF(W939&gt;0,"Win",IF(W939&lt;0,"Loss","Flat"))</f>
        <v>Win</v>
      </c>
      <c r="Z939" s="24" t="n">
        <f aca="false">Summary!$C$5+SUM(W$2:W939)</f>
        <v>3337.32</v>
      </c>
      <c r="AA939" s="24" t="n">
        <f aca="false">MAX(AA938,Z939)</f>
        <v>5000</v>
      </c>
      <c r="AB939" s="24" t="n">
        <f aca="false">AA939-Z939</f>
        <v>1662.68</v>
      </c>
      <c r="AC939" s="23" t="n">
        <f aca="false">IFERROR(AB939/AA939,0)</f>
        <v>0.332536</v>
      </c>
      <c r="AD939" s="22" t="s">
        <v>1176</v>
      </c>
    </row>
    <row r="940" customFormat="false" ht="15" hidden="false" customHeight="false" outlineLevel="0" collapsed="false">
      <c r="A940" s="22" t="n">
        <v>939</v>
      </c>
      <c r="B940" s="22" t="s">
        <v>147</v>
      </c>
      <c r="C940" s="37" t="n">
        <v>45504.2583217593</v>
      </c>
      <c r="D940" s="22" t="s">
        <v>204</v>
      </c>
      <c r="E940" s="22" t="n">
        <v>6</v>
      </c>
      <c r="F940" s="22" t="s">
        <v>181</v>
      </c>
      <c r="G940" s="22" t="s">
        <v>243</v>
      </c>
      <c r="H940" s="22" t="n">
        <v>0.05</v>
      </c>
      <c r="I940" s="38" t="n">
        <v>2412.71</v>
      </c>
      <c r="J940" s="38" t="n">
        <v>2412.79</v>
      </c>
      <c r="K940" s="39" t="n">
        <f aca="false">IF(F940="BUY",J940-I940,I940-J940)</f>
        <v>0.0799999999999272</v>
      </c>
      <c r="L940" s="38" t="n">
        <v>2406.71</v>
      </c>
      <c r="M940" s="39" t="n">
        <f aca="false">ABS(I940-L940)</f>
        <v>6</v>
      </c>
      <c r="N940" s="24" t="n">
        <f aca="false">M940*H940*Summary!$C$6</f>
        <v>30</v>
      </c>
      <c r="O940" s="37" t="n">
        <v>45504.9270833333</v>
      </c>
      <c r="P940" s="22" t="n">
        <f aca="false">ROUND((O940-C940)*86400,0)</f>
        <v>57781</v>
      </c>
      <c r="Q940" s="22" t="str">
        <f aca="false">IF(P940&lt;10,"a) &lt;10s",IF(P940&lt;60,"b) 10-60s",IF(P940&lt;600,"c) 1-10min","d) &gt;10min")))</f>
        <v>d) &gt;10min</v>
      </c>
      <c r="R940" s="38"/>
      <c r="S940" s="38" t="n">
        <v>2431.98</v>
      </c>
      <c r="T940" s="22" t="s">
        <v>191</v>
      </c>
      <c r="U940" s="39" t="str">
        <f aca="false">IF(R940="","",IF(F940="BUY",R940-S940,S940-R940))</f>
        <v/>
      </c>
      <c r="V940" s="39" t="n">
        <f aca="false">IF(F940="BUY",S940-J940,J940-S940)</f>
        <v>19.1900000000001</v>
      </c>
      <c r="W940" s="6" t="n">
        <v>95.95</v>
      </c>
      <c r="X940" s="26" t="n">
        <f aca="false">IFERROR(W940/N940,0)</f>
        <v>3.19833333333333</v>
      </c>
      <c r="Y940" s="22" t="str">
        <f aca="false">IF(W940&gt;0,"Win",IF(W940&lt;0,"Loss","Flat"))</f>
        <v>Win</v>
      </c>
      <c r="Z940" s="24" t="n">
        <f aca="false">Summary!$C$5+SUM(W$2:W940)</f>
        <v>3433.27</v>
      </c>
      <c r="AA940" s="24" t="n">
        <f aca="false">MAX(AA939,Z940)</f>
        <v>5000</v>
      </c>
      <c r="AB940" s="24" t="n">
        <f aca="false">AA940-Z940</f>
        <v>1566.73</v>
      </c>
      <c r="AC940" s="23" t="n">
        <f aca="false">IFERROR(AB940/AA940,0)</f>
        <v>0.313346</v>
      </c>
      <c r="AD940" s="22" t="s">
        <v>1177</v>
      </c>
    </row>
    <row r="941" customFormat="false" ht="15" hidden="false" customHeight="false" outlineLevel="0" collapsed="false">
      <c r="A941" s="22" t="n">
        <v>940</v>
      </c>
      <c r="B941" s="22" t="s">
        <v>148</v>
      </c>
      <c r="C941" s="37" t="n">
        <v>45505.1715509259</v>
      </c>
      <c r="D941" s="22" t="s">
        <v>205</v>
      </c>
      <c r="E941" s="22" t="n">
        <v>4</v>
      </c>
      <c r="F941" s="22" t="s">
        <v>181</v>
      </c>
      <c r="G941" s="22" t="s">
        <v>243</v>
      </c>
      <c r="H941" s="22" t="n">
        <v>0.05</v>
      </c>
      <c r="I941" s="38" t="n">
        <v>2450.85</v>
      </c>
      <c r="J941" s="38" t="n">
        <v>2450.87</v>
      </c>
      <c r="K941" s="39" t="n">
        <f aca="false">IF(F941="BUY",J941-I941,I941-J941)</f>
        <v>0.0199999999999818</v>
      </c>
      <c r="L941" s="38" t="n">
        <v>2444.85</v>
      </c>
      <c r="M941" s="39" t="n">
        <f aca="false">ABS(I941-L941)</f>
        <v>6</v>
      </c>
      <c r="N941" s="24" t="n">
        <f aca="false">M941*H941*Summary!$C$6</f>
        <v>30</v>
      </c>
      <c r="O941" s="37" t="n">
        <v>45505.17625</v>
      </c>
      <c r="P941" s="22" t="n">
        <f aca="false">ROUND((O941-C941)*86400,0)</f>
        <v>406</v>
      </c>
      <c r="Q941" s="22" t="str">
        <f aca="false">IF(P941&lt;10,"a) &lt;10s",IF(P941&lt;60,"b) 10-60s",IF(P941&lt;600,"c) 1-10min","d) &gt;10min")))</f>
        <v>c) 1-10min</v>
      </c>
      <c r="R941" s="38" t="n">
        <v>2451.37</v>
      </c>
      <c r="S941" s="38" t="n">
        <v>2451.29</v>
      </c>
      <c r="T941" s="22" t="s">
        <v>189</v>
      </c>
      <c r="U941" s="39" t="n">
        <f aca="false">IF(R941="","",IF(F941="BUY",R941-S941,S941-R941))</f>
        <v>0.0799999999999272</v>
      </c>
      <c r="V941" s="39" t="n">
        <f aca="false">IF(F941="BUY",S941-J941,J941-S941)</f>
        <v>0.420000000000073</v>
      </c>
      <c r="W941" s="6" t="n">
        <v>2.1</v>
      </c>
      <c r="X941" s="26" t="n">
        <f aca="false">IFERROR(W941/N941,0)</f>
        <v>0.07</v>
      </c>
      <c r="Y941" s="22" t="str">
        <f aca="false">IF(W941&gt;0,"Win",IF(W941&lt;0,"Loss","Flat"))</f>
        <v>Win</v>
      </c>
      <c r="Z941" s="24" t="n">
        <f aca="false">Summary!$C$5+SUM(W$2:W941)</f>
        <v>3435.37</v>
      </c>
      <c r="AA941" s="24" t="n">
        <f aca="false">MAX(AA940,Z941)</f>
        <v>5000</v>
      </c>
      <c r="AB941" s="24" t="n">
        <f aca="false">AA941-Z941</f>
        <v>1564.63</v>
      </c>
      <c r="AC941" s="23" t="n">
        <f aca="false">IFERROR(AB941/AA941,0)</f>
        <v>0.312926</v>
      </c>
      <c r="AD941" s="22" t="s">
        <v>1178</v>
      </c>
    </row>
    <row r="942" customFormat="false" ht="15" hidden="false" customHeight="false" outlineLevel="0" collapsed="false">
      <c r="A942" s="22" t="n">
        <v>941</v>
      </c>
      <c r="B942" s="22" t="s">
        <v>148</v>
      </c>
      <c r="C942" s="37" t="n">
        <v>45505.3752777778</v>
      </c>
      <c r="D942" s="22" t="s">
        <v>205</v>
      </c>
      <c r="E942" s="22" t="n">
        <v>9</v>
      </c>
      <c r="F942" s="22" t="s">
        <v>181</v>
      </c>
      <c r="G942" s="22" t="s">
        <v>235</v>
      </c>
      <c r="H942" s="22" t="n">
        <v>0.05</v>
      </c>
      <c r="I942" s="38" t="n">
        <v>2447.83</v>
      </c>
      <c r="J942" s="38" t="n">
        <v>2447.83</v>
      </c>
      <c r="K942" s="39" t="n">
        <f aca="false">IF(F942="BUY",J942-I942,I942-J942)</f>
        <v>0</v>
      </c>
      <c r="L942" s="38" t="n">
        <v>2441.83</v>
      </c>
      <c r="M942" s="39" t="n">
        <f aca="false">ABS(I942-L942)</f>
        <v>6</v>
      </c>
      <c r="N942" s="24" t="n">
        <f aca="false">M942*H942*Summary!$C$6</f>
        <v>30</v>
      </c>
      <c r="O942" s="37" t="n">
        <v>45505.4193287037</v>
      </c>
      <c r="P942" s="22" t="n">
        <f aca="false">ROUND((O942-C942)*86400,0)</f>
        <v>3806</v>
      </c>
      <c r="Q942" s="22" t="str">
        <f aca="false">IF(P942&lt;10,"a) &lt;10s",IF(P942&lt;60,"b) 10-60s",IF(P942&lt;600,"c) 1-10min","d) &gt;10min")))</f>
        <v>d) &gt;10min</v>
      </c>
      <c r="R942" s="38" t="n">
        <v>2441.83</v>
      </c>
      <c r="S942" s="38" t="n">
        <v>2441.75</v>
      </c>
      <c r="T942" s="22" t="s">
        <v>188</v>
      </c>
      <c r="U942" s="39" t="n">
        <f aca="false">IF(R942="","",IF(F942="BUY",R942-S942,S942-R942))</f>
        <v>0.0799999999999272</v>
      </c>
      <c r="V942" s="39" t="n">
        <f aca="false">IF(F942="BUY",S942-J942,J942-S942)</f>
        <v>-6.07999999999993</v>
      </c>
      <c r="W942" s="6" t="n">
        <v>-30.4</v>
      </c>
      <c r="X942" s="26" t="n">
        <f aca="false">IFERROR(W942/N942,0)</f>
        <v>-1.01333333333333</v>
      </c>
      <c r="Y942" s="22" t="str">
        <f aca="false">IF(W942&gt;0,"Win",IF(W942&lt;0,"Loss","Flat"))</f>
        <v>Loss</v>
      </c>
      <c r="Z942" s="24" t="n">
        <f aca="false">Summary!$C$5+SUM(W$2:W942)</f>
        <v>3404.97</v>
      </c>
      <c r="AA942" s="24" t="n">
        <f aca="false">MAX(AA941,Z942)</f>
        <v>5000</v>
      </c>
      <c r="AB942" s="24" t="n">
        <f aca="false">AA942-Z942</f>
        <v>1595.03</v>
      </c>
      <c r="AC942" s="23" t="n">
        <f aca="false">IFERROR(AB942/AA942,0)</f>
        <v>0.319006</v>
      </c>
      <c r="AD942" s="22" t="s">
        <v>1179</v>
      </c>
    </row>
    <row r="943" customFormat="false" ht="15" hidden="false" customHeight="false" outlineLevel="0" collapsed="false">
      <c r="A943" s="22" t="n">
        <v>942</v>
      </c>
      <c r="B943" s="22" t="s">
        <v>148</v>
      </c>
      <c r="C943" s="37" t="n">
        <v>45506.3671180556</v>
      </c>
      <c r="D943" s="22" t="s">
        <v>206</v>
      </c>
      <c r="E943" s="22" t="n">
        <v>8</v>
      </c>
      <c r="F943" s="22" t="s">
        <v>181</v>
      </c>
      <c r="G943" s="22" t="s">
        <v>243</v>
      </c>
      <c r="H943" s="22" t="n">
        <v>0.05</v>
      </c>
      <c r="I943" s="38" t="n">
        <v>2462.13</v>
      </c>
      <c r="J943" s="38" t="n">
        <v>2462.13</v>
      </c>
      <c r="K943" s="39" t="n">
        <f aca="false">IF(F943="BUY",J943-I943,I943-J943)</f>
        <v>0</v>
      </c>
      <c r="L943" s="38" t="n">
        <v>2456.13</v>
      </c>
      <c r="M943" s="39" t="n">
        <f aca="false">ABS(I943-L943)</f>
        <v>6</v>
      </c>
      <c r="N943" s="24" t="n">
        <f aca="false">M943*H943*Summary!$C$6</f>
        <v>30</v>
      </c>
      <c r="O943" s="37" t="n">
        <v>45506.3783680556</v>
      </c>
      <c r="P943" s="22" t="n">
        <f aca="false">ROUND((O943-C943)*86400,0)</f>
        <v>972</v>
      </c>
      <c r="Q943" s="22" t="str">
        <f aca="false">IF(P943&lt;10,"a) &lt;10s",IF(P943&lt;60,"b) 10-60s",IF(P943&lt;600,"c) 1-10min","d) &gt;10min")))</f>
        <v>d) &gt;10min</v>
      </c>
      <c r="R943" s="38" t="n">
        <v>2462.63</v>
      </c>
      <c r="S943" s="38" t="n">
        <v>2462.56</v>
      </c>
      <c r="T943" s="22" t="s">
        <v>189</v>
      </c>
      <c r="U943" s="39" t="n">
        <f aca="false">IF(R943="","",IF(F943="BUY",R943-S943,S943-R943))</f>
        <v>0.0700000000001637</v>
      </c>
      <c r="V943" s="39" t="n">
        <f aca="false">IF(F943="BUY",S943-J943,J943-S943)</f>
        <v>0.429999999999836</v>
      </c>
      <c r="W943" s="6" t="n">
        <v>2.15</v>
      </c>
      <c r="X943" s="26" t="n">
        <f aca="false">IFERROR(W943/N943,0)</f>
        <v>0.0716666666666667</v>
      </c>
      <c r="Y943" s="22" t="str">
        <f aca="false">IF(W943&gt;0,"Win",IF(W943&lt;0,"Loss","Flat"))</f>
        <v>Win</v>
      </c>
      <c r="Z943" s="24" t="n">
        <f aca="false">Summary!$C$5+SUM(W$2:W943)</f>
        <v>3407.12</v>
      </c>
      <c r="AA943" s="24" t="n">
        <f aca="false">MAX(AA942,Z943)</f>
        <v>5000</v>
      </c>
      <c r="AB943" s="24" t="n">
        <f aca="false">AA943-Z943</f>
        <v>1592.88</v>
      </c>
      <c r="AC943" s="23" t="n">
        <f aca="false">IFERROR(AB943/AA943,0)</f>
        <v>0.318576</v>
      </c>
      <c r="AD943" s="22" t="s">
        <v>1180</v>
      </c>
    </row>
    <row r="944" customFormat="false" ht="15" hidden="false" customHeight="false" outlineLevel="0" collapsed="false">
      <c r="A944" s="22" t="n">
        <v>943</v>
      </c>
      <c r="B944" s="22" t="s">
        <v>148</v>
      </c>
      <c r="C944" s="37" t="n">
        <v>45506.7313078704</v>
      </c>
      <c r="D944" s="22" t="s">
        <v>206</v>
      </c>
      <c r="E944" s="22" t="n">
        <v>17</v>
      </c>
      <c r="F944" s="22" t="s">
        <v>182</v>
      </c>
      <c r="G944" s="22" t="s">
        <v>241</v>
      </c>
      <c r="H944" s="22" t="n">
        <v>0.05</v>
      </c>
      <c r="I944" s="38" t="n">
        <v>2454.11</v>
      </c>
      <c r="J944" s="38" t="n">
        <v>2454.01</v>
      </c>
      <c r="K944" s="39" t="n">
        <f aca="false">IF(F944="BUY",J944-I944,I944-J944)</f>
        <v>0.0999999999999091</v>
      </c>
      <c r="L944" s="38" t="n">
        <v>2460.11</v>
      </c>
      <c r="M944" s="39" t="n">
        <f aca="false">ABS(I944-L944)</f>
        <v>6</v>
      </c>
      <c r="N944" s="24" t="n">
        <f aca="false">M944*H944*Summary!$C$6</f>
        <v>30</v>
      </c>
      <c r="O944" s="37" t="n">
        <v>45506.7331944444</v>
      </c>
      <c r="P944" s="22" t="n">
        <f aca="false">ROUND((O944-C944)*86400,0)</f>
        <v>163</v>
      </c>
      <c r="Q944" s="22" t="str">
        <f aca="false">IF(P944&lt;10,"a) &lt;10s",IF(P944&lt;60,"b) 10-60s",IF(P944&lt;600,"c) 1-10min","d) &gt;10min")))</f>
        <v>c) 1-10min</v>
      </c>
      <c r="R944" s="38" t="n">
        <v>2453.51</v>
      </c>
      <c r="S944" s="38" t="n">
        <v>2453.56</v>
      </c>
      <c r="T944" s="22" t="s">
        <v>189</v>
      </c>
      <c r="U944" s="39" t="n">
        <f aca="false">IF(R944="","",IF(F944="BUY",R944-S944,S944-R944))</f>
        <v>0.0499999999997272</v>
      </c>
      <c r="V944" s="39" t="n">
        <f aca="false">IF(F944="BUY",S944-J944,J944-S944)</f>
        <v>0.450000000000273</v>
      </c>
      <c r="W944" s="6" t="n">
        <v>2.25</v>
      </c>
      <c r="X944" s="26" t="n">
        <f aca="false">IFERROR(W944/N944,0)</f>
        <v>0.075</v>
      </c>
      <c r="Y944" s="22" t="str">
        <f aca="false">IF(W944&gt;0,"Win",IF(W944&lt;0,"Loss","Flat"))</f>
        <v>Win</v>
      </c>
      <c r="Z944" s="24" t="n">
        <f aca="false">Summary!$C$5+SUM(W$2:W944)</f>
        <v>3409.37</v>
      </c>
      <c r="AA944" s="24" t="n">
        <f aca="false">MAX(AA943,Z944)</f>
        <v>5000</v>
      </c>
      <c r="AB944" s="24" t="n">
        <f aca="false">AA944-Z944</f>
        <v>1590.63</v>
      </c>
      <c r="AC944" s="23" t="n">
        <f aca="false">IFERROR(AB944/AA944,0)</f>
        <v>0.318126</v>
      </c>
      <c r="AD944" s="22" t="s">
        <v>1181</v>
      </c>
    </row>
    <row r="945" customFormat="false" ht="15" hidden="false" customHeight="false" outlineLevel="0" collapsed="false">
      <c r="A945" s="22" t="n">
        <v>944</v>
      </c>
      <c r="B945" s="22" t="s">
        <v>148</v>
      </c>
      <c r="C945" s="37" t="n">
        <v>45509.3770949074</v>
      </c>
      <c r="D945" s="22" t="s">
        <v>202</v>
      </c>
      <c r="E945" s="22" t="n">
        <v>9</v>
      </c>
      <c r="F945" s="22" t="s">
        <v>182</v>
      </c>
      <c r="G945" s="22" t="s">
        <v>241</v>
      </c>
      <c r="H945" s="22" t="n">
        <v>0.05</v>
      </c>
      <c r="I945" s="38" t="n">
        <v>2432.27</v>
      </c>
      <c r="J945" s="38" t="n">
        <v>2432.22</v>
      </c>
      <c r="K945" s="39" t="n">
        <f aca="false">IF(F945="BUY",J945-I945,I945-J945)</f>
        <v>0.0500000000001819</v>
      </c>
      <c r="L945" s="38" t="n">
        <v>2438.27</v>
      </c>
      <c r="M945" s="39" t="n">
        <f aca="false">ABS(I945-L945)</f>
        <v>6</v>
      </c>
      <c r="N945" s="24" t="n">
        <f aca="false">M945*H945*Summary!$C$6</f>
        <v>30</v>
      </c>
      <c r="O945" s="37" t="n">
        <v>45509.3793055556</v>
      </c>
      <c r="P945" s="22" t="n">
        <f aca="false">ROUND((O945-C945)*86400,0)</f>
        <v>191</v>
      </c>
      <c r="Q945" s="22" t="str">
        <f aca="false">IF(P945&lt;10,"a) &lt;10s",IF(P945&lt;60,"b) 10-60s",IF(P945&lt;600,"c) 1-10min","d) &gt;10min")))</f>
        <v>c) 1-10min</v>
      </c>
      <c r="R945" s="38" t="n">
        <v>2431.72</v>
      </c>
      <c r="S945" s="38" t="n">
        <v>2431.75</v>
      </c>
      <c r="T945" s="22" t="s">
        <v>189</v>
      </c>
      <c r="U945" s="39" t="n">
        <f aca="false">IF(R945="","",IF(F945="BUY",R945-S945,S945-R945))</f>
        <v>0.0300000000002001</v>
      </c>
      <c r="V945" s="39" t="n">
        <f aca="false">IF(F945="BUY",S945-J945,J945-S945)</f>
        <v>0.4699999999998</v>
      </c>
      <c r="W945" s="6" t="n">
        <v>2.35</v>
      </c>
      <c r="X945" s="26" t="n">
        <f aca="false">IFERROR(W945/N945,0)</f>
        <v>0.0783333333333333</v>
      </c>
      <c r="Y945" s="22" t="str">
        <f aca="false">IF(W945&gt;0,"Win",IF(W945&lt;0,"Loss","Flat"))</f>
        <v>Win</v>
      </c>
      <c r="Z945" s="24" t="n">
        <f aca="false">Summary!$C$5+SUM(W$2:W945)</f>
        <v>3411.72</v>
      </c>
      <c r="AA945" s="24" t="n">
        <f aca="false">MAX(AA944,Z945)</f>
        <v>5000</v>
      </c>
      <c r="AB945" s="24" t="n">
        <f aca="false">AA945-Z945</f>
        <v>1588.28</v>
      </c>
      <c r="AC945" s="23" t="n">
        <f aca="false">IFERROR(AB945/AA945,0)</f>
        <v>0.317656</v>
      </c>
      <c r="AD945" s="22" t="s">
        <v>1182</v>
      </c>
    </row>
    <row r="946" customFormat="false" ht="15" hidden="false" customHeight="false" outlineLevel="0" collapsed="false">
      <c r="A946" s="22" t="n">
        <v>945</v>
      </c>
      <c r="B946" s="22" t="s">
        <v>148</v>
      </c>
      <c r="C946" s="37" t="n">
        <v>45509.5811805556</v>
      </c>
      <c r="D946" s="22" t="s">
        <v>202</v>
      </c>
      <c r="E946" s="22" t="n">
        <v>13</v>
      </c>
      <c r="F946" s="22" t="s">
        <v>182</v>
      </c>
      <c r="G946" s="22" t="s">
        <v>237</v>
      </c>
      <c r="H946" s="22" t="n">
        <v>0.05</v>
      </c>
      <c r="I946" s="38" t="n">
        <v>2410.66</v>
      </c>
      <c r="J946" s="38" t="n">
        <v>2410.61</v>
      </c>
      <c r="K946" s="39" t="n">
        <f aca="false">IF(F946="BUY",J946-I946,I946-J946)</f>
        <v>0.0499999999997272</v>
      </c>
      <c r="L946" s="38" t="n">
        <v>2416.66</v>
      </c>
      <c r="M946" s="39" t="n">
        <f aca="false">ABS(I946-L946)</f>
        <v>6</v>
      </c>
      <c r="N946" s="24" t="n">
        <f aca="false">M946*H946*Summary!$C$6</f>
        <v>30</v>
      </c>
      <c r="O946" s="37" t="n">
        <v>45509.6395138889</v>
      </c>
      <c r="P946" s="22" t="n">
        <f aca="false">ROUND((O946-C946)*86400,0)</f>
        <v>5040</v>
      </c>
      <c r="Q946" s="22" t="str">
        <f aca="false">IF(P946&lt;10,"a) &lt;10s",IF(P946&lt;60,"b) 10-60s",IF(P946&lt;600,"c) 1-10min","d) &gt;10min")))</f>
        <v>d) &gt;10min</v>
      </c>
      <c r="R946" s="38"/>
      <c r="S946" s="38" t="n">
        <v>2379.35</v>
      </c>
      <c r="T946" s="22" t="s">
        <v>187</v>
      </c>
      <c r="U946" s="39" t="str">
        <f aca="false">IF(R946="","",IF(F946="BUY",R946-S946,S946-R946))</f>
        <v/>
      </c>
      <c r="V946" s="39" t="n">
        <f aca="false">IF(F946="BUY",S946-J946,J946-S946)</f>
        <v>31.2600000000002</v>
      </c>
      <c r="W946" s="6" t="n">
        <v>156.3</v>
      </c>
      <c r="X946" s="26" t="n">
        <f aca="false">IFERROR(W946/N946,0)</f>
        <v>5.21</v>
      </c>
      <c r="Y946" s="22" t="str">
        <f aca="false">IF(W946&gt;0,"Win",IF(W946&lt;0,"Loss","Flat"))</f>
        <v>Win</v>
      </c>
      <c r="Z946" s="24" t="n">
        <f aca="false">Summary!$C$5+SUM(W$2:W946)</f>
        <v>3568.02</v>
      </c>
      <c r="AA946" s="24" t="n">
        <f aca="false">MAX(AA945,Z946)</f>
        <v>5000</v>
      </c>
      <c r="AB946" s="24" t="n">
        <f aca="false">AA946-Z946</f>
        <v>1431.98</v>
      </c>
      <c r="AC946" s="23" t="n">
        <f aca="false">IFERROR(AB946/AA946,0)</f>
        <v>0.286396</v>
      </c>
      <c r="AD946" s="22" t="s">
        <v>1183</v>
      </c>
    </row>
    <row r="947" customFormat="false" ht="15" hidden="false" customHeight="false" outlineLevel="0" collapsed="false">
      <c r="A947" s="22" t="n">
        <v>946</v>
      </c>
      <c r="B947" s="22" t="s">
        <v>148</v>
      </c>
      <c r="C947" s="37" t="n">
        <v>45510.3750347222</v>
      </c>
      <c r="D947" s="22" t="s">
        <v>203</v>
      </c>
      <c r="E947" s="22" t="n">
        <v>9</v>
      </c>
      <c r="F947" s="22" t="s">
        <v>182</v>
      </c>
      <c r="G947" s="22" t="s">
        <v>241</v>
      </c>
      <c r="H947" s="22" t="n">
        <v>0.05</v>
      </c>
      <c r="I947" s="38" t="n">
        <v>2398.04</v>
      </c>
      <c r="J947" s="38" t="n">
        <v>2398.03</v>
      </c>
      <c r="K947" s="39" t="n">
        <f aca="false">IF(F947="BUY",J947-I947,I947-J947)</f>
        <v>0.00999999999976353</v>
      </c>
      <c r="L947" s="38" t="n">
        <v>2404.04</v>
      </c>
      <c r="M947" s="39" t="n">
        <f aca="false">ABS(I947-L947)</f>
        <v>6</v>
      </c>
      <c r="N947" s="24" t="n">
        <f aca="false">M947*H947*Summary!$C$6</f>
        <v>30</v>
      </c>
      <c r="O947" s="37" t="n">
        <v>45510.3892708333</v>
      </c>
      <c r="P947" s="22" t="n">
        <f aca="false">ROUND((O947-C947)*86400,0)</f>
        <v>1230</v>
      </c>
      <c r="Q947" s="22" t="str">
        <f aca="false">IF(P947&lt;10,"a) &lt;10s",IF(P947&lt;60,"b) 10-60s",IF(P947&lt;600,"c) 1-10min","d) &gt;10min")))</f>
        <v>d) &gt;10min</v>
      </c>
      <c r="R947" s="38" t="n">
        <v>2397.53</v>
      </c>
      <c r="S947" s="38" t="n">
        <v>2397.59</v>
      </c>
      <c r="T947" s="22" t="s">
        <v>189</v>
      </c>
      <c r="U947" s="39" t="n">
        <f aca="false">IF(R947="","",IF(F947="BUY",R947-S947,S947-R947))</f>
        <v>0.0599999999999454</v>
      </c>
      <c r="V947" s="39" t="n">
        <f aca="false">IF(F947="BUY",S947-J947,J947-S947)</f>
        <v>0.440000000000055</v>
      </c>
      <c r="W947" s="6" t="n">
        <v>2.2</v>
      </c>
      <c r="X947" s="26" t="n">
        <f aca="false">IFERROR(W947/N947,0)</f>
        <v>0.0733333333333333</v>
      </c>
      <c r="Y947" s="22" t="str">
        <f aca="false">IF(W947&gt;0,"Win",IF(W947&lt;0,"Loss","Flat"))</f>
        <v>Win</v>
      </c>
      <c r="Z947" s="24" t="n">
        <f aca="false">Summary!$C$5+SUM(W$2:W947)</f>
        <v>3570.22</v>
      </c>
      <c r="AA947" s="24" t="n">
        <f aca="false">MAX(AA946,Z947)</f>
        <v>5000</v>
      </c>
      <c r="AB947" s="24" t="n">
        <f aca="false">AA947-Z947</f>
        <v>1429.78</v>
      </c>
      <c r="AC947" s="23" t="n">
        <f aca="false">IFERROR(AB947/AA947,0)</f>
        <v>0.285956</v>
      </c>
      <c r="AD947" s="22" t="s">
        <v>1184</v>
      </c>
    </row>
    <row r="948" customFormat="false" ht="15" hidden="false" customHeight="false" outlineLevel="0" collapsed="false">
      <c r="A948" s="22" t="n">
        <v>947</v>
      </c>
      <c r="B948" s="22" t="s">
        <v>148</v>
      </c>
      <c r="C948" s="37" t="n">
        <v>45511.1307523148</v>
      </c>
      <c r="D948" s="22" t="s">
        <v>204</v>
      </c>
      <c r="E948" s="22" t="n">
        <v>3</v>
      </c>
      <c r="F948" s="22" t="s">
        <v>182</v>
      </c>
      <c r="G948" s="22" t="s">
        <v>237</v>
      </c>
      <c r="H948" s="22" t="n">
        <v>0.05</v>
      </c>
      <c r="I948" s="38" t="n">
        <v>2381.52</v>
      </c>
      <c r="J948" s="38" t="n">
        <v>2381.22</v>
      </c>
      <c r="K948" s="39" t="n">
        <f aca="false">IF(F948="BUY",J948-I948,I948-J948)</f>
        <v>0.300000000000182</v>
      </c>
      <c r="L948" s="38" t="n">
        <v>2387.52</v>
      </c>
      <c r="M948" s="39" t="n">
        <f aca="false">ABS(I948-L948)</f>
        <v>6</v>
      </c>
      <c r="N948" s="24" t="n">
        <f aca="false">M948*H948*Summary!$C$6</f>
        <v>30</v>
      </c>
      <c r="O948" s="37" t="n">
        <v>45511.1660185185</v>
      </c>
      <c r="P948" s="22" t="n">
        <f aca="false">ROUND((O948-C948)*86400,0)</f>
        <v>3047</v>
      </c>
      <c r="Q948" s="22" t="str">
        <f aca="false">IF(P948&lt;10,"a) &lt;10s",IF(P948&lt;60,"b) 10-60s",IF(P948&lt;600,"c) 1-10min","d) &gt;10min")))</f>
        <v>d) &gt;10min</v>
      </c>
      <c r="R948" s="38" t="n">
        <v>2387.52</v>
      </c>
      <c r="S948" s="38" t="n">
        <v>2387.52</v>
      </c>
      <c r="T948" s="22" t="s">
        <v>188</v>
      </c>
      <c r="U948" s="39" t="n">
        <f aca="false">IF(R948="","",IF(F948="BUY",R948-S948,S948-R948))</f>
        <v>0</v>
      </c>
      <c r="V948" s="39" t="n">
        <f aca="false">IF(F948="BUY",S948-J948,J948-S948)</f>
        <v>-6.30000000000018</v>
      </c>
      <c r="W948" s="6" t="n">
        <v>-31.5</v>
      </c>
      <c r="X948" s="26" t="n">
        <f aca="false">IFERROR(W948/N948,0)</f>
        <v>-1.05</v>
      </c>
      <c r="Y948" s="22" t="str">
        <f aca="false">IF(W948&gt;0,"Win",IF(W948&lt;0,"Loss","Flat"))</f>
        <v>Loss</v>
      </c>
      <c r="Z948" s="24" t="n">
        <f aca="false">Summary!$C$5+SUM(W$2:W948)</f>
        <v>3538.72</v>
      </c>
      <c r="AA948" s="24" t="n">
        <f aca="false">MAX(AA947,Z948)</f>
        <v>5000</v>
      </c>
      <c r="AB948" s="24" t="n">
        <f aca="false">AA948-Z948</f>
        <v>1461.28</v>
      </c>
      <c r="AC948" s="23" t="n">
        <f aca="false">IFERROR(AB948/AA948,0)</f>
        <v>0.292256</v>
      </c>
      <c r="AD948" s="22" t="s">
        <v>1185</v>
      </c>
    </row>
    <row r="949" customFormat="false" ht="15" hidden="false" customHeight="false" outlineLevel="0" collapsed="false">
      <c r="A949" s="22" t="n">
        <v>948</v>
      </c>
      <c r="B949" s="22" t="s">
        <v>148</v>
      </c>
      <c r="C949" s="37" t="n">
        <v>45511.395150463</v>
      </c>
      <c r="D949" s="22" t="s">
        <v>204</v>
      </c>
      <c r="E949" s="22" t="n">
        <v>9</v>
      </c>
      <c r="F949" s="22" t="s">
        <v>181</v>
      </c>
      <c r="G949" s="22" t="s">
        <v>235</v>
      </c>
      <c r="H949" s="22" t="n">
        <v>0.05</v>
      </c>
      <c r="I949" s="38" t="n">
        <v>2396.04</v>
      </c>
      <c r="J949" s="38" t="n">
        <v>2396.07</v>
      </c>
      <c r="K949" s="39" t="n">
        <f aca="false">IF(F949="BUY",J949-I949,I949-J949)</f>
        <v>0.0300000000002001</v>
      </c>
      <c r="L949" s="38" t="n">
        <v>2390.04</v>
      </c>
      <c r="M949" s="39" t="n">
        <f aca="false">ABS(I949-L949)</f>
        <v>6</v>
      </c>
      <c r="N949" s="24" t="n">
        <f aca="false">M949*H949*Summary!$C$6</f>
        <v>30</v>
      </c>
      <c r="O949" s="37" t="n">
        <v>45511.4438078704</v>
      </c>
      <c r="P949" s="22" t="n">
        <f aca="false">ROUND((O949-C949)*86400,0)</f>
        <v>4204</v>
      </c>
      <c r="Q949" s="22" t="str">
        <f aca="false">IF(P949&lt;10,"a) &lt;10s",IF(P949&lt;60,"b) 10-60s",IF(P949&lt;600,"c) 1-10min","d) &gt;10min")))</f>
        <v>d) &gt;10min</v>
      </c>
      <c r="R949" s="38" t="n">
        <v>2390.04</v>
      </c>
      <c r="S949" s="38" t="n">
        <v>2390.03</v>
      </c>
      <c r="T949" s="22" t="s">
        <v>188</v>
      </c>
      <c r="U949" s="39" t="n">
        <f aca="false">IF(R949="","",IF(F949="BUY",R949-S949,S949-R949))</f>
        <v>0.00999999999976353</v>
      </c>
      <c r="V949" s="39" t="n">
        <f aca="false">IF(F949="BUY",S949-J949,J949-S949)</f>
        <v>-6.03999999999996</v>
      </c>
      <c r="W949" s="6" t="n">
        <v>-30.2</v>
      </c>
      <c r="X949" s="26" t="n">
        <f aca="false">IFERROR(W949/N949,0)</f>
        <v>-1.00666666666667</v>
      </c>
      <c r="Y949" s="22" t="str">
        <f aca="false">IF(W949&gt;0,"Win",IF(W949&lt;0,"Loss","Flat"))</f>
        <v>Loss</v>
      </c>
      <c r="Z949" s="24" t="n">
        <f aca="false">Summary!$C$5+SUM(W$2:W949)</f>
        <v>3508.52</v>
      </c>
      <c r="AA949" s="24" t="n">
        <f aca="false">MAX(AA948,Z949)</f>
        <v>5000</v>
      </c>
      <c r="AB949" s="24" t="n">
        <f aca="false">AA949-Z949</f>
        <v>1491.48</v>
      </c>
      <c r="AC949" s="23" t="n">
        <f aca="false">IFERROR(AB949/AA949,0)</f>
        <v>0.298296</v>
      </c>
      <c r="AD949" s="22" t="s">
        <v>1186</v>
      </c>
    </row>
    <row r="950" customFormat="false" ht="15" hidden="false" customHeight="false" outlineLevel="0" collapsed="false">
      <c r="A950" s="22" t="n">
        <v>949</v>
      </c>
      <c r="B950" s="22" t="s">
        <v>148</v>
      </c>
      <c r="C950" s="37" t="n">
        <v>45512.3919097222</v>
      </c>
      <c r="D950" s="22" t="s">
        <v>205</v>
      </c>
      <c r="E950" s="22" t="n">
        <v>9</v>
      </c>
      <c r="F950" s="22" t="s">
        <v>181</v>
      </c>
      <c r="G950" s="22" t="s">
        <v>235</v>
      </c>
      <c r="H950" s="22" t="n">
        <v>0.05</v>
      </c>
      <c r="I950" s="38" t="n">
        <v>2396.27</v>
      </c>
      <c r="J950" s="38" t="n">
        <v>2396.34</v>
      </c>
      <c r="K950" s="39" t="n">
        <f aca="false">IF(F950="BUY",J950-I950,I950-J950)</f>
        <v>0.0700000000001637</v>
      </c>
      <c r="L950" s="38" t="n">
        <v>2390.27</v>
      </c>
      <c r="M950" s="39" t="n">
        <f aca="false">ABS(I950-L950)</f>
        <v>6</v>
      </c>
      <c r="N950" s="24" t="n">
        <f aca="false">M950*H950*Summary!$C$6</f>
        <v>30</v>
      </c>
      <c r="O950" s="37" t="n">
        <v>45512.4057638889</v>
      </c>
      <c r="P950" s="22" t="n">
        <f aca="false">ROUND((O950-C950)*86400,0)</f>
        <v>1197</v>
      </c>
      <c r="Q950" s="22" t="str">
        <f aca="false">IF(P950&lt;10,"a) &lt;10s",IF(P950&lt;60,"b) 10-60s",IF(P950&lt;600,"c) 1-10min","d) &gt;10min")))</f>
        <v>d) &gt;10min</v>
      </c>
      <c r="R950" s="38" t="n">
        <v>2396.84</v>
      </c>
      <c r="S950" s="38" t="n">
        <v>2396.84</v>
      </c>
      <c r="T950" s="22" t="s">
        <v>189</v>
      </c>
      <c r="U950" s="39" t="n">
        <f aca="false">IF(R950="","",IF(F950="BUY",R950-S950,S950-R950))</f>
        <v>0</v>
      </c>
      <c r="V950" s="39" t="n">
        <f aca="false">IF(F950="BUY",S950-J950,J950-S950)</f>
        <v>0.5</v>
      </c>
      <c r="W950" s="6" t="n">
        <v>2.5</v>
      </c>
      <c r="X950" s="26" t="n">
        <f aca="false">IFERROR(W950/N950,0)</f>
        <v>0.0833333333333333</v>
      </c>
      <c r="Y950" s="22" t="str">
        <f aca="false">IF(W950&gt;0,"Win",IF(W950&lt;0,"Loss","Flat"))</f>
        <v>Win</v>
      </c>
      <c r="Z950" s="24" t="n">
        <f aca="false">Summary!$C$5+SUM(W$2:W950)</f>
        <v>3511.02</v>
      </c>
      <c r="AA950" s="24" t="n">
        <f aca="false">MAX(AA949,Z950)</f>
        <v>5000</v>
      </c>
      <c r="AB950" s="24" t="n">
        <f aca="false">AA950-Z950</f>
        <v>1488.98</v>
      </c>
      <c r="AC950" s="23" t="n">
        <f aca="false">IFERROR(AB950/AA950,0)</f>
        <v>0.297796</v>
      </c>
      <c r="AD950" s="22" t="s">
        <v>1187</v>
      </c>
    </row>
    <row r="951" customFormat="false" ht="15" hidden="false" customHeight="false" outlineLevel="0" collapsed="false">
      <c r="A951" s="22" t="n">
        <v>950</v>
      </c>
      <c r="B951" s="22" t="s">
        <v>148</v>
      </c>
      <c r="C951" s="37" t="n">
        <v>45512.5865972222</v>
      </c>
      <c r="D951" s="22" t="s">
        <v>205</v>
      </c>
      <c r="E951" s="22" t="n">
        <v>14</v>
      </c>
      <c r="F951" s="22" t="s">
        <v>181</v>
      </c>
      <c r="G951" s="22" t="s">
        <v>243</v>
      </c>
      <c r="H951" s="22" t="n">
        <v>0.05</v>
      </c>
      <c r="I951" s="38" t="n">
        <v>2406.86</v>
      </c>
      <c r="J951" s="38" t="n">
        <v>2406.91</v>
      </c>
      <c r="K951" s="39" t="n">
        <f aca="false">IF(F951="BUY",J951-I951,I951-J951)</f>
        <v>0.0499999999997272</v>
      </c>
      <c r="L951" s="38" t="n">
        <v>2400.86</v>
      </c>
      <c r="M951" s="39" t="n">
        <f aca="false">ABS(I951-L951)</f>
        <v>6</v>
      </c>
      <c r="N951" s="24" t="n">
        <f aca="false">M951*H951*Summary!$C$6</f>
        <v>30</v>
      </c>
      <c r="O951" s="37" t="n">
        <v>45512.6106712963</v>
      </c>
      <c r="P951" s="22" t="n">
        <f aca="false">ROUND((O951-C951)*86400,0)</f>
        <v>2080</v>
      </c>
      <c r="Q951" s="22" t="str">
        <f aca="false">IF(P951&lt;10,"a) &lt;10s",IF(P951&lt;60,"b) 10-60s",IF(P951&lt;600,"c) 1-10min","d) &gt;10min")))</f>
        <v>d) &gt;10min</v>
      </c>
      <c r="R951" s="38" t="n">
        <v>2407.41</v>
      </c>
      <c r="S951" s="38" t="n">
        <v>2407.41</v>
      </c>
      <c r="T951" s="22" t="s">
        <v>189</v>
      </c>
      <c r="U951" s="39" t="n">
        <f aca="false">IF(R951="","",IF(F951="BUY",R951-S951,S951-R951))</f>
        <v>0</v>
      </c>
      <c r="V951" s="39" t="n">
        <f aca="false">IF(F951="BUY",S951-J951,J951-S951)</f>
        <v>0.5</v>
      </c>
      <c r="W951" s="6" t="n">
        <v>2.5</v>
      </c>
      <c r="X951" s="26" t="n">
        <f aca="false">IFERROR(W951/N951,0)</f>
        <v>0.0833333333333333</v>
      </c>
      <c r="Y951" s="22" t="str">
        <f aca="false">IF(W951&gt;0,"Win",IF(W951&lt;0,"Loss","Flat"))</f>
        <v>Win</v>
      </c>
      <c r="Z951" s="24" t="n">
        <f aca="false">Summary!$C$5+SUM(W$2:W951)</f>
        <v>3513.52</v>
      </c>
      <c r="AA951" s="24" t="n">
        <f aca="false">MAX(AA950,Z951)</f>
        <v>5000</v>
      </c>
      <c r="AB951" s="24" t="n">
        <f aca="false">AA951-Z951</f>
        <v>1486.48</v>
      </c>
      <c r="AC951" s="23" t="n">
        <f aca="false">IFERROR(AB951/AA951,0)</f>
        <v>0.297296</v>
      </c>
      <c r="AD951" s="22" t="s">
        <v>1188</v>
      </c>
    </row>
    <row r="952" customFormat="false" ht="15" hidden="false" customHeight="false" outlineLevel="0" collapsed="false">
      <c r="A952" s="22" t="n">
        <v>951</v>
      </c>
      <c r="B952" s="22" t="s">
        <v>148</v>
      </c>
      <c r="C952" s="37" t="n">
        <v>45513.375</v>
      </c>
      <c r="D952" s="22" t="s">
        <v>206</v>
      </c>
      <c r="E952" s="22" t="n">
        <v>9</v>
      </c>
      <c r="F952" s="22" t="s">
        <v>182</v>
      </c>
      <c r="G952" s="22" t="s">
        <v>241</v>
      </c>
      <c r="H952" s="22" t="n">
        <v>0.05</v>
      </c>
      <c r="I952" s="38" t="n">
        <v>2416.99</v>
      </c>
      <c r="J952" s="38" t="n">
        <v>2416.98</v>
      </c>
      <c r="K952" s="39" t="n">
        <f aca="false">IF(F952="BUY",J952-I952,I952-J952)</f>
        <v>0.00999999999976353</v>
      </c>
      <c r="L952" s="38" t="n">
        <v>2422.99</v>
      </c>
      <c r="M952" s="39" t="n">
        <f aca="false">ABS(I952-L952)</f>
        <v>6</v>
      </c>
      <c r="N952" s="24" t="n">
        <f aca="false">M952*H952*Summary!$C$6</f>
        <v>30</v>
      </c>
      <c r="O952" s="37" t="n">
        <v>45513.4305092593</v>
      </c>
      <c r="P952" s="22" t="n">
        <f aca="false">ROUND((O952-C952)*86400,0)</f>
        <v>4796</v>
      </c>
      <c r="Q952" s="22" t="str">
        <f aca="false">IF(P952&lt;10,"a) &lt;10s",IF(P952&lt;60,"b) 10-60s",IF(P952&lt;600,"c) 1-10min","d) &gt;10min")))</f>
        <v>d) &gt;10min</v>
      </c>
      <c r="R952" s="38" t="n">
        <v>2422.99</v>
      </c>
      <c r="S952" s="38" t="n">
        <v>2423.01</v>
      </c>
      <c r="T952" s="22" t="s">
        <v>188</v>
      </c>
      <c r="U952" s="39" t="n">
        <f aca="false">IF(R952="","",IF(F952="BUY",R952-S952,S952-R952))</f>
        <v>0.0200000000004366</v>
      </c>
      <c r="V952" s="39" t="n">
        <f aca="false">IF(F952="BUY",S952-J952,J952-S952)</f>
        <v>-6.0300000000002</v>
      </c>
      <c r="W952" s="6" t="n">
        <v>-30.15</v>
      </c>
      <c r="X952" s="26" t="n">
        <f aca="false">IFERROR(W952/N952,0)</f>
        <v>-1.005</v>
      </c>
      <c r="Y952" s="22" t="str">
        <f aca="false">IF(W952&gt;0,"Win",IF(W952&lt;0,"Loss","Flat"))</f>
        <v>Loss</v>
      </c>
      <c r="Z952" s="24" t="n">
        <f aca="false">Summary!$C$5+SUM(W$2:W952)</f>
        <v>3483.37</v>
      </c>
      <c r="AA952" s="24" t="n">
        <f aca="false">MAX(AA951,Z952)</f>
        <v>5000</v>
      </c>
      <c r="AB952" s="24" t="n">
        <f aca="false">AA952-Z952</f>
        <v>1516.63</v>
      </c>
      <c r="AC952" s="23" t="n">
        <f aca="false">IFERROR(AB952/AA952,0)</f>
        <v>0.303326</v>
      </c>
      <c r="AD952" s="22" t="s">
        <v>1189</v>
      </c>
    </row>
    <row r="953" customFormat="false" ht="15" hidden="false" customHeight="false" outlineLevel="0" collapsed="false">
      <c r="A953" s="22" t="n">
        <v>952</v>
      </c>
      <c r="B953" s="22" t="s">
        <v>148</v>
      </c>
      <c r="C953" s="37" t="n">
        <v>45516.375</v>
      </c>
      <c r="D953" s="22" t="s">
        <v>202</v>
      </c>
      <c r="E953" s="22" t="n">
        <v>9</v>
      </c>
      <c r="F953" s="22" t="s">
        <v>181</v>
      </c>
      <c r="G953" s="22" t="s">
        <v>235</v>
      </c>
      <c r="H953" s="22" t="n">
        <v>0.05</v>
      </c>
      <c r="I953" s="38" t="n">
        <v>2434.99</v>
      </c>
      <c r="J953" s="38" t="n">
        <v>2435</v>
      </c>
      <c r="K953" s="39" t="n">
        <f aca="false">IF(F953="BUY",J953-I953,I953-J953)</f>
        <v>0.0100000000002183</v>
      </c>
      <c r="L953" s="38" t="n">
        <v>2428.99</v>
      </c>
      <c r="M953" s="39" t="n">
        <f aca="false">ABS(I953-L953)</f>
        <v>6</v>
      </c>
      <c r="N953" s="24" t="n">
        <f aca="false">M953*H953*Summary!$C$6</f>
        <v>30</v>
      </c>
      <c r="O953" s="37" t="n">
        <v>45516.422974537</v>
      </c>
      <c r="P953" s="22" t="n">
        <f aca="false">ROUND((O953-C953)*86400,0)</f>
        <v>4145</v>
      </c>
      <c r="Q953" s="22" t="str">
        <f aca="false">IF(P953&lt;10,"a) &lt;10s",IF(P953&lt;60,"b) 10-60s",IF(P953&lt;600,"c) 1-10min","d) &gt;10min")))</f>
        <v>d) &gt;10min</v>
      </c>
      <c r="R953" s="38" t="n">
        <v>2435.5</v>
      </c>
      <c r="S953" s="38" t="n">
        <v>2435.47</v>
      </c>
      <c r="T953" s="22" t="s">
        <v>189</v>
      </c>
      <c r="U953" s="39" t="n">
        <f aca="false">IF(R953="","",IF(F953="BUY",R953-S953,S953-R953))</f>
        <v>0.0300000000002001</v>
      </c>
      <c r="V953" s="39" t="n">
        <f aca="false">IF(F953="BUY",S953-J953,J953-S953)</f>
        <v>0.4699999999998</v>
      </c>
      <c r="W953" s="6" t="n">
        <v>2.35</v>
      </c>
      <c r="X953" s="26" t="n">
        <f aca="false">IFERROR(W953/N953,0)</f>
        <v>0.0783333333333333</v>
      </c>
      <c r="Y953" s="22" t="str">
        <f aca="false">IF(W953&gt;0,"Win",IF(W953&lt;0,"Loss","Flat"))</f>
        <v>Win</v>
      </c>
      <c r="Z953" s="24" t="n">
        <f aca="false">Summary!$C$5+SUM(W$2:W953)</f>
        <v>3485.72</v>
      </c>
      <c r="AA953" s="24" t="n">
        <f aca="false">MAX(AA952,Z953)</f>
        <v>5000</v>
      </c>
      <c r="AB953" s="24" t="n">
        <f aca="false">AA953-Z953</f>
        <v>1514.28</v>
      </c>
      <c r="AC953" s="23" t="n">
        <f aca="false">IFERROR(AB953/AA953,0)</f>
        <v>0.302856</v>
      </c>
      <c r="AD953" s="22" t="s">
        <v>1190</v>
      </c>
    </row>
    <row r="954" customFormat="false" ht="15" hidden="false" customHeight="false" outlineLevel="0" collapsed="false">
      <c r="A954" s="22" t="n">
        <v>953</v>
      </c>
      <c r="B954" s="22" t="s">
        <v>148</v>
      </c>
      <c r="C954" s="37" t="n">
        <v>45517.0547800926</v>
      </c>
      <c r="D954" s="22" t="s">
        <v>203</v>
      </c>
      <c r="E954" s="22" t="n">
        <v>1</v>
      </c>
      <c r="F954" s="22" t="s">
        <v>181</v>
      </c>
      <c r="G954" s="22" t="s">
        <v>243</v>
      </c>
      <c r="H954" s="22" t="n">
        <v>0.05</v>
      </c>
      <c r="I954" s="38" t="n">
        <v>2473.1</v>
      </c>
      <c r="J954" s="38" t="n">
        <v>2473.54</v>
      </c>
      <c r="K954" s="39" t="n">
        <f aca="false">IF(F954="BUY",J954-I954,I954-J954)</f>
        <v>0.440000000000055</v>
      </c>
      <c r="L954" s="38" t="n">
        <v>2467.1</v>
      </c>
      <c r="M954" s="39" t="n">
        <f aca="false">ABS(I954-L954)</f>
        <v>6</v>
      </c>
      <c r="N954" s="24" t="n">
        <f aca="false">M954*H954*Summary!$C$6</f>
        <v>30</v>
      </c>
      <c r="O954" s="37" t="n">
        <v>45517.1451273148</v>
      </c>
      <c r="P954" s="22" t="n">
        <f aca="false">ROUND((O954-C954)*86400,0)</f>
        <v>7806</v>
      </c>
      <c r="Q954" s="22" t="str">
        <f aca="false">IF(P954&lt;10,"a) &lt;10s",IF(P954&lt;60,"b) 10-60s",IF(P954&lt;600,"c) 1-10min","d) &gt;10min")))</f>
        <v>d) &gt;10min</v>
      </c>
      <c r="R954" s="38" t="n">
        <v>2474.04</v>
      </c>
      <c r="S954" s="38" t="n">
        <v>2474.02</v>
      </c>
      <c r="T954" s="22" t="s">
        <v>189</v>
      </c>
      <c r="U954" s="39" t="n">
        <f aca="false">IF(R954="","",IF(F954="BUY",R954-S954,S954-R954))</f>
        <v>0.0199999999999818</v>
      </c>
      <c r="V954" s="39" t="n">
        <f aca="false">IF(F954="BUY",S954-J954,J954-S954)</f>
        <v>0.480000000000018</v>
      </c>
      <c r="W954" s="6" t="n">
        <v>2.4</v>
      </c>
      <c r="X954" s="26" t="n">
        <f aca="false">IFERROR(W954/N954,0)</f>
        <v>0.08</v>
      </c>
      <c r="Y954" s="22" t="str">
        <f aca="false">IF(W954&gt;0,"Win",IF(W954&lt;0,"Loss","Flat"))</f>
        <v>Win</v>
      </c>
      <c r="Z954" s="24" t="n">
        <f aca="false">Summary!$C$5+SUM(W$2:W954)</f>
        <v>3488.12</v>
      </c>
      <c r="AA954" s="24" t="n">
        <f aca="false">MAX(AA953,Z954)</f>
        <v>5000</v>
      </c>
      <c r="AB954" s="24" t="n">
        <f aca="false">AA954-Z954</f>
        <v>1511.88</v>
      </c>
      <c r="AC954" s="23" t="n">
        <f aca="false">IFERROR(AB954/AA954,0)</f>
        <v>0.302376</v>
      </c>
      <c r="AD954" s="22" t="s">
        <v>1191</v>
      </c>
    </row>
    <row r="955" customFormat="false" ht="15" hidden="false" customHeight="false" outlineLevel="0" collapsed="false">
      <c r="A955" s="22" t="n">
        <v>954</v>
      </c>
      <c r="B955" s="22" t="s">
        <v>148</v>
      </c>
      <c r="C955" s="37" t="n">
        <v>45517.4231944445</v>
      </c>
      <c r="D955" s="22" t="s">
        <v>203</v>
      </c>
      <c r="E955" s="22" t="n">
        <v>10</v>
      </c>
      <c r="F955" s="22" t="s">
        <v>181</v>
      </c>
      <c r="G955" s="22" t="s">
        <v>235</v>
      </c>
      <c r="H955" s="22" t="n">
        <v>0.05</v>
      </c>
      <c r="I955" s="38" t="n">
        <v>2464.94</v>
      </c>
      <c r="J955" s="38" t="n">
        <v>2465</v>
      </c>
      <c r="K955" s="39" t="n">
        <f aca="false">IF(F955="BUY",J955-I955,I955-J955)</f>
        <v>0.0599999999999454</v>
      </c>
      <c r="L955" s="38" t="n">
        <v>2458.94</v>
      </c>
      <c r="M955" s="39" t="n">
        <f aca="false">ABS(I955-L955)</f>
        <v>6</v>
      </c>
      <c r="N955" s="24" t="n">
        <f aca="false">M955*H955*Summary!$C$6</f>
        <v>30</v>
      </c>
      <c r="O955" s="37" t="n">
        <v>45517.4886342593</v>
      </c>
      <c r="P955" s="22" t="n">
        <f aca="false">ROUND((O955-C955)*86400,0)</f>
        <v>5654</v>
      </c>
      <c r="Q955" s="22" t="str">
        <f aca="false">IF(P955&lt;10,"a) &lt;10s",IF(P955&lt;60,"b) 10-60s",IF(P955&lt;600,"c) 1-10min","d) &gt;10min")))</f>
        <v>d) &gt;10min</v>
      </c>
      <c r="R955" s="38" t="n">
        <v>2458.94</v>
      </c>
      <c r="S955" s="38" t="n">
        <v>2458.94</v>
      </c>
      <c r="T955" s="22" t="s">
        <v>188</v>
      </c>
      <c r="U955" s="39" t="n">
        <f aca="false">IF(R955="","",IF(F955="BUY",R955-S955,S955-R955))</f>
        <v>0</v>
      </c>
      <c r="V955" s="39" t="n">
        <f aca="false">IF(F955="BUY",S955-J955,J955-S955)</f>
        <v>-6.05999999999995</v>
      </c>
      <c r="W955" s="6" t="n">
        <v>-30.3</v>
      </c>
      <c r="X955" s="26" t="n">
        <f aca="false">IFERROR(W955/N955,0)</f>
        <v>-1.01</v>
      </c>
      <c r="Y955" s="22" t="str">
        <f aca="false">IF(W955&gt;0,"Win",IF(W955&lt;0,"Loss","Flat"))</f>
        <v>Loss</v>
      </c>
      <c r="Z955" s="24" t="n">
        <f aca="false">Summary!$C$5+SUM(W$2:W955)</f>
        <v>3457.82</v>
      </c>
      <c r="AA955" s="24" t="n">
        <f aca="false">MAX(AA954,Z955)</f>
        <v>5000</v>
      </c>
      <c r="AB955" s="24" t="n">
        <f aca="false">AA955-Z955</f>
        <v>1542.18</v>
      </c>
      <c r="AC955" s="23" t="n">
        <f aca="false">IFERROR(AB955/AA955,0)</f>
        <v>0.308436</v>
      </c>
      <c r="AD955" s="22" t="s">
        <v>1192</v>
      </c>
    </row>
    <row r="956" customFormat="false" ht="15" hidden="false" customHeight="false" outlineLevel="0" collapsed="false">
      <c r="A956" s="22" t="n">
        <v>955</v>
      </c>
      <c r="B956" s="22" t="s">
        <v>148</v>
      </c>
      <c r="C956" s="37" t="n">
        <v>45518.2302199074</v>
      </c>
      <c r="D956" s="22" t="s">
        <v>204</v>
      </c>
      <c r="E956" s="22" t="n">
        <v>5</v>
      </c>
      <c r="F956" s="22" t="s">
        <v>182</v>
      </c>
      <c r="G956" s="22" t="s">
        <v>237</v>
      </c>
      <c r="H956" s="22" t="n">
        <v>0.05</v>
      </c>
      <c r="I956" s="38" t="n">
        <v>2458.37</v>
      </c>
      <c r="J956" s="38" t="n">
        <v>2458</v>
      </c>
      <c r="K956" s="39" t="n">
        <f aca="false">IF(F956="BUY",J956-I956,I956-J956)</f>
        <v>0.369999999999891</v>
      </c>
      <c r="L956" s="38" t="n">
        <v>2464.37</v>
      </c>
      <c r="M956" s="39" t="n">
        <f aca="false">ABS(I956-L956)</f>
        <v>6</v>
      </c>
      <c r="N956" s="24" t="n">
        <f aca="false">M956*H956*Summary!$C$6</f>
        <v>30</v>
      </c>
      <c r="O956" s="37" t="n">
        <v>45518.2312847222</v>
      </c>
      <c r="P956" s="22" t="n">
        <f aca="false">ROUND((O956-C956)*86400,0)</f>
        <v>92</v>
      </c>
      <c r="Q956" s="22" t="str">
        <f aca="false">IF(P956&lt;10,"a) &lt;10s",IF(P956&lt;60,"b) 10-60s",IF(P956&lt;600,"c) 1-10min","d) &gt;10min")))</f>
        <v>c) 1-10min</v>
      </c>
      <c r="R956" s="38" t="n">
        <v>2457.5</v>
      </c>
      <c r="S956" s="38" t="n">
        <v>2457.5</v>
      </c>
      <c r="T956" s="22" t="s">
        <v>189</v>
      </c>
      <c r="U956" s="39" t="n">
        <f aca="false">IF(R956="","",IF(F956="BUY",R956-S956,S956-R956))</f>
        <v>0</v>
      </c>
      <c r="V956" s="39" t="n">
        <f aca="false">IF(F956="BUY",S956-J956,J956-S956)</f>
        <v>0.5</v>
      </c>
      <c r="W956" s="6" t="n">
        <v>2.5</v>
      </c>
      <c r="X956" s="26" t="n">
        <f aca="false">IFERROR(W956/N956,0)</f>
        <v>0.0833333333333333</v>
      </c>
      <c r="Y956" s="22" t="str">
        <f aca="false">IF(W956&gt;0,"Win",IF(W956&lt;0,"Loss","Flat"))</f>
        <v>Win</v>
      </c>
      <c r="Z956" s="24" t="n">
        <f aca="false">Summary!$C$5+SUM(W$2:W956)</f>
        <v>3460.32</v>
      </c>
      <c r="AA956" s="24" t="n">
        <f aca="false">MAX(AA955,Z956)</f>
        <v>5000</v>
      </c>
      <c r="AB956" s="24" t="n">
        <f aca="false">AA956-Z956</f>
        <v>1539.68</v>
      </c>
      <c r="AC956" s="23" t="n">
        <f aca="false">IFERROR(AB956/AA956,0)</f>
        <v>0.307936</v>
      </c>
      <c r="AD956" s="22" t="s">
        <v>1193</v>
      </c>
    </row>
    <row r="957" customFormat="false" ht="15" hidden="false" customHeight="false" outlineLevel="0" collapsed="false">
      <c r="A957" s="22" t="n">
        <v>956</v>
      </c>
      <c r="B957" s="22" t="s">
        <v>148</v>
      </c>
      <c r="C957" s="37" t="n">
        <v>45518.3750115741</v>
      </c>
      <c r="D957" s="22" t="s">
        <v>204</v>
      </c>
      <c r="E957" s="22" t="n">
        <v>9</v>
      </c>
      <c r="F957" s="22" t="s">
        <v>181</v>
      </c>
      <c r="G957" s="22" t="s">
        <v>235</v>
      </c>
      <c r="H957" s="22" t="n">
        <v>0.05</v>
      </c>
      <c r="I957" s="38" t="n">
        <v>2462.8</v>
      </c>
      <c r="J957" s="38" t="n">
        <v>2462.8</v>
      </c>
      <c r="K957" s="39" t="n">
        <f aca="false">IF(F957="BUY",J957-I957,I957-J957)</f>
        <v>0</v>
      </c>
      <c r="L957" s="38" t="n">
        <v>2456.8</v>
      </c>
      <c r="M957" s="39" t="n">
        <f aca="false">ABS(I957-L957)</f>
        <v>6</v>
      </c>
      <c r="N957" s="24" t="n">
        <f aca="false">M957*H957*Summary!$C$6</f>
        <v>30</v>
      </c>
      <c r="O957" s="37" t="n">
        <v>45518.6480902778</v>
      </c>
      <c r="P957" s="22" t="n">
        <f aca="false">ROUND((O957-C957)*86400,0)</f>
        <v>23594</v>
      </c>
      <c r="Q957" s="22" t="str">
        <f aca="false">IF(P957&lt;10,"a) &lt;10s",IF(P957&lt;60,"b) 10-60s",IF(P957&lt;600,"c) 1-10min","d) &gt;10min")))</f>
        <v>d) &gt;10min</v>
      </c>
      <c r="R957" s="38" t="n">
        <v>2463.3</v>
      </c>
      <c r="S957" s="38" t="n">
        <v>2463.11</v>
      </c>
      <c r="T957" s="22" t="s">
        <v>189</v>
      </c>
      <c r="U957" s="39" t="n">
        <f aca="false">IF(R957="","",IF(F957="BUY",R957-S957,S957-R957))</f>
        <v>0.190000000000055</v>
      </c>
      <c r="V957" s="39" t="n">
        <f aca="false">IF(F957="BUY",S957-J957,J957-S957)</f>
        <v>0.309999999999945</v>
      </c>
      <c r="W957" s="6" t="n">
        <v>1.55</v>
      </c>
      <c r="X957" s="26" t="n">
        <f aca="false">IFERROR(W957/N957,0)</f>
        <v>0.0516666666666667</v>
      </c>
      <c r="Y957" s="22" t="str">
        <f aca="false">IF(W957&gt;0,"Win",IF(W957&lt;0,"Loss","Flat"))</f>
        <v>Win</v>
      </c>
      <c r="Z957" s="24" t="n">
        <f aca="false">Summary!$C$5+SUM(W$2:W957)</f>
        <v>3461.87</v>
      </c>
      <c r="AA957" s="24" t="n">
        <f aca="false">MAX(AA956,Z957)</f>
        <v>5000</v>
      </c>
      <c r="AB957" s="24" t="n">
        <f aca="false">AA957-Z957</f>
        <v>1538.13</v>
      </c>
      <c r="AC957" s="23" t="n">
        <f aca="false">IFERROR(AB957/AA957,0)</f>
        <v>0.307626</v>
      </c>
      <c r="AD957" s="22" t="s">
        <v>1194</v>
      </c>
    </row>
    <row r="958" customFormat="false" ht="15" hidden="false" customHeight="false" outlineLevel="0" collapsed="false">
      <c r="A958" s="22" t="n">
        <v>957</v>
      </c>
      <c r="B958" s="22" t="s">
        <v>148</v>
      </c>
      <c r="C958" s="37" t="n">
        <v>45519.3821412037</v>
      </c>
      <c r="D958" s="22" t="s">
        <v>205</v>
      </c>
      <c r="E958" s="22" t="n">
        <v>9</v>
      </c>
      <c r="F958" s="22" t="s">
        <v>181</v>
      </c>
      <c r="G958" s="22" t="s">
        <v>235</v>
      </c>
      <c r="H958" s="22" t="n">
        <v>0.05</v>
      </c>
      <c r="I958" s="38" t="n">
        <v>2455.31</v>
      </c>
      <c r="J958" s="38" t="n">
        <v>2455.32</v>
      </c>
      <c r="K958" s="39" t="n">
        <f aca="false">IF(F958="BUY",J958-I958,I958-J958)</f>
        <v>0.0100000000002183</v>
      </c>
      <c r="L958" s="38" t="n">
        <v>2449.31</v>
      </c>
      <c r="M958" s="39" t="n">
        <f aca="false">ABS(I958-L958)</f>
        <v>6</v>
      </c>
      <c r="N958" s="24" t="n">
        <f aca="false">M958*H958*Summary!$C$6</f>
        <v>30</v>
      </c>
      <c r="O958" s="37" t="n">
        <v>45519.3909027778</v>
      </c>
      <c r="P958" s="22" t="n">
        <f aca="false">ROUND((O958-C958)*86400,0)</f>
        <v>757</v>
      </c>
      <c r="Q958" s="22" t="str">
        <f aca="false">IF(P958&lt;10,"a) &lt;10s",IF(P958&lt;60,"b) 10-60s",IF(P958&lt;600,"c) 1-10min","d) &gt;10min")))</f>
        <v>d) &gt;10min</v>
      </c>
      <c r="R958" s="38" t="n">
        <v>2455.82</v>
      </c>
      <c r="S958" s="38" t="n">
        <v>2455.82</v>
      </c>
      <c r="T958" s="22" t="s">
        <v>189</v>
      </c>
      <c r="U958" s="39" t="n">
        <f aca="false">IF(R958="","",IF(F958="BUY",R958-S958,S958-R958))</f>
        <v>0</v>
      </c>
      <c r="V958" s="39" t="n">
        <f aca="false">IF(F958="BUY",S958-J958,J958-S958)</f>
        <v>0.5</v>
      </c>
      <c r="W958" s="6" t="n">
        <v>2.5</v>
      </c>
      <c r="X958" s="26" t="n">
        <f aca="false">IFERROR(W958/N958,0)</f>
        <v>0.0833333333333333</v>
      </c>
      <c r="Y958" s="22" t="str">
        <f aca="false">IF(W958&gt;0,"Win",IF(W958&lt;0,"Loss","Flat"))</f>
        <v>Win</v>
      </c>
      <c r="Z958" s="24" t="n">
        <f aca="false">Summary!$C$5+SUM(W$2:W958)</f>
        <v>3464.37</v>
      </c>
      <c r="AA958" s="24" t="n">
        <f aca="false">MAX(AA957,Z958)</f>
        <v>5000</v>
      </c>
      <c r="AB958" s="24" t="n">
        <f aca="false">AA958-Z958</f>
        <v>1535.63</v>
      </c>
      <c r="AC958" s="23" t="n">
        <f aca="false">IFERROR(AB958/AA958,0)</f>
        <v>0.307126</v>
      </c>
      <c r="AD958" s="22" t="s">
        <v>1195</v>
      </c>
    </row>
    <row r="959" customFormat="false" ht="15" hidden="false" customHeight="false" outlineLevel="0" collapsed="false">
      <c r="A959" s="22" t="n">
        <v>958</v>
      </c>
      <c r="B959" s="22" t="s">
        <v>148</v>
      </c>
      <c r="C959" s="37" t="n">
        <v>45519.6669560185</v>
      </c>
      <c r="D959" s="22" t="s">
        <v>205</v>
      </c>
      <c r="E959" s="22" t="n">
        <v>16</v>
      </c>
      <c r="F959" s="22" t="s">
        <v>182</v>
      </c>
      <c r="G959" s="22" t="s">
        <v>237</v>
      </c>
      <c r="H959" s="22" t="n">
        <v>0.05</v>
      </c>
      <c r="I959" s="38" t="n">
        <v>2438</v>
      </c>
      <c r="J959" s="38" t="n">
        <v>2438</v>
      </c>
      <c r="K959" s="39" t="n">
        <f aca="false">IF(F959="BUY",J959-I959,I959-J959)</f>
        <v>0</v>
      </c>
      <c r="L959" s="38" t="n">
        <v>2444</v>
      </c>
      <c r="M959" s="39" t="n">
        <f aca="false">ABS(I959-L959)</f>
        <v>6</v>
      </c>
      <c r="N959" s="24" t="n">
        <f aca="false">M959*H959*Summary!$C$6</f>
        <v>30</v>
      </c>
      <c r="O959" s="37" t="n">
        <v>45519.6675925926</v>
      </c>
      <c r="P959" s="22" t="n">
        <f aca="false">ROUND((O959-C959)*86400,0)</f>
        <v>55</v>
      </c>
      <c r="Q959" s="22" t="str">
        <f aca="false">IF(P959&lt;10,"a) &lt;10s",IF(P959&lt;60,"b) 10-60s",IF(P959&lt;600,"c) 1-10min","d) &gt;10min")))</f>
        <v>b) 10-60s</v>
      </c>
      <c r="R959" s="38" t="n">
        <v>2437.5</v>
      </c>
      <c r="S959" s="38" t="n">
        <v>2437.5</v>
      </c>
      <c r="T959" s="22" t="s">
        <v>189</v>
      </c>
      <c r="U959" s="39" t="n">
        <f aca="false">IF(R959="","",IF(F959="BUY",R959-S959,S959-R959))</f>
        <v>0</v>
      </c>
      <c r="V959" s="39" t="n">
        <f aca="false">IF(F959="BUY",S959-J959,J959-S959)</f>
        <v>0.5</v>
      </c>
      <c r="W959" s="6" t="n">
        <v>2.5</v>
      </c>
      <c r="X959" s="26" t="n">
        <f aca="false">IFERROR(W959/N959,0)</f>
        <v>0.0833333333333333</v>
      </c>
      <c r="Y959" s="22" t="str">
        <f aca="false">IF(W959&gt;0,"Win",IF(W959&lt;0,"Loss","Flat"))</f>
        <v>Win</v>
      </c>
      <c r="Z959" s="24" t="n">
        <f aca="false">Summary!$C$5+SUM(W$2:W959)</f>
        <v>3466.87</v>
      </c>
      <c r="AA959" s="24" t="n">
        <f aca="false">MAX(AA958,Z959)</f>
        <v>5000</v>
      </c>
      <c r="AB959" s="24" t="n">
        <f aca="false">AA959-Z959</f>
        <v>1533.13</v>
      </c>
      <c r="AC959" s="23" t="n">
        <f aca="false">IFERROR(AB959/AA959,0)</f>
        <v>0.306626</v>
      </c>
      <c r="AD959" s="22" t="s">
        <v>1196</v>
      </c>
    </row>
    <row r="960" customFormat="false" ht="15" hidden="false" customHeight="false" outlineLevel="0" collapsed="false">
      <c r="A960" s="22" t="n">
        <v>959</v>
      </c>
      <c r="B960" s="22" t="s">
        <v>148</v>
      </c>
      <c r="C960" s="37" t="n">
        <v>45520.375462963</v>
      </c>
      <c r="D960" s="22" t="s">
        <v>206</v>
      </c>
      <c r="E960" s="22" t="n">
        <v>9</v>
      </c>
      <c r="F960" s="22" t="s">
        <v>181</v>
      </c>
      <c r="G960" s="22" t="s">
        <v>235</v>
      </c>
      <c r="H960" s="22" t="n">
        <v>0.05</v>
      </c>
      <c r="I960" s="38" t="n">
        <v>2456.17</v>
      </c>
      <c r="J960" s="38" t="n">
        <v>2456.2</v>
      </c>
      <c r="K960" s="39" t="n">
        <f aca="false">IF(F960="BUY",J960-I960,I960-J960)</f>
        <v>0.0299999999997453</v>
      </c>
      <c r="L960" s="38" t="n">
        <v>2450.17</v>
      </c>
      <c r="M960" s="39" t="n">
        <f aca="false">ABS(I960-L960)</f>
        <v>6</v>
      </c>
      <c r="N960" s="24" t="n">
        <f aca="false">M960*H960*Summary!$C$6</f>
        <v>30</v>
      </c>
      <c r="O960" s="37" t="n">
        <v>45520.6625578704</v>
      </c>
      <c r="P960" s="22" t="n">
        <f aca="false">ROUND((O960-C960)*86400,0)</f>
        <v>24805</v>
      </c>
      <c r="Q960" s="22" t="str">
        <f aca="false">IF(P960&lt;10,"a) &lt;10s",IF(P960&lt;60,"b) 10-60s",IF(P960&lt;600,"c) 1-10min","d) &gt;10min")))</f>
        <v>d) &gt;10min</v>
      </c>
      <c r="R960" s="38"/>
      <c r="S960" s="38" t="n">
        <v>2486.2</v>
      </c>
      <c r="T960" s="22" t="s">
        <v>187</v>
      </c>
      <c r="U960" s="39" t="str">
        <f aca="false">IF(R960="","",IF(F960="BUY",R960-S960,S960-R960))</f>
        <v/>
      </c>
      <c r="V960" s="39" t="n">
        <f aca="false">IF(F960="BUY",S960-J960,J960-S960)</f>
        <v>30</v>
      </c>
      <c r="W960" s="6" t="n">
        <v>150</v>
      </c>
      <c r="X960" s="26" t="n">
        <f aca="false">IFERROR(W960/N960,0)</f>
        <v>5</v>
      </c>
      <c r="Y960" s="22" t="str">
        <f aca="false">IF(W960&gt;0,"Win",IF(W960&lt;0,"Loss","Flat"))</f>
        <v>Win</v>
      </c>
      <c r="Z960" s="24" t="n">
        <f aca="false">Summary!$C$5+SUM(W$2:W960)</f>
        <v>3616.87</v>
      </c>
      <c r="AA960" s="24" t="n">
        <f aca="false">MAX(AA959,Z960)</f>
        <v>5000</v>
      </c>
      <c r="AB960" s="24" t="n">
        <f aca="false">AA960-Z960</f>
        <v>1383.13</v>
      </c>
      <c r="AC960" s="23" t="n">
        <f aca="false">IFERROR(AB960/AA960,0)</f>
        <v>0.276626</v>
      </c>
      <c r="AD960" s="22" t="s">
        <v>1197</v>
      </c>
    </row>
    <row r="961" customFormat="false" ht="15" hidden="false" customHeight="false" outlineLevel="0" collapsed="false">
      <c r="A961" s="22" t="n">
        <v>960</v>
      </c>
      <c r="B961" s="22" t="s">
        <v>148</v>
      </c>
      <c r="C961" s="37" t="n">
        <v>45523.3822222222</v>
      </c>
      <c r="D961" s="22" t="s">
        <v>202</v>
      </c>
      <c r="E961" s="22" t="n">
        <v>9</v>
      </c>
      <c r="F961" s="22" t="s">
        <v>181</v>
      </c>
      <c r="G961" s="22" t="s">
        <v>235</v>
      </c>
      <c r="H961" s="22" t="n">
        <v>0.06</v>
      </c>
      <c r="I961" s="38" t="n">
        <v>2504.6</v>
      </c>
      <c r="J961" s="38" t="n">
        <v>2504.72</v>
      </c>
      <c r="K961" s="39" t="n">
        <f aca="false">IF(F961="BUY",J961-I961,I961-J961)</f>
        <v>0.119999999999891</v>
      </c>
      <c r="L961" s="38" t="n">
        <v>2498.6</v>
      </c>
      <c r="M961" s="39" t="n">
        <f aca="false">ABS(I961-L961)</f>
        <v>6</v>
      </c>
      <c r="N961" s="24" t="n">
        <f aca="false">M961*H961*Summary!$C$6</f>
        <v>36</v>
      </c>
      <c r="O961" s="37" t="n">
        <v>45523.4843171296</v>
      </c>
      <c r="P961" s="22" t="n">
        <f aca="false">ROUND((O961-C961)*86400,0)</f>
        <v>8821</v>
      </c>
      <c r="Q961" s="22" t="str">
        <f aca="false">IF(P961&lt;10,"a) &lt;10s",IF(P961&lt;60,"b) 10-60s",IF(P961&lt;600,"c) 1-10min","d) &gt;10min")))</f>
        <v>d) &gt;10min</v>
      </c>
      <c r="R961" s="38" t="n">
        <v>2505.22</v>
      </c>
      <c r="S961" s="38" t="n">
        <v>2505.19</v>
      </c>
      <c r="T961" s="22" t="s">
        <v>189</v>
      </c>
      <c r="U961" s="39" t="n">
        <f aca="false">IF(R961="","",IF(F961="BUY",R961-S961,S961-R961))</f>
        <v>0.0299999999997453</v>
      </c>
      <c r="V961" s="39" t="n">
        <f aca="false">IF(F961="BUY",S961-J961,J961-S961)</f>
        <v>0.470000000000255</v>
      </c>
      <c r="W961" s="6" t="n">
        <v>2.82</v>
      </c>
      <c r="X961" s="26" t="n">
        <f aca="false">IFERROR(W961/N961,0)</f>
        <v>0.0783333333333333</v>
      </c>
      <c r="Y961" s="22" t="str">
        <f aca="false">IF(W961&gt;0,"Win",IF(W961&lt;0,"Loss","Flat"))</f>
        <v>Win</v>
      </c>
      <c r="Z961" s="24" t="n">
        <f aca="false">Summary!$C$5+SUM(W$2:W961)</f>
        <v>3619.69</v>
      </c>
      <c r="AA961" s="24" t="n">
        <f aca="false">MAX(AA960,Z961)</f>
        <v>5000</v>
      </c>
      <c r="AB961" s="24" t="n">
        <f aca="false">AA961-Z961</f>
        <v>1380.31</v>
      </c>
      <c r="AC961" s="23" t="n">
        <f aca="false">IFERROR(AB961/AA961,0)</f>
        <v>0.276062</v>
      </c>
      <c r="AD961" s="22" t="s">
        <v>1198</v>
      </c>
    </row>
    <row r="962" customFormat="false" ht="15" hidden="false" customHeight="false" outlineLevel="0" collapsed="false">
      <c r="A962" s="22" t="n">
        <v>961</v>
      </c>
      <c r="B962" s="22" t="s">
        <v>148</v>
      </c>
      <c r="C962" s="37" t="n">
        <v>45524.375</v>
      </c>
      <c r="D962" s="22" t="s">
        <v>203</v>
      </c>
      <c r="E962" s="22" t="n">
        <v>9</v>
      </c>
      <c r="F962" s="22" t="s">
        <v>182</v>
      </c>
      <c r="G962" s="22" t="s">
        <v>241</v>
      </c>
      <c r="H962" s="22" t="n">
        <v>0.06</v>
      </c>
      <c r="I962" s="38" t="n">
        <v>2499.32</v>
      </c>
      <c r="J962" s="38" t="n">
        <v>2499.29</v>
      </c>
      <c r="K962" s="39" t="n">
        <f aca="false">IF(F962="BUY",J962-I962,I962-J962)</f>
        <v>0.0300000000002001</v>
      </c>
      <c r="L962" s="38" t="n">
        <v>2505.32</v>
      </c>
      <c r="M962" s="39" t="n">
        <f aca="false">ABS(I962-L962)</f>
        <v>6</v>
      </c>
      <c r="N962" s="24" t="n">
        <f aca="false">M962*H962*Summary!$C$6</f>
        <v>36</v>
      </c>
      <c r="O962" s="37" t="n">
        <v>45524.395162037</v>
      </c>
      <c r="P962" s="22" t="n">
        <f aca="false">ROUND((O962-C962)*86400,0)</f>
        <v>1742</v>
      </c>
      <c r="Q962" s="22" t="str">
        <f aca="false">IF(P962&lt;10,"a) &lt;10s",IF(P962&lt;60,"b) 10-60s",IF(P962&lt;600,"c) 1-10min","d) &gt;10min")))</f>
        <v>d) &gt;10min</v>
      </c>
      <c r="R962" s="38" t="n">
        <v>2505.32</v>
      </c>
      <c r="S962" s="38" t="n">
        <v>2505.36</v>
      </c>
      <c r="T962" s="22" t="s">
        <v>188</v>
      </c>
      <c r="U962" s="39" t="n">
        <f aca="false">IF(R962="","",IF(F962="BUY",R962-S962,S962-R962))</f>
        <v>0.0399999999999636</v>
      </c>
      <c r="V962" s="39" t="n">
        <f aca="false">IF(F962="BUY",S962-J962,J962-S962)</f>
        <v>-6.07000000000016</v>
      </c>
      <c r="W962" s="6" t="n">
        <v>-36.42</v>
      </c>
      <c r="X962" s="26" t="n">
        <f aca="false">IFERROR(W962/N962,0)</f>
        <v>-1.01166666666667</v>
      </c>
      <c r="Y962" s="22" t="str">
        <f aca="false">IF(W962&gt;0,"Win",IF(W962&lt;0,"Loss","Flat"))</f>
        <v>Loss</v>
      </c>
      <c r="Z962" s="24" t="n">
        <f aca="false">Summary!$C$5+SUM(W$2:W962)</f>
        <v>3583.27</v>
      </c>
      <c r="AA962" s="24" t="n">
        <f aca="false">MAX(AA961,Z962)</f>
        <v>5000</v>
      </c>
      <c r="AB962" s="24" t="n">
        <f aca="false">AA962-Z962</f>
        <v>1416.73</v>
      </c>
      <c r="AC962" s="23" t="n">
        <f aca="false">IFERROR(AB962/AA962,0)</f>
        <v>0.283346</v>
      </c>
      <c r="AD962" s="22" t="s">
        <v>1199</v>
      </c>
    </row>
    <row r="963" customFormat="false" ht="15" hidden="false" customHeight="false" outlineLevel="0" collapsed="false">
      <c r="A963" s="22" t="n">
        <v>962</v>
      </c>
      <c r="B963" s="22" t="s">
        <v>148</v>
      </c>
      <c r="C963" s="37" t="n">
        <v>45524.4456134259</v>
      </c>
      <c r="D963" s="22" t="s">
        <v>203</v>
      </c>
      <c r="E963" s="22" t="n">
        <v>10</v>
      </c>
      <c r="F963" s="22" t="s">
        <v>181</v>
      </c>
      <c r="G963" s="22" t="s">
        <v>243</v>
      </c>
      <c r="H963" s="22" t="n">
        <v>0.05</v>
      </c>
      <c r="I963" s="38" t="n">
        <v>2510</v>
      </c>
      <c r="J963" s="38" t="n">
        <v>2510.01</v>
      </c>
      <c r="K963" s="39" t="n">
        <f aca="false">IF(F963="BUY",J963-I963,I963-J963)</f>
        <v>0.0100000000002183</v>
      </c>
      <c r="L963" s="38" t="n">
        <v>2504</v>
      </c>
      <c r="M963" s="39" t="n">
        <f aca="false">ABS(I963-L963)</f>
        <v>6</v>
      </c>
      <c r="N963" s="24" t="n">
        <f aca="false">M963*H963*Summary!$C$6</f>
        <v>30</v>
      </c>
      <c r="O963" s="37" t="n">
        <v>45524.4514930556</v>
      </c>
      <c r="P963" s="22" t="n">
        <f aca="false">ROUND((O963-C963)*86400,0)</f>
        <v>508</v>
      </c>
      <c r="Q963" s="22" t="str">
        <f aca="false">IF(P963&lt;10,"a) &lt;10s",IF(P963&lt;60,"b) 10-60s",IF(P963&lt;600,"c) 1-10min","d) &gt;10min")))</f>
        <v>c) 1-10min</v>
      </c>
      <c r="R963" s="38" t="n">
        <v>2510.51</v>
      </c>
      <c r="S963" s="38" t="n">
        <v>2510.51</v>
      </c>
      <c r="T963" s="22" t="s">
        <v>189</v>
      </c>
      <c r="U963" s="39" t="n">
        <f aca="false">IF(R963="","",IF(F963="BUY",R963-S963,S963-R963))</f>
        <v>0</v>
      </c>
      <c r="V963" s="39" t="n">
        <f aca="false">IF(F963="BUY",S963-J963,J963-S963)</f>
        <v>0.5</v>
      </c>
      <c r="W963" s="6" t="n">
        <v>2.5</v>
      </c>
      <c r="X963" s="26" t="n">
        <f aca="false">IFERROR(W963/N963,0)</f>
        <v>0.0833333333333333</v>
      </c>
      <c r="Y963" s="22" t="str">
        <f aca="false">IF(W963&gt;0,"Win",IF(W963&lt;0,"Loss","Flat"))</f>
        <v>Win</v>
      </c>
      <c r="Z963" s="24" t="n">
        <f aca="false">Summary!$C$5+SUM(W$2:W963)</f>
        <v>3585.77</v>
      </c>
      <c r="AA963" s="24" t="n">
        <f aca="false">MAX(AA962,Z963)</f>
        <v>5000</v>
      </c>
      <c r="AB963" s="24" t="n">
        <f aca="false">AA963-Z963</f>
        <v>1414.23</v>
      </c>
      <c r="AC963" s="23" t="n">
        <f aca="false">IFERROR(AB963/AA963,0)</f>
        <v>0.282846</v>
      </c>
      <c r="AD963" s="22" t="s">
        <v>1200</v>
      </c>
    </row>
    <row r="964" customFormat="false" ht="15" hidden="false" customHeight="false" outlineLevel="0" collapsed="false">
      <c r="A964" s="22" t="n">
        <v>963</v>
      </c>
      <c r="B964" s="22" t="s">
        <v>148</v>
      </c>
      <c r="C964" s="37" t="n">
        <v>45525.3814351852</v>
      </c>
      <c r="D964" s="22" t="s">
        <v>204</v>
      </c>
      <c r="E964" s="22" t="n">
        <v>9</v>
      </c>
      <c r="F964" s="22" t="s">
        <v>182</v>
      </c>
      <c r="G964" s="22" t="s">
        <v>241</v>
      </c>
      <c r="H964" s="22" t="n">
        <v>0.05</v>
      </c>
      <c r="I964" s="38" t="n">
        <v>2513.67</v>
      </c>
      <c r="J964" s="38" t="n">
        <v>2513.67</v>
      </c>
      <c r="K964" s="39" t="n">
        <f aca="false">IF(F964="BUY",J964-I964,I964-J964)</f>
        <v>0</v>
      </c>
      <c r="L964" s="38" t="n">
        <v>2519.67</v>
      </c>
      <c r="M964" s="39" t="n">
        <f aca="false">ABS(I964-L964)</f>
        <v>6</v>
      </c>
      <c r="N964" s="24" t="n">
        <f aca="false">M964*H964*Summary!$C$6</f>
        <v>30</v>
      </c>
      <c r="O964" s="37" t="n">
        <v>45525.3958449074</v>
      </c>
      <c r="P964" s="22" t="n">
        <f aca="false">ROUND((O964-C964)*86400,0)</f>
        <v>1245</v>
      </c>
      <c r="Q964" s="22" t="str">
        <f aca="false">IF(P964&lt;10,"a) &lt;10s",IF(P964&lt;60,"b) 10-60s",IF(P964&lt;600,"c) 1-10min","d) &gt;10min")))</f>
        <v>d) &gt;10min</v>
      </c>
      <c r="R964" s="38" t="n">
        <v>2519.67</v>
      </c>
      <c r="S964" s="38" t="n">
        <v>2519.85</v>
      </c>
      <c r="T964" s="22" t="s">
        <v>188</v>
      </c>
      <c r="U964" s="39" t="n">
        <f aca="false">IF(R964="","",IF(F964="BUY",R964-S964,S964-R964))</f>
        <v>0.179999999999836</v>
      </c>
      <c r="V964" s="39" t="n">
        <f aca="false">IF(F964="BUY",S964-J964,J964-S964)</f>
        <v>-6.17999999999984</v>
      </c>
      <c r="W964" s="6" t="n">
        <v>-30.9</v>
      </c>
      <c r="X964" s="26" t="n">
        <f aca="false">IFERROR(W964/N964,0)</f>
        <v>-1.03</v>
      </c>
      <c r="Y964" s="22" t="str">
        <f aca="false">IF(W964&gt;0,"Win",IF(W964&lt;0,"Loss","Flat"))</f>
        <v>Loss</v>
      </c>
      <c r="Z964" s="24" t="n">
        <f aca="false">Summary!$C$5+SUM(W$2:W964)</f>
        <v>3554.87</v>
      </c>
      <c r="AA964" s="24" t="n">
        <f aca="false">MAX(AA963,Z964)</f>
        <v>5000</v>
      </c>
      <c r="AB964" s="24" t="n">
        <f aca="false">AA964-Z964</f>
        <v>1445.13</v>
      </c>
      <c r="AC964" s="23" t="n">
        <f aca="false">IFERROR(AB964/AA964,0)</f>
        <v>0.289026</v>
      </c>
      <c r="AD964" s="22" t="s">
        <v>1201</v>
      </c>
    </row>
    <row r="965" customFormat="false" ht="15" hidden="false" customHeight="false" outlineLevel="0" collapsed="false">
      <c r="A965" s="22" t="n">
        <v>964</v>
      </c>
      <c r="B965" s="22" t="s">
        <v>148</v>
      </c>
      <c r="C965" s="37" t="n">
        <v>45525.7084837963</v>
      </c>
      <c r="D965" s="22" t="s">
        <v>204</v>
      </c>
      <c r="E965" s="22" t="n">
        <v>17</v>
      </c>
      <c r="F965" s="22" t="s">
        <v>182</v>
      </c>
      <c r="G965" s="22" t="s">
        <v>237</v>
      </c>
      <c r="H965" s="22" t="n">
        <v>0.05</v>
      </c>
      <c r="I965" s="38" t="n">
        <v>2497.24</v>
      </c>
      <c r="J965" s="38" t="n">
        <v>2495.72</v>
      </c>
      <c r="K965" s="39" t="n">
        <f aca="false">IF(F965="BUY",J965-I965,I965-J965)</f>
        <v>1.51999999999998</v>
      </c>
      <c r="L965" s="38" t="n">
        <v>2503.24</v>
      </c>
      <c r="M965" s="39" t="n">
        <f aca="false">ABS(I965-L965)</f>
        <v>6</v>
      </c>
      <c r="N965" s="24" t="n">
        <f aca="false">M965*H965*Summary!$C$6</f>
        <v>30</v>
      </c>
      <c r="O965" s="37" t="n">
        <v>45525.7132638889</v>
      </c>
      <c r="P965" s="22" t="n">
        <f aca="false">ROUND((O965-C965)*86400,0)</f>
        <v>413</v>
      </c>
      <c r="Q965" s="22" t="str">
        <f aca="false">IF(P965&lt;10,"a) &lt;10s",IF(P965&lt;60,"b) 10-60s",IF(P965&lt;600,"c) 1-10min","d) &gt;10min")))</f>
        <v>c) 1-10min</v>
      </c>
      <c r="R965" s="38" t="n">
        <v>2503.24</v>
      </c>
      <c r="S965" s="38" t="n">
        <v>2503.28</v>
      </c>
      <c r="T965" s="22" t="s">
        <v>188</v>
      </c>
      <c r="U965" s="39" t="n">
        <f aca="false">IF(R965="","",IF(F965="BUY",R965-S965,S965-R965))</f>
        <v>0.0400000000004184</v>
      </c>
      <c r="V965" s="39" t="n">
        <f aca="false">IF(F965="BUY",S965-J965,J965-S965)</f>
        <v>-7.5600000000004</v>
      </c>
      <c r="W965" s="6" t="n">
        <v>-37.8</v>
      </c>
      <c r="X965" s="26" t="n">
        <f aca="false">IFERROR(W965/N965,0)</f>
        <v>-1.26</v>
      </c>
      <c r="Y965" s="22" t="str">
        <f aca="false">IF(W965&gt;0,"Win",IF(W965&lt;0,"Loss","Flat"))</f>
        <v>Loss</v>
      </c>
      <c r="Z965" s="24" t="n">
        <f aca="false">Summary!$C$5+SUM(W$2:W965)</f>
        <v>3517.07</v>
      </c>
      <c r="AA965" s="24" t="n">
        <f aca="false">MAX(AA964,Z965)</f>
        <v>5000</v>
      </c>
      <c r="AB965" s="24" t="n">
        <f aca="false">AA965-Z965</f>
        <v>1482.93</v>
      </c>
      <c r="AC965" s="23" t="n">
        <f aca="false">IFERROR(AB965/AA965,0)</f>
        <v>0.296586</v>
      </c>
      <c r="AD965" s="22" t="s">
        <v>1202</v>
      </c>
    </row>
    <row r="966" customFormat="false" ht="15" hidden="false" customHeight="false" outlineLevel="0" collapsed="false">
      <c r="A966" s="22" t="n">
        <v>965</v>
      </c>
      <c r="B966" s="22" t="s">
        <v>148</v>
      </c>
      <c r="C966" s="37" t="n">
        <v>45526.3809837963</v>
      </c>
      <c r="D966" s="22" t="s">
        <v>205</v>
      </c>
      <c r="E966" s="22" t="n">
        <v>9</v>
      </c>
      <c r="F966" s="22" t="s">
        <v>181</v>
      </c>
      <c r="G966" s="22" t="s">
        <v>235</v>
      </c>
      <c r="H966" s="22" t="n">
        <v>0.05</v>
      </c>
      <c r="I966" s="38" t="n">
        <v>2506.19</v>
      </c>
      <c r="J966" s="38" t="n">
        <v>2506.19</v>
      </c>
      <c r="K966" s="39" t="n">
        <f aca="false">IF(F966="BUY",J966-I966,I966-J966)</f>
        <v>0</v>
      </c>
      <c r="L966" s="38" t="n">
        <v>2500.19</v>
      </c>
      <c r="M966" s="39" t="n">
        <f aca="false">ABS(I966-L966)</f>
        <v>6</v>
      </c>
      <c r="N966" s="24" t="n">
        <f aca="false">M966*H966*Summary!$C$6</f>
        <v>30</v>
      </c>
      <c r="O966" s="37" t="n">
        <v>45526.4006134259</v>
      </c>
      <c r="P966" s="22" t="n">
        <f aca="false">ROUND((O966-C966)*86400,0)</f>
        <v>1696</v>
      </c>
      <c r="Q966" s="22" t="str">
        <f aca="false">IF(P966&lt;10,"a) &lt;10s",IF(P966&lt;60,"b) 10-60s",IF(P966&lt;600,"c) 1-10min","d) &gt;10min")))</f>
        <v>d) &gt;10min</v>
      </c>
      <c r="R966" s="38" t="n">
        <v>2506.69</v>
      </c>
      <c r="S966" s="38" t="n">
        <v>2506.55</v>
      </c>
      <c r="T966" s="22" t="s">
        <v>189</v>
      </c>
      <c r="U966" s="39" t="n">
        <f aca="false">IF(R966="","",IF(F966="BUY",R966-S966,S966-R966))</f>
        <v>0.139999999999873</v>
      </c>
      <c r="V966" s="39" t="n">
        <f aca="false">IF(F966="BUY",S966-J966,J966-S966)</f>
        <v>0.360000000000127</v>
      </c>
      <c r="W966" s="6" t="n">
        <v>1.8</v>
      </c>
      <c r="X966" s="26" t="n">
        <f aca="false">IFERROR(W966/N966,0)</f>
        <v>0.06</v>
      </c>
      <c r="Y966" s="22" t="str">
        <f aca="false">IF(W966&gt;0,"Win",IF(W966&lt;0,"Loss","Flat"))</f>
        <v>Win</v>
      </c>
      <c r="Z966" s="24" t="n">
        <f aca="false">Summary!$C$5+SUM(W$2:W966)</f>
        <v>3518.87</v>
      </c>
      <c r="AA966" s="24" t="n">
        <f aca="false">MAX(AA965,Z966)</f>
        <v>5000</v>
      </c>
      <c r="AB966" s="24" t="n">
        <f aca="false">AA966-Z966</f>
        <v>1481.13</v>
      </c>
      <c r="AC966" s="23" t="n">
        <f aca="false">IFERROR(AB966/AA966,0)</f>
        <v>0.296226</v>
      </c>
      <c r="AD966" s="22" t="s">
        <v>1203</v>
      </c>
    </row>
    <row r="967" customFormat="false" ht="15" hidden="false" customHeight="false" outlineLevel="0" collapsed="false">
      <c r="A967" s="22" t="n">
        <v>966</v>
      </c>
      <c r="B967" s="22" t="s">
        <v>148</v>
      </c>
      <c r="C967" s="37" t="n">
        <v>45526.6814930556</v>
      </c>
      <c r="D967" s="22" t="s">
        <v>205</v>
      </c>
      <c r="E967" s="22" t="n">
        <v>16</v>
      </c>
      <c r="F967" s="22" t="s">
        <v>182</v>
      </c>
      <c r="G967" s="22" t="s">
        <v>237</v>
      </c>
      <c r="H967" s="22" t="n">
        <v>0.05</v>
      </c>
      <c r="I967" s="38" t="n">
        <v>2493.7</v>
      </c>
      <c r="J967" s="38" t="n">
        <v>2493.68</v>
      </c>
      <c r="K967" s="39" t="n">
        <f aca="false">IF(F967="BUY",J967-I967,I967-J967)</f>
        <v>0.0199999999999818</v>
      </c>
      <c r="L967" s="38" t="n">
        <v>2499.7</v>
      </c>
      <c r="M967" s="39" t="n">
        <f aca="false">ABS(I967-L967)</f>
        <v>6</v>
      </c>
      <c r="N967" s="24" t="n">
        <f aca="false">M967*H967*Summary!$C$6</f>
        <v>30</v>
      </c>
      <c r="O967" s="37" t="n">
        <v>45526.6818055556</v>
      </c>
      <c r="P967" s="22" t="n">
        <f aca="false">ROUND((O967-C967)*86400,0)</f>
        <v>27</v>
      </c>
      <c r="Q967" s="22" t="str">
        <f aca="false">IF(P967&lt;10,"a) &lt;10s",IF(P967&lt;60,"b) 10-60s",IF(P967&lt;600,"c) 1-10min","d) &gt;10min")))</f>
        <v>b) 10-60s</v>
      </c>
      <c r="R967" s="38" t="n">
        <v>2493.18</v>
      </c>
      <c r="S967" s="38" t="n">
        <v>2493.22</v>
      </c>
      <c r="T967" s="22" t="s">
        <v>189</v>
      </c>
      <c r="U967" s="39" t="n">
        <f aca="false">IF(R967="","",IF(F967="BUY",R967-S967,S967-R967))</f>
        <v>0.0399999999999636</v>
      </c>
      <c r="V967" s="39" t="n">
        <f aca="false">IF(F967="BUY",S967-J967,J967-S967)</f>
        <v>0.460000000000036</v>
      </c>
      <c r="W967" s="6" t="n">
        <v>2.3</v>
      </c>
      <c r="X967" s="26" t="n">
        <f aca="false">IFERROR(W967/N967,0)</f>
        <v>0.0766666666666667</v>
      </c>
      <c r="Y967" s="22" t="str">
        <f aca="false">IF(W967&gt;0,"Win",IF(W967&lt;0,"Loss","Flat"))</f>
        <v>Win</v>
      </c>
      <c r="Z967" s="24" t="n">
        <f aca="false">Summary!$C$5+SUM(W$2:W967)</f>
        <v>3521.17</v>
      </c>
      <c r="AA967" s="24" t="n">
        <f aca="false">MAX(AA966,Z967)</f>
        <v>5000</v>
      </c>
      <c r="AB967" s="24" t="n">
        <f aca="false">AA967-Z967</f>
        <v>1478.83</v>
      </c>
      <c r="AC967" s="23" t="n">
        <f aca="false">IFERROR(AB967/AA967,0)</f>
        <v>0.295766</v>
      </c>
      <c r="AD967" s="22" t="s">
        <v>1204</v>
      </c>
    </row>
    <row r="968" customFormat="false" ht="15" hidden="false" customHeight="false" outlineLevel="0" collapsed="false">
      <c r="A968" s="22" t="n">
        <v>967</v>
      </c>
      <c r="B968" s="22" t="s">
        <v>148</v>
      </c>
      <c r="C968" s="37" t="n">
        <v>45527.375775463</v>
      </c>
      <c r="D968" s="22" t="s">
        <v>206</v>
      </c>
      <c r="E968" s="22" t="n">
        <v>9</v>
      </c>
      <c r="F968" s="22" t="s">
        <v>182</v>
      </c>
      <c r="G968" s="22" t="s">
        <v>241</v>
      </c>
      <c r="H968" s="22" t="n">
        <v>0.05</v>
      </c>
      <c r="I968" s="38" t="n">
        <v>2490.99</v>
      </c>
      <c r="J968" s="38" t="n">
        <v>2490.99</v>
      </c>
      <c r="K968" s="39" t="n">
        <f aca="false">IF(F968="BUY",J968-I968,I968-J968)</f>
        <v>0</v>
      </c>
      <c r="L968" s="38" t="n">
        <v>2496.99</v>
      </c>
      <c r="M968" s="39" t="n">
        <f aca="false">ABS(I968-L968)</f>
        <v>6</v>
      </c>
      <c r="N968" s="24" t="n">
        <f aca="false">M968*H968*Summary!$C$6</f>
        <v>30</v>
      </c>
      <c r="O968" s="37" t="n">
        <v>45527.4724074074</v>
      </c>
      <c r="P968" s="22" t="n">
        <f aca="false">ROUND((O968-C968)*86400,0)</f>
        <v>8349</v>
      </c>
      <c r="Q968" s="22" t="str">
        <f aca="false">IF(P968&lt;10,"a) &lt;10s",IF(P968&lt;60,"b) 10-60s",IF(P968&lt;600,"c) 1-10min","d) &gt;10min")))</f>
        <v>d) &gt;10min</v>
      </c>
      <c r="R968" s="38" t="n">
        <v>2496.99</v>
      </c>
      <c r="S968" s="38" t="n">
        <v>2496.99</v>
      </c>
      <c r="T968" s="22" t="s">
        <v>188</v>
      </c>
      <c r="U968" s="39" t="n">
        <f aca="false">IF(R968="","",IF(F968="BUY",R968-S968,S968-R968))</f>
        <v>0</v>
      </c>
      <c r="V968" s="39" t="n">
        <f aca="false">IF(F968="BUY",S968-J968,J968-S968)</f>
        <v>-6</v>
      </c>
      <c r="W968" s="6" t="n">
        <v>-30</v>
      </c>
      <c r="X968" s="26" t="n">
        <f aca="false">IFERROR(W968/N968,0)</f>
        <v>-1</v>
      </c>
      <c r="Y968" s="22" t="str">
        <f aca="false">IF(W968&gt;0,"Win",IF(W968&lt;0,"Loss","Flat"))</f>
        <v>Loss</v>
      </c>
      <c r="Z968" s="24" t="n">
        <f aca="false">Summary!$C$5+SUM(W$2:W968)</f>
        <v>3491.17</v>
      </c>
      <c r="AA968" s="24" t="n">
        <f aca="false">MAX(AA967,Z968)</f>
        <v>5000</v>
      </c>
      <c r="AB968" s="24" t="n">
        <f aca="false">AA968-Z968</f>
        <v>1508.83</v>
      </c>
      <c r="AC968" s="23" t="n">
        <f aca="false">IFERROR(AB968/AA968,0)</f>
        <v>0.301766</v>
      </c>
      <c r="AD968" s="22" t="s">
        <v>1205</v>
      </c>
    </row>
    <row r="969" customFormat="false" ht="15" hidden="false" customHeight="false" outlineLevel="0" collapsed="false">
      <c r="A969" s="22" t="n">
        <v>968</v>
      </c>
      <c r="B969" s="22" t="s">
        <v>148</v>
      </c>
      <c r="C969" s="37" t="n">
        <v>45527.7127546296</v>
      </c>
      <c r="D969" s="22" t="s">
        <v>206</v>
      </c>
      <c r="E969" s="22" t="n">
        <v>17</v>
      </c>
      <c r="F969" s="22" t="s">
        <v>181</v>
      </c>
      <c r="G969" s="22" t="s">
        <v>243</v>
      </c>
      <c r="H969" s="22" t="n">
        <v>0.05</v>
      </c>
      <c r="I969" s="38" t="n">
        <v>2514.55</v>
      </c>
      <c r="J969" s="38" t="n">
        <v>2514.58</v>
      </c>
      <c r="K969" s="39" t="n">
        <f aca="false">IF(F969="BUY",J969-I969,I969-J969)</f>
        <v>0.0299999999997453</v>
      </c>
      <c r="L969" s="38" t="n">
        <v>2508.55</v>
      </c>
      <c r="M969" s="39" t="n">
        <f aca="false">ABS(I969-L969)</f>
        <v>6</v>
      </c>
      <c r="N969" s="24" t="n">
        <f aca="false">M969*H969*Summary!$C$6</f>
        <v>30</v>
      </c>
      <c r="O969" s="37" t="n">
        <v>45527.7164236111</v>
      </c>
      <c r="P969" s="22" t="n">
        <f aca="false">ROUND((O969-C969)*86400,0)</f>
        <v>317</v>
      </c>
      <c r="Q969" s="22" t="str">
        <f aca="false">IF(P969&lt;10,"a) &lt;10s",IF(P969&lt;60,"b) 10-60s",IF(P969&lt;600,"c) 1-10min","d) &gt;10min")))</f>
        <v>c) 1-10min</v>
      </c>
      <c r="R969" s="38" t="n">
        <v>2515.08</v>
      </c>
      <c r="S969" s="38" t="n">
        <v>2515.07</v>
      </c>
      <c r="T969" s="22" t="s">
        <v>189</v>
      </c>
      <c r="U969" s="39" t="n">
        <f aca="false">IF(R969="","",IF(F969="BUY",R969-S969,S969-R969))</f>
        <v>0.00999999999976353</v>
      </c>
      <c r="V969" s="39" t="n">
        <f aca="false">IF(F969="BUY",S969-J969,J969-S969)</f>
        <v>0.490000000000236</v>
      </c>
      <c r="W969" s="6" t="n">
        <v>2.45</v>
      </c>
      <c r="X969" s="26" t="n">
        <f aca="false">IFERROR(W969/N969,0)</f>
        <v>0.0816666666666667</v>
      </c>
      <c r="Y969" s="22" t="str">
        <f aca="false">IF(W969&gt;0,"Win",IF(W969&lt;0,"Loss","Flat"))</f>
        <v>Win</v>
      </c>
      <c r="Z969" s="24" t="n">
        <f aca="false">Summary!$C$5+SUM(W$2:W969)</f>
        <v>3493.62</v>
      </c>
      <c r="AA969" s="24" t="n">
        <f aca="false">MAX(AA968,Z969)</f>
        <v>5000</v>
      </c>
      <c r="AB969" s="24" t="n">
        <f aca="false">AA969-Z969</f>
        <v>1506.38</v>
      </c>
      <c r="AC969" s="23" t="n">
        <f aca="false">IFERROR(AB969/AA969,0)</f>
        <v>0.301276</v>
      </c>
      <c r="AD969" s="22" t="s">
        <v>1206</v>
      </c>
    </row>
    <row r="970" customFormat="false" ht="15" hidden="false" customHeight="false" outlineLevel="0" collapsed="false">
      <c r="A970" s="22" t="n">
        <v>969</v>
      </c>
      <c r="B970" s="22" t="s">
        <v>148</v>
      </c>
      <c r="C970" s="37" t="n">
        <v>45530.3753356482</v>
      </c>
      <c r="D970" s="22" t="s">
        <v>202</v>
      </c>
      <c r="E970" s="22" t="n">
        <v>9</v>
      </c>
      <c r="F970" s="22" t="s">
        <v>181</v>
      </c>
      <c r="G970" s="22" t="s">
        <v>235</v>
      </c>
      <c r="H970" s="22" t="n">
        <v>0.05</v>
      </c>
      <c r="I970" s="38" t="n">
        <v>2511.15</v>
      </c>
      <c r="J970" s="38" t="n">
        <v>2511.15</v>
      </c>
      <c r="K970" s="39" t="n">
        <f aca="false">IF(F970="BUY",J970-I970,I970-J970)</f>
        <v>0</v>
      </c>
      <c r="L970" s="38" t="n">
        <v>2505.15</v>
      </c>
      <c r="M970" s="39" t="n">
        <f aca="false">ABS(I970-L970)</f>
        <v>6</v>
      </c>
      <c r="N970" s="24" t="n">
        <f aca="false">M970*H970*Summary!$C$6</f>
        <v>30</v>
      </c>
      <c r="O970" s="37" t="n">
        <v>45530.7093055556</v>
      </c>
      <c r="P970" s="22" t="n">
        <f aca="false">ROUND((O970-C970)*86400,0)</f>
        <v>28855</v>
      </c>
      <c r="Q970" s="22" t="str">
        <f aca="false">IF(P970&lt;10,"a) &lt;10s",IF(P970&lt;60,"b) 10-60s",IF(P970&lt;600,"c) 1-10min","d) &gt;10min")))</f>
        <v>d) &gt;10min</v>
      </c>
      <c r="R970" s="38" t="n">
        <v>2511.65</v>
      </c>
      <c r="S970" s="38" t="n">
        <v>2511.6</v>
      </c>
      <c r="T970" s="22" t="s">
        <v>189</v>
      </c>
      <c r="U970" s="39" t="n">
        <f aca="false">IF(R970="","",IF(F970="BUY",R970-S970,S970-R970))</f>
        <v>0.0500000000001819</v>
      </c>
      <c r="V970" s="39" t="n">
        <f aca="false">IF(F970="BUY",S970-J970,J970-S970)</f>
        <v>0.449999999999818</v>
      </c>
      <c r="W970" s="6" t="n">
        <v>2.25</v>
      </c>
      <c r="X970" s="26" t="n">
        <f aca="false">IFERROR(W970/N970,0)</f>
        <v>0.075</v>
      </c>
      <c r="Y970" s="22" t="str">
        <f aca="false">IF(W970&gt;0,"Win",IF(W970&lt;0,"Loss","Flat"))</f>
        <v>Win</v>
      </c>
      <c r="Z970" s="24" t="n">
        <f aca="false">Summary!$C$5+SUM(W$2:W970)</f>
        <v>3495.87</v>
      </c>
      <c r="AA970" s="24" t="n">
        <f aca="false">MAX(AA969,Z970)</f>
        <v>5000</v>
      </c>
      <c r="AB970" s="24" t="n">
        <f aca="false">AA970-Z970</f>
        <v>1504.13</v>
      </c>
      <c r="AC970" s="23" t="n">
        <f aca="false">IFERROR(AB970/AA970,0)</f>
        <v>0.300826</v>
      </c>
      <c r="AD970" s="22" t="s">
        <v>1207</v>
      </c>
    </row>
    <row r="971" customFormat="false" ht="15" hidden="false" customHeight="false" outlineLevel="0" collapsed="false">
      <c r="A971" s="22" t="n">
        <v>970</v>
      </c>
      <c r="B971" s="22" t="s">
        <v>148</v>
      </c>
      <c r="C971" s="37" t="n">
        <v>45531.2006134259</v>
      </c>
      <c r="D971" s="22" t="s">
        <v>203</v>
      </c>
      <c r="E971" s="22" t="n">
        <v>4</v>
      </c>
      <c r="F971" s="22" t="s">
        <v>182</v>
      </c>
      <c r="G971" s="22" t="s">
        <v>237</v>
      </c>
      <c r="H971" s="22" t="n">
        <v>0.05</v>
      </c>
      <c r="I971" s="38" t="n">
        <v>2508.59</v>
      </c>
      <c r="J971" s="38" t="n">
        <v>2508.56</v>
      </c>
      <c r="K971" s="39" t="n">
        <f aca="false">IF(F971="BUY",J971-I971,I971-J971)</f>
        <v>0.0300000000002001</v>
      </c>
      <c r="L971" s="38" t="n">
        <v>2514.59</v>
      </c>
      <c r="M971" s="39" t="n">
        <f aca="false">ABS(I971-L971)</f>
        <v>6</v>
      </c>
      <c r="N971" s="24" t="n">
        <f aca="false">M971*H971*Summary!$C$6</f>
        <v>30</v>
      </c>
      <c r="O971" s="37" t="n">
        <v>45531.2239699074</v>
      </c>
      <c r="P971" s="22" t="n">
        <f aca="false">ROUND((O971-C971)*86400,0)</f>
        <v>2018</v>
      </c>
      <c r="Q971" s="22" t="str">
        <f aca="false">IF(P971&lt;10,"a) &lt;10s",IF(P971&lt;60,"b) 10-60s",IF(P971&lt;600,"c) 1-10min","d) &gt;10min")))</f>
        <v>d) &gt;10min</v>
      </c>
      <c r="R971" s="38" t="n">
        <v>2508.06</v>
      </c>
      <c r="S971" s="38" t="n">
        <v>2508.06</v>
      </c>
      <c r="T971" s="22" t="s">
        <v>189</v>
      </c>
      <c r="U971" s="39" t="n">
        <f aca="false">IF(R971="","",IF(F971="BUY",R971-S971,S971-R971))</f>
        <v>0</v>
      </c>
      <c r="V971" s="39" t="n">
        <f aca="false">IF(F971="BUY",S971-J971,J971-S971)</f>
        <v>0.5</v>
      </c>
      <c r="W971" s="6" t="n">
        <v>2.5</v>
      </c>
      <c r="X971" s="26" t="n">
        <f aca="false">IFERROR(W971/N971,0)</f>
        <v>0.0833333333333333</v>
      </c>
      <c r="Y971" s="22" t="str">
        <f aca="false">IF(W971&gt;0,"Win",IF(W971&lt;0,"Loss","Flat"))</f>
        <v>Win</v>
      </c>
      <c r="Z971" s="24" t="n">
        <f aca="false">Summary!$C$5+SUM(W$2:W971)</f>
        <v>3498.37</v>
      </c>
      <c r="AA971" s="24" t="n">
        <f aca="false">MAX(AA970,Z971)</f>
        <v>5000</v>
      </c>
      <c r="AB971" s="24" t="n">
        <f aca="false">AA971-Z971</f>
        <v>1501.63</v>
      </c>
      <c r="AC971" s="23" t="n">
        <f aca="false">IFERROR(AB971/AA971,0)</f>
        <v>0.300326</v>
      </c>
      <c r="AD971" s="22" t="s">
        <v>1208</v>
      </c>
    </row>
    <row r="972" customFormat="false" ht="15" hidden="false" customHeight="false" outlineLevel="0" collapsed="false">
      <c r="A972" s="22" t="n">
        <v>971</v>
      </c>
      <c r="B972" s="22" t="s">
        <v>148</v>
      </c>
      <c r="C972" s="37" t="n">
        <v>45531.4575</v>
      </c>
      <c r="D972" s="22" t="s">
        <v>203</v>
      </c>
      <c r="E972" s="22" t="n">
        <v>10</v>
      </c>
      <c r="F972" s="22" t="s">
        <v>182</v>
      </c>
      <c r="G972" s="22" t="s">
        <v>241</v>
      </c>
      <c r="H972" s="22" t="n">
        <v>0.05</v>
      </c>
      <c r="I972" s="38" t="n">
        <v>2506.15</v>
      </c>
      <c r="J972" s="38" t="n">
        <v>2506.14</v>
      </c>
      <c r="K972" s="39" t="n">
        <f aca="false">IF(F972="BUY",J972-I972,I972-J972)</f>
        <v>0.0100000000002183</v>
      </c>
      <c r="L972" s="38" t="n">
        <v>2512.15</v>
      </c>
      <c r="M972" s="39" t="n">
        <f aca="false">ABS(I972-L972)</f>
        <v>6</v>
      </c>
      <c r="N972" s="24" t="n">
        <f aca="false">M972*H972*Summary!$C$6</f>
        <v>30</v>
      </c>
      <c r="O972" s="37" t="n">
        <v>45531.4586689815</v>
      </c>
      <c r="P972" s="22" t="n">
        <f aca="false">ROUND((O972-C972)*86400,0)</f>
        <v>101</v>
      </c>
      <c r="Q972" s="22" t="str">
        <f aca="false">IF(P972&lt;10,"a) &lt;10s",IF(P972&lt;60,"b) 10-60s",IF(P972&lt;600,"c) 1-10min","d) &gt;10min")))</f>
        <v>c) 1-10min</v>
      </c>
      <c r="R972" s="38" t="n">
        <v>2505.64</v>
      </c>
      <c r="S972" s="38" t="n">
        <v>2505.65</v>
      </c>
      <c r="T972" s="22" t="s">
        <v>189</v>
      </c>
      <c r="U972" s="39" t="n">
        <f aca="false">IF(R972="","",IF(F972="BUY",R972-S972,S972-R972))</f>
        <v>0.0100000000002183</v>
      </c>
      <c r="V972" s="39" t="n">
        <f aca="false">IF(F972="BUY",S972-J972,J972-S972)</f>
        <v>0.489999999999782</v>
      </c>
      <c r="W972" s="6" t="n">
        <v>2.45</v>
      </c>
      <c r="X972" s="26" t="n">
        <f aca="false">IFERROR(W972/N972,0)</f>
        <v>0.0816666666666667</v>
      </c>
      <c r="Y972" s="22" t="str">
        <f aca="false">IF(W972&gt;0,"Win",IF(W972&lt;0,"Loss","Flat"))</f>
        <v>Win</v>
      </c>
      <c r="Z972" s="24" t="n">
        <f aca="false">Summary!$C$5+SUM(W$2:W972)</f>
        <v>3500.82</v>
      </c>
      <c r="AA972" s="24" t="n">
        <f aca="false">MAX(AA971,Z972)</f>
        <v>5000</v>
      </c>
      <c r="AB972" s="24" t="n">
        <f aca="false">AA972-Z972</f>
        <v>1499.18</v>
      </c>
      <c r="AC972" s="23" t="n">
        <f aca="false">IFERROR(AB972/AA972,0)</f>
        <v>0.299836</v>
      </c>
      <c r="AD972" s="22" t="s">
        <v>1209</v>
      </c>
    </row>
    <row r="973" customFormat="false" ht="15" hidden="false" customHeight="false" outlineLevel="0" collapsed="false">
      <c r="A973" s="22" t="n">
        <v>972</v>
      </c>
      <c r="B973" s="22" t="s">
        <v>148</v>
      </c>
      <c r="C973" s="37" t="n">
        <v>45532.0616087963</v>
      </c>
      <c r="D973" s="22" t="s">
        <v>204</v>
      </c>
      <c r="E973" s="22" t="n">
        <v>1</v>
      </c>
      <c r="F973" s="22" t="s">
        <v>181</v>
      </c>
      <c r="G973" s="22" t="s">
        <v>243</v>
      </c>
      <c r="H973" s="22" t="n">
        <v>0.05</v>
      </c>
      <c r="I973" s="38" t="n">
        <v>2525.82</v>
      </c>
      <c r="J973" s="38" t="n">
        <v>2525.87</v>
      </c>
      <c r="K973" s="39" t="n">
        <f aca="false">IF(F973="BUY",J973-I973,I973-J973)</f>
        <v>0.0499999999997272</v>
      </c>
      <c r="L973" s="38" t="n">
        <v>2519.82</v>
      </c>
      <c r="M973" s="39" t="n">
        <f aca="false">ABS(I973-L973)</f>
        <v>6</v>
      </c>
      <c r="N973" s="24" t="n">
        <f aca="false">M973*H973*Summary!$C$6</f>
        <v>30</v>
      </c>
      <c r="O973" s="37" t="n">
        <v>45532.1061342593</v>
      </c>
      <c r="P973" s="22" t="n">
        <f aca="false">ROUND((O973-C973)*86400,0)</f>
        <v>3847</v>
      </c>
      <c r="Q973" s="22" t="str">
        <f aca="false">IF(P973&lt;10,"a) &lt;10s",IF(P973&lt;60,"b) 10-60s",IF(P973&lt;600,"c) 1-10min","d) &gt;10min")))</f>
        <v>d) &gt;10min</v>
      </c>
      <c r="R973" s="38" t="n">
        <v>2526.37</v>
      </c>
      <c r="S973" s="38" t="n">
        <v>2526.25</v>
      </c>
      <c r="T973" s="22" t="s">
        <v>189</v>
      </c>
      <c r="U973" s="39" t="n">
        <f aca="false">IF(R973="","",IF(F973="BUY",R973-S973,S973-R973))</f>
        <v>0.119999999999891</v>
      </c>
      <c r="V973" s="39" t="n">
        <f aca="false">IF(F973="BUY",S973-J973,J973-S973)</f>
        <v>0.380000000000109</v>
      </c>
      <c r="W973" s="6" t="n">
        <v>1.9</v>
      </c>
      <c r="X973" s="26" t="n">
        <f aca="false">IFERROR(W973/N973,0)</f>
        <v>0.0633333333333333</v>
      </c>
      <c r="Y973" s="22" t="str">
        <f aca="false">IF(W973&gt;0,"Win",IF(W973&lt;0,"Loss","Flat"))</f>
        <v>Win</v>
      </c>
      <c r="Z973" s="24" t="n">
        <f aca="false">Summary!$C$5+SUM(W$2:W973)</f>
        <v>3502.72</v>
      </c>
      <c r="AA973" s="24" t="n">
        <f aca="false">MAX(AA972,Z973)</f>
        <v>5000</v>
      </c>
      <c r="AB973" s="24" t="n">
        <f aca="false">AA973-Z973</f>
        <v>1497.28</v>
      </c>
      <c r="AC973" s="23" t="n">
        <f aca="false">IFERROR(AB973/AA973,0)</f>
        <v>0.299456</v>
      </c>
      <c r="AD973" s="22" t="s">
        <v>1210</v>
      </c>
    </row>
    <row r="974" customFormat="false" ht="15" hidden="false" customHeight="false" outlineLevel="0" collapsed="false">
      <c r="A974" s="22" t="n">
        <v>973</v>
      </c>
      <c r="B974" s="22" t="s">
        <v>148</v>
      </c>
      <c r="C974" s="37" t="n">
        <v>45532.3750115741</v>
      </c>
      <c r="D974" s="22" t="s">
        <v>204</v>
      </c>
      <c r="E974" s="22" t="n">
        <v>9</v>
      </c>
      <c r="F974" s="22" t="s">
        <v>182</v>
      </c>
      <c r="G974" s="22" t="s">
        <v>241</v>
      </c>
      <c r="H974" s="22" t="n">
        <v>0.05</v>
      </c>
      <c r="I974" s="38" t="n">
        <v>2505.34</v>
      </c>
      <c r="J974" s="38" t="n">
        <v>2505.26</v>
      </c>
      <c r="K974" s="39" t="n">
        <f aca="false">IF(F974="BUY",J974-I974,I974-J974)</f>
        <v>0.0799999999999272</v>
      </c>
      <c r="L974" s="38" t="n">
        <v>2511.34</v>
      </c>
      <c r="M974" s="39" t="n">
        <f aca="false">ABS(I974-L974)</f>
        <v>6</v>
      </c>
      <c r="N974" s="24" t="n">
        <f aca="false">M974*H974*Summary!$C$6</f>
        <v>30</v>
      </c>
      <c r="O974" s="37" t="n">
        <v>45532.439212963</v>
      </c>
      <c r="P974" s="22" t="n">
        <f aca="false">ROUND((O974-C974)*86400,0)</f>
        <v>5547</v>
      </c>
      <c r="Q974" s="22" t="str">
        <f aca="false">IF(P974&lt;10,"a) &lt;10s",IF(P974&lt;60,"b) 10-60s",IF(P974&lt;600,"c) 1-10min","d) &gt;10min")))</f>
        <v>d) &gt;10min</v>
      </c>
      <c r="R974" s="38" t="n">
        <v>2511.34</v>
      </c>
      <c r="S974" s="38" t="n">
        <v>2511.41</v>
      </c>
      <c r="T974" s="22" t="s">
        <v>188</v>
      </c>
      <c r="U974" s="39" t="n">
        <f aca="false">IF(R974="","",IF(F974="BUY",R974-S974,S974-R974))</f>
        <v>0.069999999999709</v>
      </c>
      <c r="V974" s="39" t="n">
        <f aca="false">IF(F974="BUY",S974-J974,J974-S974)</f>
        <v>-6.14999999999964</v>
      </c>
      <c r="W974" s="6" t="n">
        <v>-30.75</v>
      </c>
      <c r="X974" s="26" t="n">
        <f aca="false">IFERROR(W974/N974,0)</f>
        <v>-1.025</v>
      </c>
      <c r="Y974" s="22" t="str">
        <f aca="false">IF(W974&gt;0,"Win",IF(W974&lt;0,"Loss","Flat"))</f>
        <v>Loss</v>
      </c>
      <c r="Z974" s="24" t="n">
        <f aca="false">Summary!$C$5+SUM(W$2:W974)</f>
        <v>3471.97</v>
      </c>
      <c r="AA974" s="24" t="n">
        <f aca="false">MAX(AA973,Z974)</f>
        <v>5000</v>
      </c>
      <c r="AB974" s="24" t="n">
        <f aca="false">AA974-Z974</f>
        <v>1528.03</v>
      </c>
      <c r="AC974" s="23" t="n">
        <f aca="false">IFERROR(AB974/AA974,0)</f>
        <v>0.305606</v>
      </c>
      <c r="AD974" s="22" t="s">
        <v>1211</v>
      </c>
    </row>
    <row r="975" customFormat="false" ht="15" hidden="false" customHeight="false" outlineLevel="0" collapsed="false">
      <c r="A975" s="22" t="n">
        <v>974</v>
      </c>
      <c r="B975" s="22" t="s">
        <v>148</v>
      </c>
      <c r="C975" s="37" t="n">
        <v>45533.3792939815</v>
      </c>
      <c r="D975" s="22" t="s">
        <v>205</v>
      </c>
      <c r="E975" s="22" t="n">
        <v>9</v>
      </c>
      <c r="F975" s="22" t="s">
        <v>181</v>
      </c>
      <c r="G975" s="22" t="s">
        <v>235</v>
      </c>
      <c r="H975" s="22" t="n">
        <v>0.05</v>
      </c>
      <c r="I975" s="38" t="n">
        <v>2519.8</v>
      </c>
      <c r="J975" s="38" t="n">
        <v>2519.84</v>
      </c>
      <c r="K975" s="39" t="n">
        <f aca="false">IF(F975="BUY",J975-I975,I975-J975)</f>
        <v>0.0399999999999636</v>
      </c>
      <c r="L975" s="38" t="n">
        <v>2513.8</v>
      </c>
      <c r="M975" s="39" t="n">
        <f aca="false">ABS(I975-L975)</f>
        <v>6</v>
      </c>
      <c r="N975" s="24" t="n">
        <f aca="false">M975*H975*Summary!$C$6</f>
        <v>30</v>
      </c>
      <c r="O975" s="37" t="n">
        <v>45533.6064699074</v>
      </c>
      <c r="P975" s="22" t="n">
        <f aca="false">ROUND((O975-C975)*86400,0)</f>
        <v>19628</v>
      </c>
      <c r="Q975" s="22" t="str">
        <f aca="false">IF(P975&lt;10,"a) &lt;10s",IF(P975&lt;60,"b) 10-60s",IF(P975&lt;600,"c) 1-10min","d) &gt;10min")))</f>
        <v>d) &gt;10min</v>
      </c>
      <c r="R975" s="38" t="n">
        <v>2520.34</v>
      </c>
      <c r="S975" s="38" t="n">
        <v>2520.3</v>
      </c>
      <c r="T975" s="22" t="s">
        <v>189</v>
      </c>
      <c r="U975" s="39" t="n">
        <f aca="false">IF(R975="","",IF(F975="BUY",R975-S975,S975-R975))</f>
        <v>0.0399999999999636</v>
      </c>
      <c r="V975" s="39" t="n">
        <f aca="false">IF(F975="BUY",S975-J975,J975-S975)</f>
        <v>0.460000000000036</v>
      </c>
      <c r="W975" s="6" t="n">
        <v>2.3</v>
      </c>
      <c r="X975" s="26" t="n">
        <f aca="false">IFERROR(W975/N975,0)</f>
        <v>0.0766666666666667</v>
      </c>
      <c r="Y975" s="22" t="str">
        <f aca="false">IF(W975&gt;0,"Win",IF(W975&lt;0,"Loss","Flat"))</f>
        <v>Win</v>
      </c>
      <c r="Z975" s="24" t="n">
        <f aca="false">Summary!$C$5+SUM(W$2:W975)</f>
        <v>3474.27</v>
      </c>
      <c r="AA975" s="24" t="n">
        <f aca="false">MAX(AA974,Z975)</f>
        <v>5000</v>
      </c>
      <c r="AB975" s="24" t="n">
        <f aca="false">AA975-Z975</f>
        <v>1525.73</v>
      </c>
      <c r="AC975" s="23" t="n">
        <f aca="false">IFERROR(AB975/AA975,0)</f>
        <v>0.305146</v>
      </c>
      <c r="AD975" s="22" t="s">
        <v>1212</v>
      </c>
    </row>
    <row r="976" customFormat="false" ht="15" hidden="false" customHeight="false" outlineLevel="0" collapsed="false">
      <c r="A976" s="22" t="n">
        <v>975</v>
      </c>
      <c r="B976" s="22" t="s">
        <v>148</v>
      </c>
      <c r="C976" s="37" t="n">
        <v>45533.8520833333</v>
      </c>
      <c r="D976" s="22" t="s">
        <v>205</v>
      </c>
      <c r="E976" s="22" t="n">
        <v>20</v>
      </c>
      <c r="F976" s="22" t="s">
        <v>181</v>
      </c>
      <c r="G976" s="22" t="s">
        <v>243</v>
      </c>
      <c r="H976" s="22" t="n">
        <v>0.05</v>
      </c>
      <c r="I976" s="38" t="n">
        <v>2528.89</v>
      </c>
      <c r="J976" s="38" t="n">
        <v>2528.94</v>
      </c>
      <c r="K976" s="39" t="n">
        <f aca="false">IF(F976="BUY",J976-I976,I976-J976)</f>
        <v>0.0500000000001819</v>
      </c>
      <c r="L976" s="38" t="n">
        <v>2522.89</v>
      </c>
      <c r="M976" s="39" t="n">
        <f aca="false">ABS(I976-L976)</f>
        <v>6</v>
      </c>
      <c r="N976" s="24" t="n">
        <f aca="false">M976*H976*Summary!$C$6</f>
        <v>30</v>
      </c>
      <c r="O976" s="37" t="n">
        <v>45533.9018171296</v>
      </c>
      <c r="P976" s="22" t="n">
        <f aca="false">ROUND((O976-C976)*86400,0)</f>
        <v>4297</v>
      </c>
      <c r="Q976" s="22" t="str">
        <f aca="false">IF(P976&lt;10,"a) &lt;10s",IF(P976&lt;60,"b) 10-60s",IF(P976&lt;600,"c) 1-10min","d) &gt;10min")))</f>
        <v>d) &gt;10min</v>
      </c>
      <c r="R976" s="38" t="n">
        <v>2522.89</v>
      </c>
      <c r="S976" s="38" t="n">
        <v>2522.88</v>
      </c>
      <c r="T976" s="22" t="s">
        <v>188</v>
      </c>
      <c r="U976" s="39" t="n">
        <f aca="false">IF(R976="","",IF(F976="BUY",R976-S976,S976-R976))</f>
        <v>0.00999999999976353</v>
      </c>
      <c r="V976" s="39" t="n">
        <f aca="false">IF(F976="BUY",S976-J976,J976-S976)</f>
        <v>-6.05999999999995</v>
      </c>
      <c r="W976" s="6" t="n">
        <v>-30.3</v>
      </c>
      <c r="X976" s="26" t="n">
        <f aca="false">IFERROR(W976/N976,0)</f>
        <v>-1.01</v>
      </c>
      <c r="Y976" s="22" t="str">
        <f aca="false">IF(W976&gt;0,"Win",IF(W976&lt;0,"Loss","Flat"))</f>
        <v>Loss</v>
      </c>
      <c r="Z976" s="24" t="n">
        <f aca="false">Summary!$C$5+SUM(W$2:W976)</f>
        <v>3443.97</v>
      </c>
      <c r="AA976" s="24" t="n">
        <f aca="false">MAX(AA975,Z976)</f>
        <v>5000</v>
      </c>
      <c r="AB976" s="24" t="n">
        <f aca="false">AA976-Z976</f>
        <v>1556.03</v>
      </c>
      <c r="AC976" s="23" t="n">
        <f aca="false">IFERROR(AB976/AA976,0)</f>
        <v>0.311206</v>
      </c>
      <c r="AD976" s="22" t="s">
        <v>1213</v>
      </c>
    </row>
    <row r="977" customFormat="false" ht="15" hidden="false" customHeight="false" outlineLevel="0" collapsed="false">
      <c r="A977" s="22" t="n">
        <v>976</v>
      </c>
      <c r="B977" s="22" t="s">
        <v>148</v>
      </c>
      <c r="C977" s="37" t="n">
        <v>45534.3824421296</v>
      </c>
      <c r="D977" s="22" t="s">
        <v>206</v>
      </c>
      <c r="E977" s="22" t="n">
        <v>9</v>
      </c>
      <c r="F977" s="22" t="s">
        <v>181</v>
      </c>
      <c r="G977" s="22" t="s">
        <v>235</v>
      </c>
      <c r="H977" s="22" t="n">
        <v>0.05</v>
      </c>
      <c r="I977" s="38" t="n">
        <v>2516.19</v>
      </c>
      <c r="J977" s="38" t="n">
        <v>2516.26</v>
      </c>
      <c r="K977" s="39" t="n">
        <f aca="false">IF(F977="BUY",J977-I977,I977-J977)</f>
        <v>0.0700000000001637</v>
      </c>
      <c r="L977" s="38" t="n">
        <v>2510.19</v>
      </c>
      <c r="M977" s="39" t="n">
        <f aca="false">ABS(I977-L977)</f>
        <v>6</v>
      </c>
      <c r="N977" s="24" t="n">
        <f aca="false">M977*H977*Summary!$C$6</f>
        <v>30</v>
      </c>
      <c r="O977" s="37" t="n">
        <v>45534.5709259259</v>
      </c>
      <c r="P977" s="22" t="n">
        <f aca="false">ROUND((O977-C977)*86400,0)</f>
        <v>16285</v>
      </c>
      <c r="Q977" s="22" t="str">
        <f aca="false">IF(P977&lt;10,"a) &lt;10s",IF(P977&lt;60,"b) 10-60s",IF(P977&lt;600,"c) 1-10min","d) &gt;10min")))</f>
        <v>d) &gt;10min</v>
      </c>
      <c r="R977" s="38" t="n">
        <v>2516.76</v>
      </c>
      <c r="S977" s="38" t="n">
        <v>2516.75</v>
      </c>
      <c r="T977" s="22" t="s">
        <v>189</v>
      </c>
      <c r="U977" s="39" t="n">
        <f aca="false">IF(R977="","",IF(F977="BUY",R977-S977,S977-R977))</f>
        <v>0.0100000000002183</v>
      </c>
      <c r="V977" s="39" t="n">
        <f aca="false">IF(F977="BUY",S977-J977,J977-S977)</f>
        <v>0.489999999999782</v>
      </c>
      <c r="W977" s="6" t="n">
        <v>2.45</v>
      </c>
      <c r="X977" s="26" t="n">
        <f aca="false">IFERROR(W977/N977,0)</f>
        <v>0.0816666666666667</v>
      </c>
      <c r="Y977" s="22" t="str">
        <f aca="false">IF(W977&gt;0,"Win",IF(W977&lt;0,"Loss","Flat"))</f>
        <v>Win</v>
      </c>
      <c r="Z977" s="24" t="n">
        <f aca="false">Summary!$C$5+SUM(W$2:W977)</f>
        <v>3446.42</v>
      </c>
      <c r="AA977" s="24" t="n">
        <f aca="false">MAX(AA976,Z977)</f>
        <v>5000</v>
      </c>
      <c r="AB977" s="24" t="n">
        <f aca="false">AA977-Z977</f>
        <v>1553.58</v>
      </c>
      <c r="AC977" s="23" t="n">
        <f aca="false">IFERROR(AB977/AA977,0)</f>
        <v>0.310716</v>
      </c>
      <c r="AD977" s="22" t="s">
        <v>1214</v>
      </c>
    </row>
    <row r="978" customFormat="false" ht="15" hidden="false" customHeight="false" outlineLevel="0" collapsed="false">
      <c r="A978" s="22" t="n">
        <v>977</v>
      </c>
      <c r="B978" s="22" t="s">
        <v>148</v>
      </c>
      <c r="C978" s="37" t="n">
        <v>45534.7545138889</v>
      </c>
      <c r="D978" s="22" t="s">
        <v>206</v>
      </c>
      <c r="E978" s="22" t="n">
        <v>18</v>
      </c>
      <c r="F978" s="22" t="s">
        <v>182</v>
      </c>
      <c r="G978" s="22" t="s">
        <v>237</v>
      </c>
      <c r="H978" s="22" t="n">
        <v>0.05</v>
      </c>
      <c r="I978" s="38" t="n">
        <v>2503.52</v>
      </c>
      <c r="J978" s="38" t="n">
        <v>2503.41</v>
      </c>
      <c r="K978" s="39" t="n">
        <f aca="false">IF(F978="BUY",J978-I978,I978-J978)</f>
        <v>0.110000000000127</v>
      </c>
      <c r="L978" s="38" t="n">
        <v>2509.52</v>
      </c>
      <c r="M978" s="39" t="n">
        <f aca="false">ABS(I978-L978)</f>
        <v>6</v>
      </c>
      <c r="N978" s="24" t="n">
        <f aca="false">M978*H978*Summary!$C$6</f>
        <v>30</v>
      </c>
      <c r="O978" s="37" t="n">
        <v>45534.7870601852</v>
      </c>
      <c r="P978" s="22" t="n">
        <f aca="false">ROUND((O978-C978)*86400,0)</f>
        <v>2812</v>
      </c>
      <c r="Q978" s="22" t="str">
        <f aca="false">IF(P978&lt;10,"a) &lt;10s",IF(P978&lt;60,"b) 10-60s",IF(P978&lt;600,"c) 1-10min","d) &gt;10min")))</f>
        <v>d) &gt;10min</v>
      </c>
      <c r="R978" s="38" t="n">
        <v>2502.91</v>
      </c>
      <c r="S978" s="38" t="n">
        <v>2502.94</v>
      </c>
      <c r="T978" s="22" t="s">
        <v>189</v>
      </c>
      <c r="U978" s="39" t="n">
        <f aca="false">IF(R978="","",IF(F978="BUY",R978-S978,S978-R978))</f>
        <v>0.0300000000002001</v>
      </c>
      <c r="V978" s="39" t="n">
        <f aca="false">IF(F978="BUY",S978-J978,J978-S978)</f>
        <v>0.4699999999998</v>
      </c>
      <c r="W978" s="6" t="n">
        <v>2.35</v>
      </c>
      <c r="X978" s="26" t="n">
        <f aca="false">IFERROR(W978/N978,0)</f>
        <v>0.0783333333333333</v>
      </c>
      <c r="Y978" s="22" t="str">
        <f aca="false">IF(W978&gt;0,"Win",IF(W978&lt;0,"Loss","Flat"))</f>
        <v>Win</v>
      </c>
      <c r="Z978" s="24" t="n">
        <f aca="false">Summary!$C$5+SUM(W$2:W978)</f>
        <v>3448.77</v>
      </c>
      <c r="AA978" s="24" t="n">
        <f aca="false">MAX(AA977,Z978)</f>
        <v>5000</v>
      </c>
      <c r="AB978" s="24" t="n">
        <f aca="false">AA978-Z978</f>
        <v>1551.23</v>
      </c>
      <c r="AC978" s="23" t="n">
        <f aca="false">IFERROR(AB978/AA978,0)</f>
        <v>0.310246</v>
      </c>
      <c r="AD978" s="22" t="s">
        <v>1215</v>
      </c>
    </row>
    <row r="979" customFormat="false" ht="15" hidden="false" customHeight="false" outlineLevel="0" collapsed="false">
      <c r="A979" s="22" t="n">
        <v>978</v>
      </c>
      <c r="B979" s="22" t="s">
        <v>149</v>
      </c>
      <c r="C979" s="37" t="n">
        <v>45537.2135069444</v>
      </c>
      <c r="D979" s="22" t="s">
        <v>202</v>
      </c>
      <c r="E979" s="22" t="n">
        <v>5</v>
      </c>
      <c r="F979" s="22" t="s">
        <v>182</v>
      </c>
      <c r="G979" s="22" t="s">
        <v>237</v>
      </c>
      <c r="H979" s="22" t="n">
        <v>0.05</v>
      </c>
      <c r="I979" s="38" t="n">
        <v>2494.05</v>
      </c>
      <c r="J979" s="38" t="n">
        <v>2494.02</v>
      </c>
      <c r="K979" s="39" t="n">
        <f aca="false">IF(F979="BUY",J979-I979,I979-J979)</f>
        <v>0.0300000000002001</v>
      </c>
      <c r="L979" s="38" t="n">
        <v>2500.05</v>
      </c>
      <c r="M979" s="39" t="n">
        <f aca="false">ABS(I979-L979)</f>
        <v>6</v>
      </c>
      <c r="N979" s="24" t="n">
        <f aca="false">M979*H979*Summary!$C$6</f>
        <v>30</v>
      </c>
      <c r="O979" s="37" t="n">
        <v>45537.2322569444</v>
      </c>
      <c r="P979" s="22" t="n">
        <f aca="false">ROUND((O979-C979)*86400,0)</f>
        <v>1620</v>
      </c>
      <c r="Q979" s="22" t="str">
        <f aca="false">IF(P979&lt;10,"a) &lt;10s",IF(P979&lt;60,"b) 10-60s",IF(P979&lt;600,"c) 1-10min","d) &gt;10min")))</f>
        <v>d) &gt;10min</v>
      </c>
      <c r="R979" s="38" t="n">
        <v>2493.52</v>
      </c>
      <c r="S979" s="38" t="n">
        <v>2493.54</v>
      </c>
      <c r="T979" s="22" t="s">
        <v>189</v>
      </c>
      <c r="U979" s="39" t="n">
        <f aca="false">IF(R979="","",IF(F979="BUY",R979-S979,S979-R979))</f>
        <v>0.0199999999999818</v>
      </c>
      <c r="V979" s="39" t="n">
        <f aca="false">IF(F979="BUY",S979-J979,J979-S979)</f>
        <v>0.480000000000018</v>
      </c>
      <c r="W979" s="6" t="n">
        <v>2.4</v>
      </c>
      <c r="X979" s="26" t="n">
        <f aca="false">IFERROR(W979/N979,0)</f>
        <v>0.08</v>
      </c>
      <c r="Y979" s="22" t="str">
        <f aca="false">IF(W979&gt;0,"Win",IF(W979&lt;0,"Loss","Flat"))</f>
        <v>Win</v>
      </c>
      <c r="Z979" s="24" t="n">
        <f aca="false">Summary!$C$5+SUM(W$2:W979)</f>
        <v>3451.17</v>
      </c>
      <c r="AA979" s="24" t="n">
        <f aca="false">MAX(AA978,Z979)</f>
        <v>5000</v>
      </c>
      <c r="AB979" s="24" t="n">
        <f aca="false">AA979-Z979</f>
        <v>1548.83</v>
      </c>
      <c r="AC979" s="23" t="n">
        <f aca="false">IFERROR(AB979/AA979,0)</f>
        <v>0.309766</v>
      </c>
      <c r="AD979" s="22" t="s">
        <v>1216</v>
      </c>
    </row>
    <row r="980" customFormat="false" ht="15" hidden="false" customHeight="false" outlineLevel="0" collapsed="false">
      <c r="A980" s="22" t="n">
        <v>979</v>
      </c>
      <c r="B980" s="22" t="s">
        <v>149</v>
      </c>
      <c r="C980" s="37" t="n">
        <v>45537.3815972222</v>
      </c>
      <c r="D980" s="22" t="s">
        <v>202</v>
      </c>
      <c r="E980" s="22" t="n">
        <v>9</v>
      </c>
      <c r="F980" s="22" t="s">
        <v>181</v>
      </c>
      <c r="G980" s="22" t="s">
        <v>235</v>
      </c>
      <c r="H980" s="22" t="n">
        <v>0.05</v>
      </c>
      <c r="I980" s="38" t="n">
        <v>2499.26</v>
      </c>
      <c r="J980" s="38" t="n">
        <v>2499.29</v>
      </c>
      <c r="K980" s="39" t="n">
        <f aca="false">IF(F980="BUY",J980-I980,I980-J980)</f>
        <v>0.0299999999997453</v>
      </c>
      <c r="L980" s="38" t="n">
        <v>2493.26</v>
      </c>
      <c r="M980" s="39" t="n">
        <f aca="false">ABS(I980-L980)</f>
        <v>6</v>
      </c>
      <c r="N980" s="24" t="n">
        <f aca="false">M980*H980*Summary!$C$6</f>
        <v>30</v>
      </c>
      <c r="O980" s="37" t="n">
        <v>45537.3966087963</v>
      </c>
      <c r="P980" s="22" t="n">
        <f aca="false">ROUND((O980-C980)*86400,0)</f>
        <v>1297</v>
      </c>
      <c r="Q980" s="22" t="str">
        <f aca="false">IF(P980&lt;10,"a) &lt;10s",IF(P980&lt;60,"b) 10-60s",IF(P980&lt;600,"c) 1-10min","d) &gt;10min")))</f>
        <v>d) &gt;10min</v>
      </c>
      <c r="R980" s="38" t="n">
        <v>2499.79</v>
      </c>
      <c r="S980" s="38" t="n">
        <v>2499.72</v>
      </c>
      <c r="T980" s="22" t="s">
        <v>189</v>
      </c>
      <c r="U980" s="39" t="n">
        <f aca="false">IF(R980="","",IF(F980="BUY",R980-S980,S980-R980))</f>
        <v>0.0700000000001637</v>
      </c>
      <c r="V980" s="39" t="n">
        <f aca="false">IF(F980="BUY",S980-J980,J980-S980)</f>
        <v>0.429999999999836</v>
      </c>
      <c r="W980" s="6" t="n">
        <v>2.15</v>
      </c>
      <c r="X980" s="26" t="n">
        <f aca="false">IFERROR(W980/N980,0)</f>
        <v>0.0716666666666667</v>
      </c>
      <c r="Y980" s="22" t="str">
        <f aca="false">IF(W980&gt;0,"Win",IF(W980&lt;0,"Loss","Flat"))</f>
        <v>Win</v>
      </c>
      <c r="Z980" s="24" t="n">
        <f aca="false">Summary!$C$5+SUM(W$2:W980)</f>
        <v>3453.32</v>
      </c>
      <c r="AA980" s="24" t="n">
        <f aca="false">MAX(AA979,Z980)</f>
        <v>5000</v>
      </c>
      <c r="AB980" s="24" t="n">
        <f aca="false">AA980-Z980</f>
        <v>1546.68</v>
      </c>
      <c r="AC980" s="23" t="n">
        <f aca="false">IFERROR(AB980/AA980,0)</f>
        <v>0.309336</v>
      </c>
      <c r="AD980" s="22" t="s">
        <v>1217</v>
      </c>
    </row>
    <row r="981" customFormat="false" ht="15" hidden="false" customHeight="false" outlineLevel="0" collapsed="false">
      <c r="A981" s="22" t="n">
        <v>980</v>
      </c>
      <c r="B981" s="22" t="s">
        <v>149</v>
      </c>
      <c r="C981" s="37" t="n">
        <v>45538.185462963</v>
      </c>
      <c r="D981" s="22" t="s">
        <v>203</v>
      </c>
      <c r="E981" s="22" t="n">
        <v>4</v>
      </c>
      <c r="F981" s="22" t="s">
        <v>182</v>
      </c>
      <c r="G981" s="22" t="s">
        <v>237</v>
      </c>
      <c r="H981" s="22" t="n">
        <v>0.05</v>
      </c>
      <c r="I981" s="38" t="n">
        <v>2489.92</v>
      </c>
      <c r="J981" s="38" t="n">
        <v>2489.9</v>
      </c>
      <c r="K981" s="39" t="n">
        <f aca="false">IF(F981="BUY",J981-I981,I981-J981)</f>
        <v>0.0199999999999818</v>
      </c>
      <c r="L981" s="38" t="n">
        <v>2495.92</v>
      </c>
      <c r="M981" s="39" t="n">
        <f aca="false">ABS(I981-L981)</f>
        <v>6</v>
      </c>
      <c r="N981" s="24" t="n">
        <f aca="false">M981*H981*Summary!$C$6</f>
        <v>30</v>
      </c>
      <c r="O981" s="37" t="n">
        <v>45538.2376273148</v>
      </c>
      <c r="P981" s="22" t="n">
        <f aca="false">ROUND((O981-C981)*86400,0)</f>
        <v>4507</v>
      </c>
      <c r="Q981" s="22" t="str">
        <f aca="false">IF(P981&lt;10,"a) &lt;10s",IF(P981&lt;60,"b) 10-60s",IF(P981&lt;600,"c) 1-10min","d) &gt;10min")))</f>
        <v>d) &gt;10min</v>
      </c>
      <c r="R981" s="38" t="n">
        <v>2495.92</v>
      </c>
      <c r="S981" s="38" t="n">
        <v>2495.95</v>
      </c>
      <c r="T981" s="22" t="s">
        <v>188</v>
      </c>
      <c r="U981" s="39" t="n">
        <f aca="false">IF(R981="","",IF(F981="BUY",R981-S981,S981-R981))</f>
        <v>0.0299999999997453</v>
      </c>
      <c r="V981" s="39" t="n">
        <f aca="false">IF(F981="BUY",S981-J981,J981-S981)</f>
        <v>-6.04999999999973</v>
      </c>
      <c r="W981" s="6" t="n">
        <v>-30.25</v>
      </c>
      <c r="X981" s="26" t="n">
        <f aca="false">IFERROR(W981/N981,0)</f>
        <v>-1.00833333333333</v>
      </c>
      <c r="Y981" s="22" t="str">
        <f aca="false">IF(W981&gt;0,"Win",IF(W981&lt;0,"Loss","Flat"))</f>
        <v>Loss</v>
      </c>
      <c r="Z981" s="24" t="n">
        <f aca="false">Summary!$C$5+SUM(W$2:W981)</f>
        <v>3423.07</v>
      </c>
      <c r="AA981" s="24" t="n">
        <f aca="false">MAX(AA980,Z981)</f>
        <v>5000</v>
      </c>
      <c r="AB981" s="24" t="n">
        <f aca="false">AA981-Z981</f>
        <v>1576.93</v>
      </c>
      <c r="AC981" s="23" t="n">
        <f aca="false">IFERROR(AB981/AA981,0)</f>
        <v>0.315386</v>
      </c>
      <c r="AD981" s="22" t="s">
        <v>1218</v>
      </c>
    </row>
    <row r="982" customFormat="false" ht="15" hidden="false" customHeight="false" outlineLevel="0" collapsed="false">
      <c r="A982" s="22" t="n">
        <v>981</v>
      </c>
      <c r="B982" s="22" t="s">
        <v>149</v>
      </c>
      <c r="C982" s="37" t="n">
        <v>45538.3889236111</v>
      </c>
      <c r="D982" s="22" t="s">
        <v>203</v>
      </c>
      <c r="E982" s="22" t="n">
        <v>9</v>
      </c>
      <c r="F982" s="22" t="s">
        <v>181</v>
      </c>
      <c r="G982" s="22" t="s">
        <v>235</v>
      </c>
      <c r="H982" s="22" t="n">
        <v>0.05</v>
      </c>
      <c r="I982" s="38" t="n">
        <v>2496.85</v>
      </c>
      <c r="J982" s="38" t="n">
        <v>2496.94</v>
      </c>
      <c r="K982" s="39" t="n">
        <f aca="false">IF(F982="BUY",J982-I982,I982-J982)</f>
        <v>0.0900000000001455</v>
      </c>
      <c r="L982" s="38" t="n">
        <v>2490.85</v>
      </c>
      <c r="M982" s="39" t="n">
        <f aca="false">ABS(I982-L982)</f>
        <v>6</v>
      </c>
      <c r="N982" s="24" t="n">
        <f aca="false">M982*H982*Summary!$C$6</f>
        <v>30</v>
      </c>
      <c r="O982" s="37" t="n">
        <v>45538.422662037</v>
      </c>
      <c r="P982" s="22" t="n">
        <f aca="false">ROUND((O982-C982)*86400,0)</f>
        <v>2915</v>
      </c>
      <c r="Q982" s="22" t="str">
        <f aca="false">IF(P982&lt;10,"a) &lt;10s",IF(P982&lt;60,"b) 10-60s",IF(P982&lt;600,"c) 1-10min","d) &gt;10min")))</f>
        <v>d) &gt;10min</v>
      </c>
      <c r="R982" s="38" t="n">
        <v>2497.44</v>
      </c>
      <c r="S982" s="38" t="n">
        <v>2497.44</v>
      </c>
      <c r="T982" s="22" t="s">
        <v>189</v>
      </c>
      <c r="U982" s="39" t="n">
        <f aca="false">IF(R982="","",IF(F982="BUY",R982-S982,S982-R982))</f>
        <v>0</v>
      </c>
      <c r="V982" s="39" t="n">
        <f aca="false">IF(F982="BUY",S982-J982,J982-S982)</f>
        <v>0.5</v>
      </c>
      <c r="W982" s="6" t="n">
        <v>2.5</v>
      </c>
      <c r="X982" s="26" t="n">
        <f aca="false">IFERROR(W982/N982,0)</f>
        <v>0.0833333333333333</v>
      </c>
      <c r="Y982" s="22" t="str">
        <f aca="false">IF(W982&gt;0,"Win",IF(W982&lt;0,"Loss","Flat"))</f>
        <v>Win</v>
      </c>
      <c r="Z982" s="24" t="n">
        <f aca="false">Summary!$C$5+SUM(W$2:W982)</f>
        <v>3425.57</v>
      </c>
      <c r="AA982" s="24" t="n">
        <f aca="false">MAX(AA981,Z982)</f>
        <v>5000</v>
      </c>
      <c r="AB982" s="24" t="n">
        <f aca="false">AA982-Z982</f>
        <v>1574.43</v>
      </c>
      <c r="AC982" s="23" t="n">
        <f aca="false">IFERROR(AB982/AA982,0)</f>
        <v>0.314886</v>
      </c>
      <c r="AD982" s="22" t="s">
        <v>1219</v>
      </c>
    </row>
    <row r="983" customFormat="false" ht="15" hidden="false" customHeight="false" outlineLevel="0" collapsed="false">
      <c r="A983" s="22" t="n">
        <v>982</v>
      </c>
      <c r="B983" s="22" t="s">
        <v>149</v>
      </c>
      <c r="C983" s="37" t="n">
        <v>45539.376087963</v>
      </c>
      <c r="D983" s="22" t="s">
        <v>204</v>
      </c>
      <c r="E983" s="22" t="n">
        <v>9</v>
      </c>
      <c r="F983" s="22" t="s">
        <v>182</v>
      </c>
      <c r="G983" s="22" t="s">
        <v>241</v>
      </c>
      <c r="H983" s="22" t="n">
        <v>0.05</v>
      </c>
      <c r="I983" s="38" t="n">
        <v>2492.63</v>
      </c>
      <c r="J983" s="38" t="n">
        <v>2492.59</v>
      </c>
      <c r="K983" s="39" t="n">
        <f aca="false">IF(F983="BUY",J983-I983,I983-J983)</f>
        <v>0.0399999999999636</v>
      </c>
      <c r="L983" s="38" t="n">
        <v>2498.63</v>
      </c>
      <c r="M983" s="39" t="n">
        <f aca="false">ABS(I983-L983)</f>
        <v>6</v>
      </c>
      <c r="N983" s="24" t="n">
        <f aca="false">M983*H983*Summary!$C$6</f>
        <v>30</v>
      </c>
      <c r="O983" s="37" t="n">
        <v>45539.7084259259</v>
      </c>
      <c r="P983" s="22" t="n">
        <f aca="false">ROUND((O983-C983)*86400,0)</f>
        <v>28714</v>
      </c>
      <c r="Q983" s="22" t="str">
        <f aca="false">IF(P983&lt;10,"a) &lt;10s",IF(P983&lt;60,"b) 10-60s",IF(P983&lt;600,"c) 1-10min","d) &gt;10min")))</f>
        <v>d) &gt;10min</v>
      </c>
      <c r="R983" s="38" t="n">
        <v>2492.09</v>
      </c>
      <c r="S983" s="38" t="n">
        <v>2492.51</v>
      </c>
      <c r="T983" s="22" t="s">
        <v>189</v>
      </c>
      <c r="U983" s="39" t="n">
        <f aca="false">IF(R983="","",IF(F983="BUY",R983-S983,S983-R983))</f>
        <v>0.420000000000073</v>
      </c>
      <c r="V983" s="39" t="n">
        <f aca="false">IF(F983="BUY",S983-J983,J983-S983)</f>
        <v>0.0799999999999272</v>
      </c>
      <c r="W983" s="6" t="n">
        <v>0.4</v>
      </c>
      <c r="X983" s="26" t="n">
        <f aca="false">IFERROR(W983/N983,0)</f>
        <v>0.0133333333333333</v>
      </c>
      <c r="Y983" s="22" t="str">
        <f aca="false">IF(W983&gt;0,"Win",IF(W983&lt;0,"Loss","Flat"))</f>
        <v>Win</v>
      </c>
      <c r="Z983" s="24" t="n">
        <f aca="false">Summary!$C$5+SUM(W$2:W983)</f>
        <v>3425.97</v>
      </c>
      <c r="AA983" s="24" t="n">
        <f aca="false">MAX(AA982,Z983)</f>
        <v>5000</v>
      </c>
      <c r="AB983" s="24" t="n">
        <f aca="false">AA983-Z983</f>
        <v>1574.03</v>
      </c>
      <c r="AC983" s="23" t="n">
        <f aca="false">IFERROR(AB983/AA983,0)</f>
        <v>0.314806</v>
      </c>
      <c r="AD983" s="22" t="s">
        <v>1220</v>
      </c>
    </row>
    <row r="984" customFormat="false" ht="15" hidden="false" customHeight="false" outlineLevel="0" collapsed="false">
      <c r="A984" s="22" t="n">
        <v>983</v>
      </c>
      <c r="B984" s="22" t="s">
        <v>149</v>
      </c>
      <c r="C984" s="37" t="n">
        <v>45540.3681018519</v>
      </c>
      <c r="D984" s="22" t="s">
        <v>205</v>
      </c>
      <c r="E984" s="22" t="n">
        <v>8</v>
      </c>
      <c r="F984" s="22" t="s">
        <v>181</v>
      </c>
      <c r="G984" s="22" t="s">
        <v>243</v>
      </c>
      <c r="H984" s="22" t="n">
        <v>0.05</v>
      </c>
      <c r="I984" s="38" t="n">
        <v>2500.15</v>
      </c>
      <c r="J984" s="38" t="n">
        <v>2500.19</v>
      </c>
      <c r="K984" s="39" t="n">
        <f aca="false">IF(F984="BUY",J984-I984,I984-J984)</f>
        <v>0.0399999999999636</v>
      </c>
      <c r="L984" s="38" t="n">
        <v>2494.15</v>
      </c>
      <c r="M984" s="39" t="n">
        <f aca="false">ABS(I984-L984)</f>
        <v>6</v>
      </c>
      <c r="N984" s="24" t="n">
        <f aca="false">M984*H984*Summary!$C$6</f>
        <v>30</v>
      </c>
      <c r="O984" s="37" t="n">
        <v>45540.9270833333</v>
      </c>
      <c r="P984" s="22" t="n">
        <f aca="false">ROUND((O984-C984)*86400,0)</f>
        <v>48296</v>
      </c>
      <c r="Q984" s="22" t="str">
        <f aca="false">IF(P984&lt;10,"a) &lt;10s",IF(P984&lt;60,"b) 10-60s",IF(P984&lt;600,"c) 1-10min","d) &gt;10min")))</f>
        <v>d) &gt;10min</v>
      </c>
      <c r="R984" s="38"/>
      <c r="S984" s="38" t="n">
        <v>2515</v>
      </c>
      <c r="T984" s="22" t="s">
        <v>191</v>
      </c>
      <c r="U984" s="39" t="str">
        <f aca="false">IF(R984="","",IF(F984="BUY",R984-S984,S984-R984))</f>
        <v/>
      </c>
      <c r="V984" s="39" t="n">
        <f aca="false">IF(F984="BUY",S984-J984,J984-S984)</f>
        <v>14.8099999999999</v>
      </c>
      <c r="W984" s="6" t="n">
        <v>74.05</v>
      </c>
      <c r="X984" s="26" t="n">
        <f aca="false">IFERROR(W984/N984,0)</f>
        <v>2.46833333333333</v>
      </c>
      <c r="Y984" s="22" t="str">
        <f aca="false">IF(W984&gt;0,"Win",IF(W984&lt;0,"Loss","Flat"))</f>
        <v>Win</v>
      </c>
      <c r="Z984" s="24" t="n">
        <f aca="false">Summary!$C$5+SUM(W$2:W984)</f>
        <v>3500.02</v>
      </c>
      <c r="AA984" s="24" t="n">
        <f aca="false">MAX(AA983,Z984)</f>
        <v>5000</v>
      </c>
      <c r="AB984" s="24" t="n">
        <f aca="false">AA984-Z984</f>
        <v>1499.98</v>
      </c>
      <c r="AC984" s="23" t="n">
        <f aca="false">IFERROR(AB984/AA984,0)</f>
        <v>0.299996</v>
      </c>
      <c r="AD984" s="22" t="s">
        <v>1221</v>
      </c>
    </row>
    <row r="985" customFormat="false" ht="15" hidden="false" customHeight="false" outlineLevel="0" collapsed="false">
      <c r="A985" s="22" t="n">
        <v>984</v>
      </c>
      <c r="B985" s="22" t="s">
        <v>149</v>
      </c>
      <c r="C985" s="37" t="n">
        <v>45541.3897916667</v>
      </c>
      <c r="D985" s="22" t="s">
        <v>206</v>
      </c>
      <c r="E985" s="22" t="n">
        <v>9</v>
      </c>
      <c r="F985" s="22" t="s">
        <v>181</v>
      </c>
      <c r="G985" s="22" t="s">
        <v>235</v>
      </c>
      <c r="H985" s="22" t="n">
        <v>0.05</v>
      </c>
      <c r="I985" s="38" t="n">
        <v>2521.67</v>
      </c>
      <c r="J985" s="38" t="n">
        <v>2521.67</v>
      </c>
      <c r="K985" s="39" t="n">
        <f aca="false">IF(F985="BUY",J985-I985,I985-J985)</f>
        <v>0</v>
      </c>
      <c r="L985" s="38" t="n">
        <v>2515.67</v>
      </c>
      <c r="M985" s="39" t="n">
        <f aca="false">ABS(I985-L985)</f>
        <v>6</v>
      </c>
      <c r="N985" s="24" t="n">
        <f aca="false">M985*H985*Summary!$C$6</f>
        <v>30</v>
      </c>
      <c r="O985" s="37" t="n">
        <v>45541.4595138889</v>
      </c>
      <c r="P985" s="22" t="n">
        <f aca="false">ROUND((O985-C985)*86400,0)</f>
        <v>6024</v>
      </c>
      <c r="Q985" s="22" t="str">
        <f aca="false">IF(P985&lt;10,"a) &lt;10s",IF(P985&lt;60,"b) 10-60s",IF(P985&lt;600,"c) 1-10min","d) &gt;10min")))</f>
        <v>d) &gt;10min</v>
      </c>
      <c r="R985" s="38" t="n">
        <v>2515.67</v>
      </c>
      <c r="S985" s="38" t="n">
        <v>2515.6</v>
      </c>
      <c r="T985" s="22" t="s">
        <v>188</v>
      </c>
      <c r="U985" s="39" t="n">
        <f aca="false">IF(R985="","",IF(F985="BUY",R985-S985,S985-R985))</f>
        <v>0.0700000000001637</v>
      </c>
      <c r="V985" s="39" t="n">
        <f aca="false">IF(F985="BUY",S985-J985,J985-S985)</f>
        <v>-6.07000000000016</v>
      </c>
      <c r="W985" s="6" t="n">
        <v>-30.35</v>
      </c>
      <c r="X985" s="26" t="n">
        <f aca="false">IFERROR(W985/N985,0)</f>
        <v>-1.01166666666667</v>
      </c>
      <c r="Y985" s="22" t="str">
        <f aca="false">IF(W985&gt;0,"Win",IF(W985&lt;0,"Loss","Flat"))</f>
        <v>Loss</v>
      </c>
      <c r="Z985" s="24" t="n">
        <f aca="false">Summary!$C$5+SUM(W$2:W985)</f>
        <v>3469.67</v>
      </c>
      <c r="AA985" s="24" t="n">
        <f aca="false">MAX(AA984,Z985)</f>
        <v>5000</v>
      </c>
      <c r="AB985" s="24" t="n">
        <f aca="false">AA985-Z985</f>
        <v>1530.33</v>
      </c>
      <c r="AC985" s="23" t="n">
        <f aca="false">IFERROR(AB985/AA985,0)</f>
        <v>0.306066</v>
      </c>
      <c r="AD985" s="22" t="s">
        <v>1222</v>
      </c>
    </row>
    <row r="986" customFormat="false" ht="15" hidden="false" customHeight="false" outlineLevel="0" collapsed="false">
      <c r="A986" s="22" t="n">
        <v>985</v>
      </c>
      <c r="B986" s="22" t="s">
        <v>149</v>
      </c>
      <c r="C986" s="37" t="n">
        <v>45541.6464351852</v>
      </c>
      <c r="D986" s="22" t="s">
        <v>206</v>
      </c>
      <c r="E986" s="22" t="n">
        <v>15</v>
      </c>
      <c r="F986" s="22" t="s">
        <v>181</v>
      </c>
      <c r="G986" s="22" t="s">
        <v>243</v>
      </c>
      <c r="H986" s="22" t="n">
        <v>0.05</v>
      </c>
      <c r="I986" s="38" t="n">
        <v>2523.45</v>
      </c>
      <c r="J986" s="38" t="n">
        <v>2523.55</v>
      </c>
      <c r="K986" s="39" t="n">
        <f aca="false">IF(F986="BUY",J986-I986,I986-J986)</f>
        <v>0.100000000000364</v>
      </c>
      <c r="L986" s="38" t="n">
        <v>2517.45</v>
      </c>
      <c r="M986" s="39" t="n">
        <f aca="false">ABS(I986-L986)</f>
        <v>6</v>
      </c>
      <c r="N986" s="24" t="n">
        <f aca="false">M986*H986*Summary!$C$6</f>
        <v>30</v>
      </c>
      <c r="O986" s="37" t="n">
        <v>45541.6480671296</v>
      </c>
      <c r="P986" s="22" t="n">
        <f aca="false">ROUND((O986-C986)*86400,0)</f>
        <v>141</v>
      </c>
      <c r="Q986" s="22" t="str">
        <f aca="false">IF(P986&lt;10,"a) &lt;10s",IF(P986&lt;60,"b) 10-60s",IF(P986&lt;600,"c) 1-10min","d) &gt;10min")))</f>
        <v>c) 1-10min</v>
      </c>
      <c r="R986" s="38" t="n">
        <v>2524.05</v>
      </c>
      <c r="S986" s="38" t="n">
        <v>2523.72</v>
      </c>
      <c r="T986" s="22" t="s">
        <v>189</v>
      </c>
      <c r="U986" s="39" t="n">
        <f aca="false">IF(R986="","",IF(F986="BUY",R986-S986,S986-R986))</f>
        <v>0.330000000000382</v>
      </c>
      <c r="V986" s="39" t="n">
        <f aca="false">IF(F986="BUY",S986-J986,J986-S986)</f>
        <v>0.169999999999618</v>
      </c>
      <c r="W986" s="6" t="n">
        <v>0.85</v>
      </c>
      <c r="X986" s="26" t="n">
        <f aca="false">IFERROR(W986/N986,0)</f>
        <v>0.0283333333333333</v>
      </c>
      <c r="Y986" s="22" t="str">
        <f aca="false">IF(W986&gt;0,"Win",IF(W986&lt;0,"Loss","Flat"))</f>
        <v>Win</v>
      </c>
      <c r="Z986" s="24" t="n">
        <f aca="false">Summary!$C$5+SUM(W$2:W986)</f>
        <v>3470.52</v>
      </c>
      <c r="AA986" s="24" t="n">
        <f aca="false">MAX(AA985,Z986)</f>
        <v>5000</v>
      </c>
      <c r="AB986" s="24" t="n">
        <f aca="false">AA986-Z986</f>
        <v>1529.48</v>
      </c>
      <c r="AC986" s="23" t="n">
        <f aca="false">IFERROR(AB986/AA986,0)</f>
        <v>0.305896</v>
      </c>
      <c r="AD986" s="22" t="s">
        <v>1223</v>
      </c>
    </row>
    <row r="987" customFormat="false" ht="15" hidden="false" customHeight="false" outlineLevel="0" collapsed="false">
      <c r="A987" s="22" t="n">
        <v>986</v>
      </c>
      <c r="B987" s="22" t="s">
        <v>149</v>
      </c>
      <c r="C987" s="37" t="n">
        <v>45544.3767708333</v>
      </c>
      <c r="D987" s="22" t="s">
        <v>202</v>
      </c>
      <c r="E987" s="22" t="n">
        <v>9</v>
      </c>
      <c r="F987" s="22" t="s">
        <v>182</v>
      </c>
      <c r="G987" s="22" t="s">
        <v>241</v>
      </c>
      <c r="H987" s="22" t="n">
        <v>0.05</v>
      </c>
      <c r="I987" s="38" t="n">
        <v>2487.31</v>
      </c>
      <c r="J987" s="38" t="n">
        <v>2487.25</v>
      </c>
      <c r="K987" s="39" t="n">
        <f aca="false">IF(F987="BUY",J987-I987,I987-J987)</f>
        <v>0.0599999999999454</v>
      </c>
      <c r="L987" s="38" t="n">
        <v>2493.31</v>
      </c>
      <c r="M987" s="39" t="n">
        <f aca="false">ABS(I987-L987)</f>
        <v>6</v>
      </c>
      <c r="N987" s="24" t="n">
        <f aca="false">M987*H987*Summary!$C$6</f>
        <v>30</v>
      </c>
      <c r="O987" s="37" t="n">
        <v>45544.4029861111</v>
      </c>
      <c r="P987" s="22" t="n">
        <f aca="false">ROUND((O987-C987)*86400,0)</f>
        <v>2265</v>
      </c>
      <c r="Q987" s="22" t="str">
        <f aca="false">IF(P987&lt;10,"a) &lt;10s",IF(P987&lt;60,"b) 10-60s",IF(P987&lt;600,"c) 1-10min","d) &gt;10min")))</f>
        <v>d) &gt;10min</v>
      </c>
      <c r="R987" s="38" t="n">
        <v>2493.31</v>
      </c>
      <c r="S987" s="38" t="n">
        <v>2493.31</v>
      </c>
      <c r="T987" s="22" t="s">
        <v>188</v>
      </c>
      <c r="U987" s="39" t="n">
        <f aca="false">IF(R987="","",IF(F987="BUY",R987-S987,S987-R987))</f>
        <v>0</v>
      </c>
      <c r="V987" s="39" t="n">
        <f aca="false">IF(F987="BUY",S987-J987,J987-S987)</f>
        <v>-6.05999999999995</v>
      </c>
      <c r="W987" s="6" t="n">
        <v>-30.3</v>
      </c>
      <c r="X987" s="26" t="n">
        <f aca="false">IFERROR(W987/N987,0)</f>
        <v>-1.01</v>
      </c>
      <c r="Y987" s="22" t="str">
        <f aca="false">IF(W987&gt;0,"Win",IF(W987&lt;0,"Loss","Flat"))</f>
        <v>Loss</v>
      </c>
      <c r="Z987" s="24" t="n">
        <f aca="false">Summary!$C$5+SUM(W$2:W987)</f>
        <v>3440.22</v>
      </c>
      <c r="AA987" s="24" t="n">
        <f aca="false">MAX(AA986,Z987)</f>
        <v>5000</v>
      </c>
      <c r="AB987" s="24" t="n">
        <f aca="false">AA987-Z987</f>
        <v>1559.78</v>
      </c>
      <c r="AC987" s="23" t="n">
        <f aca="false">IFERROR(AB987/AA987,0)</f>
        <v>0.311956</v>
      </c>
      <c r="AD987" s="22" t="s">
        <v>1224</v>
      </c>
    </row>
    <row r="988" customFormat="false" ht="15" hidden="false" customHeight="false" outlineLevel="0" collapsed="false">
      <c r="A988" s="22" t="n">
        <v>987</v>
      </c>
      <c r="B988" s="22" t="s">
        <v>149</v>
      </c>
      <c r="C988" s="37" t="n">
        <v>45545.0608217593</v>
      </c>
      <c r="D988" s="22" t="s">
        <v>203</v>
      </c>
      <c r="E988" s="22" t="n">
        <v>1</v>
      </c>
      <c r="F988" s="22" t="s">
        <v>181</v>
      </c>
      <c r="G988" s="22" t="s">
        <v>243</v>
      </c>
      <c r="H988" s="22" t="n">
        <v>0.05</v>
      </c>
      <c r="I988" s="38" t="n">
        <v>2507.09</v>
      </c>
      <c r="J988" s="38" t="n">
        <v>2507.1</v>
      </c>
      <c r="K988" s="39" t="n">
        <f aca="false">IF(F988="BUY",J988-I988,I988-J988)</f>
        <v>0.00999999999976353</v>
      </c>
      <c r="L988" s="38" t="n">
        <v>2501.09</v>
      </c>
      <c r="M988" s="39" t="n">
        <f aca="false">ABS(I988-L988)</f>
        <v>6</v>
      </c>
      <c r="N988" s="24" t="n">
        <f aca="false">M988*H988*Summary!$C$6</f>
        <v>30</v>
      </c>
      <c r="O988" s="37" t="n">
        <v>45545.2980208333</v>
      </c>
      <c r="P988" s="22" t="n">
        <f aca="false">ROUND((O988-C988)*86400,0)</f>
        <v>20494</v>
      </c>
      <c r="Q988" s="22" t="str">
        <f aca="false">IF(P988&lt;10,"a) &lt;10s",IF(P988&lt;60,"b) 10-60s",IF(P988&lt;600,"c) 1-10min","d) &gt;10min")))</f>
        <v>d) &gt;10min</v>
      </c>
      <c r="R988" s="38" t="n">
        <v>2501.09</v>
      </c>
      <c r="S988" s="38" t="n">
        <v>2501.05</v>
      </c>
      <c r="T988" s="22" t="s">
        <v>188</v>
      </c>
      <c r="U988" s="39" t="n">
        <f aca="false">IF(R988="","",IF(F988="BUY",R988-S988,S988-R988))</f>
        <v>0.0399999999999636</v>
      </c>
      <c r="V988" s="39" t="n">
        <f aca="false">IF(F988="BUY",S988-J988,J988-S988)</f>
        <v>-6.04999999999973</v>
      </c>
      <c r="W988" s="6" t="n">
        <v>-30.25</v>
      </c>
      <c r="X988" s="26" t="n">
        <f aca="false">IFERROR(W988/N988,0)</f>
        <v>-1.00833333333333</v>
      </c>
      <c r="Y988" s="22" t="str">
        <f aca="false">IF(W988&gt;0,"Win",IF(W988&lt;0,"Loss","Flat"))</f>
        <v>Loss</v>
      </c>
      <c r="Z988" s="24" t="n">
        <f aca="false">Summary!$C$5+SUM(W$2:W988)</f>
        <v>3409.97</v>
      </c>
      <c r="AA988" s="24" t="n">
        <f aca="false">MAX(AA987,Z988)</f>
        <v>5000</v>
      </c>
      <c r="AB988" s="24" t="n">
        <f aca="false">AA988-Z988</f>
        <v>1590.03</v>
      </c>
      <c r="AC988" s="23" t="n">
        <f aca="false">IFERROR(AB988/AA988,0)</f>
        <v>0.318006</v>
      </c>
      <c r="AD988" s="22" t="s">
        <v>1225</v>
      </c>
    </row>
    <row r="989" customFormat="false" ht="15" hidden="false" customHeight="false" outlineLevel="0" collapsed="false">
      <c r="A989" s="22" t="n">
        <v>988</v>
      </c>
      <c r="B989" s="22" t="s">
        <v>149</v>
      </c>
      <c r="C989" s="37" t="n">
        <v>45545.375787037</v>
      </c>
      <c r="D989" s="22" t="s">
        <v>203</v>
      </c>
      <c r="E989" s="22" t="n">
        <v>9</v>
      </c>
      <c r="F989" s="22" t="s">
        <v>181</v>
      </c>
      <c r="G989" s="22" t="s">
        <v>235</v>
      </c>
      <c r="H989" s="22" t="n">
        <v>0.05</v>
      </c>
      <c r="I989" s="38" t="n">
        <v>2504.81</v>
      </c>
      <c r="J989" s="38" t="n">
        <v>2504.91</v>
      </c>
      <c r="K989" s="39" t="n">
        <f aca="false">IF(F989="BUY",J989-I989,I989-J989)</f>
        <v>0.0999999999999091</v>
      </c>
      <c r="L989" s="38" t="n">
        <v>2498.81</v>
      </c>
      <c r="M989" s="39" t="n">
        <f aca="false">ABS(I989-L989)</f>
        <v>6</v>
      </c>
      <c r="N989" s="24" t="n">
        <f aca="false">M989*H989*Summary!$C$6</f>
        <v>30</v>
      </c>
      <c r="O989" s="37" t="n">
        <v>45545.4454050926</v>
      </c>
      <c r="P989" s="22" t="n">
        <f aca="false">ROUND((O989-C989)*86400,0)</f>
        <v>6015</v>
      </c>
      <c r="Q989" s="22" t="str">
        <f aca="false">IF(P989&lt;10,"a) &lt;10s",IF(P989&lt;60,"b) 10-60s",IF(P989&lt;600,"c) 1-10min","d) &gt;10min")))</f>
        <v>d) &gt;10min</v>
      </c>
      <c r="R989" s="38" t="n">
        <v>2505.41</v>
      </c>
      <c r="S989" s="38" t="n">
        <v>2505.39</v>
      </c>
      <c r="T989" s="22" t="s">
        <v>189</v>
      </c>
      <c r="U989" s="39" t="n">
        <f aca="false">IF(R989="","",IF(F989="BUY",R989-S989,S989-R989))</f>
        <v>0.0199999999999818</v>
      </c>
      <c r="V989" s="39" t="n">
        <f aca="false">IF(F989="BUY",S989-J989,J989-S989)</f>
        <v>0.480000000000018</v>
      </c>
      <c r="W989" s="6" t="n">
        <v>2.4</v>
      </c>
      <c r="X989" s="26" t="n">
        <f aca="false">IFERROR(W989/N989,0)</f>
        <v>0.08</v>
      </c>
      <c r="Y989" s="22" t="str">
        <f aca="false">IF(W989&gt;0,"Win",IF(W989&lt;0,"Loss","Flat"))</f>
        <v>Win</v>
      </c>
      <c r="Z989" s="24" t="n">
        <f aca="false">Summary!$C$5+SUM(W$2:W989)</f>
        <v>3412.37</v>
      </c>
      <c r="AA989" s="24" t="n">
        <f aca="false">MAX(AA988,Z989)</f>
        <v>5000</v>
      </c>
      <c r="AB989" s="24" t="n">
        <f aca="false">AA989-Z989</f>
        <v>1587.63</v>
      </c>
      <c r="AC989" s="23" t="n">
        <f aca="false">IFERROR(AB989/AA989,0)</f>
        <v>0.317526</v>
      </c>
      <c r="AD989" s="22" t="s">
        <v>1226</v>
      </c>
    </row>
    <row r="990" customFormat="false" ht="15" hidden="false" customHeight="false" outlineLevel="0" collapsed="false">
      <c r="A990" s="22" t="n">
        <v>989</v>
      </c>
      <c r="B990" s="22" t="s">
        <v>149</v>
      </c>
      <c r="C990" s="37" t="n">
        <v>45546.0978935185</v>
      </c>
      <c r="D990" s="22" t="s">
        <v>204</v>
      </c>
      <c r="E990" s="22" t="n">
        <v>2</v>
      </c>
      <c r="F990" s="22" t="s">
        <v>181</v>
      </c>
      <c r="G990" s="22" t="s">
        <v>243</v>
      </c>
      <c r="H990" s="22" t="n">
        <v>0.05</v>
      </c>
      <c r="I990" s="38" t="n">
        <v>2518.3</v>
      </c>
      <c r="J990" s="38" t="n">
        <v>2518.3</v>
      </c>
      <c r="K990" s="39" t="n">
        <f aca="false">IF(F990="BUY",J990-I990,I990-J990)</f>
        <v>0</v>
      </c>
      <c r="L990" s="38" t="n">
        <v>2512.3</v>
      </c>
      <c r="M990" s="39" t="n">
        <f aca="false">ABS(I990-L990)</f>
        <v>6</v>
      </c>
      <c r="N990" s="24" t="n">
        <f aca="false">M990*H990*Summary!$C$6</f>
        <v>30</v>
      </c>
      <c r="O990" s="37" t="n">
        <v>45546.2063657407</v>
      </c>
      <c r="P990" s="22" t="n">
        <f aca="false">ROUND((O990-C990)*86400,0)</f>
        <v>9372</v>
      </c>
      <c r="Q990" s="22" t="str">
        <f aca="false">IF(P990&lt;10,"a) &lt;10s",IF(P990&lt;60,"b) 10-60s",IF(P990&lt;600,"c) 1-10min","d) &gt;10min")))</f>
        <v>d) &gt;10min</v>
      </c>
      <c r="R990" s="38" t="n">
        <v>2518.8</v>
      </c>
      <c r="S990" s="38" t="n">
        <v>2518.66</v>
      </c>
      <c r="T990" s="22" t="s">
        <v>189</v>
      </c>
      <c r="U990" s="39" t="n">
        <f aca="false">IF(R990="","",IF(F990="BUY",R990-S990,S990-R990))</f>
        <v>0.140000000000327</v>
      </c>
      <c r="V990" s="39" t="n">
        <f aca="false">IF(F990="BUY",S990-J990,J990-S990)</f>
        <v>0.359999999999673</v>
      </c>
      <c r="W990" s="6" t="n">
        <v>1.8</v>
      </c>
      <c r="X990" s="26" t="n">
        <f aca="false">IFERROR(W990/N990,0)</f>
        <v>0.06</v>
      </c>
      <c r="Y990" s="22" t="str">
        <f aca="false">IF(W990&gt;0,"Win",IF(W990&lt;0,"Loss","Flat"))</f>
        <v>Win</v>
      </c>
      <c r="Z990" s="24" t="n">
        <f aca="false">Summary!$C$5+SUM(W$2:W990)</f>
        <v>3414.17</v>
      </c>
      <c r="AA990" s="24" t="n">
        <f aca="false">MAX(AA989,Z990)</f>
        <v>5000</v>
      </c>
      <c r="AB990" s="24" t="n">
        <f aca="false">AA990-Z990</f>
        <v>1585.83</v>
      </c>
      <c r="AC990" s="23" t="n">
        <f aca="false">IFERROR(AB990/AA990,0)</f>
        <v>0.317166</v>
      </c>
      <c r="AD990" s="22" t="s">
        <v>1227</v>
      </c>
    </row>
    <row r="991" customFormat="false" ht="15" hidden="false" customHeight="false" outlineLevel="0" collapsed="false">
      <c r="A991" s="22" t="n">
        <v>990</v>
      </c>
      <c r="B991" s="22" t="s">
        <v>149</v>
      </c>
      <c r="C991" s="37" t="n">
        <v>45546.3761458333</v>
      </c>
      <c r="D991" s="22" t="s">
        <v>204</v>
      </c>
      <c r="E991" s="22" t="n">
        <v>9</v>
      </c>
      <c r="F991" s="22" t="s">
        <v>181</v>
      </c>
      <c r="G991" s="22" t="s">
        <v>235</v>
      </c>
      <c r="H991" s="22" t="n">
        <v>0.05</v>
      </c>
      <c r="I991" s="38" t="n">
        <v>2522.34</v>
      </c>
      <c r="J991" s="38" t="n">
        <v>2522.53</v>
      </c>
      <c r="K991" s="39" t="n">
        <f aca="false">IF(F991="BUY",J991-I991,I991-J991)</f>
        <v>0.190000000000055</v>
      </c>
      <c r="L991" s="38" t="n">
        <v>2516.34</v>
      </c>
      <c r="M991" s="39" t="n">
        <f aca="false">ABS(I991-L991)</f>
        <v>6</v>
      </c>
      <c r="N991" s="24" t="n">
        <f aca="false">M991*H991*Summary!$C$6</f>
        <v>30</v>
      </c>
      <c r="O991" s="37" t="n">
        <v>45546.4503472222</v>
      </c>
      <c r="P991" s="22" t="n">
        <f aca="false">ROUND((O991-C991)*86400,0)</f>
        <v>6411</v>
      </c>
      <c r="Q991" s="22" t="str">
        <f aca="false">IF(P991&lt;10,"a) &lt;10s",IF(P991&lt;60,"b) 10-60s",IF(P991&lt;600,"c) 1-10min","d) &gt;10min")))</f>
        <v>d) &gt;10min</v>
      </c>
      <c r="R991" s="38" t="n">
        <v>2523.03</v>
      </c>
      <c r="S991" s="38" t="n">
        <v>2523.03</v>
      </c>
      <c r="T991" s="22" t="s">
        <v>189</v>
      </c>
      <c r="U991" s="39" t="n">
        <f aca="false">IF(R991="","",IF(F991="BUY",R991-S991,S991-R991))</f>
        <v>0</v>
      </c>
      <c r="V991" s="39" t="n">
        <f aca="false">IF(F991="BUY",S991-J991,J991-S991)</f>
        <v>0.5</v>
      </c>
      <c r="W991" s="6" t="n">
        <v>2.5</v>
      </c>
      <c r="X991" s="26" t="n">
        <f aca="false">IFERROR(W991/N991,0)</f>
        <v>0.0833333333333333</v>
      </c>
      <c r="Y991" s="22" t="str">
        <f aca="false">IF(W991&gt;0,"Win",IF(W991&lt;0,"Loss","Flat"))</f>
        <v>Win</v>
      </c>
      <c r="Z991" s="24" t="n">
        <f aca="false">Summary!$C$5+SUM(W$2:W991)</f>
        <v>3416.67</v>
      </c>
      <c r="AA991" s="24" t="n">
        <f aca="false">MAX(AA990,Z991)</f>
        <v>5000</v>
      </c>
      <c r="AB991" s="24" t="n">
        <f aca="false">AA991-Z991</f>
        <v>1583.33</v>
      </c>
      <c r="AC991" s="23" t="n">
        <f aca="false">IFERROR(AB991/AA991,0)</f>
        <v>0.316666</v>
      </c>
      <c r="AD991" s="22" t="s">
        <v>1228</v>
      </c>
    </row>
    <row r="992" customFormat="false" ht="15" hidden="false" customHeight="false" outlineLevel="0" collapsed="false">
      <c r="A992" s="22" t="n">
        <v>991</v>
      </c>
      <c r="B992" s="22" t="s">
        <v>149</v>
      </c>
      <c r="C992" s="37" t="n">
        <v>45547.4236574074</v>
      </c>
      <c r="D992" s="22" t="s">
        <v>205</v>
      </c>
      <c r="E992" s="22" t="n">
        <v>10</v>
      </c>
      <c r="F992" s="22" t="s">
        <v>182</v>
      </c>
      <c r="G992" s="22" t="s">
        <v>241</v>
      </c>
      <c r="H992" s="22" t="n">
        <v>0.05</v>
      </c>
      <c r="I992" s="38" t="n">
        <v>2515.49</v>
      </c>
      <c r="J992" s="38" t="n">
        <v>2515.43</v>
      </c>
      <c r="K992" s="39" t="n">
        <f aca="false">IF(F992="BUY",J992-I992,I992-J992)</f>
        <v>0.0599999999999454</v>
      </c>
      <c r="L992" s="38" t="n">
        <v>2521.49</v>
      </c>
      <c r="M992" s="39" t="n">
        <f aca="false">ABS(I992-L992)</f>
        <v>6</v>
      </c>
      <c r="N992" s="24" t="n">
        <f aca="false">M992*H992*Summary!$C$6</f>
        <v>30</v>
      </c>
      <c r="O992" s="37" t="n">
        <v>45547.5880092593</v>
      </c>
      <c r="P992" s="22" t="n">
        <f aca="false">ROUND((O992-C992)*86400,0)</f>
        <v>14200</v>
      </c>
      <c r="Q992" s="22" t="str">
        <f aca="false">IF(P992&lt;10,"a) &lt;10s",IF(P992&lt;60,"b) 10-60s",IF(P992&lt;600,"c) 1-10min","d) &gt;10min")))</f>
        <v>d) &gt;10min</v>
      </c>
      <c r="R992" s="38" t="n">
        <v>2514.93</v>
      </c>
      <c r="S992" s="38" t="n">
        <v>2515.02</v>
      </c>
      <c r="T992" s="22" t="s">
        <v>189</v>
      </c>
      <c r="U992" s="39" t="n">
        <f aca="false">IF(R992="","",IF(F992="BUY",R992-S992,S992-R992))</f>
        <v>0.0900000000001455</v>
      </c>
      <c r="V992" s="39" t="n">
        <f aca="false">IF(F992="BUY",S992-J992,J992-S992)</f>
        <v>0.409999999999855</v>
      </c>
      <c r="W992" s="6" t="n">
        <v>2.05</v>
      </c>
      <c r="X992" s="26" t="n">
        <f aca="false">IFERROR(W992/N992,0)</f>
        <v>0.0683333333333333</v>
      </c>
      <c r="Y992" s="22" t="str">
        <f aca="false">IF(W992&gt;0,"Win",IF(W992&lt;0,"Loss","Flat"))</f>
        <v>Win</v>
      </c>
      <c r="Z992" s="24" t="n">
        <f aca="false">Summary!$C$5+SUM(W$2:W992)</f>
        <v>3418.72</v>
      </c>
      <c r="AA992" s="24" t="n">
        <f aca="false">MAX(AA991,Z992)</f>
        <v>5000</v>
      </c>
      <c r="AB992" s="24" t="n">
        <f aca="false">AA992-Z992</f>
        <v>1581.28</v>
      </c>
      <c r="AC992" s="23" t="n">
        <f aca="false">IFERROR(AB992/AA992,0)</f>
        <v>0.316256</v>
      </c>
      <c r="AD992" s="22" t="s">
        <v>1229</v>
      </c>
    </row>
    <row r="993" customFormat="false" ht="15" hidden="false" customHeight="false" outlineLevel="0" collapsed="false">
      <c r="A993" s="22" t="n">
        <v>992</v>
      </c>
      <c r="B993" s="22" t="s">
        <v>149</v>
      </c>
      <c r="C993" s="37" t="n">
        <v>45547.6538194444</v>
      </c>
      <c r="D993" s="22" t="s">
        <v>205</v>
      </c>
      <c r="E993" s="22" t="n">
        <v>15</v>
      </c>
      <c r="F993" s="22" t="s">
        <v>181</v>
      </c>
      <c r="G993" s="22" t="s">
        <v>243</v>
      </c>
      <c r="H993" s="22" t="n">
        <v>0.05</v>
      </c>
      <c r="I993" s="38" t="n">
        <v>2528.89</v>
      </c>
      <c r="J993" s="38" t="n">
        <v>2529.59</v>
      </c>
      <c r="K993" s="39" t="n">
        <f aca="false">IF(F993="BUY",J993-I993,I993-J993)</f>
        <v>0.700000000000273</v>
      </c>
      <c r="L993" s="38" t="n">
        <v>2522.89</v>
      </c>
      <c r="M993" s="39" t="n">
        <f aca="false">ABS(I993-L993)</f>
        <v>6</v>
      </c>
      <c r="N993" s="24" t="n">
        <f aca="false">M993*H993*Summary!$C$6</f>
        <v>30</v>
      </c>
      <c r="O993" s="37" t="n">
        <v>45547.6657060185</v>
      </c>
      <c r="P993" s="22" t="n">
        <f aca="false">ROUND((O993-C993)*86400,0)</f>
        <v>1027</v>
      </c>
      <c r="Q993" s="22" t="str">
        <f aca="false">IF(P993&lt;10,"a) &lt;10s",IF(P993&lt;60,"b) 10-60s",IF(P993&lt;600,"c) 1-10min","d) &gt;10min")))</f>
        <v>d) &gt;10min</v>
      </c>
      <c r="R993" s="38" t="n">
        <v>2530.09</v>
      </c>
      <c r="S993" s="38" t="n">
        <v>2529.66</v>
      </c>
      <c r="T993" s="22" t="s">
        <v>189</v>
      </c>
      <c r="U993" s="39" t="n">
        <f aca="false">IF(R993="","",IF(F993="BUY",R993-S993,S993-R993))</f>
        <v>0.430000000000291</v>
      </c>
      <c r="V993" s="39" t="n">
        <f aca="false">IF(F993="BUY",S993-J993,J993-S993)</f>
        <v>0.069999999999709</v>
      </c>
      <c r="W993" s="6" t="n">
        <v>0.35</v>
      </c>
      <c r="X993" s="26" t="n">
        <f aca="false">IFERROR(W993/N993,0)</f>
        <v>0.0116666666666667</v>
      </c>
      <c r="Y993" s="22" t="str">
        <f aca="false">IF(W993&gt;0,"Win",IF(W993&lt;0,"Loss","Flat"))</f>
        <v>Win</v>
      </c>
      <c r="Z993" s="24" t="n">
        <f aca="false">Summary!$C$5+SUM(W$2:W993)</f>
        <v>3419.07</v>
      </c>
      <c r="AA993" s="24" t="n">
        <f aca="false">MAX(AA992,Z993)</f>
        <v>5000</v>
      </c>
      <c r="AB993" s="24" t="n">
        <f aca="false">AA993-Z993</f>
        <v>1580.93</v>
      </c>
      <c r="AC993" s="23" t="n">
        <f aca="false">IFERROR(AB993/AA993,0)</f>
        <v>0.316186</v>
      </c>
      <c r="AD993" s="22" t="s">
        <v>1230</v>
      </c>
    </row>
    <row r="994" customFormat="false" ht="15" hidden="false" customHeight="false" outlineLevel="0" collapsed="false">
      <c r="A994" s="22" t="n">
        <v>993</v>
      </c>
      <c r="B994" s="22" t="s">
        <v>149</v>
      </c>
      <c r="C994" s="37" t="n">
        <v>45548.1475462963</v>
      </c>
      <c r="D994" s="22" t="s">
        <v>206</v>
      </c>
      <c r="E994" s="22" t="n">
        <v>3</v>
      </c>
      <c r="F994" s="22" t="s">
        <v>181</v>
      </c>
      <c r="G994" s="22" t="s">
        <v>243</v>
      </c>
      <c r="H994" s="22" t="n">
        <v>0.05</v>
      </c>
      <c r="I994" s="38" t="n">
        <v>2559.98</v>
      </c>
      <c r="J994" s="38" t="n">
        <v>2559.99</v>
      </c>
      <c r="K994" s="39" t="n">
        <f aca="false">IF(F994="BUY",J994-I994,I994-J994)</f>
        <v>0.00999999999976353</v>
      </c>
      <c r="L994" s="38" t="n">
        <v>2553.98</v>
      </c>
      <c r="M994" s="39" t="n">
        <f aca="false">ABS(I994-L994)</f>
        <v>6</v>
      </c>
      <c r="N994" s="24" t="n">
        <f aca="false">M994*H994*Summary!$C$6</f>
        <v>30</v>
      </c>
      <c r="O994" s="37" t="n">
        <v>45548.15625</v>
      </c>
      <c r="P994" s="22" t="n">
        <f aca="false">ROUND((O994-C994)*86400,0)</f>
        <v>752</v>
      </c>
      <c r="Q994" s="22" t="str">
        <f aca="false">IF(P994&lt;10,"a) &lt;10s",IF(P994&lt;60,"b) 10-60s",IF(P994&lt;600,"c) 1-10min","d) &gt;10min")))</f>
        <v>d) &gt;10min</v>
      </c>
      <c r="R994" s="38" t="n">
        <v>2560.49</v>
      </c>
      <c r="S994" s="38" t="n">
        <v>2560.47</v>
      </c>
      <c r="T994" s="22" t="s">
        <v>189</v>
      </c>
      <c r="U994" s="39" t="n">
        <f aca="false">IF(R994="","",IF(F994="BUY",R994-S994,S994-R994))</f>
        <v>0.0199999999999818</v>
      </c>
      <c r="V994" s="39" t="n">
        <f aca="false">IF(F994="BUY",S994-J994,J994-S994)</f>
        <v>0.480000000000018</v>
      </c>
      <c r="W994" s="6" t="n">
        <v>2.4</v>
      </c>
      <c r="X994" s="26" t="n">
        <f aca="false">IFERROR(W994/N994,0)</f>
        <v>0.08</v>
      </c>
      <c r="Y994" s="22" t="str">
        <f aca="false">IF(W994&gt;0,"Win",IF(W994&lt;0,"Loss","Flat"))</f>
        <v>Win</v>
      </c>
      <c r="Z994" s="24" t="n">
        <f aca="false">Summary!$C$5+SUM(W$2:W994)</f>
        <v>3421.47</v>
      </c>
      <c r="AA994" s="24" t="n">
        <f aca="false">MAX(AA993,Z994)</f>
        <v>5000</v>
      </c>
      <c r="AB994" s="24" t="n">
        <f aca="false">AA994-Z994</f>
        <v>1578.53</v>
      </c>
      <c r="AC994" s="23" t="n">
        <f aca="false">IFERROR(AB994/AA994,0)</f>
        <v>0.315706</v>
      </c>
      <c r="AD994" s="22" t="s">
        <v>1231</v>
      </c>
    </row>
    <row r="995" customFormat="false" ht="15" hidden="false" customHeight="false" outlineLevel="0" collapsed="false">
      <c r="A995" s="22" t="n">
        <v>994</v>
      </c>
      <c r="B995" s="22" t="s">
        <v>149</v>
      </c>
      <c r="C995" s="37" t="n">
        <v>45548.3751388889</v>
      </c>
      <c r="D995" s="22" t="s">
        <v>206</v>
      </c>
      <c r="E995" s="22" t="n">
        <v>9</v>
      </c>
      <c r="F995" s="22" t="s">
        <v>182</v>
      </c>
      <c r="G995" s="22" t="s">
        <v>241</v>
      </c>
      <c r="H995" s="22" t="n">
        <v>0.05</v>
      </c>
      <c r="I995" s="38" t="n">
        <v>2565.81</v>
      </c>
      <c r="J995" s="38" t="n">
        <v>2565.75</v>
      </c>
      <c r="K995" s="39" t="n">
        <f aca="false">IF(F995="BUY",J995-I995,I995-J995)</f>
        <v>0.0599999999999454</v>
      </c>
      <c r="L995" s="38" t="n">
        <v>2571.81</v>
      </c>
      <c r="M995" s="39" t="n">
        <f aca="false">ABS(I995-L995)</f>
        <v>6</v>
      </c>
      <c r="N995" s="24" t="n">
        <f aca="false">M995*H995*Summary!$C$6</f>
        <v>30</v>
      </c>
      <c r="O995" s="37" t="n">
        <v>45548.3876041667</v>
      </c>
      <c r="P995" s="22" t="n">
        <f aca="false">ROUND((O995-C995)*86400,0)</f>
        <v>1077</v>
      </c>
      <c r="Q995" s="22" t="str">
        <f aca="false">IF(P995&lt;10,"a) &lt;10s",IF(P995&lt;60,"b) 10-60s",IF(P995&lt;600,"c) 1-10min","d) &gt;10min")))</f>
        <v>d) &gt;10min</v>
      </c>
      <c r="R995" s="38" t="n">
        <v>2565.25</v>
      </c>
      <c r="S995" s="38" t="n">
        <v>2565.26</v>
      </c>
      <c r="T995" s="22" t="s">
        <v>189</v>
      </c>
      <c r="U995" s="39" t="n">
        <f aca="false">IF(R995="","",IF(F995="BUY",R995-S995,S995-R995))</f>
        <v>0.0100000000002183</v>
      </c>
      <c r="V995" s="39" t="n">
        <f aca="false">IF(F995="BUY",S995-J995,J995-S995)</f>
        <v>0.489999999999782</v>
      </c>
      <c r="W995" s="6" t="n">
        <v>2.45</v>
      </c>
      <c r="X995" s="26" t="n">
        <f aca="false">IFERROR(W995/N995,0)</f>
        <v>0.0816666666666667</v>
      </c>
      <c r="Y995" s="22" t="str">
        <f aca="false">IF(W995&gt;0,"Win",IF(W995&lt;0,"Loss","Flat"))</f>
        <v>Win</v>
      </c>
      <c r="Z995" s="24" t="n">
        <f aca="false">Summary!$C$5+SUM(W$2:W995)</f>
        <v>3423.92</v>
      </c>
      <c r="AA995" s="24" t="n">
        <f aca="false">MAX(AA994,Z995)</f>
        <v>5000</v>
      </c>
      <c r="AB995" s="24" t="n">
        <f aca="false">AA995-Z995</f>
        <v>1576.08</v>
      </c>
      <c r="AC995" s="23" t="n">
        <f aca="false">IFERROR(AB995/AA995,0)</f>
        <v>0.315216</v>
      </c>
      <c r="AD995" s="22" t="s">
        <v>1232</v>
      </c>
    </row>
    <row r="996" customFormat="false" ht="15" hidden="false" customHeight="false" outlineLevel="0" collapsed="false">
      <c r="A996" s="22" t="n">
        <v>995</v>
      </c>
      <c r="B996" s="22" t="s">
        <v>149</v>
      </c>
      <c r="C996" s="37" t="n">
        <v>45551.247974537</v>
      </c>
      <c r="D996" s="22" t="s">
        <v>202</v>
      </c>
      <c r="E996" s="22" t="n">
        <v>5</v>
      </c>
      <c r="F996" s="22" t="s">
        <v>181</v>
      </c>
      <c r="G996" s="22" t="s">
        <v>243</v>
      </c>
      <c r="H996" s="22" t="n">
        <v>0.05</v>
      </c>
      <c r="I996" s="38" t="n">
        <v>2585.97</v>
      </c>
      <c r="J996" s="38" t="n">
        <v>2585.97</v>
      </c>
      <c r="K996" s="39" t="n">
        <f aca="false">IF(F996="BUY",J996-I996,I996-J996)</f>
        <v>0</v>
      </c>
      <c r="L996" s="38" t="n">
        <v>2579.97</v>
      </c>
      <c r="M996" s="39" t="n">
        <f aca="false">ABS(I996-L996)</f>
        <v>6</v>
      </c>
      <c r="N996" s="24" t="n">
        <f aca="false">M996*H996*Summary!$C$6</f>
        <v>30</v>
      </c>
      <c r="O996" s="37" t="n">
        <v>45551.2564699074</v>
      </c>
      <c r="P996" s="22" t="n">
        <f aca="false">ROUND((O996-C996)*86400,0)</f>
        <v>734</v>
      </c>
      <c r="Q996" s="22" t="str">
        <f aca="false">IF(P996&lt;10,"a) &lt;10s",IF(P996&lt;60,"b) 10-60s",IF(P996&lt;600,"c) 1-10min","d) &gt;10min")))</f>
        <v>d) &gt;10min</v>
      </c>
      <c r="R996" s="38" t="n">
        <v>2586.47</v>
      </c>
      <c r="S996" s="38" t="n">
        <v>2586.47</v>
      </c>
      <c r="T996" s="22" t="s">
        <v>189</v>
      </c>
      <c r="U996" s="39" t="n">
        <f aca="false">IF(R996="","",IF(F996="BUY",R996-S996,S996-R996))</f>
        <v>0</v>
      </c>
      <c r="V996" s="39" t="n">
        <f aca="false">IF(F996="BUY",S996-J996,J996-S996)</f>
        <v>0.5</v>
      </c>
      <c r="W996" s="6" t="n">
        <v>2.5</v>
      </c>
      <c r="X996" s="26" t="n">
        <f aca="false">IFERROR(W996/N996,0)</f>
        <v>0.0833333333333333</v>
      </c>
      <c r="Y996" s="22" t="str">
        <f aca="false">IF(W996&gt;0,"Win",IF(W996&lt;0,"Loss","Flat"))</f>
        <v>Win</v>
      </c>
      <c r="Z996" s="24" t="n">
        <f aca="false">Summary!$C$5+SUM(W$2:W996)</f>
        <v>3426.42</v>
      </c>
      <c r="AA996" s="24" t="n">
        <f aca="false">MAX(AA995,Z996)</f>
        <v>5000</v>
      </c>
      <c r="AB996" s="24" t="n">
        <f aca="false">AA996-Z996</f>
        <v>1573.58</v>
      </c>
      <c r="AC996" s="23" t="n">
        <f aca="false">IFERROR(AB996/AA996,0)</f>
        <v>0.314716</v>
      </c>
      <c r="AD996" s="22" t="s">
        <v>1233</v>
      </c>
    </row>
    <row r="997" customFormat="false" ht="15" hidden="false" customHeight="false" outlineLevel="0" collapsed="false">
      <c r="A997" s="22" t="n">
        <v>996</v>
      </c>
      <c r="B997" s="22" t="s">
        <v>149</v>
      </c>
      <c r="C997" s="37" t="n">
        <v>45551.3770138889</v>
      </c>
      <c r="D997" s="22" t="s">
        <v>202</v>
      </c>
      <c r="E997" s="22" t="n">
        <v>9</v>
      </c>
      <c r="F997" s="22" t="s">
        <v>181</v>
      </c>
      <c r="G997" s="22" t="s">
        <v>235</v>
      </c>
      <c r="H997" s="22" t="n">
        <v>0.05</v>
      </c>
      <c r="I997" s="38" t="n">
        <v>2589.3</v>
      </c>
      <c r="J997" s="38" t="n">
        <v>2589.31</v>
      </c>
      <c r="K997" s="39" t="n">
        <f aca="false">IF(F997="BUY",J997-I997,I997-J997)</f>
        <v>0.00999999999976353</v>
      </c>
      <c r="L997" s="38" t="n">
        <v>2583.3</v>
      </c>
      <c r="M997" s="39" t="n">
        <f aca="false">ABS(I997-L997)</f>
        <v>6</v>
      </c>
      <c r="N997" s="24" t="n">
        <f aca="false">M997*H997*Summary!$C$6</f>
        <v>30</v>
      </c>
      <c r="O997" s="37" t="n">
        <v>45551.4188657407</v>
      </c>
      <c r="P997" s="22" t="n">
        <f aca="false">ROUND((O997-C997)*86400,0)</f>
        <v>3616</v>
      </c>
      <c r="Q997" s="22" t="str">
        <f aca="false">IF(P997&lt;10,"a) &lt;10s",IF(P997&lt;60,"b) 10-60s",IF(P997&lt;600,"c) 1-10min","d) &gt;10min")))</f>
        <v>d) &gt;10min</v>
      </c>
      <c r="R997" s="38" t="n">
        <v>2583.3</v>
      </c>
      <c r="S997" s="38" t="n">
        <v>2583.24</v>
      </c>
      <c r="T997" s="22" t="s">
        <v>188</v>
      </c>
      <c r="U997" s="39" t="n">
        <f aca="false">IF(R997="","",IF(F997="BUY",R997-S997,S997-R997))</f>
        <v>0.0600000000004002</v>
      </c>
      <c r="V997" s="39" t="n">
        <f aca="false">IF(F997="BUY",S997-J997,J997-S997)</f>
        <v>-6.07000000000016</v>
      </c>
      <c r="W997" s="6" t="n">
        <v>-30.35</v>
      </c>
      <c r="X997" s="26" t="n">
        <f aca="false">IFERROR(W997/N997,0)</f>
        <v>-1.01166666666667</v>
      </c>
      <c r="Y997" s="22" t="str">
        <f aca="false">IF(W997&gt;0,"Win",IF(W997&lt;0,"Loss","Flat"))</f>
        <v>Loss</v>
      </c>
      <c r="Z997" s="24" t="n">
        <f aca="false">Summary!$C$5+SUM(W$2:W997)</f>
        <v>3396.07</v>
      </c>
      <c r="AA997" s="24" t="n">
        <f aca="false">MAX(AA996,Z997)</f>
        <v>5000</v>
      </c>
      <c r="AB997" s="24" t="n">
        <f aca="false">AA997-Z997</f>
        <v>1603.93</v>
      </c>
      <c r="AC997" s="23" t="n">
        <f aca="false">IFERROR(AB997/AA997,0)</f>
        <v>0.320786</v>
      </c>
      <c r="AD997" s="22" t="s">
        <v>1234</v>
      </c>
    </row>
    <row r="998" customFormat="false" ht="15" hidden="false" customHeight="false" outlineLevel="0" collapsed="false">
      <c r="A998" s="22" t="n">
        <v>997</v>
      </c>
      <c r="B998" s="22" t="s">
        <v>149</v>
      </c>
      <c r="C998" s="37" t="n">
        <v>45552.3192939815</v>
      </c>
      <c r="D998" s="22" t="s">
        <v>203</v>
      </c>
      <c r="E998" s="22" t="n">
        <v>7</v>
      </c>
      <c r="F998" s="22" t="s">
        <v>182</v>
      </c>
      <c r="G998" s="22" t="s">
        <v>237</v>
      </c>
      <c r="H998" s="22" t="n">
        <v>0.05</v>
      </c>
      <c r="I998" s="38" t="n">
        <v>2575.12</v>
      </c>
      <c r="J998" s="38" t="n">
        <v>2574.95</v>
      </c>
      <c r="K998" s="39" t="n">
        <f aca="false">IF(F998="BUY",J998-I998,I998-J998)</f>
        <v>0.170000000000073</v>
      </c>
      <c r="L998" s="38" t="n">
        <v>2581.12</v>
      </c>
      <c r="M998" s="39" t="n">
        <f aca="false">ABS(I998-L998)</f>
        <v>6</v>
      </c>
      <c r="N998" s="24" t="n">
        <f aca="false">M998*H998*Summary!$C$6</f>
        <v>30</v>
      </c>
      <c r="O998" s="37" t="n">
        <v>45552.3783101852</v>
      </c>
      <c r="P998" s="22" t="n">
        <f aca="false">ROUND((O998-C998)*86400,0)</f>
        <v>5099</v>
      </c>
      <c r="Q998" s="22" t="str">
        <f aca="false">IF(P998&lt;10,"a) &lt;10s",IF(P998&lt;60,"b) 10-60s",IF(P998&lt;600,"c) 1-10min","d) &gt;10min")))</f>
        <v>d) &gt;10min</v>
      </c>
      <c r="R998" s="38" t="n">
        <v>2581.12</v>
      </c>
      <c r="S998" s="38" t="n">
        <v>2581.41</v>
      </c>
      <c r="T998" s="22" t="s">
        <v>188</v>
      </c>
      <c r="U998" s="39" t="n">
        <f aca="false">IF(R998="","",IF(F998="BUY",R998-S998,S998-R998))</f>
        <v>0.289999999999964</v>
      </c>
      <c r="V998" s="39" t="n">
        <f aca="false">IF(F998="BUY",S998-J998,J998-S998)</f>
        <v>-6.46000000000004</v>
      </c>
      <c r="W998" s="6" t="n">
        <v>-32.3</v>
      </c>
      <c r="X998" s="26" t="n">
        <f aca="false">IFERROR(W998/N998,0)</f>
        <v>-1.07666666666667</v>
      </c>
      <c r="Y998" s="22" t="str">
        <f aca="false">IF(W998&gt;0,"Win",IF(W998&lt;0,"Loss","Flat"))</f>
        <v>Loss</v>
      </c>
      <c r="Z998" s="24" t="n">
        <f aca="false">Summary!$C$5+SUM(W$2:W998)</f>
        <v>3363.77</v>
      </c>
      <c r="AA998" s="24" t="n">
        <f aca="false">MAX(AA997,Z998)</f>
        <v>5000</v>
      </c>
      <c r="AB998" s="24" t="n">
        <f aca="false">AA998-Z998</f>
        <v>1636.23</v>
      </c>
      <c r="AC998" s="23" t="n">
        <f aca="false">IFERROR(AB998/AA998,0)</f>
        <v>0.327246</v>
      </c>
      <c r="AD998" s="22" t="s">
        <v>1235</v>
      </c>
    </row>
    <row r="999" customFormat="false" ht="15" hidden="false" customHeight="false" outlineLevel="0" collapsed="false">
      <c r="A999" s="22" t="n">
        <v>998</v>
      </c>
      <c r="B999" s="22" t="s">
        <v>149</v>
      </c>
      <c r="C999" s="37" t="n">
        <v>45552.5161805556</v>
      </c>
      <c r="D999" s="22" t="s">
        <v>203</v>
      </c>
      <c r="E999" s="22" t="n">
        <v>12</v>
      </c>
      <c r="F999" s="22" t="s">
        <v>182</v>
      </c>
      <c r="G999" s="22" t="s">
        <v>241</v>
      </c>
      <c r="H999" s="22" t="n">
        <v>0.05</v>
      </c>
      <c r="I999" s="38" t="n">
        <v>2574.4</v>
      </c>
      <c r="J999" s="38" t="n">
        <v>2574.37</v>
      </c>
      <c r="K999" s="39" t="n">
        <f aca="false">IF(F999="BUY",J999-I999,I999-J999)</f>
        <v>0.0300000000002001</v>
      </c>
      <c r="L999" s="38" t="n">
        <v>2580.4</v>
      </c>
      <c r="M999" s="39" t="n">
        <f aca="false">ABS(I999-L999)</f>
        <v>6</v>
      </c>
      <c r="N999" s="24" t="n">
        <f aca="false">M999*H999*Summary!$C$6</f>
        <v>30</v>
      </c>
      <c r="O999" s="37" t="n">
        <v>45552.5377430556</v>
      </c>
      <c r="P999" s="22" t="n">
        <f aca="false">ROUND((O999-C999)*86400,0)</f>
        <v>1863</v>
      </c>
      <c r="Q999" s="22" t="str">
        <f aca="false">IF(P999&lt;10,"a) &lt;10s",IF(P999&lt;60,"b) 10-60s",IF(P999&lt;600,"c) 1-10min","d) &gt;10min")))</f>
        <v>d) &gt;10min</v>
      </c>
      <c r="R999" s="38" t="n">
        <v>2573.87</v>
      </c>
      <c r="S999" s="38" t="n">
        <v>2573.87</v>
      </c>
      <c r="T999" s="22" t="s">
        <v>189</v>
      </c>
      <c r="U999" s="39" t="n">
        <f aca="false">IF(R999="","",IF(F999="BUY",R999-S999,S999-R999))</f>
        <v>0</v>
      </c>
      <c r="V999" s="39" t="n">
        <f aca="false">IF(F999="BUY",S999-J999,J999-S999)</f>
        <v>0.5</v>
      </c>
      <c r="W999" s="6" t="n">
        <v>2.5</v>
      </c>
      <c r="X999" s="26" t="n">
        <f aca="false">IFERROR(W999/N999,0)</f>
        <v>0.0833333333333333</v>
      </c>
      <c r="Y999" s="22" t="str">
        <f aca="false">IF(W999&gt;0,"Win",IF(W999&lt;0,"Loss","Flat"))</f>
        <v>Win</v>
      </c>
      <c r="Z999" s="24" t="n">
        <f aca="false">Summary!$C$5+SUM(W$2:W999)</f>
        <v>3366.27</v>
      </c>
      <c r="AA999" s="24" t="n">
        <f aca="false">MAX(AA998,Z999)</f>
        <v>5000</v>
      </c>
      <c r="AB999" s="24" t="n">
        <f aca="false">AA999-Z999</f>
        <v>1633.73</v>
      </c>
      <c r="AC999" s="23" t="n">
        <f aca="false">IFERROR(AB999/AA999,0)</f>
        <v>0.326746</v>
      </c>
      <c r="AD999" s="22" t="s">
        <v>1236</v>
      </c>
    </row>
    <row r="1000" customFormat="false" ht="15" hidden="false" customHeight="false" outlineLevel="0" collapsed="false">
      <c r="A1000" s="22" t="n">
        <v>999</v>
      </c>
      <c r="B1000" s="22" t="s">
        <v>149</v>
      </c>
      <c r="C1000" s="37" t="n">
        <v>45553.563125</v>
      </c>
      <c r="D1000" s="22" t="s">
        <v>204</v>
      </c>
      <c r="E1000" s="22" t="n">
        <v>13</v>
      </c>
      <c r="F1000" s="22" t="s">
        <v>181</v>
      </c>
      <c r="G1000" s="22" t="s">
        <v>235</v>
      </c>
      <c r="H1000" s="22" t="n">
        <v>0.05</v>
      </c>
      <c r="I1000" s="38" t="n">
        <v>2576.3</v>
      </c>
      <c r="J1000" s="38" t="n">
        <v>2576.31</v>
      </c>
      <c r="K1000" s="39" t="n">
        <f aca="false">IF(F1000="BUY",J1000-I1000,I1000-J1000)</f>
        <v>0.00999999999976353</v>
      </c>
      <c r="L1000" s="38" t="n">
        <v>2570.3</v>
      </c>
      <c r="M1000" s="39" t="n">
        <f aca="false">ABS(I1000-L1000)</f>
        <v>6</v>
      </c>
      <c r="N1000" s="24" t="n">
        <f aca="false">M1000*H1000*Summary!$C$6</f>
        <v>30</v>
      </c>
      <c r="O1000" s="37" t="n">
        <v>45553.6235763889</v>
      </c>
      <c r="P1000" s="22" t="n">
        <f aca="false">ROUND((O1000-C1000)*86400,0)</f>
        <v>5223</v>
      </c>
      <c r="Q1000" s="22" t="str">
        <f aca="false">IF(P1000&lt;10,"a) &lt;10s",IF(P1000&lt;60,"b) 10-60s",IF(P1000&lt;600,"c) 1-10min","d) &gt;10min")))</f>
        <v>d) &gt;10min</v>
      </c>
      <c r="R1000" s="38" t="n">
        <v>2576.81</v>
      </c>
      <c r="S1000" s="38" t="n">
        <v>2576.79</v>
      </c>
      <c r="T1000" s="22" t="s">
        <v>189</v>
      </c>
      <c r="U1000" s="39" t="n">
        <f aca="false">IF(R1000="","",IF(F1000="BUY",R1000-S1000,S1000-R1000))</f>
        <v>0.0199999999999818</v>
      </c>
      <c r="V1000" s="39" t="n">
        <f aca="false">IF(F1000="BUY",S1000-J1000,J1000-S1000)</f>
        <v>0.480000000000018</v>
      </c>
      <c r="W1000" s="6" t="n">
        <v>2.4</v>
      </c>
      <c r="X1000" s="26" t="n">
        <f aca="false">IFERROR(W1000/N1000,0)</f>
        <v>0.08</v>
      </c>
      <c r="Y1000" s="22" t="str">
        <f aca="false">IF(W1000&gt;0,"Win",IF(W1000&lt;0,"Loss","Flat"))</f>
        <v>Win</v>
      </c>
      <c r="Z1000" s="24" t="n">
        <f aca="false">Summary!$C$5+SUM(W$2:W1000)</f>
        <v>3368.67</v>
      </c>
      <c r="AA1000" s="24" t="n">
        <f aca="false">MAX(AA999,Z1000)</f>
        <v>5000</v>
      </c>
      <c r="AB1000" s="24" t="n">
        <f aca="false">AA1000-Z1000</f>
        <v>1631.33</v>
      </c>
      <c r="AC1000" s="23" t="n">
        <f aca="false">IFERROR(AB1000/AA1000,0)</f>
        <v>0.326266</v>
      </c>
      <c r="AD1000" s="22" t="s">
        <v>1237</v>
      </c>
    </row>
    <row r="1001" customFormat="false" ht="15" hidden="false" customHeight="false" outlineLevel="0" collapsed="false">
      <c r="A1001" s="22" t="n">
        <v>1000</v>
      </c>
      <c r="B1001" s="22" t="s">
        <v>149</v>
      </c>
      <c r="C1001" s="37" t="n">
        <v>45553.8751851852</v>
      </c>
      <c r="D1001" s="22" t="s">
        <v>204</v>
      </c>
      <c r="E1001" s="22" t="n">
        <v>21</v>
      </c>
      <c r="F1001" s="22" t="s">
        <v>181</v>
      </c>
      <c r="G1001" s="22" t="s">
        <v>243</v>
      </c>
      <c r="H1001" s="22" t="n">
        <v>0.05</v>
      </c>
      <c r="I1001" s="38" t="n">
        <v>2586.84</v>
      </c>
      <c r="J1001" s="38" t="n">
        <v>2587.09</v>
      </c>
      <c r="K1001" s="39" t="n">
        <f aca="false">IF(F1001="BUY",J1001-I1001,I1001-J1001)</f>
        <v>0.25</v>
      </c>
      <c r="L1001" s="38" t="n">
        <v>2580.84</v>
      </c>
      <c r="M1001" s="39" t="n">
        <f aca="false">ABS(I1001-L1001)</f>
        <v>6</v>
      </c>
      <c r="N1001" s="24" t="n">
        <f aca="false">M1001*H1001*Summary!$C$6</f>
        <v>30</v>
      </c>
      <c r="O1001" s="37" t="n">
        <v>45553.8756597222</v>
      </c>
      <c r="P1001" s="22" t="n">
        <f aca="false">ROUND((O1001-C1001)*86400,0)</f>
        <v>41</v>
      </c>
      <c r="Q1001" s="22" t="str">
        <f aca="false">IF(P1001&lt;10,"a) &lt;10s",IF(P1001&lt;60,"b) 10-60s",IF(P1001&lt;600,"c) 1-10min","d) &gt;10min")))</f>
        <v>b) 10-60s</v>
      </c>
      <c r="R1001" s="38" t="n">
        <v>2580.84</v>
      </c>
      <c r="S1001" s="38" t="n">
        <v>2580.07</v>
      </c>
      <c r="T1001" s="22" t="s">
        <v>188</v>
      </c>
      <c r="U1001" s="39" t="n">
        <f aca="false">IF(R1001="","",IF(F1001="BUY",R1001-S1001,S1001-R1001))</f>
        <v>0.769999999999982</v>
      </c>
      <c r="V1001" s="39" t="n">
        <f aca="false">IF(F1001="BUY",S1001-J1001,J1001-S1001)</f>
        <v>-7.01999999999998</v>
      </c>
      <c r="W1001" s="6" t="n">
        <v>-35.1</v>
      </c>
      <c r="X1001" s="26" t="n">
        <f aca="false">IFERROR(W1001/N1001,0)</f>
        <v>-1.17</v>
      </c>
      <c r="Y1001" s="22" t="str">
        <f aca="false">IF(W1001&gt;0,"Win",IF(W1001&lt;0,"Loss","Flat"))</f>
        <v>Loss</v>
      </c>
      <c r="Z1001" s="24" t="n">
        <f aca="false">Summary!$C$5+SUM(W$2:W1001)</f>
        <v>3333.57</v>
      </c>
      <c r="AA1001" s="24" t="n">
        <f aca="false">MAX(AA1000,Z1001)</f>
        <v>5000</v>
      </c>
      <c r="AB1001" s="24" t="n">
        <f aca="false">AA1001-Z1001</f>
        <v>1666.43</v>
      </c>
      <c r="AC1001" s="23" t="n">
        <f aca="false">IFERROR(AB1001/AA1001,0)</f>
        <v>0.333286</v>
      </c>
      <c r="AD1001" s="22" t="s">
        <v>1238</v>
      </c>
    </row>
    <row r="1002" customFormat="false" ht="15" hidden="false" customHeight="false" outlineLevel="0" collapsed="false">
      <c r="A1002" s="22" t="n">
        <v>1001</v>
      </c>
      <c r="B1002" s="22" t="s">
        <v>149</v>
      </c>
      <c r="C1002" s="37" t="n">
        <v>45555.3559375</v>
      </c>
      <c r="D1002" s="22" t="s">
        <v>206</v>
      </c>
      <c r="E1002" s="22" t="n">
        <v>8</v>
      </c>
      <c r="F1002" s="22" t="s">
        <v>181</v>
      </c>
      <c r="G1002" s="22" t="s">
        <v>243</v>
      </c>
      <c r="H1002" s="22" t="n">
        <v>0.05</v>
      </c>
      <c r="I1002" s="38" t="n">
        <v>2594.78</v>
      </c>
      <c r="J1002" s="38" t="n">
        <v>2594.78</v>
      </c>
      <c r="K1002" s="39" t="n">
        <f aca="false">IF(F1002="BUY",J1002-I1002,I1002-J1002)</f>
        <v>0</v>
      </c>
      <c r="L1002" s="38" t="n">
        <v>2588.78</v>
      </c>
      <c r="M1002" s="39" t="n">
        <f aca="false">ABS(I1002-L1002)</f>
        <v>6</v>
      </c>
      <c r="N1002" s="24" t="n">
        <f aca="false">M1002*H1002*Summary!$C$6</f>
        <v>30</v>
      </c>
      <c r="O1002" s="37" t="n">
        <v>45555.804224537</v>
      </c>
      <c r="P1002" s="22" t="n">
        <f aca="false">ROUND((O1002-C1002)*86400,0)</f>
        <v>38732</v>
      </c>
      <c r="Q1002" s="22" t="str">
        <f aca="false">IF(P1002&lt;10,"a) &lt;10s",IF(P1002&lt;60,"b) 10-60s",IF(P1002&lt;600,"c) 1-10min","d) &gt;10min")))</f>
        <v>d) &gt;10min</v>
      </c>
      <c r="R1002" s="38"/>
      <c r="S1002" s="38" t="n">
        <v>2624.86</v>
      </c>
      <c r="T1002" s="22" t="s">
        <v>187</v>
      </c>
      <c r="U1002" s="39" t="str">
        <f aca="false">IF(R1002="","",IF(F1002="BUY",R1002-S1002,S1002-R1002))</f>
        <v/>
      </c>
      <c r="V1002" s="39" t="n">
        <f aca="false">IF(F1002="BUY",S1002-J1002,J1002-S1002)</f>
        <v>30.0799999999999</v>
      </c>
      <c r="W1002" s="6" t="n">
        <v>150.4</v>
      </c>
      <c r="X1002" s="26" t="n">
        <f aca="false">IFERROR(W1002/N1002,0)</f>
        <v>5.01333333333333</v>
      </c>
      <c r="Y1002" s="22" t="str">
        <f aca="false">IF(W1002&gt;0,"Win",IF(W1002&lt;0,"Loss","Flat"))</f>
        <v>Win</v>
      </c>
      <c r="Z1002" s="24" t="n">
        <f aca="false">Summary!$C$5+SUM(W$2:W1002)</f>
        <v>3483.97</v>
      </c>
      <c r="AA1002" s="24" t="n">
        <f aca="false">MAX(AA1001,Z1002)</f>
        <v>5000</v>
      </c>
      <c r="AB1002" s="24" t="n">
        <f aca="false">AA1002-Z1002</f>
        <v>1516.03</v>
      </c>
      <c r="AC1002" s="23" t="n">
        <f aca="false">IFERROR(AB1002/AA1002,0)</f>
        <v>0.303206</v>
      </c>
      <c r="AD1002" s="22" t="s">
        <v>1239</v>
      </c>
    </row>
    <row r="1003" customFormat="false" ht="15" hidden="false" customHeight="false" outlineLevel="0" collapsed="false">
      <c r="A1003" s="22" t="n">
        <v>1002</v>
      </c>
      <c r="B1003" s="22" t="s">
        <v>149</v>
      </c>
      <c r="C1003" s="37" t="n">
        <v>45558.2334837963</v>
      </c>
      <c r="D1003" s="22" t="s">
        <v>202</v>
      </c>
      <c r="E1003" s="22" t="n">
        <v>5</v>
      </c>
      <c r="F1003" s="22" t="s">
        <v>181</v>
      </c>
      <c r="G1003" s="22" t="s">
        <v>243</v>
      </c>
      <c r="H1003" s="22" t="n">
        <v>0.05</v>
      </c>
      <c r="I1003" s="38" t="n">
        <v>2625.57</v>
      </c>
      <c r="J1003" s="38" t="n">
        <v>2625.58</v>
      </c>
      <c r="K1003" s="39" t="n">
        <f aca="false">IF(F1003="BUY",J1003-I1003,I1003-J1003)</f>
        <v>0.00999999999976353</v>
      </c>
      <c r="L1003" s="38" t="n">
        <v>2619.57</v>
      </c>
      <c r="M1003" s="39" t="n">
        <f aca="false">ABS(I1003-L1003)</f>
        <v>6</v>
      </c>
      <c r="N1003" s="24" t="n">
        <f aca="false">M1003*H1003*Summary!$C$6</f>
        <v>30</v>
      </c>
      <c r="O1003" s="37" t="n">
        <v>45558.4047222222</v>
      </c>
      <c r="P1003" s="22" t="n">
        <f aca="false">ROUND((O1003-C1003)*86400,0)</f>
        <v>14795</v>
      </c>
      <c r="Q1003" s="22" t="str">
        <f aca="false">IF(P1003&lt;10,"a) &lt;10s",IF(P1003&lt;60,"b) 10-60s",IF(P1003&lt;600,"c) 1-10min","d) &gt;10min")))</f>
        <v>d) &gt;10min</v>
      </c>
      <c r="R1003" s="38" t="n">
        <v>2626.08</v>
      </c>
      <c r="S1003" s="38" t="n">
        <v>2626.05</v>
      </c>
      <c r="T1003" s="22" t="s">
        <v>189</v>
      </c>
      <c r="U1003" s="39" t="n">
        <f aca="false">IF(R1003="","",IF(F1003="BUY",R1003-S1003,S1003-R1003))</f>
        <v>0.0299999999997453</v>
      </c>
      <c r="V1003" s="39" t="n">
        <f aca="false">IF(F1003="BUY",S1003-J1003,J1003-S1003)</f>
        <v>0.470000000000255</v>
      </c>
      <c r="W1003" s="6" t="n">
        <v>2.35</v>
      </c>
      <c r="X1003" s="26" t="n">
        <f aca="false">IFERROR(W1003/N1003,0)</f>
        <v>0.0783333333333333</v>
      </c>
      <c r="Y1003" s="22" t="str">
        <f aca="false">IF(W1003&gt;0,"Win",IF(W1003&lt;0,"Loss","Flat"))</f>
        <v>Win</v>
      </c>
      <c r="Z1003" s="24" t="n">
        <f aca="false">Summary!$C$5+SUM(W$2:W1003)</f>
        <v>3486.32</v>
      </c>
      <c r="AA1003" s="24" t="n">
        <f aca="false">MAX(AA1002,Z1003)</f>
        <v>5000</v>
      </c>
      <c r="AB1003" s="24" t="n">
        <f aca="false">AA1003-Z1003</f>
        <v>1513.68</v>
      </c>
      <c r="AC1003" s="23" t="n">
        <f aca="false">IFERROR(AB1003/AA1003,0)</f>
        <v>0.302736</v>
      </c>
      <c r="AD1003" s="22" t="s">
        <v>1240</v>
      </c>
    </row>
    <row r="1004" customFormat="false" ht="15" hidden="false" customHeight="false" outlineLevel="0" collapsed="false">
      <c r="A1004" s="22" t="n">
        <v>1003</v>
      </c>
      <c r="B1004" s="22" t="s">
        <v>149</v>
      </c>
      <c r="C1004" s="37" t="n">
        <v>45558.6958449074</v>
      </c>
      <c r="D1004" s="22" t="s">
        <v>202</v>
      </c>
      <c r="E1004" s="22" t="n">
        <v>16</v>
      </c>
      <c r="F1004" s="22" t="s">
        <v>181</v>
      </c>
      <c r="G1004" s="22" t="s">
        <v>235</v>
      </c>
      <c r="H1004" s="22" t="n">
        <v>0.05</v>
      </c>
      <c r="I1004" s="38" t="n">
        <v>2631.21</v>
      </c>
      <c r="J1004" s="38" t="n">
        <v>2631.58</v>
      </c>
      <c r="K1004" s="39" t="n">
        <f aca="false">IF(F1004="BUY",J1004-I1004,I1004-J1004)</f>
        <v>0.369999999999891</v>
      </c>
      <c r="L1004" s="38" t="n">
        <v>2625.21</v>
      </c>
      <c r="M1004" s="39" t="n">
        <f aca="false">ABS(I1004-L1004)</f>
        <v>6</v>
      </c>
      <c r="N1004" s="24" t="n">
        <f aca="false">M1004*H1004*Summary!$C$6</f>
        <v>30</v>
      </c>
      <c r="O1004" s="37" t="n">
        <v>45558.7055902778</v>
      </c>
      <c r="P1004" s="22" t="n">
        <f aca="false">ROUND((O1004-C1004)*86400,0)</f>
        <v>842</v>
      </c>
      <c r="Q1004" s="22" t="str">
        <f aca="false">IF(P1004&lt;10,"a) &lt;10s",IF(P1004&lt;60,"b) 10-60s",IF(P1004&lt;600,"c) 1-10min","d) &gt;10min")))</f>
        <v>d) &gt;10min</v>
      </c>
      <c r="R1004" s="38" t="n">
        <v>2632.08</v>
      </c>
      <c r="S1004" s="38" t="n">
        <v>2631.98</v>
      </c>
      <c r="T1004" s="22" t="s">
        <v>189</v>
      </c>
      <c r="U1004" s="39" t="n">
        <f aca="false">IF(R1004="","",IF(F1004="BUY",R1004-S1004,S1004-R1004))</f>
        <v>0.0999999999999091</v>
      </c>
      <c r="V1004" s="39" t="n">
        <f aca="false">IF(F1004="BUY",S1004-J1004,J1004-S1004)</f>
        <v>0.400000000000091</v>
      </c>
      <c r="W1004" s="6" t="n">
        <v>2</v>
      </c>
      <c r="X1004" s="26" t="n">
        <f aca="false">IFERROR(W1004/N1004,0)</f>
        <v>0.0666666666666667</v>
      </c>
      <c r="Y1004" s="22" t="str">
        <f aca="false">IF(W1004&gt;0,"Win",IF(W1004&lt;0,"Loss","Flat"))</f>
        <v>Win</v>
      </c>
      <c r="Z1004" s="24" t="n">
        <f aca="false">Summary!$C$5+SUM(W$2:W1004)</f>
        <v>3488.32</v>
      </c>
      <c r="AA1004" s="24" t="n">
        <f aca="false">MAX(AA1003,Z1004)</f>
        <v>5000</v>
      </c>
      <c r="AB1004" s="24" t="n">
        <f aca="false">AA1004-Z1004</f>
        <v>1511.68</v>
      </c>
      <c r="AC1004" s="23" t="n">
        <f aca="false">IFERROR(AB1004/AA1004,0)</f>
        <v>0.302336</v>
      </c>
      <c r="AD1004" s="22" t="s">
        <v>1241</v>
      </c>
    </row>
    <row r="1005" customFormat="false" ht="15" hidden="false" customHeight="false" outlineLevel="0" collapsed="false">
      <c r="A1005" s="22" t="n">
        <v>1004</v>
      </c>
      <c r="B1005" s="22" t="s">
        <v>149</v>
      </c>
      <c r="C1005" s="37" t="n">
        <v>45559.2794791667</v>
      </c>
      <c r="D1005" s="22" t="s">
        <v>203</v>
      </c>
      <c r="E1005" s="22" t="n">
        <v>6</v>
      </c>
      <c r="F1005" s="22" t="s">
        <v>181</v>
      </c>
      <c r="G1005" s="22" t="s">
        <v>243</v>
      </c>
      <c r="H1005" s="22" t="n">
        <v>0.05</v>
      </c>
      <c r="I1005" s="38" t="n">
        <v>2634.72</v>
      </c>
      <c r="J1005" s="38" t="n">
        <v>2634.72</v>
      </c>
      <c r="K1005" s="39" t="n">
        <f aca="false">IF(F1005="BUY",J1005-I1005,I1005-J1005)</f>
        <v>0</v>
      </c>
      <c r="L1005" s="38" t="n">
        <v>2628.72</v>
      </c>
      <c r="M1005" s="39" t="n">
        <f aca="false">ABS(I1005-L1005)</f>
        <v>6</v>
      </c>
      <c r="N1005" s="24" t="n">
        <f aca="false">M1005*H1005*Summary!$C$6</f>
        <v>30</v>
      </c>
      <c r="O1005" s="37" t="n">
        <v>45559.3601967593</v>
      </c>
      <c r="P1005" s="22" t="n">
        <f aca="false">ROUND((O1005-C1005)*86400,0)</f>
        <v>6974</v>
      </c>
      <c r="Q1005" s="22" t="str">
        <f aca="false">IF(P1005&lt;10,"a) &lt;10s",IF(P1005&lt;60,"b) 10-60s",IF(P1005&lt;600,"c) 1-10min","d) &gt;10min")))</f>
        <v>d) &gt;10min</v>
      </c>
      <c r="R1005" s="38" t="n">
        <v>2635.22</v>
      </c>
      <c r="S1005" s="38" t="n">
        <v>2635.19</v>
      </c>
      <c r="T1005" s="22" t="s">
        <v>189</v>
      </c>
      <c r="U1005" s="39" t="n">
        <f aca="false">IF(R1005="","",IF(F1005="BUY",R1005-S1005,S1005-R1005))</f>
        <v>0.0299999999997453</v>
      </c>
      <c r="V1005" s="39" t="n">
        <f aca="false">IF(F1005="BUY",S1005-J1005,J1005-S1005)</f>
        <v>0.470000000000255</v>
      </c>
      <c r="W1005" s="6" t="n">
        <v>2.35</v>
      </c>
      <c r="X1005" s="26" t="n">
        <f aca="false">IFERROR(W1005/N1005,0)</f>
        <v>0.0783333333333333</v>
      </c>
      <c r="Y1005" s="22" t="str">
        <f aca="false">IF(W1005&gt;0,"Win",IF(W1005&lt;0,"Loss","Flat"))</f>
        <v>Win</v>
      </c>
      <c r="Z1005" s="24" t="n">
        <f aca="false">Summary!$C$5+SUM(W$2:W1005)</f>
        <v>3490.67</v>
      </c>
      <c r="AA1005" s="24" t="n">
        <f aca="false">MAX(AA1004,Z1005)</f>
        <v>5000</v>
      </c>
      <c r="AB1005" s="24" t="n">
        <f aca="false">AA1005-Z1005</f>
        <v>1509.33</v>
      </c>
      <c r="AC1005" s="23" t="n">
        <f aca="false">IFERROR(AB1005/AA1005,0)</f>
        <v>0.301866</v>
      </c>
      <c r="AD1005" s="22" t="s">
        <v>1242</v>
      </c>
    </row>
    <row r="1006" customFormat="false" ht="15" hidden="false" customHeight="false" outlineLevel="0" collapsed="false">
      <c r="A1006" s="22" t="n">
        <v>1005</v>
      </c>
      <c r="B1006" s="22" t="s">
        <v>149</v>
      </c>
      <c r="C1006" s="37" t="n">
        <v>45559.3750925926</v>
      </c>
      <c r="D1006" s="22" t="s">
        <v>203</v>
      </c>
      <c r="E1006" s="22" t="n">
        <v>9</v>
      </c>
      <c r="F1006" s="22" t="s">
        <v>182</v>
      </c>
      <c r="G1006" s="22" t="s">
        <v>241</v>
      </c>
      <c r="H1006" s="22" t="n">
        <v>0.05</v>
      </c>
      <c r="I1006" s="38" t="n">
        <v>2625.07</v>
      </c>
      <c r="J1006" s="38" t="n">
        <v>2625.03</v>
      </c>
      <c r="K1006" s="39" t="n">
        <f aca="false">IF(F1006="BUY",J1006-I1006,I1006-J1006)</f>
        <v>0.0399999999999636</v>
      </c>
      <c r="L1006" s="38" t="n">
        <v>2631.07</v>
      </c>
      <c r="M1006" s="39" t="n">
        <f aca="false">ABS(I1006-L1006)</f>
        <v>6</v>
      </c>
      <c r="N1006" s="24" t="n">
        <f aca="false">M1006*H1006*Summary!$C$6</f>
        <v>30</v>
      </c>
      <c r="O1006" s="37" t="n">
        <v>45559.4463310185</v>
      </c>
      <c r="P1006" s="22" t="n">
        <f aca="false">ROUND((O1006-C1006)*86400,0)</f>
        <v>6155</v>
      </c>
      <c r="Q1006" s="22" t="str">
        <f aca="false">IF(P1006&lt;10,"a) &lt;10s",IF(P1006&lt;60,"b) 10-60s",IF(P1006&lt;600,"c) 1-10min","d) &gt;10min")))</f>
        <v>d) &gt;10min</v>
      </c>
      <c r="R1006" s="38" t="n">
        <v>2624.53</v>
      </c>
      <c r="S1006" s="38" t="n">
        <v>2624.53</v>
      </c>
      <c r="T1006" s="22" t="s">
        <v>189</v>
      </c>
      <c r="U1006" s="39" t="n">
        <f aca="false">IF(R1006="","",IF(F1006="BUY",R1006-S1006,S1006-R1006))</f>
        <v>0</v>
      </c>
      <c r="V1006" s="39" t="n">
        <f aca="false">IF(F1006="BUY",S1006-J1006,J1006-S1006)</f>
        <v>0.5</v>
      </c>
      <c r="W1006" s="6" t="n">
        <v>2.5</v>
      </c>
      <c r="X1006" s="26" t="n">
        <f aca="false">IFERROR(W1006/N1006,0)</f>
        <v>0.0833333333333333</v>
      </c>
      <c r="Y1006" s="22" t="str">
        <f aca="false">IF(W1006&gt;0,"Win",IF(W1006&lt;0,"Loss","Flat"))</f>
        <v>Win</v>
      </c>
      <c r="Z1006" s="24" t="n">
        <f aca="false">Summary!$C$5+SUM(W$2:W1006)</f>
        <v>3493.17</v>
      </c>
      <c r="AA1006" s="24" t="n">
        <f aca="false">MAX(AA1005,Z1006)</f>
        <v>5000</v>
      </c>
      <c r="AB1006" s="24" t="n">
        <f aca="false">AA1006-Z1006</f>
        <v>1506.83</v>
      </c>
      <c r="AC1006" s="23" t="n">
        <f aca="false">IFERROR(AB1006/AA1006,0)</f>
        <v>0.301366</v>
      </c>
      <c r="AD1006" s="22" t="s">
        <v>1243</v>
      </c>
    </row>
    <row r="1007" customFormat="false" ht="15" hidden="false" customHeight="false" outlineLevel="0" collapsed="false">
      <c r="A1007" s="22" t="n">
        <v>1006</v>
      </c>
      <c r="B1007" s="22" t="s">
        <v>149</v>
      </c>
      <c r="C1007" s="37" t="n">
        <v>45560.2282523148</v>
      </c>
      <c r="D1007" s="22" t="s">
        <v>204</v>
      </c>
      <c r="E1007" s="22" t="n">
        <v>5</v>
      </c>
      <c r="F1007" s="22" t="s">
        <v>181</v>
      </c>
      <c r="G1007" s="22" t="s">
        <v>243</v>
      </c>
      <c r="H1007" s="22" t="n">
        <v>0.05</v>
      </c>
      <c r="I1007" s="38" t="n">
        <v>2664.2</v>
      </c>
      <c r="J1007" s="38" t="n">
        <v>2664.25</v>
      </c>
      <c r="K1007" s="39" t="n">
        <f aca="false">IF(F1007="BUY",J1007-I1007,I1007-J1007)</f>
        <v>0.0500000000001819</v>
      </c>
      <c r="L1007" s="38" t="n">
        <v>2658.2</v>
      </c>
      <c r="M1007" s="39" t="n">
        <f aca="false">ABS(I1007-L1007)</f>
        <v>6</v>
      </c>
      <c r="N1007" s="24" t="n">
        <f aca="false">M1007*H1007*Summary!$C$6</f>
        <v>30</v>
      </c>
      <c r="O1007" s="37" t="n">
        <v>45560.2552083333</v>
      </c>
      <c r="P1007" s="22" t="n">
        <f aca="false">ROUND((O1007-C1007)*86400,0)</f>
        <v>2329</v>
      </c>
      <c r="Q1007" s="22" t="str">
        <f aca="false">IF(P1007&lt;10,"a) &lt;10s",IF(P1007&lt;60,"b) 10-60s",IF(P1007&lt;600,"c) 1-10min","d) &gt;10min")))</f>
        <v>d) &gt;10min</v>
      </c>
      <c r="R1007" s="38" t="n">
        <v>2664.75</v>
      </c>
      <c r="S1007" s="38" t="n">
        <v>2664.75</v>
      </c>
      <c r="T1007" s="22" t="s">
        <v>189</v>
      </c>
      <c r="U1007" s="39" t="n">
        <f aca="false">IF(R1007="","",IF(F1007="BUY",R1007-S1007,S1007-R1007))</f>
        <v>0</v>
      </c>
      <c r="V1007" s="39" t="n">
        <f aca="false">IF(F1007="BUY",S1007-J1007,J1007-S1007)</f>
        <v>0.5</v>
      </c>
      <c r="W1007" s="6" t="n">
        <v>2.5</v>
      </c>
      <c r="X1007" s="26" t="n">
        <f aca="false">IFERROR(W1007/N1007,0)</f>
        <v>0.0833333333333333</v>
      </c>
      <c r="Y1007" s="22" t="str">
        <f aca="false">IF(W1007&gt;0,"Win",IF(W1007&lt;0,"Loss","Flat"))</f>
        <v>Win</v>
      </c>
      <c r="Z1007" s="24" t="n">
        <f aca="false">Summary!$C$5+SUM(W$2:W1007)</f>
        <v>3495.67</v>
      </c>
      <c r="AA1007" s="24" t="n">
        <f aca="false">MAX(AA1006,Z1007)</f>
        <v>5000</v>
      </c>
      <c r="AB1007" s="24" t="n">
        <f aca="false">AA1007-Z1007</f>
        <v>1504.33</v>
      </c>
      <c r="AC1007" s="23" t="n">
        <f aca="false">IFERROR(AB1007/AA1007,0)</f>
        <v>0.300866</v>
      </c>
      <c r="AD1007" s="22" t="s">
        <v>1244</v>
      </c>
    </row>
    <row r="1008" customFormat="false" ht="15" hidden="false" customHeight="false" outlineLevel="0" collapsed="false">
      <c r="A1008" s="22" t="n">
        <v>1007</v>
      </c>
      <c r="B1008" s="22" t="s">
        <v>149</v>
      </c>
      <c r="C1008" s="37" t="n">
        <v>45560.3839930556</v>
      </c>
      <c r="D1008" s="22" t="s">
        <v>204</v>
      </c>
      <c r="E1008" s="22" t="n">
        <v>9</v>
      </c>
      <c r="F1008" s="22" t="s">
        <v>182</v>
      </c>
      <c r="G1008" s="22" t="s">
        <v>241</v>
      </c>
      <c r="H1008" s="22" t="n">
        <v>0.05</v>
      </c>
      <c r="I1008" s="38" t="n">
        <v>2654.36</v>
      </c>
      <c r="J1008" s="38" t="n">
        <v>2654.34</v>
      </c>
      <c r="K1008" s="39" t="n">
        <f aca="false">IF(F1008="BUY",J1008-I1008,I1008-J1008)</f>
        <v>0.0199999999999818</v>
      </c>
      <c r="L1008" s="38" t="n">
        <v>2660.36</v>
      </c>
      <c r="M1008" s="39" t="n">
        <f aca="false">ABS(I1008-L1008)</f>
        <v>6</v>
      </c>
      <c r="N1008" s="24" t="n">
        <f aca="false">M1008*H1008*Summary!$C$6</f>
        <v>30</v>
      </c>
      <c r="O1008" s="37" t="n">
        <v>45560.423900463</v>
      </c>
      <c r="P1008" s="22" t="n">
        <f aca="false">ROUND((O1008-C1008)*86400,0)</f>
        <v>3448</v>
      </c>
      <c r="Q1008" s="22" t="str">
        <f aca="false">IF(P1008&lt;10,"a) &lt;10s",IF(P1008&lt;60,"b) 10-60s",IF(P1008&lt;600,"c) 1-10min","d) &gt;10min")))</f>
        <v>d) &gt;10min</v>
      </c>
      <c r="R1008" s="38" t="n">
        <v>2653.84</v>
      </c>
      <c r="S1008" s="38" t="n">
        <v>2653.89</v>
      </c>
      <c r="T1008" s="22" t="s">
        <v>189</v>
      </c>
      <c r="U1008" s="39" t="n">
        <f aca="false">IF(R1008="","",IF(F1008="BUY",R1008-S1008,S1008-R1008))</f>
        <v>0.0499999999997272</v>
      </c>
      <c r="V1008" s="39" t="n">
        <f aca="false">IF(F1008="BUY",S1008-J1008,J1008-S1008)</f>
        <v>0.450000000000273</v>
      </c>
      <c r="W1008" s="6" t="n">
        <v>2.25</v>
      </c>
      <c r="X1008" s="26" t="n">
        <f aca="false">IFERROR(W1008/N1008,0)</f>
        <v>0.075</v>
      </c>
      <c r="Y1008" s="22" t="str">
        <f aca="false">IF(W1008&gt;0,"Win",IF(W1008&lt;0,"Loss","Flat"))</f>
        <v>Win</v>
      </c>
      <c r="Z1008" s="24" t="n">
        <f aca="false">Summary!$C$5+SUM(W$2:W1008)</f>
        <v>3497.92</v>
      </c>
      <c r="AA1008" s="24" t="n">
        <f aca="false">MAX(AA1007,Z1008)</f>
        <v>5000</v>
      </c>
      <c r="AB1008" s="24" t="n">
        <f aca="false">AA1008-Z1008</f>
        <v>1502.08</v>
      </c>
      <c r="AC1008" s="23" t="n">
        <f aca="false">IFERROR(AB1008/AA1008,0)</f>
        <v>0.300416</v>
      </c>
      <c r="AD1008" s="22" t="s">
        <v>1245</v>
      </c>
    </row>
    <row r="1009" customFormat="false" ht="15" hidden="false" customHeight="false" outlineLevel="0" collapsed="false">
      <c r="A1009" s="22" t="n">
        <v>1008</v>
      </c>
      <c r="B1009" s="22" t="s">
        <v>149</v>
      </c>
      <c r="C1009" s="37" t="n">
        <v>45561.3827662037</v>
      </c>
      <c r="D1009" s="22" t="s">
        <v>205</v>
      </c>
      <c r="E1009" s="22" t="n">
        <v>9</v>
      </c>
      <c r="F1009" s="22" t="s">
        <v>182</v>
      </c>
      <c r="G1009" s="22" t="s">
        <v>241</v>
      </c>
      <c r="H1009" s="22" t="n">
        <v>0.05</v>
      </c>
      <c r="I1009" s="38" t="n">
        <v>2659.65</v>
      </c>
      <c r="J1009" s="38" t="n">
        <v>2659.63</v>
      </c>
      <c r="K1009" s="39" t="n">
        <f aca="false">IF(F1009="BUY",J1009-I1009,I1009-J1009)</f>
        <v>0.0199999999999818</v>
      </c>
      <c r="L1009" s="38" t="n">
        <v>2665.65</v>
      </c>
      <c r="M1009" s="39" t="n">
        <f aca="false">ABS(I1009-L1009)</f>
        <v>6</v>
      </c>
      <c r="N1009" s="24" t="n">
        <f aca="false">M1009*H1009*Summary!$C$6</f>
        <v>30</v>
      </c>
      <c r="O1009" s="37" t="n">
        <v>45561.4507407407</v>
      </c>
      <c r="P1009" s="22" t="n">
        <f aca="false">ROUND((O1009-C1009)*86400,0)</f>
        <v>5873</v>
      </c>
      <c r="Q1009" s="22" t="str">
        <f aca="false">IF(P1009&lt;10,"a) &lt;10s",IF(P1009&lt;60,"b) 10-60s",IF(P1009&lt;600,"c) 1-10min","d) &gt;10min")))</f>
        <v>d) &gt;10min</v>
      </c>
      <c r="R1009" s="38" t="n">
        <v>2665.65</v>
      </c>
      <c r="S1009" s="38" t="n">
        <v>2665.65</v>
      </c>
      <c r="T1009" s="22" t="s">
        <v>188</v>
      </c>
      <c r="U1009" s="39" t="n">
        <f aca="false">IF(R1009="","",IF(F1009="BUY",R1009-S1009,S1009-R1009))</f>
        <v>0</v>
      </c>
      <c r="V1009" s="39" t="n">
        <f aca="false">IF(F1009="BUY",S1009-J1009,J1009-S1009)</f>
        <v>-6.01999999999998</v>
      </c>
      <c r="W1009" s="6" t="n">
        <v>-30.1</v>
      </c>
      <c r="X1009" s="26" t="n">
        <f aca="false">IFERROR(W1009/N1009,0)</f>
        <v>-1.00333333333333</v>
      </c>
      <c r="Y1009" s="22" t="str">
        <f aca="false">IF(W1009&gt;0,"Win",IF(W1009&lt;0,"Loss","Flat"))</f>
        <v>Loss</v>
      </c>
      <c r="Z1009" s="24" t="n">
        <f aca="false">Summary!$C$5+SUM(W$2:W1009)</f>
        <v>3467.82</v>
      </c>
      <c r="AA1009" s="24" t="n">
        <f aca="false">MAX(AA1008,Z1009)</f>
        <v>5000</v>
      </c>
      <c r="AB1009" s="24" t="n">
        <f aca="false">AA1009-Z1009</f>
        <v>1532.18</v>
      </c>
      <c r="AC1009" s="23" t="n">
        <f aca="false">IFERROR(AB1009/AA1009,0)</f>
        <v>0.306436</v>
      </c>
      <c r="AD1009" s="22" t="s">
        <v>1246</v>
      </c>
    </row>
    <row r="1010" customFormat="false" ht="15" hidden="false" customHeight="false" outlineLevel="0" collapsed="false">
      <c r="A1010" s="22" t="n">
        <v>1009</v>
      </c>
      <c r="B1010" s="22" t="s">
        <v>149</v>
      </c>
      <c r="C1010" s="37" t="n">
        <v>45561.4863310185</v>
      </c>
      <c r="D1010" s="22" t="s">
        <v>205</v>
      </c>
      <c r="E1010" s="22" t="n">
        <v>11</v>
      </c>
      <c r="F1010" s="22" t="s">
        <v>181</v>
      </c>
      <c r="G1010" s="22" t="s">
        <v>243</v>
      </c>
      <c r="H1010" s="22" t="n">
        <v>0.05</v>
      </c>
      <c r="I1010" s="38" t="n">
        <v>2670.35</v>
      </c>
      <c r="J1010" s="38" t="n">
        <v>2670.35</v>
      </c>
      <c r="K1010" s="39" t="n">
        <f aca="false">IF(F1010="BUY",J1010-I1010,I1010-J1010)</f>
        <v>0</v>
      </c>
      <c r="L1010" s="38" t="n">
        <v>2664.35</v>
      </c>
      <c r="M1010" s="39" t="n">
        <f aca="false">ABS(I1010-L1010)</f>
        <v>6</v>
      </c>
      <c r="N1010" s="24" t="n">
        <f aca="false">M1010*H1010*Summary!$C$6</f>
        <v>30</v>
      </c>
      <c r="O1010" s="37" t="n">
        <v>45561.5582175926</v>
      </c>
      <c r="P1010" s="22" t="n">
        <f aca="false">ROUND((O1010-C1010)*86400,0)</f>
        <v>6211</v>
      </c>
      <c r="Q1010" s="22" t="str">
        <f aca="false">IF(P1010&lt;10,"a) &lt;10s",IF(P1010&lt;60,"b) 10-60s",IF(P1010&lt;600,"c) 1-10min","d) &gt;10min")))</f>
        <v>d) &gt;10min</v>
      </c>
      <c r="R1010" s="38" t="n">
        <v>2670.85</v>
      </c>
      <c r="S1010" s="38" t="n">
        <v>2670.85</v>
      </c>
      <c r="T1010" s="22" t="s">
        <v>189</v>
      </c>
      <c r="U1010" s="39" t="n">
        <f aca="false">IF(R1010="","",IF(F1010="BUY",R1010-S1010,S1010-R1010))</f>
        <v>0</v>
      </c>
      <c r="V1010" s="39" t="n">
        <f aca="false">IF(F1010="BUY",S1010-J1010,J1010-S1010)</f>
        <v>0.5</v>
      </c>
      <c r="W1010" s="6" t="n">
        <v>2.5</v>
      </c>
      <c r="X1010" s="26" t="n">
        <f aca="false">IFERROR(W1010/N1010,0)</f>
        <v>0.0833333333333333</v>
      </c>
      <c r="Y1010" s="22" t="str">
        <f aca="false">IF(W1010&gt;0,"Win",IF(W1010&lt;0,"Loss","Flat"))</f>
        <v>Win</v>
      </c>
      <c r="Z1010" s="24" t="n">
        <f aca="false">Summary!$C$5+SUM(W$2:W1010)</f>
        <v>3470.32</v>
      </c>
      <c r="AA1010" s="24" t="n">
        <f aca="false">MAX(AA1009,Z1010)</f>
        <v>5000</v>
      </c>
      <c r="AB1010" s="24" t="n">
        <f aca="false">AA1010-Z1010</f>
        <v>1529.68</v>
      </c>
      <c r="AC1010" s="23" t="n">
        <f aca="false">IFERROR(AB1010/AA1010,0)</f>
        <v>0.305936</v>
      </c>
      <c r="AD1010" s="22" t="s">
        <v>1247</v>
      </c>
    </row>
    <row r="1011" customFormat="false" ht="15" hidden="false" customHeight="false" outlineLevel="0" collapsed="false">
      <c r="A1011" s="22" t="n">
        <v>1010</v>
      </c>
      <c r="B1011" s="22" t="s">
        <v>149</v>
      </c>
      <c r="C1011" s="37" t="n">
        <v>45562.4367476852</v>
      </c>
      <c r="D1011" s="22" t="s">
        <v>206</v>
      </c>
      <c r="E1011" s="22" t="n">
        <v>10</v>
      </c>
      <c r="F1011" s="22" t="s">
        <v>182</v>
      </c>
      <c r="G1011" s="22" t="s">
        <v>241</v>
      </c>
      <c r="H1011" s="22" t="n">
        <v>0.05</v>
      </c>
      <c r="I1011" s="38" t="n">
        <v>2662.2</v>
      </c>
      <c r="J1011" s="38" t="n">
        <v>2662.15</v>
      </c>
      <c r="K1011" s="39" t="n">
        <f aca="false">IF(F1011="BUY",J1011-I1011,I1011-J1011)</f>
        <v>0.0499999999997272</v>
      </c>
      <c r="L1011" s="38" t="n">
        <v>2668.2</v>
      </c>
      <c r="M1011" s="39" t="n">
        <f aca="false">ABS(I1011-L1011)</f>
        <v>6</v>
      </c>
      <c r="N1011" s="24" t="n">
        <f aca="false">M1011*H1011*Summary!$C$6</f>
        <v>30</v>
      </c>
      <c r="O1011" s="37" t="n">
        <v>45562.5244212963</v>
      </c>
      <c r="P1011" s="22" t="n">
        <f aca="false">ROUND((O1011-C1011)*86400,0)</f>
        <v>7575</v>
      </c>
      <c r="Q1011" s="22" t="str">
        <f aca="false">IF(P1011&lt;10,"a) &lt;10s",IF(P1011&lt;60,"b) 10-60s",IF(P1011&lt;600,"c) 1-10min","d) &gt;10min")))</f>
        <v>d) &gt;10min</v>
      </c>
      <c r="R1011" s="38" t="n">
        <v>2661.65</v>
      </c>
      <c r="S1011" s="38" t="n">
        <v>2661.66</v>
      </c>
      <c r="T1011" s="22" t="s">
        <v>189</v>
      </c>
      <c r="U1011" s="39" t="n">
        <f aca="false">IF(R1011="","",IF(F1011="BUY",R1011-S1011,S1011-R1011))</f>
        <v>0.00999999999976353</v>
      </c>
      <c r="V1011" s="39" t="n">
        <f aca="false">IF(F1011="BUY",S1011-J1011,J1011-S1011)</f>
        <v>0.490000000000236</v>
      </c>
      <c r="W1011" s="6" t="n">
        <v>2.45</v>
      </c>
      <c r="X1011" s="26" t="n">
        <f aca="false">IFERROR(W1011/N1011,0)</f>
        <v>0.0816666666666667</v>
      </c>
      <c r="Y1011" s="22" t="str">
        <f aca="false">IF(W1011&gt;0,"Win",IF(W1011&lt;0,"Loss","Flat"))</f>
        <v>Win</v>
      </c>
      <c r="Z1011" s="24" t="n">
        <f aca="false">Summary!$C$5+SUM(W$2:W1011)</f>
        <v>3472.77</v>
      </c>
      <c r="AA1011" s="24" t="n">
        <f aca="false">MAX(AA1010,Z1011)</f>
        <v>5000</v>
      </c>
      <c r="AB1011" s="24" t="n">
        <f aca="false">AA1011-Z1011</f>
        <v>1527.23</v>
      </c>
      <c r="AC1011" s="23" t="n">
        <f aca="false">IFERROR(AB1011/AA1011,0)</f>
        <v>0.305446</v>
      </c>
      <c r="AD1011" s="22" t="s">
        <v>1248</v>
      </c>
    </row>
    <row r="1012" customFormat="false" ht="15" hidden="false" customHeight="false" outlineLevel="0" collapsed="false">
      <c r="A1012" s="22" t="n">
        <v>1011</v>
      </c>
      <c r="B1012" s="22" t="s">
        <v>149</v>
      </c>
      <c r="C1012" s="37" t="n">
        <v>45562.7423263889</v>
      </c>
      <c r="D1012" s="22" t="s">
        <v>206</v>
      </c>
      <c r="E1012" s="22" t="n">
        <v>17</v>
      </c>
      <c r="F1012" s="22" t="s">
        <v>182</v>
      </c>
      <c r="G1012" s="22" t="s">
        <v>237</v>
      </c>
      <c r="H1012" s="22" t="n">
        <v>0.05</v>
      </c>
      <c r="I1012" s="38" t="n">
        <v>2654.69</v>
      </c>
      <c r="J1012" s="38" t="n">
        <v>2654.65</v>
      </c>
      <c r="K1012" s="39" t="n">
        <f aca="false">IF(F1012="BUY",J1012-I1012,I1012-J1012)</f>
        <v>0.0399999999999636</v>
      </c>
      <c r="L1012" s="38" t="n">
        <v>2660.69</v>
      </c>
      <c r="M1012" s="39" t="n">
        <f aca="false">ABS(I1012-L1012)</f>
        <v>6</v>
      </c>
      <c r="N1012" s="24" t="n">
        <f aca="false">M1012*H1012*Summary!$C$6</f>
        <v>30</v>
      </c>
      <c r="O1012" s="37" t="n">
        <v>45562.7687037037</v>
      </c>
      <c r="P1012" s="22" t="n">
        <f aca="false">ROUND((O1012-C1012)*86400,0)</f>
        <v>2279</v>
      </c>
      <c r="Q1012" s="22" t="str">
        <f aca="false">IF(P1012&lt;10,"a) &lt;10s",IF(P1012&lt;60,"b) 10-60s",IF(P1012&lt;600,"c) 1-10min","d) &gt;10min")))</f>
        <v>d) &gt;10min</v>
      </c>
      <c r="R1012" s="38" t="n">
        <v>2654.15</v>
      </c>
      <c r="S1012" s="38" t="n">
        <v>2654.15</v>
      </c>
      <c r="T1012" s="22" t="s">
        <v>189</v>
      </c>
      <c r="U1012" s="39" t="n">
        <f aca="false">IF(R1012="","",IF(F1012="BUY",R1012-S1012,S1012-R1012))</f>
        <v>0</v>
      </c>
      <c r="V1012" s="39" t="n">
        <f aca="false">IF(F1012="BUY",S1012-J1012,J1012-S1012)</f>
        <v>0.5</v>
      </c>
      <c r="W1012" s="6" t="n">
        <v>2.5</v>
      </c>
      <c r="X1012" s="26" t="n">
        <f aca="false">IFERROR(W1012/N1012,0)</f>
        <v>0.0833333333333333</v>
      </c>
      <c r="Y1012" s="22" t="str">
        <f aca="false">IF(W1012&gt;0,"Win",IF(W1012&lt;0,"Loss","Flat"))</f>
        <v>Win</v>
      </c>
      <c r="Z1012" s="24" t="n">
        <f aca="false">Summary!$C$5+SUM(W$2:W1012)</f>
        <v>3475.27</v>
      </c>
      <c r="AA1012" s="24" t="n">
        <f aca="false">MAX(AA1011,Z1012)</f>
        <v>5000</v>
      </c>
      <c r="AB1012" s="24" t="n">
        <f aca="false">AA1012-Z1012</f>
        <v>1524.73</v>
      </c>
      <c r="AC1012" s="23" t="n">
        <f aca="false">IFERROR(AB1012/AA1012,0)</f>
        <v>0.304946</v>
      </c>
      <c r="AD1012" s="22" t="s">
        <v>1249</v>
      </c>
    </row>
    <row r="1013" customFormat="false" ht="15" hidden="false" customHeight="false" outlineLevel="0" collapsed="false">
      <c r="A1013" s="22" t="n">
        <v>1012</v>
      </c>
      <c r="B1013" s="22" t="s">
        <v>149</v>
      </c>
      <c r="C1013" s="37" t="n">
        <v>45565.3949884259</v>
      </c>
      <c r="D1013" s="22" t="s">
        <v>202</v>
      </c>
      <c r="E1013" s="22" t="n">
        <v>9</v>
      </c>
      <c r="F1013" s="22" t="s">
        <v>181</v>
      </c>
      <c r="G1013" s="22" t="s">
        <v>235</v>
      </c>
      <c r="H1013" s="22" t="n">
        <v>0.05</v>
      </c>
      <c r="I1013" s="38" t="n">
        <v>2659.18</v>
      </c>
      <c r="J1013" s="38" t="n">
        <v>2659.18</v>
      </c>
      <c r="K1013" s="39" t="n">
        <f aca="false">IF(F1013="BUY",J1013-I1013,I1013-J1013)</f>
        <v>0</v>
      </c>
      <c r="L1013" s="38" t="n">
        <v>2653.18</v>
      </c>
      <c r="M1013" s="39" t="n">
        <f aca="false">ABS(I1013-L1013)</f>
        <v>6</v>
      </c>
      <c r="N1013" s="24" t="n">
        <f aca="false">M1013*H1013*Summary!$C$6</f>
        <v>30</v>
      </c>
      <c r="O1013" s="37" t="n">
        <v>45565.4510763889</v>
      </c>
      <c r="P1013" s="22" t="n">
        <f aca="false">ROUND((O1013-C1013)*86400,0)</f>
        <v>4846</v>
      </c>
      <c r="Q1013" s="22" t="str">
        <f aca="false">IF(P1013&lt;10,"a) &lt;10s",IF(P1013&lt;60,"b) 10-60s",IF(P1013&lt;600,"c) 1-10min","d) &gt;10min")))</f>
        <v>d) &gt;10min</v>
      </c>
      <c r="R1013" s="38" t="n">
        <v>2653.18</v>
      </c>
      <c r="S1013" s="38" t="n">
        <v>2653.18</v>
      </c>
      <c r="T1013" s="22" t="s">
        <v>188</v>
      </c>
      <c r="U1013" s="39" t="n">
        <f aca="false">IF(R1013="","",IF(F1013="BUY",R1013-S1013,S1013-R1013))</f>
        <v>0</v>
      </c>
      <c r="V1013" s="39" t="n">
        <f aca="false">IF(F1013="BUY",S1013-J1013,J1013-S1013)</f>
        <v>-6</v>
      </c>
      <c r="W1013" s="6" t="n">
        <v>-30</v>
      </c>
      <c r="X1013" s="26" t="n">
        <f aca="false">IFERROR(W1013/N1013,0)</f>
        <v>-1</v>
      </c>
      <c r="Y1013" s="22" t="str">
        <f aca="false">IF(W1013&gt;0,"Win",IF(W1013&lt;0,"Loss","Flat"))</f>
        <v>Loss</v>
      </c>
      <c r="Z1013" s="24" t="n">
        <f aca="false">Summary!$C$5+SUM(W$2:W1013)</f>
        <v>3445.27</v>
      </c>
      <c r="AA1013" s="24" t="n">
        <f aca="false">MAX(AA1012,Z1013)</f>
        <v>5000</v>
      </c>
      <c r="AB1013" s="24" t="n">
        <f aca="false">AA1013-Z1013</f>
        <v>1554.73</v>
      </c>
      <c r="AC1013" s="23" t="n">
        <f aca="false">IFERROR(AB1013/AA1013,0)</f>
        <v>0.310946</v>
      </c>
      <c r="AD1013" s="22" t="s">
        <v>1250</v>
      </c>
    </row>
    <row r="1014" customFormat="false" ht="15" hidden="false" customHeight="false" outlineLevel="0" collapsed="false">
      <c r="A1014" s="22" t="n">
        <v>1013</v>
      </c>
      <c r="B1014" s="22" t="s">
        <v>149</v>
      </c>
      <c r="C1014" s="37" t="n">
        <v>45565.5639699074</v>
      </c>
      <c r="D1014" s="22" t="s">
        <v>202</v>
      </c>
      <c r="E1014" s="22" t="n">
        <v>13</v>
      </c>
      <c r="F1014" s="22" t="s">
        <v>182</v>
      </c>
      <c r="G1014" s="22" t="s">
        <v>237</v>
      </c>
      <c r="H1014" s="22" t="n">
        <v>0.05</v>
      </c>
      <c r="I1014" s="38" t="n">
        <v>2643.11</v>
      </c>
      <c r="J1014" s="38" t="n">
        <v>2643.07</v>
      </c>
      <c r="K1014" s="39" t="n">
        <f aca="false">IF(F1014="BUY",J1014-I1014,I1014-J1014)</f>
        <v>0.0399999999999636</v>
      </c>
      <c r="L1014" s="38" t="n">
        <v>2649.11</v>
      </c>
      <c r="M1014" s="39" t="n">
        <f aca="false">ABS(I1014-L1014)</f>
        <v>6</v>
      </c>
      <c r="N1014" s="24" t="n">
        <f aca="false">M1014*H1014*Summary!$C$6</f>
        <v>30</v>
      </c>
      <c r="O1014" s="37" t="n">
        <v>45565.6100810185</v>
      </c>
      <c r="P1014" s="22" t="n">
        <f aca="false">ROUND((O1014-C1014)*86400,0)</f>
        <v>3984</v>
      </c>
      <c r="Q1014" s="22" t="str">
        <f aca="false">IF(P1014&lt;10,"a) &lt;10s",IF(P1014&lt;60,"b) 10-60s",IF(P1014&lt;600,"c) 1-10min","d) &gt;10min")))</f>
        <v>d) &gt;10min</v>
      </c>
      <c r="R1014" s="38" t="n">
        <v>2642.57</v>
      </c>
      <c r="S1014" s="38" t="n">
        <v>2642.63</v>
      </c>
      <c r="T1014" s="22" t="s">
        <v>189</v>
      </c>
      <c r="U1014" s="39" t="n">
        <f aca="false">IF(R1014="","",IF(F1014="BUY",R1014-S1014,S1014-R1014))</f>
        <v>0.0599999999999454</v>
      </c>
      <c r="V1014" s="39" t="n">
        <f aca="false">IF(F1014="BUY",S1014-J1014,J1014-S1014)</f>
        <v>0.440000000000055</v>
      </c>
      <c r="W1014" s="6" t="n">
        <v>2.2</v>
      </c>
      <c r="X1014" s="26" t="n">
        <f aca="false">IFERROR(W1014/N1014,0)</f>
        <v>0.0733333333333333</v>
      </c>
      <c r="Y1014" s="22" t="str">
        <f aca="false">IF(W1014&gt;0,"Win",IF(W1014&lt;0,"Loss","Flat"))</f>
        <v>Win</v>
      </c>
      <c r="Z1014" s="24" t="n">
        <f aca="false">Summary!$C$5+SUM(W$2:W1014)</f>
        <v>3447.47</v>
      </c>
      <c r="AA1014" s="24" t="n">
        <f aca="false">MAX(AA1013,Z1014)</f>
        <v>5000</v>
      </c>
      <c r="AB1014" s="24" t="n">
        <f aca="false">AA1014-Z1014</f>
        <v>1552.53</v>
      </c>
      <c r="AC1014" s="23" t="n">
        <f aca="false">IFERROR(AB1014/AA1014,0)</f>
        <v>0.310506</v>
      </c>
      <c r="AD1014" s="22" t="s">
        <v>1251</v>
      </c>
    </row>
    <row r="1015" customFormat="false" ht="15" hidden="false" customHeight="false" outlineLevel="0" collapsed="false">
      <c r="A1015" s="22" t="n">
        <v>1014</v>
      </c>
      <c r="B1015" s="22" t="s">
        <v>150</v>
      </c>
      <c r="C1015" s="37" t="n">
        <v>45566.3753472222</v>
      </c>
      <c r="D1015" s="22" t="s">
        <v>203</v>
      </c>
      <c r="E1015" s="22" t="n">
        <v>9</v>
      </c>
      <c r="F1015" s="22" t="s">
        <v>181</v>
      </c>
      <c r="G1015" s="22" t="s">
        <v>235</v>
      </c>
      <c r="H1015" s="22" t="n">
        <v>0.05</v>
      </c>
      <c r="I1015" s="38" t="n">
        <v>2644.19</v>
      </c>
      <c r="J1015" s="38" t="n">
        <v>2644.22</v>
      </c>
      <c r="K1015" s="39" t="n">
        <f aca="false">IF(F1015="BUY",J1015-I1015,I1015-J1015)</f>
        <v>0.0299999999997453</v>
      </c>
      <c r="L1015" s="38" t="n">
        <v>2638.19</v>
      </c>
      <c r="M1015" s="39" t="n">
        <f aca="false">ABS(I1015-L1015)</f>
        <v>6</v>
      </c>
      <c r="N1015" s="24" t="n">
        <f aca="false">M1015*H1015*Summary!$C$6</f>
        <v>30</v>
      </c>
      <c r="O1015" s="37" t="n">
        <v>45566.4612731482</v>
      </c>
      <c r="P1015" s="22" t="n">
        <f aca="false">ROUND((O1015-C1015)*86400,0)</f>
        <v>7424</v>
      </c>
      <c r="Q1015" s="22" t="str">
        <f aca="false">IF(P1015&lt;10,"a) &lt;10s",IF(P1015&lt;60,"b) 10-60s",IF(P1015&lt;600,"c) 1-10min","d) &gt;10min")))</f>
        <v>d) &gt;10min</v>
      </c>
      <c r="R1015" s="38" t="n">
        <v>2644.72</v>
      </c>
      <c r="S1015" s="38" t="n">
        <v>2644.68</v>
      </c>
      <c r="T1015" s="22" t="s">
        <v>189</v>
      </c>
      <c r="U1015" s="39" t="n">
        <f aca="false">IF(R1015="","",IF(F1015="BUY",R1015-S1015,S1015-R1015))</f>
        <v>0.0399999999999636</v>
      </c>
      <c r="V1015" s="39" t="n">
        <f aca="false">IF(F1015="BUY",S1015-J1015,J1015-S1015)</f>
        <v>0.460000000000036</v>
      </c>
      <c r="W1015" s="6" t="n">
        <v>2.3</v>
      </c>
      <c r="X1015" s="26" t="n">
        <f aca="false">IFERROR(W1015/N1015,0)</f>
        <v>0.0766666666666667</v>
      </c>
      <c r="Y1015" s="22" t="str">
        <f aca="false">IF(W1015&gt;0,"Win",IF(W1015&lt;0,"Loss","Flat"))</f>
        <v>Win</v>
      </c>
      <c r="Z1015" s="24" t="n">
        <f aca="false">Summary!$C$5+SUM(W$2:W1015)</f>
        <v>3449.77</v>
      </c>
      <c r="AA1015" s="24" t="n">
        <f aca="false">MAX(AA1014,Z1015)</f>
        <v>5000</v>
      </c>
      <c r="AB1015" s="24" t="n">
        <f aca="false">AA1015-Z1015</f>
        <v>1550.23</v>
      </c>
      <c r="AC1015" s="23" t="n">
        <f aca="false">IFERROR(AB1015/AA1015,0)</f>
        <v>0.310046</v>
      </c>
      <c r="AD1015" s="22" t="s">
        <v>1252</v>
      </c>
    </row>
    <row r="1016" customFormat="false" ht="15" hidden="false" customHeight="false" outlineLevel="0" collapsed="false">
      <c r="A1016" s="22" t="n">
        <v>1015</v>
      </c>
      <c r="B1016" s="22" t="s">
        <v>150</v>
      </c>
      <c r="C1016" s="37" t="n">
        <v>45566.6906712963</v>
      </c>
      <c r="D1016" s="22" t="s">
        <v>203</v>
      </c>
      <c r="E1016" s="22" t="n">
        <v>16</v>
      </c>
      <c r="F1016" s="22" t="s">
        <v>181</v>
      </c>
      <c r="G1016" s="22" t="s">
        <v>243</v>
      </c>
      <c r="H1016" s="22" t="n">
        <v>0.05</v>
      </c>
      <c r="I1016" s="38" t="n">
        <v>2665.86</v>
      </c>
      <c r="J1016" s="38" t="n">
        <v>2665.86</v>
      </c>
      <c r="K1016" s="39" t="n">
        <f aca="false">IF(F1016="BUY",J1016-I1016,I1016-J1016)</f>
        <v>0</v>
      </c>
      <c r="L1016" s="38" t="n">
        <v>2659.86</v>
      </c>
      <c r="M1016" s="39" t="n">
        <f aca="false">ABS(I1016-L1016)</f>
        <v>6</v>
      </c>
      <c r="N1016" s="24" t="n">
        <f aca="false">M1016*H1016*Summary!$C$6</f>
        <v>30</v>
      </c>
      <c r="O1016" s="37" t="n">
        <v>45566.6933217593</v>
      </c>
      <c r="P1016" s="22" t="n">
        <f aca="false">ROUND((O1016-C1016)*86400,0)</f>
        <v>229</v>
      </c>
      <c r="Q1016" s="22" t="str">
        <f aca="false">IF(P1016&lt;10,"a) &lt;10s",IF(P1016&lt;60,"b) 10-60s",IF(P1016&lt;600,"c) 1-10min","d) &gt;10min")))</f>
        <v>c) 1-10min</v>
      </c>
      <c r="R1016" s="38" t="n">
        <v>2666.36</v>
      </c>
      <c r="S1016" s="38" t="n">
        <v>2666.26</v>
      </c>
      <c r="T1016" s="22" t="s">
        <v>189</v>
      </c>
      <c r="U1016" s="39" t="n">
        <f aca="false">IF(R1016="","",IF(F1016="BUY",R1016-S1016,S1016-R1016))</f>
        <v>0.0999999999999091</v>
      </c>
      <c r="V1016" s="39" t="n">
        <f aca="false">IF(F1016="BUY",S1016-J1016,J1016-S1016)</f>
        <v>0.400000000000091</v>
      </c>
      <c r="W1016" s="6" t="n">
        <v>2</v>
      </c>
      <c r="X1016" s="26" t="n">
        <f aca="false">IFERROR(W1016/N1016,0)</f>
        <v>0.0666666666666667</v>
      </c>
      <c r="Y1016" s="22" t="str">
        <f aca="false">IF(W1016&gt;0,"Win",IF(W1016&lt;0,"Loss","Flat"))</f>
        <v>Win</v>
      </c>
      <c r="Z1016" s="24" t="n">
        <f aca="false">Summary!$C$5+SUM(W$2:W1016)</f>
        <v>3451.77</v>
      </c>
      <c r="AA1016" s="24" t="n">
        <f aca="false">MAX(AA1015,Z1016)</f>
        <v>5000</v>
      </c>
      <c r="AB1016" s="24" t="n">
        <f aca="false">AA1016-Z1016</f>
        <v>1548.23</v>
      </c>
      <c r="AC1016" s="23" t="n">
        <f aca="false">IFERROR(AB1016/AA1016,0)</f>
        <v>0.309646</v>
      </c>
      <c r="AD1016" s="22" t="s">
        <v>1253</v>
      </c>
    </row>
    <row r="1017" customFormat="false" ht="15" hidden="false" customHeight="false" outlineLevel="0" collapsed="false">
      <c r="A1017" s="22" t="n">
        <v>1016</v>
      </c>
      <c r="B1017" s="22" t="s">
        <v>150</v>
      </c>
      <c r="C1017" s="37" t="n">
        <v>45567.6450115741</v>
      </c>
      <c r="D1017" s="22" t="s">
        <v>204</v>
      </c>
      <c r="E1017" s="22" t="n">
        <v>15</v>
      </c>
      <c r="F1017" s="22" t="s">
        <v>182</v>
      </c>
      <c r="G1017" s="22" t="s">
        <v>241</v>
      </c>
      <c r="H1017" s="22" t="n">
        <v>0.05</v>
      </c>
      <c r="I1017" s="38" t="n">
        <v>2644.4</v>
      </c>
      <c r="J1017" s="38" t="n">
        <v>2644.32</v>
      </c>
      <c r="K1017" s="39" t="n">
        <f aca="false">IF(F1017="BUY",J1017-I1017,I1017-J1017)</f>
        <v>0.0799999999999272</v>
      </c>
      <c r="L1017" s="38" t="n">
        <v>2650.4</v>
      </c>
      <c r="M1017" s="39" t="n">
        <f aca="false">ABS(I1017-L1017)</f>
        <v>6</v>
      </c>
      <c r="N1017" s="24" t="n">
        <f aca="false">M1017*H1017*Summary!$C$6</f>
        <v>30</v>
      </c>
      <c r="O1017" s="37" t="n">
        <v>45567.6484259259</v>
      </c>
      <c r="P1017" s="22" t="n">
        <f aca="false">ROUND((O1017-C1017)*86400,0)</f>
        <v>295</v>
      </c>
      <c r="Q1017" s="22" t="str">
        <f aca="false">IF(P1017&lt;10,"a) &lt;10s",IF(P1017&lt;60,"b) 10-60s",IF(P1017&lt;600,"c) 1-10min","d) &gt;10min")))</f>
        <v>c) 1-10min</v>
      </c>
      <c r="R1017" s="38" t="n">
        <v>2650.4</v>
      </c>
      <c r="S1017" s="38" t="n">
        <v>2650.43</v>
      </c>
      <c r="T1017" s="22" t="s">
        <v>188</v>
      </c>
      <c r="U1017" s="39" t="n">
        <f aca="false">IF(R1017="","",IF(F1017="BUY",R1017-S1017,S1017-R1017))</f>
        <v>0.0299999999997453</v>
      </c>
      <c r="V1017" s="39" t="n">
        <f aca="false">IF(F1017="BUY",S1017-J1017,J1017-S1017)</f>
        <v>-6.10999999999967</v>
      </c>
      <c r="W1017" s="6" t="n">
        <v>-30.55</v>
      </c>
      <c r="X1017" s="26" t="n">
        <f aca="false">IFERROR(W1017/N1017,0)</f>
        <v>-1.01833333333333</v>
      </c>
      <c r="Y1017" s="22" t="str">
        <f aca="false">IF(W1017&gt;0,"Win",IF(W1017&lt;0,"Loss","Flat"))</f>
        <v>Loss</v>
      </c>
      <c r="Z1017" s="24" t="n">
        <f aca="false">Summary!$C$5+SUM(W$2:W1017)</f>
        <v>3421.22</v>
      </c>
      <c r="AA1017" s="24" t="n">
        <f aca="false">MAX(AA1016,Z1017)</f>
        <v>5000</v>
      </c>
      <c r="AB1017" s="24" t="n">
        <f aca="false">AA1017-Z1017</f>
        <v>1578.78</v>
      </c>
      <c r="AC1017" s="23" t="n">
        <f aca="false">IFERROR(AB1017/AA1017,0)</f>
        <v>0.315756</v>
      </c>
      <c r="AD1017" s="22" t="s">
        <v>1254</v>
      </c>
    </row>
    <row r="1018" customFormat="false" ht="15" hidden="false" customHeight="false" outlineLevel="0" collapsed="false">
      <c r="A1018" s="22" t="n">
        <v>1017</v>
      </c>
      <c r="B1018" s="22" t="s">
        <v>150</v>
      </c>
      <c r="C1018" s="37" t="n">
        <v>45568.1313194444</v>
      </c>
      <c r="D1018" s="22" t="s">
        <v>205</v>
      </c>
      <c r="E1018" s="22" t="n">
        <v>3</v>
      </c>
      <c r="F1018" s="22" t="s">
        <v>181</v>
      </c>
      <c r="G1018" s="22" t="s">
        <v>243</v>
      </c>
      <c r="H1018" s="22" t="n">
        <v>0.05</v>
      </c>
      <c r="I1018" s="38" t="n">
        <v>2663.19</v>
      </c>
      <c r="J1018" s="38" t="n">
        <v>2663.21</v>
      </c>
      <c r="K1018" s="39" t="n">
        <f aca="false">IF(F1018="BUY",J1018-I1018,I1018-J1018)</f>
        <v>0.0199999999999818</v>
      </c>
      <c r="L1018" s="38" t="n">
        <v>2657.19</v>
      </c>
      <c r="M1018" s="39" t="n">
        <f aca="false">ABS(I1018-L1018)</f>
        <v>6</v>
      </c>
      <c r="N1018" s="24" t="n">
        <f aca="false">M1018*H1018*Summary!$C$6</f>
        <v>30</v>
      </c>
      <c r="O1018" s="37" t="n">
        <v>45568.1687037037</v>
      </c>
      <c r="P1018" s="22" t="n">
        <f aca="false">ROUND((O1018-C1018)*86400,0)</f>
        <v>3230</v>
      </c>
      <c r="Q1018" s="22" t="str">
        <f aca="false">IF(P1018&lt;10,"a) &lt;10s",IF(P1018&lt;60,"b) 10-60s",IF(P1018&lt;600,"c) 1-10min","d) &gt;10min")))</f>
        <v>d) &gt;10min</v>
      </c>
      <c r="R1018" s="38" t="n">
        <v>2657.19</v>
      </c>
      <c r="S1018" s="38" t="n">
        <v>2657.15</v>
      </c>
      <c r="T1018" s="22" t="s">
        <v>188</v>
      </c>
      <c r="U1018" s="39" t="n">
        <f aca="false">IF(R1018="","",IF(F1018="BUY",R1018-S1018,S1018-R1018))</f>
        <v>0.0399999999999636</v>
      </c>
      <c r="V1018" s="39" t="n">
        <f aca="false">IF(F1018="BUY",S1018-J1018,J1018-S1018)</f>
        <v>-6.05999999999995</v>
      </c>
      <c r="W1018" s="6" t="n">
        <v>-30.3</v>
      </c>
      <c r="X1018" s="26" t="n">
        <f aca="false">IFERROR(W1018/N1018,0)</f>
        <v>-1.01</v>
      </c>
      <c r="Y1018" s="22" t="str">
        <f aca="false">IF(W1018&gt;0,"Win",IF(W1018&lt;0,"Loss","Flat"))</f>
        <v>Loss</v>
      </c>
      <c r="Z1018" s="24" t="n">
        <f aca="false">Summary!$C$5+SUM(W$2:W1018)</f>
        <v>3390.92</v>
      </c>
      <c r="AA1018" s="24" t="n">
        <f aca="false">MAX(AA1017,Z1018)</f>
        <v>5000</v>
      </c>
      <c r="AB1018" s="24" t="n">
        <f aca="false">AA1018-Z1018</f>
        <v>1609.08</v>
      </c>
      <c r="AC1018" s="23" t="n">
        <f aca="false">IFERROR(AB1018/AA1018,0)</f>
        <v>0.321816</v>
      </c>
      <c r="AD1018" s="22" t="s">
        <v>1255</v>
      </c>
    </row>
    <row r="1019" customFormat="false" ht="15" hidden="false" customHeight="false" outlineLevel="0" collapsed="false">
      <c r="A1019" s="22" t="n">
        <v>1018</v>
      </c>
      <c r="B1019" s="22" t="s">
        <v>150</v>
      </c>
      <c r="C1019" s="37" t="n">
        <v>45568.378125</v>
      </c>
      <c r="D1019" s="22" t="s">
        <v>205</v>
      </c>
      <c r="E1019" s="22" t="n">
        <v>9</v>
      </c>
      <c r="F1019" s="22" t="s">
        <v>182</v>
      </c>
      <c r="G1019" s="22" t="s">
        <v>241</v>
      </c>
      <c r="H1019" s="22" t="n">
        <v>0.05</v>
      </c>
      <c r="I1019" s="38" t="n">
        <v>2651.77</v>
      </c>
      <c r="J1019" s="38" t="n">
        <v>2651.77</v>
      </c>
      <c r="K1019" s="39" t="n">
        <f aca="false">IF(F1019="BUY",J1019-I1019,I1019-J1019)</f>
        <v>0</v>
      </c>
      <c r="L1019" s="38" t="n">
        <v>2657.77</v>
      </c>
      <c r="M1019" s="39" t="n">
        <f aca="false">ABS(I1019-L1019)</f>
        <v>6</v>
      </c>
      <c r="N1019" s="24" t="n">
        <f aca="false">M1019*H1019*Summary!$C$6</f>
        <v>30</v>
      </c>
      <c r="O1019" s="37" t="n">
        <v>45568.4064351852</v>
      </c>
      <c r="P1019" s="22" t="n">
        <f aca="false">ROUND((O1019-C1019)*86400,0)</f>
        <v>2446</v>
      </c>
      <c r="Q1019" s="22" t="str">
        <f aca="false">IF(P1019&lt;10,"a) &lt;10s",IF(P1019&lt;60,"b) 10-60s",IF(P1019&lt;600,"c) 1-10min","d) &gt;10min")))</f>
        <v>d) &gt;10min</v>
      </c>
      <c r="R1019" s="38" t="n">
        <v>2657.77</v>
      </c>
      <c r="S1019" s="38" t="n">
        <v>2657.77</v>
      </c>
      <c r="T1019" s="22" t="s">
        <v>188</v>
      </c>
      <c r="U1019" s="39" t="n">
        <f aca="false">IF(R1019="","",IF(F1019="BUY",R1019-S1019,S1019-R1019))</f>
        <v>0</v>
      </c>
      <c r="V1019" s="39" t="n">
        <f aca="false">IF(F1019="BUY",S1019-J1019,J1019-S1019)</f>
        <v>-6</v>
      </c>
      <c r="W1019" s="6" t="n">
        <v>-30</v>
      </c>
      <c r="X1019" s="26" t="n">
        <f aca="false">IFERROR(W1019/N1019,0)</f>
        <v>-1</v>
      </c>
      <c r="Y1019" s="22" t="str">
        <f aca="false">IF(W1019&gt;0,"Win",IF(W1019&lt;0,"Loss","Flat"))</f>
        <v>Loss</v>
      </c>
      <c r="Z1019" s="24" t="n">
        <f aca="false">Summary!$C$5+SUM(W$2:W1019)</f>
        <v>3360.92</v>
      </c>
      <c r="AA1019" s="24" t="n">
        <f aca="false">MAX(AA1018,Z1019)</f>
        <v>5000</v>
      </c>
      <c r="AB1019" s="24" t="n">
        <f aca="false">AA1019-Z1019</f>
        <v>1639.08</v>
      </c>
      <c r="AC1019" s="23" t="n">
        <f aca="false">IFERROR(AB1019/AA1019,0)</f>
        <v>0.327816</v>
      </c>
      <c r="AD1019" s="22" t="s">
        <v>1256</v>
      </c>
    </row>
    <row r="1020" customFormat="false" ht="15" hidden="false" customHeight="false" outlineLevel="0" collapsed="false">
      <c r="A1020" s="22" t="n">
        <v>1019</v>
      </c>
      <c r="B1020" s="22" t="s">
        <v>150</v>
      </c>
      <c r="C1020" s="37" t="n">
        <v>45569.2372569444</v>
      </c>
      <c r="D1020" s="22" t="s">
        <v>206</v>
      </c>
      <c r="E1020" s="22" t="n">
        <v>5</v>
      </c>
      <c r="F1020" s="22" t="s">
        <v>181</v>
      </c>
      <c r="G1020" s="22" t="s">
        <v>243</v>
      </c>
      <c r="H1020" s="22" t="n">
        <v>0.05</v>
      </c>
      <c r="I1020" s="38" t="n">
        <v>2662.78</v>
      </c>
      <c r="J1020" s="38" t="n">
        <v>2662.81</v>
      </c>
      <c r="K1020" s="39" t="n">
        <f aca="false">IF(F1020="BUY",J1020-I1020,I1020-J1020)</f>
        <v>0.0299999999997453</v>
      </c>
      <c r="L1020" s="38" t="n">
        <v>2656.78</v>
      </c>
      <c r="M1020" s="39" t="n">
        <f aca="false">ABS(I1020-L1020)</f>
        <v>6</v>
      </c>
      <c r="N1020" s="24" t="n">
        <f aca="false">M1020*H1020*Summary!$C$6</f>
        <v>30</v>
      </c>
      <c r="O1020" s="37" t="n">
        <v>45569.322650463</v>
      </c>
      <c r="P1020" s="22" t="n">
        <f aca="false">ROUND((O1020-C1020)*86400,0)</f>
        <v>7378</v>
      </c>
      <c r="Q1020" s="22" t="str">
        <f aca="false">IF(P1020&lt;10,"a) &lt;10s",IF(P1020&lt;60,"b) 10-60s",IF(P1020&lt;600,"c) 1-10min","d) &gt;10min")))</f>
        <v>d) &gt;10min</v>
      </c>
      <c r="R1020" s="38" t="n">
        <v>2663.31</v>
      </c>
      <c r="S1020" s="38" t="n">
        <v>2663.31</v>
      </c>
      <c r="T1020" s="22" t="s">
        <v>189</v>
      </c>
      <c r="U1020" s="39" t="n">
        <f aca="false">IF(R1020="","",IF(F1020="BUY",R1020-S1020,S1020-R1020))</f>
        <v>0</v>
      </c>
      <c r="V1020" s="39" t="n">
        <f aca="false">IF(F1020="BUY",S1020-J1020,J1020-S1020)</f>
        <v>0.5</v>
      </c>
      <c r="W1020" s="6" t="n">
        <v>2.5</v>
      </c>
      <c r="X1020" s="26" t="n">
        <f aca="false">IFERROR(W1020/N1020,0)</f>
        <v>0.0833333333333333</v>
      </c>
      <c r="Y1020" s="22" t="str">
        <f aca="false">IF(W1020&gt;0,"Win",IF(W1020&lt;0,"Loss","Flat"))</f>
        <v>Win</v>
      </c>
      <c r="Z1020" s="24" t="n">
        <f aca="false">Summary!$C$5+SUM(W$2:W1020)</f>
        <v>3363.42</v>
      </c>
      <c r="AA1020" s="24" t="n">
        <f aca="false">MAX(AA1019,Z1020)</f>
        <v>5000</v>
      </c>
      <c r="AB1020" s="24" t="n">
        <f aca="false">AA1020-Z1020</f>
        <v>1636.58</v>
      </c>
      <c r="AC1020" s="23" t="n">
        <f aca="false">IFERROR(AB1020/AA1020,0)</f>
        <v>0.327316</v>
      </c>
      <c r="AD1020" s="22" t="s">
        <v>1257</v>
      </c>
    </row>
    <row r="1021" customFormat="false" ht="15" hidden="false" customHeight="false" outlineLevel="0" collapsed="false">
      <c r="A1021" s="22" t="n">
        <v>1020</v>
      </c>
      <c r="B1021" s="22" t="s">
        <v>150</v>
      </c>
      <c r="C1021" s="37" t="n">
        <v>45569.4154861111</v>
      </c>
      <c r="D1021" s="22" t="s">
        <v>206</v>
      </c>
      <c r="E1021" s="22" t="n">
        <v>9</v>
      </c>
      <c r="F1021" s="22" t="s">
        <v>182</v>
      </c>
      <c r="G1021" s="22" t="s">
        <v>241</v>
      </c>
      <c r="H1021" s="22" t="n">
        <v>0.05</v>
      </c>
      <c r="I1021" s="38" t="n">
        <v>2660.53</v>
      </c>
      <c r="J1021" s="38" t="n">
        <v>2660.41</v>
      </c>
      <c r="K1021" s="39" t="n">
        <f aca="false">IF(F1021="BUY",J1021-I1021,I1021-J1021)</f>
        <v>0.120000000000346</v>
      </c>
      <c r="L1021" s="38" t="n">
        <v>2666.53</v>
      </c>
      <c r="M1021" s="39" t="n">
        <f aca="false">ABS(I1021-L1021)</f>
        <v>6</v>
      </c>
      <c r="N1021" s="24" t="n">
        <f aca="false">M1021*H1021*Summary!$C$6</f>
        <v>30</v>
      </c>
      <c r="O1021" s="37" t="n">
        <v>45569.5546412037</v>
      </c>
      <c r="P1021" s="22" t="n">
        <f aca="false">ROUND((O1021-C1021)*86400,0)</f>
        <v>12023</v>
      </c>
      <c r="Q1021" s="22" t="str">
        <f aca="false">IF(P1021&lt;10,"a) &lt;10s",IF(P1021&lt;60,"b) 10-60s",IF(P1021&lt;600,"c) 1-10min","d) &gt;10min")))</f>
        <v>d) &gt;10min</v>
      </c>
      <c r="R1021" s="38" t="n">
        <v>2659.91</v>
      </c>
      <c r="S1021" s="38" t="n">
        <v>2659.96</v>
      </c>
      <c r="T1021" s="22" t="s">
        <v>189</v>
      </c>
      <c r="U1021" s="39" t="n">
        <f aca="false">IF(R1021="","",IF(F1021="BUY",R1021-S1021,S1021-R1021))</f>
        <v>0.0500000000001819</v>
      </c>
      <c r="V1021" s="39" t="n">
        <f aca="false">IF(F1021="BUY",S1021-J1021,J1021-S1021)</f>
        <v>0.449999999999818</v>
      </c>
      <c r="W1021" s="6" t="n">
        <v>2.25</v>
      </c>
      <c r="X1021" s="26" t="n">
        <f aca="false">IFERROR(W1021/N1021,0)</f>
        <v>0.075</v>
      </c>
      <c r="Y1021" s="22" t="str">
        <f aca="false">IF(W1021&gt;0,"Win",IF(W1021&lt;0,"Loss","Flat"))</f>
        <v>Win</v>
      </c>
      <c r="Z1021" s="24" t="n">
        <f aca="false">Summary!$C$5+SUM(W$2:W1021)</f>
        <v>3365.67</v>
      </c>
      <c r="AA1021" s="24" t="n">
        <f aca="false">MAX(AA1020,Z1021)</f>
        <v>5000</v>
      </c>
      <c r="AB1021" s="24" t="n">
        <f aca="false">AA1021-Z1021</f>
        <v>1634.33</v>
      </c>
      <c r="AC1021" s="23" t="n">
        <f aca="false">IFERROR(AB1021/AA1021,0)</f>
        <v>0.326866</v>
      </c>
      <c r="AD1021" s="22" t="s">
        <v>1258</v>
      </c>
    </row>
    <row r="1022" customFormat="false" ht="15" hidden="false" customHeight="false" outlineLevel="0" collapsed="false">
      <c r="A1022" s="22" t="n">
        <v>1021</v>
      </c>
      <c r="B1022" s="22" t="s">
        <v>150</v>
      </c>
      <c r="C1022" s="37" t="n">
        <v>45572.3783680556</v>
      </c>
      <c r="D1022" s="22" t="s">
        <v>202</v>
      </c>
      <c r="E1022" s="22" t="n">
        <v>9</v>
      </c>
      <c r="F1022" s="22" t="s">
        <v>182</v>
      </c>
      <c r="G1022" s="22" t="s">
        <v>241</v>
      </c>
      <c r="H1022" s="22" t="n">
        <v>0.05</v>
      </c>
      <c r="I1022" s="38" t="n">
        <v>2639.86</v>
      </c>
      <c r="J1022" s="38" t="n">
        <v>2639.86</v>
      </c>
      <c r="K1022" s="39" t="n">
        <f aca="false">IF(F1022="BUY",J1022-I1022,I1022-J1022)</f>
        <v>0</v>
      </c>
      <c r="L1022" s="38" t="n">
        <v>2645.86</v>
      </c>
      <c r="M1022" s="39" t="n">
        <f aca="false">ABS(I1022-L1022)</f>
        <v>6</v>
      </c>
      <c r="N1022" s="24" t="n">
        <f aca="false">M1022*H1022*Summary!$C$6</f>
        <v>30</v>
      </c>
      <c r="O1022" s="37" t="n">
        <v>45572.4217476852</v>
      </c>
      <c r="P1022" s="22" t="n">
        <f aca="false">ROUND((O1022-C1022)*86400,0)</f>
        <v>3748</v>
      </c>
      <c r="Q1022" s="22" t="str">
        <f aca="false">IF(P1022&lt;10,"a) &lt;10s",IF(P1022&lt;60,"b) 10-60s",IF(P1022&lt;600,"c) 1-10min","d) &gt;10min")))</f>
        <v>d) &gt;10min</v>
      </c>
      <c r="R1022" s="38" t="n">
        <v>2645.86</v>
      </c>
      <c r="S1022" s="38" t="n">
        <v>2645.89</v>
      </c>
      <c r="T1022" s="22" t="s">
        <v>188</v>
      </c>
      <c r="U1022" s="39" t="n">
        <f aca="false">IF(R1022="","",IF(F1022="BUY",R1022-S1022,S1022-R1022))</f>
        <v>0.0299999999997453</v>
      </c>
      <c r="V1022" s="39" t="n">
        <f aca="false">IF(F1022="BUY",S1022-J1022,J1022-S1022)</f>
        <v>-6.02999999999975</v>
      </c>
      <c r="W1022" s="6" t="n">
        <v>-30.15</v>
      </c>
      <c r="X1022" s="26" t="n">
        <f aca="false">IFERROR(W1022/N1022,0)</f>
        <v>-1.005</v>
      </c>
      <c r="Y1022" s="22" t="str">
        <f aca="false">IF(W1022&gt;0,"Win",IF(W1022&lt;0,"Loss","Flat"))</f>
        <v>Loss</v>
      </c>
      <c r="Z1022" s="24" t="n">
        <f aca="false">Summary!$C$5+SUM(W$2:W1022)</f>
        <v>3335.52</v>
      </c>
      <c r="AA1022" s="24" t="n">
        <f aca="false">MAX(AA1021,Z1022)</f>
        <v>5000</v>
      </c>
      <c r="AB1022" s="24" t="n">
        <f aca="false">AA1022-Z1022</f>
        <v>1664.48</v>
      </c>
      <c r="AC1022" s="23" t="n">
        <f aca="false">IFERROR(AB1022/AA1022,0)</f>
        <v>0.332896</v>
      </c>
      <c r="AD1022" s="22" t="s">
        <v>1259</v>
      </c>
    </row>
    <row r="1023" customFormat="false" ht="15" hidden="false" customHeight="false" outlineLevel="0" collapsed="false">
      <c r="A1023" s="22" t="n">
        <v>1022</v>
      </c>
      <c r="B1023" s="22" t="s">
        <v>150</v>
      </c>
      <c r="C1023" s="37" t="n">
        <v>45573.2289930556</v>
      </c>
      <c r="D1023" s="22" t="s">
        <v>203</v>
      </c>
      <c r="E1023" s="22" t="n">
        <v>5</v>
      </c>
      <c r="F1023" s="22" t="s">
        <v>182</v>
      </c>
      <c r="G1023" s="22" t="s">
        <v>237</v>
      </c>
      <c r="H1023" s="22" t="n">
        <v>0.05</v>
      </c>
      <c r="I1023" s="38" t="n">
        <v>2637.69</v>
      </c>
      <c r="J1023" s="38" t="n">
        <v>2637.64</v>
      </c>
      <c r="K1023" s="39" t="n">
        <f aca="false">IF(F1023="BUY",J1023-I1023,I1023-J1023)</f>
        <v>0.0500000000001819</v>
      </c>
      <c r="L1023" s="38" t="n">
        <v>2643.69</v>
      </c>
      <c r="M1023" s="39" t="n">
        <f aca="false">ABS(I1023-L1023)</f>
        <v>6</v>
      </c>
      <c r="N1023" s="24" t="n">
        <f aca="false">M1023*H1023*Summary!$C$6</f>
        <v>30</v>
      </c>
      <c r="O1023" s="37" t="n">
        <v>45573.2339467593</v>
      </c>
      <c r="P1023" s="22" t="n">
        <f aca="false">ROUND((O1023-C1023)*86400,0)</f>
        <v>428</v>
      </c>
      <c r="Q1023" s="22" t="str">
        <f aca="false">IF(P1023&lt;10,"a) &lt;10s",IF(P1023&lt;60,"b) 10-60s",IF(P1023&lt;600,"c) 1-10min","d) &gt;10min")))</f>
        <v>c) 1-10min</v>
      </c>
      <c r="R1023" s="38" t="n">
        <v>2637.14</v>
      </c>
      <c r="S1023" s="38" t="n">
        <v>2637.17</v>
      </c>
      <c r="T1023" s="22" t="s">
        <v>189</v>
      </c>
      <c r="U1023" s="39" t="n">
        <f aca="false">IF(R1023="","",IF(F1023="BUY",R1023-S1023,S1023-R1023))</f>
        <v>0.0300000000002001</v>
      </c>
      <c r="V1023" s="39" t="n">
        <f aca="false">IF(F1023="BUY",S1023-J1023,J1023-S1023)</f>
        <v>0.4699999999998</v>
      </c>
      <c r="W1023" s="6" t="n">
        <v>2.35</v>
      </c>
      <c r="X1023" s="26" t="n">
        <f aca="false">IFERROR(W1023/N1023,0)</f>
        <v>0.0783333333333333</v>
      </c>
      <c r="Y1023" s="22" t="str">
        <f aca="false">IF(W1023&gt;0,"Win",IF(W1023&lt;0,"Loss","Flat"))</f>
        <v>Win</v>
      </c>
      <c r="Z1023" s="24" t="n">
        <f aca="false">Summary!$C$5+SUM(W$2:W1023)</f>
        <v>3337.87</v>
      </c>
      <c r="AA1023" s="24" t="n">
        <f aca="false">MAX(AA1022,Z1023)</f>
        <v>5000</v>
      </c>
      <c r="AB1023" s="24" t="n">
        <f aca="false">AA1023-Z1023</f>
        <v>1662.13</v>
      </c>
      <c r="AC1023" s="23" t="n">
        <f aca="false">IFERROR(AB1023/AA1023,0)</f>
        <v>0.332426</v>
      </c>
      <c r="AD1023" s="22" t="s">
        <v>1260</v>
      </c>
    </row>
    <row r="1024" customFormat="false" ht="15" hidden="false" customHeight="false" outlineLevel="0" collapsed="false">
      <c r="A1024" s="22" t="n">
        <v>1023</v>
      </c>
      <c r="B1024" s="22" t="s">
        <v>150</v>
      </c>
      <c r="C1024" s="37" t="n">
        <v>45573.3762268519</v>
      </c>
      <c r="D1024" s="22" t="s">
        <v>203</v>
      </c>
      <c r="E1024" s="22" t="n">
        <v>9</v>
      </c>
      <c r="F1024" s="22" t="s">
        <v>181</v>
      </c>
      <c r="G1024" s="22" t="s">
        <v>235</v>
      </c>
      <c r="H1024" s="22" t="n">
        <v>0.05</v>
      </c>
      <c r="I1024" s="38" t="n">
        <v>2646.22</v>
      </c>
      <c r="J1024" s="38" t="n">
        <v>2646.26</v>
      </c>
      <c r="K1024" s="39" t="n">
        <f aca="false">IF(F1024="BUY",J1024-I1024,I1024-J1024)</f>
        <v>0.0400000000004184</v>
      </c>
      <c r="L1024" s="38" t="n">
        <v>2640.22</v>
      </c>
      <c r="M1024" s="39" t="n">
        <f aca="false">ABS(I1024-L1024)</f>
        <v>6</v>
      </c>
      <c r="N1024" s="24" t="n">
        <f aca="false">M1024*H1024*Summary!$C$6</f>
        <v>30</v>
      </c>
      <c r="O1024" s="37" t="n">
        <v>45573.3973958333</v>
      </c>
      <c r="P1024" s="22" t="n">
        <f aca="false">ROUND((O1024-C1024)*86400,0)</f>
        <v>1829</v>
      </c>
      <c r="Q1024" s="22" t="str">
        <f aca="false">IF(P1024&lt;10,"a) &lt;10s",IF(P1024&lt;60,"b) 10-60s",IF(P1024&lt;600,"c) 1-10min","d) &gt;10min")))</f>
        <v>d) &gt;10min</v>
      </c>
      <c r="R1024" s="38" t="n">
        <v>2640.22</v>
      </c>
      <c r="S1024" s="38" t="n">
        <v>2640.2</v>
      </c>
      <c r="T1024" s="22" t="s">
        <v>188</v>
      </c>
      <c r="U1024" s="39" t="n">
        <f aca="false">IF(R1024="","",IF(F1024="BUY",R1024-S1024,S1024-R1024))</f>
        <v>0.0199999999999818</v>
      </c>
      <c r="V1024" s="39" t="n">
        <f aca="false">IF(F1024="BUY",S1024-J1024,J1024-S1024)</f>
        <v>-6.0600000000004</v>
      </c>
      <c r="W1024" s="6" t="n">
        <v>-30.3</v>
      </c>
      <c r="X1024" s="26" t="n">
        <f aca="false">IFERROR(W1024/N1024,0)</f>
        <v>-1.01</v>
      </c>
      <c r="Y1024" s="22" t="str">
        <f aca="false">IF(W1024&gt;0,"Win",IF(W1024&lt;0,"Loss","Flat"))</f>
        <v>Loss</v>
      </c>
      <c r="Z1024" s="24" t="n">
        <f aca="false">Summary!$C$5+SUM(W$2:W1024)</f>
        <v>3307.57</v>
      </c>
      <c r="AA1024" s="24" t="n">
        <f aca="false">MAX(AA1023,Z1024)</f>
        <v>5000</v>
      </c>
      <c r="AB1024" s="24" t="n">
        <f aca="false">AA1024-Z1024</f>
        <v>1692.43</v>
      </c>
      <c r="AC1024" s="23" t="n">
        <f aca="false">IFERROR(AB1024/AA1024,0)</f>
        <v>0.338486</v>
      </c>
      <c r="AD1024" s="22" t="s">
        <v>1261</v>
      </c>
    </row>
    <row r="1025" customFormat="false" ht="15" hidden="false" customHeight="false" outlineLevel="0" collapsed="false">
      <c r="A1025" s="22" t="n">
        <v>1024</v>
      </c>
      <c r="B1025" s="22" t="s">
        <v>150</v>
      </c>
      <c r="C1025" s="37" t="n">
        <v>45574.3867708333</v>
      </c>
      <c r="D1025" s="22" t="s">
        <v>204</v>
      </c>
      <c r="E1025" s="22" t="n">
        <v>9</v>
      </c>
      <c r="F1025" s="22" t="s">
        <v>182</v>
      </c>
      <c r="G1025" s="22" t="s">
        <v>241</v>
      </c>
      <c r="H1025" s="22" t="n">
        <v>0.05</v>
      </c>
      <c r="I1025" s="38" t="n">
        <v>2615.36</v>
      </c>
      <c r="J1025" s="38" t="n">
        <v>2615.22</v>
      </c>
      <c r="K1025" s="39" t="n">
        <f aca="false">IF(F1025="BUY",J1025-I1025,I1025-J1025)</f>
        <v>0.140000000000327</v>
      </c>
      <c r="L1025" s="38" t="n">
        <v>2621.36</v>
      </c>
      <c r="M1025" s="39" t="n">
        <f aca="false">ABS(I1025-L1025)</f>
        <v>6</v>
      </c>
      <c r="N1025" s="24" t="n">
        <f aca="false">M1025*H1025*Summary!$C$6</f>
        <v>30</v>
      </c>
      <c r="O1025" s="37" t="n">
        <v>45574.4292361111</v>
      </c>
      <c r="P1025" s="22" t="n">
        <f aca="false">ROUND((O1025-C1025)*86400,0)</f>
        <v>3669</v>
      </c>
      <c r="Q1025" s="22" t="str">
        <f aca="false">IF(P1025&lt;10,"a) &lt;10s",IF(P1025&lt;60,"b) 10-60s",IF(P1025&lt;600,"c) 1-10min","d) &gt;10min")))</f>
        <v>d) &gt;10min</v>
      </c>
      <c r="R1025" s="38" t="n">
        <v>2614.72</v>
      </c>
      <c r="S1025" s="38" t="n">
        <v>2614.72</v>
      </c>
      <c r="T1025" s="22" t="s">
        <v>189</v>
      </c>
      <c r="U1025" s="39" t="n">
        <f aca="false">IF(R1025="","",IF(F1025="BUY",R1025-S1025,S1025-R1025))</f>
        <v>0</v>
      </c>
      <c r="V1025" s="39" t="n">
        <f aca="false">IF(F1025="BUY",S1025-J1025,J1025-S1025)</f>
        <v>0.5</v>
      </c>
      <c r="W1025" s="6" t="n">
        <v>2.5</v>
      </c>
      <c r="X1025" s="26" t="n">
        <f aca="false">IFERROR(W1025/N1025,0)</f>
        <v>0.0833333333333333</v>
      </c>
      <c r="Y1025" s="22" t="str">
        <f aca="false">IF(W1025&gt;0,"Win",IF(W1025&lt;0,"Loss","Flat"))</f>
        <v>Win</v>
      </c>
      <c r="Z1025" s="24" t="n">
        <f aca="false">Summary!$C$5+SUM(W$2:W1025)</f>
        <v>3310.07</v>
      </c>
      <c r="AA1025" s="24" t="n">
        <f aca="false">MAX(AA1024,Z1025)</f>
        <v>5000</v>
      </c>
      <c r="AB1025" s="24" t="n">
        <f aca="false">AA1025-Z1025</f>
        <v>1689.93</v>
      </c>
      <c r="AC1025" s="23" t="n">
        <f aca="false">IFERROR(AB1025/AA1025,0)</f>
        <v>0.337986</v>
      </c>
      <c r="AD1025" s="22" t="s">
        <v>1262</v>
      </c>
    </row>
    <row r="1026" customFormat="false" ht="15" hidden="false" customHeight="false" outlineLevel="0" collapsed="false">
      <c r="A1026" s="22" t="n">
        <v>1025</v>
      </c>
      <c r="B1026" s="22" t="s">
        <v>150</v>
      </c>
      <c r="C1026" s="37" t="n">
        <v>45575.3833101852</v>
      </c>
      <c r="D1026" s="22" t="s">
        <v>205</v>
      </c>
      <c r="E1026" s="22" t="n">
        <v>9</v>
      </c>
      <c r="F1026" s="22" t="s">
        <v>181</v>
      </c>
      <c r="G1026" s="22" t="s">
        <v>235</v>
      </c>
      <c r="H1026" s="22" t="n">
        <v>0.05</v>
      </c>
      <c r="I1026" s="38" t="n">
        <v>2615.4</v>
      </c>
      <c r="J1026" s="38" t="n">
        <v>2615.4</v>
      </c>
      <c r="K1026" s="39" t="n">
        <f aca="false">IF(F1026="BUY",J1026-I1026,I1026-J1026)</f>
        <v>0</v>
      </c>
      <c r="L1026" s="38" t="n">
        <v>2609.4</v>
      </c>
      <c r="M1026" s="39" t="n">
        <f aca="false">ABS(I1026-L1026)</f>
        <v>6</v>
      </c>
      <c r="N1026" s="24" t="n">
        <f aca="false">M1026*H1026*Summary!$C$6</f>
        <v>30</v>
      </c>
      <c r="O1026" s="37" t="n">
        <v>45575.5364930556</v>
      </c>
      <c r="P1026" s="22" t="n">
        <f aca="false">ROUND((O1026-C1026)*86400,0)</f>
        <v>13235</v>
      </c>
      <c r="Q1026" s="22" t="str">
        <f aca="false">IF(P1026&lt;10,"a) &lt;10s",IF(P1026&lt;60,"b) 10-60s",IF(P1026&lt;600,"c) 1-10min","d) &gt;10min")))</f>
        <v>d) &gt;10min</v>
      </c>
      <c r="R1026" s="38" t="n">
        <v>2615.9</v>
      </c>
      <c r="S1026" s="38" t="n">
        <v>2615.85</v>
      </c>
      <c r="T1026" s="22" t="s">
        <v>189</v>
      </c>
      <c r="U1026" s="39" t="n">
        <f aca="false">IF(R1026="","",IF(F1026="BUY",R1026-S1026,S1026-R1026))</f>
        <v>0.0500000000001819</v>
      </c>
      <c r="V1026" s="39" t="n">
        <f aca="false">IF(F1026="BUY",S1026-J1026,J1026-S1026)</f>
        <v>0.449999999999818</v>
      </c>
      <c r="W1026" s="6" t="n">
        <v>2.25</v>
      </c>
      <c r="X1026" s="26" t="n">
        <f aca="false">IFERROR(W1026/N1026,0)</f>
        <v>0.075</v>
      </c>
      <c r="Y1026" s="22" t="str">
        <f aca="false">IF(W1026&gt;0,"Win",IF(W1026&lt;0,"Loss","Flat"))</f>
        <v>Win</v>
      </c>
      <c r="Z1026" s="24" t="n">
        <f aca="false">Summary!$C$5+SUM(W$2:W1026)</f>
        <v>3312.32</v>
      </c>
      <c r="AA1026" s="24" t="n">
        <f aca="false">MAX(AA1025,Z1026)</f>
        <v>5000</v>
      </c>
      <c r="AB1026" s="24" t="n">
        <f aca="false">AA1026-Z1026</f>
        <v>1687.68</v>
      </c>
      <c r="AC1026" s="23" t="n">
        <f aca="false">IFERROR(AB1026/AA1026,0)</f>
        <v>0.337536</v>
      </c>
      <c r="AD1026" s="22" t="s">
        <v>1263</v>
      </c>
    </row>
    <row r="1027" customFormat="false" ht="15" hidden="false" customHeight="false" outlineLevel="0" collapsed="false">
      <c r="A1027" s="22" t="n">
        <v>1026</v>
      </c>
      <c r="B1027" s="22" t="s">
        <v>150</v>
      </c>
      <c r="C1027" s="37" t="n">
        <v>45575.6458449074</v>
      </c>
      <c r="D1027" s="22" t="s">
        <v>205</v>
      </c>
      <c r="E1027" s="22" t="n">
        <v>15</v>
      </c>
      <c r="F1027" s="22" t="s">
        <v>182</v>
      </c>
      <c r="G1027" s="22" t="s">
        <v>237</v>
      </c>
      <c r="H1027" s="22" t="n">
        <v>0.05</v>
      </c>
      <c r="I1027" s="38" t="n">
        <v>2605.05</v>
      </c>
      <c r="J1027" s="38" t="n">
        <v>2603.66</v>
      </c>
      <c r="K1027" s="39" t="n">
        <f aca="false">IF(F1027="BUY",J1027-I1027,I1027-J1027)</f>
        <v>1.39000000000033</v>
      </c>
      <c r="L1027" s="38" t="n">
        <v>2611.05</v>
      </c>
      <c r="M1027" s="39" t="n">
        <f aca="false">ABS(I1027-L1027)</f>
        <v>6</v>
      </c>
      <c r="N1027" s="24" t="n">
        <f aca="false">M1027*H1027*Summary!$C$6</f>
        <v>30</v>
      </c>
      <c r="O1027" s="37" t="n">
        <v>45575.6459375</v>
      </c>
      <c r="P1027" s="22" t="n">
        <f aca="false">ROUND((O1027-C1027)*86400,0)</f>
        <v>8</v>
      </c>
      <c r="Q1027" s="22" t="str">
        <f aca="false">IF(P1027&lt;10,"a) &lt;10s",IF(P1027&lt;60,"b) 10-60s",IF(P1027&lt;600,"c) 1-10min","d) &gt;10min")))</f>
        <v>a) &lt;10s</v>
      </c>
      <c r="R1027" s="38" t="n">
        <v>2611.05</v>
      </c>
      <c r="S1027" s="38" t="n">
        <v>2611.07</v>
      </c>
      <c r="T1027" s="22" t="s">
        <v>188</v>
      </c>
      <c r="U1027" s="39" t="n">
        <f aca="false">IF(R1027="","",IF(F1027="BUY",R1027-S1027,S1027-R1027))</f>
        <v>0.0199999999999818</v>
      </c>
      <c r="V1027" s="39" t="n">
        <f aca="false">IF(F1027="BUY",S1027-J1027,J1027-S1027)</f>
        <v>-7.41000000000031</v>
      </c>
      <c r="W1027" s="6" t="n">
        <v>-37.05</v>
      </c>
      <c r="X1027" s="26" t="n">
        <f aca="false">IFERROR(W1027/N1027,0)</f>
        <v>-1.235</v>
      </c>
      <c r="Y1027" s="22" t="str">
        <f aca="false">IF(W1027&gt;0,"Win",IF(W1027&lt;0,"Loss","Flat"))</f>
        <v>Loss</v>
      </c>
      <c r="Z1027" s="24" t="n">
        <f aca="false">Summary!$C$5+SUM(W$2:W1027)</f>
        <v>3275.27</v>
      </c>
      <c r="AA1027" s="24" t="n">
        <f aca="false">MAX(AA1026,Z1027)</f>
        <v>5000</v>
      </c>
      <c r="AB1027" s="24" t="n">
        <f aca="false">AA1027-Z1027</f>
        <v>1724.73</v>
      </c>
      <c r="AC1027" s="23" t="n">
        <f aca="false">IFERROR(AB1027/AA1027,0)</f>
        <v>0.344946</v>
      </c>
      <c r="AD1027" s="22" t="s">
        <v>1264</v>
      </c>
    </row>
    <row r="1028" customFormat="false" ht="15" hidden="false" customHeight="false" outlineLevel="0" collapsed="false">
      <c r="A1028" s="22" t="n">
        <v>1027</v>
      </c>
      <c r="B1028" s="22" t="s">
        <v>150</v>
      </c>
      <c r="C1028" s="37" t="n">
        <v>45576.09625</v>
      </c>
      <c r="D1028" s="22" t="s">
        <v>206</v>
      </c>
      <c r="E1028" s="22" t="n">
        <v>2</v>
      </c>
      <c r="F1028" s="22" t="s">
        <v>181</v>
      </c>
      <c r="G1028" s="22" t="s">
        <v>243</v>
      </c>
      <c r="H1028" s="22" t="n">
        <v>0.05</v>
      </c>
      <c r="I1028" s="38" t="n">
        <v>2631.44</v>
      </c>
      <c r="J1028" s="38" t="n">
        <v>2631.6</v>
      </c>
      <c r="K1028" s="39" t="n">
        <f aca="false">IF(F1028="BUY",J1028-I1028,I1028-J1028)</f>
        <v>0.159999999999854</v>
      </c>
      <c r="L1028" s="38" t="n">
        <v>2625.44</v>
      </c>
      <c r="M1028" s="39" t="n">
        <f aca="false">ABS(I1028-L1028)</f>
        <v>6</v>
      </c>
      <c r="N1028" s="24" t="n">
        <f aca="false">M1028*H1028*Summary!$C$6</f>
        <v>30</v>
      </c>
      <c r="O1028" s="37" t="n">
        <v>45576.1071412037</v>
      </c>
      <c r="P1028" s="22" t="n">
        <f aca="false">ROUND((O1028-C1028)*86400,0)</f>
        <v>941</v>
      </c>
      <c r="Q1028" s="22" t="str">
        <f aca="false">IF(P1028&lt;10,"a) &lt;10s",IF(P1028&lt;60,"b) 10-60s",IF(P1028&lt;600,"c) 1-10min","d) &gt;10min")))</f>
        <v>d) &gt;10min</v>
      </c>
      <c r="R1028" s="38" t="n">
        <v>2632.1</v>
      </c>
      <c r="S1028" s="38" t="n">
        <v>2632.06</v>
      </c>
      <c r="T1028" s="22" t="s">
        <v>189</v>
      </c>
      <c r="U1028" s="39" t="n">
        <f aca="false">IF(R1028="","",IF(F1028="BUY",R1028-S1028,S1028-R1028))</f>
        <v>0.0399999999999636</v>
      </c>
      <c r="V1028" s="39" t="n">
        <f aca="false">IF(F1028="BUY",S1028-J1028,J1028-S1028)</f>
        <v>0.460000000000036</v>
      </c>
      <c r="W1028" s="6" t="n">
        <v>2.3</v>
      </c>
      <c r="X1028" s="26" t="n">
        <f aca="false">IFERROR(W1028/N1028,0)</f>
        <v>0.0766666666666667</v>
      </c>
      <c r="Y1028" s="22" t="str">
        <f aca="false">IF(W1028&gt;0,"Win",IF(W1028&lt;0,"Loss","Flat"))</f>
        <v>Win</v>
      </c>
      <c r="Z1028" s="24" t="n">
        <f aca="false">Summary!$C$5+SUM(W$2:W1028)</f>
        <v>3277.57</v>
      </c>
      <c r="AA1028" s="24" t="n">
        <f aca="false">MAX(AA1027,Z1028)</f>
        <v>5000</v>
      </c>
      <c r="AB1028" s="24" t="n">
        <f aca="false">AA1028-Z1028</f>
        <v>1722.43</v>
      </c>
      <c r="AC1028" s="23" t="n">
        <f aca="false">IFERROR(AB1028/AA1028,0)</f>
        <v>0.344486</v>
      </c>
      <c r="AD1028" s="22" t="s">
        <v>1265</v>
      </c>
    </row>
    <row r="1029" customFormat="false" ht="15" hidden="false" customHeight="false" outlineLevel="0" collapsed="false">
      <c r="A1029" s="22" t="n">
        <v>1028</v>
      </c>
      <c r="B1029" s="22" t="s">
        <v>150</v>
      </c>
      <c r="C1029" s="37" t="n">
        <v>45576.3879166667</v>
      </c>
      <c r="D1029" s="22" t="s">
        <v>206</v>
      </c>
      <c r="E1029" s="22" t="n">
        <v>9</v>
      </c>
      <c r="F1029" s="22" t="s">
        <v>181</v>
      </c>
      <c r="G1029" s="22" t="s">
        <v>235</v>
      </c>
      <c r="H1029" s="22" t="n">
        <v>0.05</v>
      </c>
      <c r="I1029" s="38" t="n">
        <v>2645.93</v>
      </c>
      <c r="J1029" s="38" t="n">
        <v>2645.96</v>
      </c>
      <c r="K1029" s="39" t="n">
        <f aca="false">IF(F1029="BUY",J1029-I1029,I1029-J1029)</f>
        <v>0.0300000000002001</v>
      </c>
      <c r="L1029" s="38" t="n">
        <v>2639.93</v>
      </c>
      <c r="M1029" s="39" t="n">
        <f aca="false">ABS(I1029-L1029)</f>
        <v>6</v>
      </c>
      <c r="N1029" s="24" t="n">
        <f aca="false">M1029*H1029*Summary!$C$6</f>
        <v>30</v>
      </c>
      <c r="O1029" s="37" t="n">
        <v>45576.4048263889</v>
      </c>
      <c r="P1029" s="22" t="n">
        <f aca="false">ROUND((O1029-C1029)*86400,0)</f>
        <v>1461</v>
      </c>
      <c r="Q1029" s="22" t="str">
        <f aca="false">IF(P1029&lt;10,"a) &lt;10s",IF(P1029&lt;60,"b) 10-60s",IF(P1029&lt;600,"c) 1-10min","d) &gt;10min")))</f>
        <v>d) &gt;10min</v>
      </c>
      <c r="R1029" s="38" t="n">
        <v>2639.93</v>
      </c>
      <c r="S1029" s="38" t="n">
        <v>2639.85</v>
      </c>
      <c r="T1029" s="22" t="s">
        <v>188</v>
      </c>
      <c r="U1029" s="39" t="n">
        <f aca="false">IF(R1029="","",IF(F1029="BUY",R1029-S1029,S1029-R1029))</f>
        <v>0.0799999999999272</v>
      </c>
      <c r="V1029" s="39" t="n">
        <f aca="false">IF(F1029="BUY",S1029-J1029,J1029-S1029)</f>
        <v>-6.11000000000013</v>
      </c>
      <c r="W1029" s="6" t="n">
        <v>-30.55</v>
      </c>
      <c r="X1029" s="26" t="n">
        <f aca="false">IFERROR(W1029/N1029,0)</f>
        <v>-1.01833333333333</v>
      </c>
      <c r="Y1029" s="22" t="str">
        <f aca="false">IF(W1029&gt;0,"Win",IF(W1029&lt;0,"Loss","Flat"))</f>
        <v>Loss</v>
      </c>
      <c r="Z1029" s="24" t="n">
        <f aca="false">Summary!$C$5+SUM(W$2:W1029)</f>
        <v>3247.02</v>
      </c>
      <c r="AA1029" s="24" t="n">
        <f aca="false">MAX(AA1028,Z1029)</f>
        <v>5000</v>
      </c>
      <c r="AB1029" s="24" t="n">
        <f aca="false">AA1029-Z1029</f>
        <v>1752.98</v>
      </c>
      <c r="AC1029" s="23" t="n">
        <f aca="false">IFERROR(AB1029/AA1029,0)</f>
        <v>0.350596</v>
      </c>
      <c r="AD1029" s="22" t="s">
        <v>1266</v>
      </c>
    </row>
    <row r="1030" customFormat="false" ht="15" hidden="false" customHeight="false" outlineLevel="0" collapsed="false">
      <c r="A1030" s="22" t="n">
        <v>1029</v>
      </c>
      <c r="B1030" s="22" t="s">
        <v>150</v>
      </c>
      <c r="C1030" s="37" t="n">
        <v>45579.3893518519</v>
      </c>
      <c r="D1030" s="22" t="s">
        <v>202</v>
      </c>
      <c r="E1030" s="22" t="n">
        <v>9</v>
      </c>
      <c r="F1030" s="22" t="s">
        <v>181</v>
      </c>
      <c r="G1030" s="22" t="s">
        <v>235</v>
      </c>
      <c r="H1030" s="22" t="n">
        <v>0.05</v>
      </c>
      <c r="I1030" s="38" t="n">
        <v>2660.58</v>
      </c>
      <c r="J1030" s="38" t="n">
        <v>2660.71</v>
      </c>
      <c r="K1030" s="39" t="n">
        <f aca="false">IF(F1030="BUY",J1030-I1030,I1030-J1030)</f>
        <v>0.130000000000109</v>
      </c>
      <c r="L1030" s="38" t="n">
        <v>2654.58</v>
      </c>
      <c r="M1030" s="39" t="n">
        <f aca="false">ABS(I1030-L1030)</f>
        <v>6</v>
      </c>
      <c r="N1030" s="24" t="n">
        <f aca="false">M1030*H1030*Summary!$C$6</f>
        <v>30</v>
      </c>
      <c r="O1030" s="37" t="n">
        <v>45579.4352662037</v>
      </c>
      <c r="P1030" s="22" t="n">
        <f aca="false">ROUND((O1030-C1030)*86400,0)</f>
        <v>3967</v>
      </c>
      <c r="Q1030" s="22" t="str">
        <f aca="false">IF(P1030&lt;10,"a) &lt;10s",IF(P1030&lt;60,"b) 10-60s",IF(P1030&lt;600,"c) 1-10min","d) &gt;10min")))</f>
        <v>d) &gt;10min</v>
      </c>
      <c r="R1030" s="38" t="n">
        <v>2661.21</v>
      </c>
      <c r="S1030" s="38" t="n">
        <v>2661.17</v>
      </c>
      <c r="T1030" s="22" t="s">
        <v>189</v>
      </c>
      <c r="U1030" s="39" t="n">
        <f aca="false">IF(R1030="","",IF(F1030="BUY",R1030-S1030,S1030-R1030))</f>
        <v>0.0399999999999636</v>
      </c>
      <c r="V1030" s="39" t="n">
        <f aca="false">IF(F1030="BUY",S1030-J1030,J1030-S1030)</f>
        <v>0.460000000000036</v>
      </c>
      <c r="W1030" s="6" t="n">
        <v>2.3</v>
      </c>
      <c r="X1030" s="26" t="n">
        <f aca="false">IFERROR(W1030/N1030,0)</f>
        <v>0.0766666666666667</v>
      </c>
      <c r="Y1030" s="22" t="str">
        <f aca="false">IF(W1030&gt;0,"Win",IF(W1030&lt;0,"Loss","Flat"))</f>
        <v>Win</v>
      </c>
      <c r="Z1030" s="24" t="n">
        <f aca="false">Summary!$C$5+SUM(W$2:W1030)</f>
        <v>3249.32</v>
      </c>
      <c r="AA1030" s="24" t="n">
        <f aca="false">MAX(AA1029,Z1030)</f>
        <v>5000</v>
      </c>
      <c r="AB1030" s="24" t="n">
        <f aca="false">AA1030-Z1030</f>
        <v>1750.68</v>
      </c>
      <c r="AC1030" s="23" t="n">
        <f aca="false">IFERROR(AB1030/AA1030,0)</f>
        <v>0.350136</v>
      </c>
      <c r="AD1030" s="22" t="s">
        <v>1267</v>
      </c>
    </row>
    <row r="1031" customFormat="false" ht="15" hidden="false" customHeight="false" outlineLevel="0" collapsed="false">
      <c r="A1031" s="22" t="n">
        <v>1030</v>
      </c>
      <c r="B1031" s="22" t="s">
        <v>150</v>
      </c>
      <c r="C1031" s="37" t="n">
        <v>45580.3159837963</v>
      </c>
      <c r="D1031" s="22" t="s">
        <v>203</v>
      </c>
      <c r="E1031" s="22" t="n">
        <v>7</v>
      </c>
      <c r="F1031" s="22" t="s">
        <v>182</v>
      </c>
      <c r="G1031" s="22" t="s">
        <v>237</v>
      </c>
      <c r="H1031" s="22" t="n">
        <v>0.05</v>
      </c>
      <c r="I1031" s="38" t="n">
        <v>2643.06</v>
      </c>
      <c r="J1031" s="38" t="n">
        <v>2642.93</v>
      </c>
      <c r="K1031" s="39" t="n">
        <f aca="false">IF(F1031="BUY",J1031-I1031,I1031-J1031)</f>
        <v>0.130000000000109</v>
      </c>
      <c r="L1031" s="38" t="n">
        <v>2649.06</v>
      </c>
      <c r="M1031" s="39" t="n">
        <f aca="false">ABS(I1031-L1031)</f>
        <v>6</v>
      </c>
      <c r="N1031" s="24" t="n">
        <f aca="false">M1031*H1031*Summary!$C$6</f>
        <v>30</v>
      </c>
      <c r="O1031" s="37" t="n">
        <v>45580.3599768519</v>
      </c>
      <c r="P1031" s="22" t="n">
        <f aca="false">ROUND((O1031-C1031)*86400,0)</f>
        <v>3801</v>
      </c>
      <c r="Q1031" s="22" t="str">
        <f aca="false">IF(P1031&lt;10,"a) &lt;10s",IF(P1031&lt;60,"b) 10-60s",IF(P1031&lt;600,"c) 1-10min","d) &gt;10min")))</f>
        <v>d) &gt;10min</v>
      </c>
      <c r="R1031" s="38" t="n">
        <v>2642.43</v>
      </c>
      <c r="S1031" s="38" t="n">
        <v>2642.45</v>
      </c>
      <c r="T1031" s="22" t="s">
        <v>189</v>
      </c>
      <c r="U1031" s="39" t="n">
        <f aca="false">IF(R1031="","",IF(F1031="BUY",R1031-S1031,S1031-R1031))</f>
        <v>0.0199999999999818</v>
      </c>
      <c r="V1031" s="39" t="n">
        <f aca="false">IF(F1031="BUY",S1031-J1031,J1031-S1031)</f>
        <v>0.480000000000018</v>
      </c>
      <c r="W1031" s="6" t="n">
        <v>2.4</v>
      </c>
      <c r="X1031" s="26" t="n">
        <f aca="false">IFERROR(W1031/N1031,0)</f>
        <v>0.08</v>
      </c>
      <c r="Y1031" s="22" t="str">
        <f aca="false">IF(W1031&gt;0,"Win",IF(W1031&lt;0,"Loss","Flat"))</f>
        <v>Win</v>
      </c>
      <c r="Z1031" s="24" t="n">
        <f aca="false">Summary!$C$5+SUM(W$2:W1031)</f>
        <v>3251.72</v>
      </c>
      <c r="AA1031" s="24" t="n">
        <f aca="false">MAX(AA1030,Z1031)</f>
        <v>5000</v>
      </c>
      <c r="AB1031" s="24" t="n">
        <f aca="false">AA1031-Z1031</f>
        <v>1748.28</v>
      </c>
      <c r="AC1031" s="23" t="n">
        <f aca="false">IFERROR(AB1031/AA1031,0)</f>
        <v>0.349656</v>
      </c>
      <c r="AD1031" s="22" t="s">
        <v>1268</v>
      </c>
    </row>
    <row r="1032" customFormat="false" ht="15" hidden="false" customHeight="false" outlineLevel="0" collapsed="false">
      <c r="A1032" s="22" t="n">
        <v>1031</v>
      </c>
      <c r="B1032" s="22" t="s">
        <v>150</v>
      </c>
      <c r="C1032" s="37" t="n">
        <v>45580.3961226852</v>
      </c>
      <c r="D1032" s="22" t="s">
        <v>203</v>
      </c>
      <c r="E1032" s="22" t="n">
        <v>9</v>
      </c>
      <c r="F1032" s="22" t="s">
        <v>181</v>
      </c>
      <c r="G1032" s="22" t="s">
        <v>235</v>
      </c>
      <c r="H1032" s="22" t="n">
        <v>0.05</v>
      </c>
      <c r="I1032" s="38" t="n">
        <v>2645.56</v>
      </c>
      <c r="J1032" s="38" t="n">
        <v>2645.56</v>
      </c>
      <c r="K1032" s="39" t="n">
        <f aca="false">IF(F1032="BUY",J1032-I1032,I1032-J1032)</f>
        <v>0</v>
      </c>
      <c r="L1032" s="38" t="n">
        <v>2639.56</v>
      </c>
      <c r="M1032" s="39" t="n">
        <f aca="false">ABS(I1032-L1032)</f>
        <v>6</v>
      </c>
      <c r="N1032" s="24" t="n">
        <f aca="false">M1032*H1032*Summary!$C$6</f>
        <v>30</v>
      </c>
      <c r="O1032" s="37" t="n">
        <v>45580.4007523148</v>
      </c>
      <c r="P1032" s="22" t="n">
        <f aca="false">ROUND((O1032-C1032)*86400,0)</f>
        <v>400</v>
      </c>
      <c r="Q1032" s="22" t="str">
        <f aca="false">IF(P1032&lt;10,"a) &lt;10s",IF(P1032&lt;60,"b) 10-60s",IF(P1032&lt;600,"c) 1-10min","d) &gt;10min")))</f>
        <v>c) 1-10min</v>
      </c>
      <c r="R1032" s="38" t="n">
        <v>2646.06</v>
      </c>
      <c r="S1032" s="38" t="n">
        <v>2646.06</v>
      </c>
      <c r="T1032" s="22" t="s">
        <v>189</v>
      </c>
      <c r="U1032" s="39" t="n">
        <f aca="false">IF(R1032="","",IF(F1032="BUY",R1032-S1032,S1032-R1032))</f>
        <v>0</v>
      </c>
      <c r="V1032" s="39" t="n">
        <f aca="false">IF(F1032="BUY",S1032-J1032,J1032-S1032)</f>
        <v>0.5</v>
      </c>
      <c r="W1032" s="6" t="n">
        <v>2.5</v>
      </c>
      <c r="X1032" s="26" t="n">
        <f aca="false">IFERROR(W1032/N1032,0)</f>
        <v>0.0833333333333333</v>
      </c>
      <c r="Y1032" s="22" t="str">
        <f aca="false">IF(W1032&gt;0,"Win",IF(W1032&lt;0,"Loss","Flat"))</f>
        <v>Win</v>
      </c>
      <c r="Z1032" s="24" t="n">
        <f aca="false">Summary!$C$5+SUM(W$2:W1032)</f>
        <v>3254.22</v>
      </c>
      <c r="AA1032" s="24" t="n">
        <f aca="false">MAX(AA1031,Z1032)</f>
        <v>5000</v>
      </c>
      <c r="AB1032" s="24" t="n">
        <f aca="false">AA1032-Z1032</f>
        <v>1745.78</v>
      </c>
      <c r="AC1032" s="23" t="n">
        <f aca="false">IFERROR(AB1032/AA1032,0)</f>
        <v>0.349156</v>
      </c>
      <c r="AD1032" s="22" t="s">
        <v>1269</v>
      </c>
    </row>
    <row r="1033" customFormat="false" ht="15" hidden="false" customHeight="false" outlineLevel="0" collapsed="false">
      <c r="A1033" s="22" t="n">
        <v>1032</v>
      </c>
      <c r="B1033" s="22" t="s">
        <v>150</v>
      </c>
      <c r="C1033" s="37" t="n">
        <v>45581.2089351852</v>
      </c>
      <c r="D1033" s="22" t="s">
        <v>204</v>
      </c>
      <c r="E1033" s="22" t="n">
        <v>5</v>
      </c>
      <c r="F1033" s="22" t="s">
        <v>181</v>
      </c>
      <c r="G1033" s="22" t="s">
        <v>243</v>
      </c>
      <c r="H1033" s="22" t="n">
        <v>0.05</v>
      </c>
      <c r="I1033" s="38" t="n">
        <v>2668.81</v>
      </c>
      <c r="J1033" s="38" t="n">
        <v>2668.84</v>
      </c>
      <c r="K1033" s="39" t="n">
        <f aca="false">IF(F1033="BUY",J1033-I1033,I1033-J1033)</f>
        <v>0.0300000000002001</v>
      </c>
      <c r="L1033" s="38" t="n">
        <v>2662.81</v>
      </c>
      <c r="M1033" s="39" t="n">
        <f aca="false">ABS(I1033-L1033)</f>
        <v>6</v>
      </c>
      <c r="N1033" s="24" t="n">
        <f aca="false">M1033*H1033*Summary!$C$6</f>
        <v>30</v>
      </c>
      <c r="O1033" s="37" t="n">
        <v>45581.7524884259</v>
      </c>
      <c r="P1033" s="22" t="n">
        <f aca="false">ROUND((O1033-C1033)*86400,0)</f>
        <v>46963</v>
      </c>
      <c r="Q1033" s="22" t="str">
        <f aca="false">IF(P1033&lt;10,"a) &lt;10s",IF(P1033&lt;60,"b) 10-60s",IF(P1033&lt;600,"c) 1-10min","d) &gt;10min")))</f>
        <v>d) &gt;10min</v>
      </c>
      <c r="R1033" s="38" t="n">
        <v>2669.34</v>
      </c>
      <c r="S1033" s="38" t="n">
        <v>2669.23</v>
      </c>
      <c r="T1033" s="22" t="s">
        <v>189</v>
      </c>
      <c r="U1033" s="39" t="n">
        <f aca="false">IF(R1033="","",IF(F1033="BUY",R1033-S1033,S1033-R1033))</f>
        <v>0.110000000000127</v>
      </c>
      <c r="V1033" s="39" t="n">
        <f aca="false">IF(F1033="BUY",S1033-J1033,J1033-S1033)</f>
        <v>0.389999999999873</v>
      </c>
      <c r="W1033" s="6" t="n">
        <v>1.95</v>
      </c>
      <c r="X1033" s="26" t="n">
        <f aca="false">IFERROR(W1033/N1033,0)</f>
        <v>0.065</v>
      </c>
      <c r="Y1033" s="22" t="str">
        <f aca="false">IF(W1033&gt;0,"Win",IF(W1033&lt;0,"Loss","Flat"))</f>
        <v>Win</v>
      </c>
      <c r="Z1033" s="24" t="n">
        <f aca="false">Summary!$C$5+SUM(W$2:W1033)</f>
        <v>3256.17</v>
      </c>
      <c r="AA1033" s="24" t="n">
        <f aca="false">MAX(AA1032,Z1033)</f>
        <v>5000</v>
      </c>
      <c r="AB1033" s="24" t="n">
        <f aca="false">AA1033-Z1033</f>
        <v>1743.83</v>
      </c>
      <c r="AC1033" s="23" t="n">
        <f aca="false">IFERROR(AB1033/AA1033,0)</f>
        <v>0.348766</v>
      </c>
      <c r="AD1033" s="22" t="s">
        <v>1270</v>
      </c>
    </row>
    <row r="1034" customFormat="false" ht="15" hidden="false" customHeight="false" outlineLevel="0" collapsed="false">
      <c r="A1034" s="22" t="n">
        <v>1033</v>
      </c>
      <c r="B1034" s="22" t="s">
        <v>150</v>
      </c>
      <c r="C1034" s="37" t="n">
        <v>45582.3756597222</v>
      </c>
      <c r="D1034" s="22" t="s">
        <v>205</v>
      </c>
      <c r="E1034" s="22" t="n">
        <v>9</v>
      </c>
      <c r="F1034" s="22" t="s">
        <v>181</v>
      </c>
      <c r="G1034" s="22" t="s">
        <v>235</v>
      </c>
      <c r="H1034" s="22" t="n">
        <v>0.05</v>
      </c>
      <c r="I1034" s="38" t="n">
        <v>2684.2</v>
      </c>
      <c r="J1034" s="38" t="n">
        <v>2684.21</v>
      </c>
      <c r="K1034" s="39" t="n">
        <f aca="false">IF(F1034="BUY",J1034-I1034,I1034-J1034)</f>
        <v>0.0100000000002183</v>
      </c>
      <c r="L1034" s="38" t="n">
        <v>2678.2</v>
      </c>
      <c r="M1034" s="39" t="n">
        <f aca="false">ABS(I1034-L1034)</f>
        <v>6</v>
      </c>
      <c r="N1034" s="24" t="n">
        <f aca="false">M1034*H1034*Summary!$C$6</f>
        <v>30</v>
      </c>
      <c r="O1034" s="37" t="n">
        <v>45582.5131828704</v>
      </c>
      <c r="P1034" s="22" t="n">
        <f aca="false">ROUND((O1034-C1034)*86400,0)</f>
        <v>11882</v>
      </c>
      <c r="Q1034" s="22" t="str">
        <f aca="false">IF(P1034&lt;10,"a) &lt;10s",IF(P1034&lt;60,"b) 10-60s",IF(P1034&lt;600,"c) 1-10min","d) &gt;10min")))</f>
        <v>d) &gt;10min</v>
      </c>
      <c r="R1034" s="38" t="n">
        <v>2678.2</v>
      </c>
      <c r="S1034" s="38" t="n">
        <v>2678.15</v>
      </c>
      <c r="T1034" s="22" t="s">
        <v>188</v>
      </c>
      <c r="U1034" s="39" t="n">
        <f aca="false">IF(R1034="","",IF(F1034="BUY",R1034-S1034,S1034-R1034))</f>
        <v>0.0499999999997272</v>
      </c>
      <c r="V1034" s="39" t="n">
        <f aca="false">IF(F1034="BUY",S1034-J1034,J1034-S1034)</f>
        <v>-6.05999999999995</v>
      </c>
      <c r="W1034" s="6" t="n">
        <v>-30.3</v>
      </c>
      <c r="X1034" s="26" t="n">
        <f aca="false">IFERROR(W1034/N1034,0)</f>
        <v>-1.01</v>
      </c>
      <c r="Y1034" s="22" t="str">
        <f aca="false">IF(W1034&gt;0,"Win",IF(W1034&lt;0,"Loss","Flat"))</f>
        <v>Loss</v>
      </c>
      <c r="Z1034" s="24" t="n">
        <f aca="false">Summary!$C$5+SUM(W$2:W1034)</f>
        <v>3225.87</v>
      </c>
      <c r="AA1034" s="24" t="n">
        <f aca="false">MAX(AA1033,Z1034)</f>
        <v>5000</v>
      </c>
      <c r="AB1034" s="24" t="n">
        <f aca="false">AA1034-Z1034</f>
        <v>1774.13</v>
      </c>
      <c r="AC1034" s="23" t="n">
        <f aca="false">IFERROR(AB1034/AA1034,0)</f>
        <v>0.354826</v>
      </c>
      <c r="AD1034" s="22" t="s">
        <v>1271</v>
      </c>
    </row>
    <row r="1035" customFormat="false" ht="15" hidden="false" customHeight="false" outlineLevel="0" collapsed="false">
      <c r="A1035" s="22" t="n">
        <v>1034</v>
      </c>
      <c r="B1035" s="22" t="s">
        <v>150</v>
      </c>
      <c r="C1035" s="37" t="n">
        <v>45583.1709606482</v>
      </c>
      <c r="D1035" s="22" t="s">
        <v>206</v>
      </c>
      <c r="E1035" s="22" t="n">
        <v>4</v>
      </c>
      <c r="F1035" s="22" t="s">
        <v>181</v>
      </c>
      <c r="G1035" s="22" t="s">
        <v>243</v>
      </c>
      <c r="H1035" s="22" t="n">
        <v>0.05</v>
      </c>
      <c r="I1035" s="38" t="n">
        <v>2696.61</v>
      </c>
      <c r="J1035" s="38" t="n">
        <v>2696.63</v>
      </c>
      <c r="K1035" s="39" t="n">
        <f aca="false">IF(F1035="BUY",J1035-I1035,I1035-J1035)</f>
        <v>0.0199999999999818</v>
      </c>
      <c r="L1035" s="38" t="n">
        <v>2690.61</v>
      </c>
      <c r="M1035" s="39" t="n">
        <f aca="false">ABS(I1035-L1035)</f>
        <v>6</v>
      </c>
      <c r="N1035" s="24" t="n">
        <f aca="false">M1035*H1035*Summary!$C$6</f>
        <v>30</v>
      </c>
      <c r="O1035" s="37" t="n">
        <v>45583.9270833333</v>
      </c>
      <c r="P1035" s="22" t="n">
        <f aca="false">ROUND((O1035-C1035)*86400,0)</f>
        <v>65329</v>
      </c>
      <c r="Q1035" s="22" t="str">
        <f aca="false">IF(P1035&lt;10,"a) &lt;10s",IF(P1035&lt;60,"b) 10-60s",IF(P1035&lt;600,"c) 1-10min","d) &gt;10min")))</f>
        <v>d) &gt;10min</v>
      </c>
      <c r="R1035" s="38"/>
      <c r="S1035" s="38" t="n">
        <v>2718.65</v>
      </c>
      <c r="T1035" s="22" t="s">
        <v>191</v>
      </c>
      <c r="U1035" s="39" t="str">
        <f aca="false">IF(R1035="","",IF(F1035="BUY",R1035-S1035,S1035-R1035))</f>
        <v/>
      </c>
      <c r="V1035" s="39" t="n">
        <f aca="false">IF(F1035="BUY",S1035-J1035,J1035-S1035)</f>
        <v>22.02</v>
      </c>
      <c r="W1035" s="6" t="n">
        <v>110.1</v>
      </c>
      <c r="X1035" s="26" t="n">
        <f aca="false">IFERROR(W1035/N1035,0)</f>
        <v>3.67</v>
      </c>
      <c r="Y1035" s="22" t="str">
        <f aca="false">IF(W1035&gt;0,"Win",IF(W1035&lt;0,"Loss","Flat"))</f>
        <v>Win</v>
      </c>
      <c r="Z1035" s="24" t="n">
        <f aca="false">Summary!$C$5+SUM(W$2:W1035)</f>
        <v>3335.97</v>
      </c>
      <c r="AA1035" s="24" t="n">
        <f aca="false">MAX(AA1034,Z1035)</f>
        <v>5000</v>
      </c>
      <c r="AB1035" s="24" t="n">
        <f aca="false">AA1035-Z1035</f>
        <v>1664.03</v>
      </c>
      <c r="AC1035" s="23" t="n">
        <f aca="false">IFERROR(AB1035/AA1035,0)</f>
        <v>0.332806</v>
      </c>
      <c r="AD1035" s="22" t="s">
        <v>1272</v>
      </c>
    </row>
    <row r="1036" customFormat="false" ht="15" hidden="false" customHeight="false" outlineLevel="0" collapsed="false">
      <c r="A1036" s="22" t="n">
        <v>1035</v>
      </c>
      <c r="B1036" s="22" t="s">
        <v>150</v>
      </c>
      <c r="C1036" s="37" t="n">
        <v>45586.3750231482</v>
      </c>
      <c r="D1036" s="22" t="s">
        <v>202</v>
      </c>
      <c r="E1036" s="22" t="n">
        <v>9</v>
      </c>
      <c r="F1036" s="22" t="s">
        <v>182</v>
      </c>
      <c r="G1036" s="22" t="s">
        <v>241</v>
      </c>
      <c r="H1036" s="22" t="n">
        <v>0.05</v>
      </c>
      <c r="I1036" s="38" t="n">
        <v>2724.35</v>
      </c>
      <c r="J1036" s="38" t="n">
        <v>2724.35</v>
      </c>
      <c r="K1036" s="39" t="n">
        <f aca="false">IF(F1036="BUY",J1036-I1036,I1036-J1036)</f>
        <v>0</v>
      </c>
      <c r="L1036" s="38" t="n">
        <v>2730.35</v>
      </c>
      <c r="M1036" s="39" t="n">
        <f aca="false">ABS(I1036-L1036)</f>
        <v>6</v>
      </c>
      <c r="N1036" s="24" t="n">
        <f aca="false">M1036*H1036*Summary!$C$6</f>
        <v>30</v>
      </c>
      <c r="O1036" s="37" t="n">
        <v>45586.4129398148</v>
      </c>
      <c r="P1036" s="22" t="n">
        <f aca="false">ROUND((O1036-C1036)*86400,0)</f>
        <v>3276</v>
      </c>
      <c r="Q1036" s="22" t="str">
        <f aca="false">IF(P1036&lt;10,"a) &lt;10s",IF(P1036&lt;60,"b) 10-60s",IF(P1036&lt;600,"c) 1-10min","d) &gt;10min")))</f>
        <v>d) &gt;10min</v>
      </c>
      <c r="R1036" s="38" t="n">
        <v>2730.35</v>
      </c>
      <c r="S1036" s="38" t="n">
        <v>2730.35</v>
      </c>
      <c r="T1036" s="22" t="s">
        <v>188</v>
      </c>
      <c r="U1036" s="39" t="n">
        <f aca="false">IF(R1036="","",IF(F1036="BUY",R1036-S1036,S1036-R1036))</f>
        <v>0</v>
      </c>
      <c r="V1036" s="39" t="n">
        <f aca="false">IF(F1036="BUY",S1036-J1036,J1036-S1036)</f>
        <v>-6</v>
      </c>
      <c r="W1036" s="6" t="n">
        <v>-30</v>
      </c>
      <c r="X1036" s="26" t="n">
        <f aca="false">IFERROR(W1036/N1036,0)</f>
        <v>-1</v>
      </c>
      <c r="Y1036" s="22" t="str">
        <f aca="false">IF(W1036&gt;0,"Win",IF(W1036&lt;0,"Loss","Flat"))</f>
        <v>Loss</v>
      </c>
      <c r="Z1036" s="24" t="n">
        <f aca="false">Summary!$C$5+SUM(W$2:W1036)</f>
        <v>3305.97</v>
      </c>
      <c r="AA1036" s="24" t="n">
        <f aca="false">MAX(AA1035,Z1036)</f>
        <v>5000</v>
      </c>
      <c r="AB1036" s="24" t="n">
        <f aca="false">AA1036-Z1036</f>
        <v>1694.03</v>
      </c>
      <c r="AC1036" s="23" t="n">
        <f aca="false">IFERROR(AB1036/AA1036,0)</f>
        <v>0.338806</v>
      </c>
      <c r="AD1036" s="22" t="s">
        <v>1273</v>
      </c>
    </row>
    <row r="1037" customFormat="false" ht="15" hidden="false" customHeight="false" outlineLevel="0" collapsed="false">
      <c r="A1037" s="22" t="n">
        <v>1036</v>
      </c>
      <c r="B1037" s="22" t="s">
        <v>150</v>
      </c>
      <c r="C1037" s="37" t="n">
        <v>45587.3907291667</v>
      </c>
      <c r="D1037" s="22" t="s">
        <v>203</v>
      </c>
      <c r="E1037" s="22" t="n">
        <v>9</v>
      </c>
      <c r="F1037" s="22" t="s">
        <v>181</v>
      </c>
      <c r="G1037" s="22" t="s">
        <v>235</v>
      </c>
      <c r="H1037" s="22" t="n">
        <v>0.05</v>
      </c>
      <c r="I1037" s="38" t="n">
        <v>2735.82</v>
      </c>
      <c r="J1037" s="38" t="n">
        <v>2735.82</v>
      </c>
      <c r="K1037" s="39" t="n">
        <f aca="false">IF(F1037="BUY",J1037-I1037,I1037-J1037)</f>
        <v>0</v>
      </c>
      <c r="L1037" s="38" t="n">
        <v>2729.82</v>
      </c>
      <c r="M1037" s="39" t="n">
        <f aca="false">ABS(I1037-L1037)</f>
        <v>6</v>
      </c>
      <c r="N1037" s="24" t="n">
        <f aca="false">M1037*H1037*Summary!$C$6</f>
        <v>30</v>
      </c>
      <c r="O1037" s="37" t="n">
        <v>45587.4793518519</v>
      </c>
      <c r="P1037" s="22" t="n">
        <f aca="false">ROUND((O1037-C1037)*86400,0)</f>
        <v>7657</v>
      </c>
      <c r="Q1037" s="22" t="str">
        <f aca="false">IF(P1037&lt;10,"a) &lt;10s",IF(P1037&lt;60,"b) 10-60s",IF(P1037&lt;600,"c) 1-10min","d) &gt;10min")))</f>
        <v>d) &gt;10min</v>
      </c>
      <c r="R1037" s="38" t="n">
        <v>2736.32</v>
      </c>
      <c r="S1037" s="38" t="n">
        <v>2736.28</v>
      </c>
      <c r="T1037" s="22" t="s">
        <v>189</v>
      </c>
      <c r="U1037" s="39" t="n">
        <f aca="false">IF(R1037="","",IF(F1037="BUY",R1037-S1037,S1037-R1037))</f>
        <v>0.0399999999999636</v>
      </c>
      <c r="V1037" s="39" t="n">
        <f aca="false">IF(F1037="BUY",S1037-J1037,J1037-S1037)</f>
        <v>0.460000000000036</v>
      </c>
      <c r="W1037" s="6" t="n">
        <v>2.3</v>
      </c>
      <c r="X1037" s="26" t="n">
        <f aca="false">IFERROR(W1037/N1037,0)</f>
        <v>0.0766666666666667</v>
      </c>
      <c r="Y1037" s="22" t="str">
        <f aca="false">IF(W1037&gt;0,"Win",IF(W1037&lt;0,"Loss","Flat"))</f>
        <v>Win</v>
      </c>
      <c r="Z1037" s="24" t="n">
        <f aca="false">Summary!$C$5+SUM(W$2:W1037)</f>
        <v>3308.27</v>
      </c>
      <c r="AA1037" s="24" t="n">
        <f aca="false">MAX(AA1036,Z1037)</f>
        <v>5000</v>
      </c>
      <c r="AB1037" s="24" t="n">
        <f aca="false">AA1037-Z1037</f>
        <v>1691.73</v>
      </c>
      <c r="AC1037" s="23" t="n">
        <f aca="false">IFERROR(AB1037/AA1037,0)</f>
        <v>0.338346</v>
      </c>
      <c r="AD1037" s="22" t="s">
        <v>1274</v>
      </c>
    </row>
    <row r="1038" customFormat="false" ht="15" hidden="false" customHeight="false" outlineLevel="0" collapsed="false">
      <c r="A1038" s="22" t="n">
        <v>1037</v>
      </c>
      <c r="B1038" s="22" t="s">
        <v>150</v>
      </c>
      <c r="C1038" s="37" t="n">
        <v>45587.6808333333</v>
      </c>
      <c r="D1038" s="22" t="s">
        <v>203</v>
      </c>
      <c r="E1038" s="22" t="n">
        <v>16</v>
      </c>
      <c r="F1038" s="22" t="s">
        <v>181</v>
      </c>
      <c r="G1038" s="22" t="s">
        <v>243</v>
      </c>
      <c r="H1038" s="22" t="n">
        <v>0.05</v>
      </c>
      <c r="I1038" s="38" t="n">
        <v>2740.42</v>
      </c>
      <c r="J1038" s="38" t="n">
        <v>2740.48</v>
      </c>
      <c r="K1038" s="39" t="n">
        <f aca="false">IF(F1038="BUY",J1038-I1038,I1038-J1038)</f>
        <v>0.0599999999999454</v>
      </c>
      <c r="L1038" s="38" t="n">
        <v>2734.42</v>
      </c>
      <c r="M1038" s="39" t="n">
        <f aca="false">ABS(I1038-L1038)</f>
        <v>6</v>
      </c>
      <c r="N1038" s="24" t="n">
        <f aca="false">M1038*H1038*Summary!$C$6</f>
        <v>30</v>
      </c>
      <c r="O1038" s="37" t="n">
        <v>45587.7103472222</v>
      </c>
      <c r="P1038" s="22" t="n">
        <f aca="false">ROUND((O1038-C1038)*86400,0)</f>
        <v>2550</v>
      </c>
      <c r="Q1038" s="22" t="str">
        <f aca="false">IF(P1038&lt;10,"a) &lt;10s",IF(P1038&lt;60,"b) 10-60s",IF(P1038&lt;600,"c) 1-10min","d) &gt;10min")))</f>
        <v>d) &gt;10min</v>
      </c>
      <c r="R1038" s="38" t="n">
        <v>2734.42</v>
      </c>
      <c r="S1038" s="38" t="n">
        <v>2734.4</v>
      </c>
      <c r="T1038" s="22" t="s">
        <v>188</v>
      </c>
      <c r="U1038" s="39" t="n">
        <f aca="false">IF(R1038="","",IF(F1038="BUY",R1038-S1038,S1038-R1038))</f>
        <v>0.0199999999999818</v>
      </c>
      <c r="V1038" s="39" t="n">
        <f aca="false">IF(F1038="BUY",S1038-J1038,J1038-S1038)</f>
        <v>-6.07999999999993</v>
      </c>
      <c r="W1038" s="6" t="n">
        <v>-30.4</v>
      </c>
      <c r="X1038" s="26" t="n">
        <f aca="false">IFERROR(W1038/N1038,0)</f>
        <v>-1.01333333333333</v>
      </c>
      <c r="Y1038" s="22" t="str">
        <f aca="false">IF(W1038&gt;0,"Win",IF(W1038&lt;0,"Loss","Flat"))</f>
        <v>Loss</v>
      </c>
      <c r="Z1038" s="24" t="n">
        <f aca="false">Summary!$C$5+SUM(W$2:W1038)</f>
        <v>3277.87</v>
      </c>
      <c r="AA1038" s="24" t="n">
        <f aca="false">MAX(AA1037,Z1038)</f>
        <v>5000</v>
      </c>
      <c r="AB1038" s="24" t="n">
        <f aca="false">AA1038-Z1038</f>
        <v>1722.13</v>
      </c>
      <c r="AC1038" s="23" t="n">
        <f aca="false">IFERROR(AB1038/AA1038,0)</f>
        <v>0.344426</v>
      </c>
      <c r="AD1038" s="22" t="s">
        <v>1275</v>
      </c>
    </row>
    <row r="1039" customFormat="false" ht="15" hidden="false" customHeight="false" outlineLevel="0" collapsed="false">
      <c r="A1039" s="22" t="n">
        <v>1038</v>
      </c>
      <c r="B1039" s="22" t="s">
        <v>150</v>
      </c>
      <c r="C1039" s="37" t="n">
        <v>45588.3048726852</v>
      </c>
      <c r="D1039" s="22" t="s">
        <v>204</v>
      </c>
      <c r="E1039" s="22" t="n">
        <v>7</v>
      </c>
      <c r="F1039" s="22" t="s">
        <v>181</v>
      </c>
      <c r="G1039" s="22" t="s">
        <v>243</v>
      </c>
      <c r="H1039" s="22" t="n">
        <v>0.05</v>
      </c>
      <c r="I1039" s="38" t="n">
        <v>2748.78</v>
      </c>
      <c r="J1039" s="38" t="n">
        <v>2748.78</v>
      </c>
      <c r="K1039" s="39" t="n">
        <f aca="false">IF(F1039="BUY",J1039-I1039,I1039-J1039)</f>
        <v>0</v>
      </c>
      <c r="L1039" s="38" t="n">
        <v>2742.78</v>
      </c>
      <c r="M1039" s="39" t="n">
        <f aca="false">ABS(I1039-L1039)</f>
        <v>6</v>
      </c>
      <c r="N1039" s="24" t="n">
        <f aca="false">M1039*H1039*Summary!$C$6</f>
        <v>30</v>
      </c>
      <c r="O1039" s="37" t="n">
        <v>45588.3541898148</v>
      </c>
      <c r="P1039" s="22" t="n">
        <f aca="false">ROUND((O1039-C1039)*86400,0)</f>
        <v>4261</v>
      </c>
      <c r="Q1039" s="22" t="str">
        <f aca="false">IF(P1039&lt;10,"a) &lt;10s",IF(P1039&lt;60,"b) 10-60s",IF(P1039&lt;600,"c) 1-10min","d) &gt;10min")))</f>
        <v>d) &gt;10min</v>
      </c>
      <c r="R1039" s="38" t="n">
        <v>2749.28</v>
      </c>
      <c r="S1039" s="38" t="n">
        <v>2749.23</v>
      </c>
      <c r="T1039" s="22" t="s">
        <v>189</v>
      </c>
      <c r="U1039" s="39" t="n">
        <f aca="false">IF(R1039="","",IF(F1039="BUY",R1039-S1039,S1039-R1039))</f>
        <v>0.0500000000001819</v>
      </c>
      <c r="V1039" s="39" t="n">
        <f aca="false">IF(F1039="BUY",S1039-J1039,J1039-S1039)</f>
        <v>0.449999999999818</v>
      </c>
      <c r="W1039" s="6" t="n">
        <v>2.25</v>
      </c>
      <c r="X1039" s="26" t="n">
        <f aca="false">IFERROR(W1039/N1039,0)</f>
        <v>0.075</v>
      </c>
      <c r="Y1039" s="22" t="str">
        <f aca="false">IF(W1039&gt;0,"Win",IF(W1039&lt;0,"Loss","Flat"))</f>
        <v>Win</v>
      </c>
      <c r="Z1039" s="24" t="n">
        <f aca="false">Summary!$C$5+SUM(W$2:W1039)</f>
        <v>3280.12</v>
      </c>
      <c r="AA1039" s="24" t="n">
        <f aca="false">MAX(AA1038,Z1039)</f>
        <v>5000</v>
      </c>
      <c r="AB1039" s="24" t="n">
        <f aca="false">AA1039-Z1039</f>
        <v>1719.88</v>
      </c>
      <c r="AC1039" s="23" t="n">
        <f aca="false">IFERROR(AB1039/AA1039,0)</f>
        <v>0.343976</v>
      </c>
      <c r="AD1039" s="22" t="s">
        <v>1276</v>
      </c>
    </row>
    <row r="1040" customFormat="false" ht="15" hidden="false" customHeight="false" outlineLevel="0" collapsed="false">
      <c r="A1040" s="22" t="n">
        <v>1039</v>
      </c>
      <c r="B1040" s="22" t="s">
        <v>150</v>
      </c>
      <c r="C1040" s="37" t="n">
        <v>45588.3832523148</v>
      </c>
      <c r="D1040" s="22" t="s">
        <v>204</v>
      </c>
      <c r="E1040" s="22" t="n">
        <v>9</v>
      </c>
      <c r="F1040" s="22" t="s">
        <v>181</v>
      </c>
      <c r="G1040" s="22" t="s">
        <v>235</v>
      </c>
      <c r="H1040" s="22" t="n">
        <v>0.05</v>
      </c>
      <c r="I1040" s="38" t="n">
        <v>2753.02</v>
      </c>
      <c r="J1040" s="38" t="n">
        <v>2753.2</v>
      </c>
      <c r="K1040" s="39" t="n">
        <f aca="false">IF(F1040="BUY",J1040-I1040,I1040-J1040)</f>
        <v>0.179999999999836</v>
      </c>
      <c r="L1040" s="38" t="n">
        <v>2747.02</v>
      </c>
      <c r="M1040" s="39" t="n">
        <f aca="false">ABS(I1040-L1040)</f>
        <v>6</v>
      </c>
      <c r="N1040" s="24" t="n">
        <f aca="false">M1040*H1040*Summary!$C$6</f>
        <v>30</v>
      </c>
      <c r="O1040" s="37" t="n">
        <v>45588.5106597222</v>
      </c>
      <c r="P1040" s="22" t="n">
        <f aca="false">ROUND((O1040-C1040)*86400,0)</f>
        <v>11008</v>
      </c>
      <c r="Q1040" s="22" t="str">
        <f aca="false">IF(P1040&lt;10,"a) &lt;10s",IF(P1040&lt;60,"b) 10-60s",IF(P1040&lt;600,"c) 1-10min","d) &gt;10min")))</f>
        <v>d) &gt;10min</v>
      </c>
      <c r="R1040" s="38" t="n">
        <v>2753.7</v>
      </c>
      <c r="S1040" s="38" t="n">
        <v>2753.59</v>
      </c>
      <c r="T1040" s="22" t="s">
        <v>189</v>
      </c>
      <c r="U1040" s="39" t="n">
        <f aca="false">IF(R1040="","",IF(F1040="BUY",R1040-S1040,S1040-R1040))</f>
        <v>0.109999999999673</v>
      </c>
      <c r="V1040" s="39" t="n">
        <f aca="false">IF(F1040="BUY",S1040-J1040,J1040-S1040)</f>
        <v>0.390000000000327</v>
      </c>
      <c r="W1040" s="6" t="n">
        <v>1.95</v>
      </c>
      <c r="X1040" s="26" t="n">
        <f aca="false">IFERROR(W1040/N1040,0)</f>
        <v>0.065</v>
      </c>
      <c r="Y1040" s="22" t="str">
        <f aca="false">IF(W1040&gt;0,"Win",IF(W1040&lt;0,"Loss","Flat"))</f>
        <v>Win</v>
      </c>
      <c r="Z1040" s="24" t="n">
        <f aca="false">Summary!$C$5+SUM(W$2:W1040)</f>
        <v>3282.07</v>
      </c>
      <c r="AA1040" s="24" t="n">
        <f aca="false">MAX(AA1039,Z1040)</f>
        <v>5000</v>
      </c>
      <c r="AB1040" s="24" t="n">
        <f aca="false">AA1040-Z1040</f>
        <v>1717.93</v>
      </c>
      <c r="AC1040" s="23" t="n">
        <f aca="false">IFERROR(AB1040/AA1040,0)</f>
        <v>0.343586</v>
      </c>
      <c r="AD1040" s="22" t="s">
        <v>1277</v>
      </c>
    </row>
    <row r="1041" customFormat="false" ht="15" hidden="false" customHeight="false" outlineLevel="0" collapsed="false">
      <c r="A1041" s="22" t="n">
        <v>1040</v>
      </c>
      <c r="B1041" s="22" t="s">
        <v>150</v>
      </c>
      <c r="C1041" s="37" t="n">
        <v>45589.3762037037</v>
      </c>
      <c r="D1041" s="22" t="s">
        <v>205</v>
      </c>
      <c r="E1041" s="22" t="n">
        <v>9</v>
      </c>
      <c r="F1041" s="22" t="s">
        <v>181</v>
      </c>
      <c r="G1041" s="22" t="s">
        <v>235</v>
      </c>
      <c r="H1041" s="22" t="n">
        <v>0.05</v>
      </c>
      <c r="I1041" s="38" t="n">
        <v>2729.62</v>
      </c>
      <c r="J1041" s="38" t="n">
        <v>2729.66</v>
      </c>
      <c r="K1041" s="39" t="n">
        <f aca="false">IF(F1041="BUY",J1041-I1041,I1041-J1041)</f>
        <v>0.0399999999999636</v>
      </c>
      <c r="L1041" s="38" t="n">
        <v>2723.62</v>
      </c>
      <c r="M1041" s="39" t="n">
        <f aca="false">ABS(I1041-L1041)</f>
        <v>6</v>
      </c>
      <c r="N1041" s="24" t="n">
        <f aca="false">M1041*H1041*Summary!$C$6</f>
        <v>30</v>
      </c>
      <c r="O1041" s="37" t="n">
        <v>45589.7030902778</v>
      </c>
      <c r="P1041" s="22" t="n">
        <f aca="false">ROUND((O1041-C1041)*86400,0)</f>
        <v>28243</v>
      </c>
      <c r="Q1041" s="22" t="str">
        <f aca="false">IF(P1041&lt;10,"a) &lt;10s",IF(P1041&lt;60,"b) 10-60s",IF(P1041&lt;600,"c) 1-10min","d) &gt;10min")))</f>
        <v>d) &gt;10min</v>
      </c>
      <c r="R1041" s="38" t="n">
        <v>2730.16</v>
      </c>
      <c r="S1041" s="38" t="n">
        <v>2730.11</v>
      </c>
      <c r="T1041" s="22" t="s">
        <v>189</v>
      </c>
      <c r="U1041" s="39" t="n">
        <f aca="false">IF(R1041="","",IF(F1041="BUY",R1041-S1041,S1041-R1041))</f>
        <v>0.0499999999997272</v>
      </c>
      <c r="V1041" s="39" t="n">
        <f aca="false">IF(F1041="BUY",S1041-J1041,J1041-S1041)</f>
        <v>0.450000000000273</v>
      </c>
      <c r="W1041" s="6" t="n">
        <v>2.25</v>
      </c>
      <c r="X1041" s="26" t="n">
        <f aca="false">IFERROR(W1041/N1041,0)</f>
        <v>0.075</v>
      </c>
      <c r="Y1041" s="22" t="str">
        <f aca="false">IF(W1041&gt;0,"Win",IF(W1041&lt;0,"Loss","Flat"))</f>
        <v>Win</v>
      </c>
      <c r="Z1041" s="24" t="n">
        <f aca="false">Summary!$C$5+SUM(W$2:W1041)</f>
        <v>3284.32</v>
      </c>
      <c r="AA1041" s="24" t="n">
        <f aca="false">MAX(AA1040,Z1041)</f>
        <v>5000</v>
      </c>
      <c r="AB1041" s="24" t="n">
        <f aca="false">AA1041-Z1041</f>
        <v>1715.68</v>
      </c>
      <c r="AC1041" s="23" t="n">
        <f aca="false">IFERROR(AB1041/AA1041,0)</f>
        <v>0.343136</v>
      </c>
      <c r="AD1041" s="22" t="s">
        <v>1278</v>
      </c>
    </row>
    <row r="1042" customFormat="false" ht="15" hidden="false" customHeight="false" outlineLevel="0" collapsed="false">
      <c r="A1042" s="22" t="n">
        <v>1041</v>
      </c>
      <c r="B1042" s="22" t="s">
        <v>150</v>
      </c>
      <c r="C1042" s="37" t="n">
        <v>45590.3969212963</v>
      </c>
      <c r="D1042" s="22" t="s">
        <v>206</v>
      </c>
      <c r="E1042" s="22" t="n">
        <v>9</v>
      </c>
      <c r="F1042" s="22" t="s">
        <v>181</v>
      </c>
      <c r="G1042" s="22" t="s">
        <v>235</v>
      </c>
      <c r="H1042" s="22" t="n">
        <v>0.05</v>
      </c>
      <c r="I1042" s="38" t="n">
        <v>2729.64</v>
      </c>
      <c r="J1042" s="38" t="n">
        <v>2729.71</v>
      </c>
      <c r="K1042" s="39" t="n">
        <f aca="false">IF(F1042="BUY",J1042-I1042,I1042-J1042)</f>
        <v>0.0700000000001637</v>
      </c>
      <c r="L1042" s="38" t="n">
        <v>2723.64</v>
      </c>
      <c r="M1042" s="39" t="n">
        <f aca="false">ABS(I1042-L1042)</f>
        <v>6</v>
      </c>
      <c r="N1042" s="24" t="n">
        <f aca="false">M1042*H1042*Summary!$C$6</f>
        <v>30</v>
      </c>
      <c r="O1042" s="37" t="n">
        <v>45590.41875</v>
      </c>
      <c r="P1042" s="22" t="n">
        <f aca="false">ROUND((O1042-C1042)*86400,0)</f>
        <v>1886</v>
      </c>
      <c r="Q1042" s="22" t="str">
        <f aca="false">IF(P1042&lt;10,"a) &lt;10s",IF(P1042&lt;60,"b) 10-60s",IF(P1042&lt;600,"c) 1-10min","d) &gt;10min")))</f>
        <v>d) &gt;10min</v>
      </c>
      <c r="R1042" s="38" t="n">
        <v>2730.21</v>
      </c>
      <c r="S1042" s="38" t="n">
        <v>2730.16</v>
      </c>
      <c r="T1042" s="22" t="s">
        <v>189</v>
      </c>
      <c r="U1042" s="39" t="n">
        <f aca="false">IF(R1042="","",IF(F1042="BUY",R1042-S1042,S1042-R1042))</f>
        <v>0.0500000000001819</v>
      </c>
      <c r="V1042" s="39" t="n">
        <f aca="false">IF(F1042="BUY",S1042-J1042,J1042-S1042)</f>
        <v>0.449999999999818</v>
      </c>
      <c r="W1042" s="6" t="n">
        <v>2.25</v>
      </c>
      <c r="X1042" s="26" t="n">
        <f aca="false">IFERROR(W1042/N1042,0)</f>
        <v>0.075</v>
      </c>
      <c r="Y1042" s="22" t="str">
        <f aca="false">IF(W1042&gt;0,"Win",IF(W1042&lt;0,"Loss","Flat"))</f>
        <v>Win</v>
      </c>
      <c r="Z1042" s="24" t="n">
        <f aca="false">Summary!$C$5+SUM(W$2:W1042)</f>
        <v>3286.57</v>
      </c>
      <c r="AA1042" s="24" t="n">
        <f aca="false">MAX(AA1041,Z1042)</f>
        <v>5000</v>
      </c>
      <c r="AB1042" s="24" t="n">
        <f aca="false">AA1042-Z1042</f>
        <v>1713.43</v>
      </c>
      <c r="AC1042" s="23" t="n">
        <f aca="false">IFERROR(AB1042/AA1042,0)</f>
        <v>0.342686</v>
      </c>
      <c r="AD1042" s="22" t="s">
        <v>1279</v>
      </c>
    </row>
    <row r="1043" customFormat="false" ht="15" hidden="false" customHeight="false" outlineLevel="0" collapsed="false">
      <c r="A1043" s="22" t="n">
        <v>1042</v>
      </c>
      <c r="B1043" s="22" t="s">
        <v>150</v>
      </c>
      <c r="C1043" s="37" t="n">
        <v>45590.8691087963</v>
      </c>
      <c r="D1043" s="22" t="s">
        <v>206</v>
      </c>
      <c r="E1043" s="22" t="n">
        <v>20</v>
      </c>
      <c r="F1043" s="22" t="s">
        <v>181</v>
      </c>
      <c r="G1043" s="22" t="s">
        <v>243</v>
      </c>
      <c r="H1043" s="22" t="n">
        <v>0.05</v>
      </c>
      <c r="I1043" s="38" t="n">
        <v>2743.18</v>
      </c>
      <c r="J1043" s="38" t="n">
        <v>2743.32</v>
      </c>
      <c r="K1043" s="39" t="n">
        <f aca="false">IF(F1043="BUY",J1043-I1043,I1043-J1043)</f>
        <v>0.140000000000327</v>
      </c>
      <c r="L1043" s="38" t="n">
        <v>2737.18</v>
      </c>
      <c r="M1043" s="39" t="n">
        <f aca="false">ABS(I1043-L1043)</f>
        <v>6</v>
      </c>
      <c r="N1043" s="24" t="n">
        <f aca="false">M1043*H1043*Summary!$C$6</f>
        <v>30</v>
      </c>
      <c r="O1043" s="37" t="n">
        <v>45590.9270833333</v>
      </c>
      <c r="P1043" s="22" t="n">
        <f aca="false">ROUND((O1043-C1043)*86400,0)</f>
        <v>5009</v>
      </c>
      <c r="Q1043" s="22" t="str">
        <f aca="false">IF(P1043&lt;10,"a) &lt;10s",IF(P1043&lt;60,"b) 10-60s",IF(P1043&lt;600,"c) 1-10min","d) &gt;10min")))</f>
        <v>d) &gt;10min</v>
      </c>
      <c r="R1043" s="38"/>
      <c r="S1043" s="38" t="n">
        <v>2741.2</v>
      </c>
      <c r="T1043" s="22" t="s">
        <v>191</v>
      </c>
      <c r="U1043" s="39" t="str">
        <f aca="false">IF(R1043="","",IF(F1043="BUY",R1043-S1043,S1043-R1043))</f>
        <v/>
      </c>
      <c r="V1043" s="39" t="n">
        <f aca="false">IF(F1043="BUY",S1043-J1043,J1043-S1043)</f>
        <v>-2.12000000000035</v>
      </c>
      <c r="W1043" s="6" t="n">
        <v>-10.6</v>
      </c>
      <c r="X1043" s="26" t="n">
        <f aca="false">IFERROR(W1043/N1043,0)</f>
        <v>-0.353333333333333</v>
      </c>
      <c r="Y1043" s="22" t="str">
        <f aca="false">IF(W1043&gt;0,"Win",IF(W1043&lt;0,"Loss","Flat"))</f>
        <v>Loss</v>
      </c>
      <c r="Z1043" s="24" t="n">
        <f aca="false">Summary!$C$5+SUM(W$2:W1043)</f>
        <v>3275.97</v>
      </c>
      <c r="AA1043" s="24" t="n">
        <f aca="false">MAX(AA1042,Z1043)</f>
        <v>5000</v>
      </c>
      <c r="AB1043" s="24" t="n">
        <f aca="false">AA1043-Z1043</f>
        <v>1724.03</v>
      </c>
      <c r="AC1043" s="23" t="n">
        <f aca="false">IFERROR(AB1043/AA1043,0)</f>
        <v>0.344806</v>
      </c>
      <c r="AD1043" s="22" t="s">
        <v>1280</v>
      </c>
    </row>
    <row r="1044" customFormat="false" ht="15" hidden="false" customHeight="false" outlineLevel="0" collapsed="false">
      <c r="A1044" s="22" t="n">
        <v>1043</v>
      </c>
      <c r="B1044" s="22" t="s">
        <v>150</v>
      </c>
      <c r="C1044" s="37" t="n">
        <v>45593.5203935185</v>
      </c>
      <c r="D1044" s="22" t="s">
        <v>202</v>
      </c>
      <c r="E1044" s="22" t="n">
        <v>12</v>
      </c>
      <c r="F1044" s="22" t="s">
        <v>182</v>
      </c>
      <c r="G1044" s="22" t="s">
        <v>241</v>
      </c>
      <c r="H1044" s="22" t="n">
        <v>0.05</v>
      </c>
      <c r="I1044" s="38" t="n">
        <v>2729.05</v>
      </c>
      <c r="J1044" s="38" t="n">
        <v>2729.04</v>
      </c>
      <c r="K1044" s="39" t="n">
        <f aca="false">IF(F1044="BUY",J1044-I1044,I1044-J1044)</f>
        <v>0.0100000000002183</v>
      </c>
      <c r="L1044" s="38" t="n">
        <v>2735.05</v>
      </c>
      <c r="M1044" s="39" t="n">
        <f aca="false">ABS(I1044-L1044)</f>
        <v>6</v>
      </c>
      <c r="N1044" s="24" t="n">
        <f aca="false">M1044*H1044*Summary!$C$6</f>
        <v>30</v>
      </c>
      <c r="O1044" s="37" t="n">
        <v>45593.6349305556</v>
      </c>
      <c r="P1044" s="22" t="n">
        <f aca="false">ROUND((O1044-C1044)*86400,0)</f>
        <v>9896</v>
      </c>
      <c r="Q1044" s="22" t="str">
        <f aca="false">IF(P1044&lt;10,"a) &lt;10s",IF(P1044&lt;60,"b) 10-60s",IF(P1044&lt;600,"c) 1-10min","d) &gt;10min")))</f>
        <v>d) &gt;10min</v>
      </c>
      <c r="R1044" s="38" t="n">
        <v>2735.05</v>
      </c>
      <c r="S1044" s="38" t="n">
        <v>2735.08</v>
      </c>
      <c r="T1044" s="22" t="s">
        <v>188</v>
      </c>
      <c r="U1044" s="39" t="n">
        <f aca="false">IF(R1044="","",IF(F1044="BUY",R1044-S1044,S1044-R1044))</f>
        <v>0.0299999999997453</v>
      </c>
      <c r="V1044" s="39" t="n">
        <f aca="false">IF(F1044="BUY",S1044-J1044,J1044-S1044)</f>
        <v>-6.03999999999996</v>
      </c>
      <c r="W1044" s="6" t="n">
        <v>-30.2</v>
      </c>
      <c r="X1044" s="26" t="n">
        <f aca="false">IFERROR(W1044/N1044,0)</f>
        <v>-1.00666666666667</v>
      </c>
      <c r="Y1044" s="22" t="str">
        <f aca="false">IF(W1044&gt;0,"Win",IF(W1044&lt;0,"Loss","Flat"))</f>
        <v>Loss</v>
      </c>
      <c r="Z1044" s="24" t="n">
        <f aca="false">Summary!$C$5+SUM(W$2:W1044)</f>
        <v>3245.77</v>
      </c>
      <c r="AA1044" s="24" t="n">
        <f aca="false">MAX(AA1043,Z1044)</f>
        <v>5000</v>
      </c>
      <c r="AB1044" s="24" t="n">
        <f aca="false">AA1044-Z1044</f>
        <v>1754.23</v>
      </c>
      <c r="AC1044" s="23" t="n">
        <f aca="false">IFERROR(AB1044/AA1044,0)</f>
        <v>0.350846</v>
      </c>
      <c r="AD1044" s="22" t="s">
        <v>1281</v>
      </c>
    </row>
    <row r="1045" customFormat="false" ht="15" hidden="false" customHeight="false" outlineLevel="0" collapsed="false">
      <c r="A1045" s="22" t="n">
        <v>1044</v>
      </c>
      <c r="B1045" s="22" t="s">
        <v>150</v>
      </c>
      <c r="C1045" s="37" t="n">
        <v>45594.1465625</v>
      </c>
      <c r="D1045" s="22" t="s">
        <v>203</v>
      </c>
      <c r="E1045" s="22" t="n">
        <v>3</v>
      </c>
      <c r="F1045" s="22" t="s">
        <v>181</v>
      </c>
      <c r="G1045" s="22" t="s">
        <v>243</v>
      </c>
      <c r="H1045" s="22" t="n">
        <v>0.05</v>
      </c>
      <c r="I1045" s="38" t="n">
        <v>2745.79</v>
      </c>
      <c r="J1045" s="38" t="n">
        <v>2745.79</v>
      </c>
      <c r="K1045" s="39" t="n">
        <f aca="false">IF(F1045="BUY",J1045-I1045,I1045-J1045)</f>
        <v>0</v>
      </c>
      <c r="L1045" s="38" t="n">
        <v>2739.79</v>
      </c>
      <c r="M1045" s="39" t="n">
        <f aca="false">ABS(I1045-L1045)</f>
        <v>6</v>
      </c>
      <c r="N1045" s="24" t="n">
        <f aca="false">M1045*H1045*Summary!$C$6</f>
        <v>30</v>
      </c>
      <c r="O1045" s="37" t="n">
        <v>45594.4771180556</v>
      </c>
      <c r="P1045" s="22" t="n">
        <f aca="false">ROUND((O1045-C1045)*86400,0)</f>
        <v>28560</v>
      </c>
      <c r="Q1045" s="22" t="str">
        <f aca="false">IF(P1045&lt;10,"a) &lt;10s",IF(P1045&lt;60,"b) 10-60s",IF(P1045&lt;600,"c) 1-10min","d) &gt;10min")))</f>
        <v>d) &gt;10min</v>
      </c>
      <c r="R1045" s="38" t="n">
        <v>2746.29</v>
      </c>
      <c r="S1045" s="38" t="n">
        <v>2746.27</v>
      </c>
      <c r="T1045" s="22" t="s">
        <v>189</v>
      </c>
      <c r="U1045" s="39" t="n">
        <f aca="false">IF(R1045="","",IF(F1045="BUY",R1045-S1045,S1045-R1045))</f>
        <v>0.0199999999999818</v>
      </c>
      <c r="V1045" s="39" t="n">
        <f aca="false">IF(F1045="BUY",S1045-J1045,J1045-S1045)</f>
        <v>0.480000000000018</v>
      </c>
      <c r="W1045" s="6" t="n">
        <v>2.4</v>
      </c>
      <c r="X1045" s="26" t="n">
        <f aca="false">IFERROR(W1045/N1045,0)</f>
        <v>0.08</v>
      </c>
      <c r="Y1045" s="22" t="str">
        <f aca="false">IF(W1045&gt;0,"Win",IF(W1045&lt;0,"Loss","Flat"))</f>
        <v>Win</v>
      </c>
      <c r="Z1045" s="24" t="n">
        <f aca="false">Summary!$C$5+SUM(W$2:W1045)</f>
        <v>3248.17</v>
      </c>
      <c r="AA1045" s="24" t="n">
        <f aca="false">MAX(AA1044,Z1045)</f>
        <v>5000</v>
      </c>
      <c r="AB1045" s="24" t="n">
        <f aca="false">AA1045-Z1045</f>
        <v>1751.83</v>
      </c>
      <c r="AC1045" s="23" t="n">
        <f aca="false">IFERROR(AB1045/AA1045,0)</f>
        <v>0.350366</v>
      </c>
      <c r="AD1045" s="22" t="s">
        <v>1282</v>
      </c>
    </row>
    <row r="1046" customFormat="false" ht="15" hidden="false" customHeight="false" outlineLevel="0" collapsed="false">
      <c r="A1046" s="22" t="n">
        <v>1045</v>
      </c>
      <c r="B1046" s="22" t="s">
        <v>150</v>
      </c>
      <c r="C1046" s="37" t="n">
        <v>45594.5146759259</v>
      </c>
      <c r="D1046" s="22" t="s">
        <v>203</v>
      </c>
      <c r="E1046" s="22" t="n">
        <v>12</v>
      </c>
      <c r="F1046" s="22" t="s">
        <v>181</v>
      </c>
      <c r="G1046" s="22" t="s">
        <v>235</v>
      </c>
      <c r="H1046" s="22" t="n">
        <v>0.05</v>
      </c>
      <c r="I1046" s="38" t="n">
        <v>2756.72</v>
      </c>
      <c r="J1046" s="38" t="n">
        <v>2756.74</v>
      </c>
      <c r="K1046" s="39" t="n">
        <f aca="false">IF(F1046="BUY",J1046-I1046,I1046-J1046)</f>
        <v>0.0199999999999818</v>
      </c>
      <c r="L1046" s="38" t="n">
        <v>2750.72</v>
      </c>
      <c r="M1046" s="39" t="n">
        <f aca="false">ABS(I1046-L1046)</f>
        <v>6</v>
      </c>
      <c r="N1046" s="24" t="n">
        <f aca="false">M1046*H1046*Summary!$C$6</f>
        <v>30</v>
      </c>
      <c r="O1046" s="37" t="n">
        <v>45594.5389467593</v>
      </c>
      <c r="P1046" s="22" t="n">
        <f aca="false">ROUND((O1046-C1046)*86400,0)</f>
        <v>2097</v>
      </c>
      <c r="Q1046" s="22" t="str">
        <f aca="false">IF(P1046&lt;10,"a) &lt;10s",IF(P1046&lt;60,"b) 10-60s",IF(P1046&lt;600,"c) 1-10min","d) &gt;10min")))</f>
        <v>d) &gt;10min</v>
      </c>
      <c r="R1046" s="38" t="n">
        <v>2750.72</v>
      </c>
      <c r="S1046" s="38" t="n">
        <v>2750.72</v>
      </c>
      <c r="T1046" s="22" t="s">
        <v>188</v>
      </c>
      <c r="U1046" s="39" t="n">
        <f aca="false">IF(R1046="","",IF(F1046="BUY",R1046-S1046,S1046-R1046))</f>
        <v>0</v>
      </c>
      <c r="V1046" s="39" t="n">
        <f aca="false">IF(F1046="BUY",S1046-J1046,J1046-S1046)</f>
        <v>-6.01999999999998</v>
      </c>
      <c r="W1046" s="6" t="n">
        <v>-30.1</v>
      </c>
      <c r="X1046" s="26" t="n">
        <f aca="false">IFERROR(W1046/N1046,0)</f>
        <v>-1.00333333333333</v>
      </c>
      <c r="Y1046" s="22" t="str">
        <f aca="false">IF(W1046&gt;0,"Win",IF(W1046&lt;0,"Loss","Flat"))</f>
        <v>Loss</v>
      </c>
      <c r="Z1046" s="24" t="n">
        <f aca="false">Summary!$C$5+SUM(W$2:W1046)</f>
        <v>3218.07</v>
      </c>
      <c r="AA1046" s="24" t="n">
        <f aca="false">MAX(AA1045,Z1046)</f>
        <v>5000</v>
      </c>
      <c r="AB1046" s="24" t="n">
        <f aca="false">AA1046-Z1046</f>
        <v>1781.93</v>
      </c>
      <c r="AC1046" s="23" t="n">
        <f aca="false">IFERROR(AB1046/AA1046,0)</f>
        <v>0.356386</v>
      </c>
      <c r="AD1046" s="22" t="s">
        <v>1283</v>
      </c>
    </row>
    <row r="1047" customFormat="false" ht="15" hidden="false" customHeight="false" outlineLevel="0" collapsed="false">
      <c r="A1047" s="22" t="n">
        <v>1046</v>
      </c>
      <c r="B1047" s="22" t="s">
        <v>150</v>
      </c>
      <c r="C1047" s="37" t="n">
        <v>45595.0593518519</v>
      </c>
      <c r="D1047" s="22" t="s">
        <v>204</v>
      </c>
      <c r="E1047" s="22" t="n">
        <v>1</v>
      </c>
      <c r="F1047" s="22" t="s">
        <v>181</v>
      </c>
      <c r="G1047" s="22" t="s">
        <v>243</v>
      </c>
      <c r="H1047" s="22" t="n">
        <v>0.05</v>
      </c>
      <c r="I1047" s="38" t="n">
        <v>2774.72</v>
      </c>
      <c r="J1047" s="38" t="n">
        <v>2774.73</v>
      </c>
      <c r="K1047" s="39" t="n">
        <f aca="false">IF(F1047="BUY",J1047-I1047,I1047-J1047)</f>
        <v>0.0100000000002183</v>
      </c>
      <c r="L1047" s="38" t="n">
        <v>2768.72</v>
      </c>
      <c r="M1047" s="39" t="n">
        <f aca="false">ABS(I1047-L1047)</f>
        <v>6</v>
      </c>
      <c r="N1047" s="24" t="n">
        <f aca="false">M1047*H1047*Summary!$C$6</f>
        <v>30</v>
      </c>
      <c r="O1047" s="37" t="n">
        <v>45595.6354282407</v>
      </c>
      <c r="P1047" s="22" t="n">
        <f aca="false">ROUND((O1047-C1047)*86400,0)</f>
        <v>49773</v>
      </c>
      <c r="Q1047" s="22" t="str">
        <f aca="false">IF(P1047&lt;10,"a) &lt;10s",IF(P1047&lt;60,"b) 10-60s",IF(P1047&lt;600,"c) 1-10min","d) &gt;10min")))</f>
        <v>d) &gt;10min</v>
      </c>
      <c r="R1047" s="38" t="n">
        <v>2775.23</v>
      </c>
      <c r="S1047" s="38" t="n">
        <v>2773.5</v>
      </c>
      <c r="T1047" s="22" t="s">
        <v>189</v>
      </c>
      <c r="U1047" s="39" t="n">
        <f aca="false">IF(R1047="","",IF(F1047="BUY",R1047-S1047,S1047-R1047))</f>
        <v>1.73000000000002</v>
      </c>
      <c r="V1047" s="39" t="n">
        <f aca="false">IF(F1047="BUY",S1047-J1047,J1047-S1047)</f>
        <v>-1.23000000000002</v>
      </c>
      <c r="W1047" s="6" t="n">
        <v>-6.15</v>
      </c>
      <c r="X1047" s="26" t="n">
        <f aca="false">IFERROR(W1047/N1047,0)</f>
        <v>-0.205</v>
      </c>
      <c r="Y1047" s="22" t="str">
        <f aca="false">IF(W1047&gt;0,"Win",IF(W1047&lt;0,"Loss","Flat"))</f>
        <v>Loss</v>
      </c>
      <c r="Z1047" s="24" t="n">
        <f aca="false">Summary!$C$5+SUM(W$2:W1047)</f>
        <v>3211.92</v>
      </c>
      <c r="AA1047" s="24" t="n">
        <f aca="false">MAX(AA1046,Z1047)</f>
        <v>5000</v>
      </c>
      <c r="AB1047" s="24" t="n">
        <f aca="false">AA1047-Z1047</f>
        <v>1788.08</v>
      </c>
      <c r="AC1047" s="23" t="n">
        <f aca="false">IFERROR(AB1047/AA1047,0)</f>
        <v>0.357616</v>
      </c>
      <c r="AD1047" s="22" t="s">
        <v>1284</v>
      </c>
    </row>
    <row r="1048" customFormat="false" ht="15" hidden="false" customHeight="false" outlineLevel="0" collapsed="false">
      <c r="A1048" s="22" t="n">
        <v>1047</v>
      </c>
      <c r="B1048" s="22" t="s">
        <v>150</v>
      </c>
      <c r="C1048" s="37" t="n">
        <v>45596.170462963</v>
      </c>
      <c r="D1048" s="22" t="s">
        <v>205</v>
      </c>
      <c r="E1048" s="22" t="n">
        <v>4</v>
      </c>
      <c r="F1048" s="22" t="s">
        <v>181</v>
      </c>
      <c r="G1048" s="22" t="s">
        <v>243</v>
      </c>
      <c r="H1048" s="22" t="n">
        <v>0.05</v>
      </c>
      <c r="I1048" s="38" t="n">
        <v>2789.93</v>
      </c>
      <c r="J1048" s="38" t="n">
        <v>2790.01</v>
      </c>
      <c r="K1048" s="39" t="n">
        <f aca="false">IF(F1048="BUY",J1048-I1048,I1048-J1048)</f>
        <v>0.080000000000382</v>
      </c>
      <c r="L1048" s="38" t="n">
        <v>2783.93</v>
      </c>
      <c r="M1048" s="39" t="n">
        <f aca="false">ABS(I1048-L1048)</f>
        <v>6</v>
      </c>
      <c r="N1048" s="24" t="n">
        <f aca="false">M1048*H1048*Summary!$C$6</f>
        <v>30</v>
      </c>
      <c r="O1048" s="37" t="n">
        <v>45596.2044328704</v>
      </c>
      <c r="P1048" s="22" t="n">
        <f aca="false">ROUND((O1048-C1048)*86400,0)</f>
        <v>2935</v>
      </c>
      <c r="Q1048" s="22" t="str">
        <f aca="false">IF(P1048&lt;10,"a) &lt;10s",IF(P1048&lt;60,"b) 10-60s",IF(P1048&lt;600,"c) 1-10min","d) &gt;10min")))</f>
        <v>d) &gt;10min</v>
      </c>
      <c r="R1048" s="38" t="n">
        <v>2783.93</v>
      </c>
      <c r="S1048" s="38" t="n">
        <v>2783.9</v>
      </c>
      <c r="T1048" s="22" t="s">
        <v>188</v>
      </c>
      <c r="U1048" s="39" t="n">
        <f aca="false">IF(R1048="","",IF(F1048="BUY",R1048-S1048,S1048-R1048))</f>
        <v>0.0299999999997453</v>
      </c>
      <c r="V1048" s="39" t="n">
        <f aca="false">IF(F1048="BUY",S1048-J1048,J1048-S1048)</f>
        <v>-6.11000000000013</v>
      </c>
      <c r="W1048" s="6" t="n">
        <v>-30.55</v>
      </c>
      <c r="X1048" s="26" t="n">
        <f aca="false">IFERROR(W1048/N1048,0)</f>
        <v>-1.01833333333333</v>
      </c>
      <c r="Y1048" s="22" t="str">
        <f aca="false">IF(W1048&gt;0,"Win",IF(W1048&lt;0,"Loss","Flat"))</f>
        <v>Loss</v>
      </c>
      <c r="Z1048" s="24" t="n">
        <f aca="false">Summary!$C$5+SUM(W$2:W1048)</f>
        <v>3181.37</v>
      </c>
      <c r="AA1048" s="24" t="n">
        <f aca="false">MAX(AA1047,Z1048)</f>
        <v>5000</v>
      </c>
      <c r="AB1048" s="24" t="n">
        <f aca="false">AA1048-Z1048</f>
        <v>1818.63</v>
      </c>
      <c r="AC1048" s="23" t="n">
        <f aca="false">IFERROR(AB1048/AA1048,0)</f>
        <v>0.363726</v>
      </c>
      <c r="AD1048" s="22" t="s">
        <v>1285</v>
      </c>
    </row>
    <row r="1049" customFormat="false" ht="15" hidden="false" customHeight="false" outlineLevel="0" collapsed="false">
      <c r="A1049" s="22" t="n">
        <v>1048</v>
      </c>
      <c r="B1049" s="22" t="s">
        <v>150</v>
      </c>
      <c r="C1049" s="37" t="n">
        <v>45596.4137037037</v>
      </c>
      <c r="D1049" s="22" t="s">
        <v>205</v>
      </c>
      <c r="E1049" s="22" t="n">
        <v>9</v>
      </c>
      <c r="F1049" s="22" t="s">
        <v>182</v>
      </c>
      <c r="G1049" s="22" t="s">
        <v>241</v>
      </c>
      <c r="H1049" s="22" t="n">
        <v>0.05</v>
      </c>
      <c r="I1049" s="38" t="n">
        <v>2781.96</v>
      </c>
      <c r="J1049" s="38" t="n">
        <v>2781.93</v>
      </c>
      <c r="K1049" s="39" t="n">
        <f aca="false">IF(F1049="BUY",J1049-I1049,I1049-J1049)</f>
        <v>0.0300000000002001</v>
      </c>
      <c r="L1049" s="38" t="n">
        <v>2787.96</v>
      </c>
      <c r="M1049" s="39" t="n">
        <f aca="false">ABS(I1049-L1049)</f>
        <v>6</v>
      </c>
      <c r="N1049" s="24" t="n">
        <f aca="false">M1049*H1049*Summary!$C$6</f>
        <v>30</v>
      </c>
      <c r="O1049" s="37" t="n">
        <v>45596.4264814815</v>
      </c>
      <c r="P1049" s="22" t="n">
        <f aca="false">ROUND((O1049-C1049)*86400,0)</f>
        <v>1104</v>
      </c>
      <c r="Q1049" s="22" t="str">
        <f aca="false">IF(P1049&lt;10,"a) &lt;10s",IF(P1049&lt;60,"b) 10-60s",IF(P1049&lt;600,"c) 1-10min","d) &gt;10min")))</f>
        <v>d) &gt;10min</v>
      </c>
      <c r="R1049" s="38" t="n">
        <v>2781.43</v>
      </c>
      <c r="S1049" s="38" t="n">
        <v>2781.43</v>
      </c>
      <c r="T1049" s="22" t="s">
        <v>189</v>
      </c>
      <c r="U1049" s="39" t="n">
        <f aca="false">IF(R1049="","",IF(F1049="BUY",R1049-S1049,S1049-R1049))</f>
        <v>0</v>
      </c>
      <c r="V1049" s="39" t="n">
        <f aca="false">IF(F1049="BUY",S1049-J1049,J1049-S1049)</f>
        <v>0.5</v>
      </c>
      <c r="W1049" s="6" t="n">
        <v>2.5</v>
      </c>
      <c r="X1049" s="26" t="n">
        <f aca="false">IFERROR(W1049/N1049,0)</f>
        <v>0.0833333333333333</v>
      </c>
      <c r="Y1049" s="22" t="str">
        <f aca="false">IF(W1049&gt;0,"Win",IF(W1049&lt;0,"Loss","Flat"))</f>
        <v>Win</v>
      </c>
      <c r="Z1049" s="24" t="n">
        <f aca="false">Summary!$C$5+SUM(W$2:W1049)</f>
        <v>3183.87</v>
      </c>
      <c r="AA1049" s="24" t="n">
        <f aca="false">MAX(AA1048,Z1049)</f>
        <v>5000</v>
      </c>
      <c r="AB1049" s="24" t="n">
        <f aca="false">AA1049-Z1049</f>
        <v>1816.13</v>
      </c>
      <c r="AC1049" s="23" t="n">
        <f aca="false">IFERROR(AB1049/AA1049,0)</f>
        <v>0.363226</v>
      </c>
      <c r="AD1049" s="22" t="s">
        <v>1286</v>
      </c>
    </row>
    <row r="1050" customFormat="false" ht="15" hidden="false" customHeight="false" outlineLevel="0" collapsed="false">
      <c r="A1050" s="22" t="n">
        <v>1049</v>
      </c>
      <c r="B1050" s="22" t="s">
        <v>151</v>
      </c>
      <c r="C1050" s="37" t="n">
        <v>45597.4241782407</v>
      </c>
      <c r="D1050" s="22" t="s">
        <v>206</v>
      </c>
      <c r="E1050" s="22" t="n">
        <v>10</v>
      </c>
      <c r="F1050" s="22" t="s">
        <v>182</v>
      </c>
      <c r="G1050" s="22" t="s">
        <v>241</v>
      </c>
      <c r="H1050" s="22" t="n">
        <v>0.05</v>
      </c>
      <c r="I1050" s="38" t="n">
        <v>2750.62</v>
      </c>
      <c r="J1050" s="38" t="n">
        <v>2750.62</v>
      </c>
      <c r="K1050" s="39" t="n">
        <f aca="false">IF(F1050="BUY",J1050-I1050,I1050-J1050)</f>
        <v>0</v>
      </c>
      <c r="L1050" s="38" t="n">
        <v>2756.62</v>
      </c>
      <c r="M1050" s="39" t="n">
        <f aca="false">ABS(I1050-L1050)</f>
        <v>6</v>
      </c>
      <c r="N1050" s="24" t="n">
        <f aca="false">M1050*H1050*Summary!$C$6</f>
        <v>30</v>
      </c>
      <c r="O1050" s="37" t="n">
        <v>45597.4601736111</v>
      </c>
      <c r="P1050" s="22" t="n">
        <f aca="false">ROUND((O1050-C1050)*86400,0)</f>
        <v>3110</v>
      </c>
      <c r="Q1050" s="22" t="str">
        <f aca="false">IF(P1050&lt;10,"a) &lt;10s",IF(P1050&lt;60,"b) 10-60s",IF(P1050&lt;600,"c) 1-10min","d) &gt;10min")))</f>
        <v>d) &gt;10min</v>
      </c>
      <c r="R1050" s="38" t="n">
        <v>2750.12</v>
      </c>
      <c r="S1050" s="38" t="n">
        <v>2750.12</v>
      </c>
      <c r="T1050" s="22" t="s">
        <v>189</v>
      </c>
      <c r="U1050" s="39" t="n">
        <f aca="false">IF(R1050="","",IF(F1050="BUY",R1050-S1050,S1050-R1050))</f>
        <v>0</v>
      </c>
      <c r="V1050" s="39" t="n">
        <f aca="false">IF(F1050="BUY",S1050-J1050,J1050-S1050)</f>
        <v>0.5</v>
      </c>
      <c r="W1050" s="6" t="n">
        <v>2.5</v>
      </c>
      <c r="X1050" s="26" t="n">
        <f aca="false">IFERROR(W1050/N1050,0)</f>
        <v>0.0833333333333333</v>
      </c>
      <c r="Y1050" s="22" t="str">
        <f aca="false">IF(W1050&gt;0,"Win",IF(W1050&lt;0,"Loss","Flat"))</f>
        <v>Win</v>
      </c>
      <c r="Z1050" s="24" t="n">
        <f aca="false">Summary!$C$5+SUM(W$2:W1050)</f>
        <v>3186.37</v>
      </c>
      <c r="AA1050" s="24" t="n">
        <f aca="false">MAX(AA1049,Z1050)</f>
        <v>5000</v>
      </c>
      <c r="AB1050" s="24" t="n">
        <f aca="false">AA1050-Z1050</f>
        <v>1813.63</v>
      </c>
      <c r="AC1050" s="23" t="n">
        <f aca="false">IFERROR(AB1050/AA1050,0)</f>
        <v>0.362726</v>
      </c>
      <c r="AD1050" s="22" t="s">
        <v>1287</v>
      </c>
    </row>
    <row r="1051" customFormat="false" ht="15" hidden="false" customHeight="false" outlineLevel="0" collapsed="false">
      <c r="A1051" s="22" t="n">
        <v>1050</v>
      </c>
      <c r="B1051" s="22" t="s">
        <v>151</v>
      </c>
      <c r="C1051" s="37" t="n">
        <v>45600.381712963</v>
      </c>
      <c r="D1051" s="22" t="s">
        <v>202</v>
      </c>
      <c r="E1051" s="22" t="n">
        <v>9</v>
      </c>
      <c r="F1051" s="22" t="s">
        <v>181</v>
      </c>
      <c r="G1051" s="22" t="s">
        <v>235</v>
      </c>
      <c r="H1051" s="22" t="n">
        <v>0.05</v>
      </c>
      <c r="I1051" s="38" t="n">
        <v>2743.59</v>
      </c>
      <c r="J1051" s="38" t="n">
        <v>2743.64</v>
      </c>
      <c r="K1051" s="39" t="n">
        <f aca="false">IF(F1051="BUY",J1051-I1051,I1051-J1051)</f>
        <v>0.0499999999997272</v>
      </c>
      <c r="L1051" s="38" t="n">
        <v>2737.59</v>
      </c>
      <c r="M1051" s="39" t="n">
        <f aca="false">ABS(I1051-L1051)</f>
        <v>6</v>
      </c>
      <c r="N1051" s="24" t="n">
        <f aca="false">M1051*H1051*Summary!$C$6</f>
        <v>30</v>
      </c>
      <c r="O1051" s="37" t="n">
        <v>45600.4064236111</v>
      </c>
      <c r="P1051" s="22" t="n">
        <f aca="false">ROUND((O1051-C1051)*86400,0)</f>
        <v>2135</v>
      </c>
      <c r="Q1051" s="22" t="str">
        <f aca="false">IF(P1051&lt;10,"a) &lt;10s",IF(P1051&lt;60,"b) 10-60s",IF(P1051&lt;600,"c) 1-10min","d) &gt;10min")))</f>
        <v>d) &gt;10min</v>
      </c>
      <c r="R1051" s="38" t="n">
        <v>2737.59</v>
      </c>
      <c r="S1051" s="38" t="n">
        <v>2737.59</v>
      </c>
      <c r="T1051" s="22" t="s">
        <v>188</v>
      </c>
      <c r="U1051" s="39" t="n">
        <f aca="false">IF(R1051="","",IF(F1051="BUY",R1051-S1051,S1051-R1051))</f>
        <v>0</v>
      </c>
      <c r="V1051" s="39" t="n">
        <f aca="false">IF(F1051="BUY",S1051-J1051,J1051-S1051)</f>
        <v>-6.04999999999973</v>
      </c>
      <c r="W1051" s="6" t="n">
        <v>-30.25</v>
      </c>
      <c r="X1051" s="26" t="n">
        <f aca="false">IFERROR(W1051/N1051,0)</f>
        <v>-1.00833333333333</v>
      </c>
      <c r="Y1051" s="22" t="str">
        <f aca="false">IF(W1051&gt;0,"Win",IF(W1051&lt;0,"Loss","Flat"))</f>
        <v>Loss</v>
      </c>
      <c r="Z1051" s="24" t="n">
        <f aca="false">Summary!$C$5+SUM(W$2:W1051)</f>
        <v>3156.12</v>
      </c>
      <c r="AA1051" s="24" t="n">
        <f aca="false">MAX(AA1050,Z1051)</f>
        <v>5000</v>
      </c>
      <c r="AB1051" s="24" t="n">
        <f aca="false">AA1051-Z1051</f>
        <v>1843.88</v>
      </c>
      <c r="AC1051" s="23" t="n">
        <f aca="false">IFERROR(AB1051/AA1051,0)</f>
        <v>0.368776</v>
      </c>
      <c r="AD1051" s="22" t="s">
        <v>1288</v>
      </c>
    </row>
    <row r="1052" customFormat="false" ht="15" hidden="false" customHeight="false" outlineLevel="0" collapsed="false">
      <c r="A1052" s="22" t="n">
        <v>1051</v>
      </c>
      <c r="B1052" s="22" t="s">
        <v>151</v>
      </c>
      <c r="C1052" s="37" t="n">
        <v>45601.1910763889</v>
      </c>
      <c r="D1052" s="22" t="s">
        <v>203</v>
      </c>
      <c r="E1052" s="22" t="n">
        <v>4</v>
      </c>
      <c r="F1052" s="22" t="s">
        <v>182</v>
      </c>
      <c r="G1052" s="22" t="s">
        <v>237</v>
      </c>
      <c r="H1052" s="22" t="n">
        <v>0.05</v>
      </c>
      <c r="I1052" s="38" t="n">
        <v>2730</v>
      </c>
      <c r="J1052" s="38" t="n">
        <v>2729.98</v>
      </c>
      <c r="K1052" s="39" t="n">
        <f aca="false">IF(F1052="BUY",J1052-I1052,I1052-J1052)</f>
        <v>0.0199999999999818</v>
      </c>
      <c r="L1052" s="38" t="n">
        <v>2736</v>
      </c>
      <c r="M1052" s="39" t="n">
        <f aca="false">ABS(I1052-L1052)</f>
        <v>6</v>
      </c>
      <c r="N1052" s="24" t="n">
        <f aca="false">M1052*H1052*Summary!$C$6</f>
        <v>30</v>
      </c>
      <c r="O1052" s="37" t="n">
        <v>45601.1929861111</v>
      </c>
      <c r="P1052" s="22" t="n">
        <f aca="false">ROUND((O1052-C1052)*86400,0)</f>
        <v>165</v>
      </c>
      <c r="Q1052" s="22" t="str">
        <f aca="false">IF(P1052&lt;10,"a) &lt;10s",IF(P1052&lt;60,"b) 10-60s",IF(P1052&lt;600,"c) 1-10min","d) &gt;10min")))</f>
        <v>c) 1-10min</v>
      </c>
      <c r="R1052" s="38" t="n">
        <v>2729.48</v>
      </c>
      <c r="S1052" s="38" t="n">
        <v>2729.54</v>
      </c>
      <c r="T1052" s="22" t="s">
        <v>189</v>
      </c>
      <c r="U1052" s="39" t="n">
        <f aca="false">IF(R1052="","",IF(F1052="BUY",R1052-S1052,S1052-R1052))</f>
        <v>0.0599999999999454</v>
      </c>
      <c r="V1052" s="39" t="n">
        <f aca="false">IF(F1052="BUY",S1052-J1052,J1052-S1052)</f>
        <v>0.440000000000055</v>
      </c>
      <c r="W1052" s="6" t="n">
        <v>2.2</v>
      </c>
      <c r="X1052" s="26" t="n">
        <f aca="false">IFERROR(W1052/N1052,0)</f>
        <v>0.0733333333333333</v>
      </c>
      <c r="Y1052" s="22" t="str">
        <f aca="false">IF(W1052&gt;0,"Win",IF(W1052&lt;0,"Loss","Flat"))</f>
        <v>Win</v>
      </c>
      <c r="Z1052" s="24" t="n">
        <f aca="false">Summary!$C$5+SUM(W$2:W1052)</f>
        <v>3158.32</v>
      </c>
      <c r="AA1052" s="24" t="n">
        <f aca="false">MAX(AA1051,Z1052)</f>
        <v>5000</v>
      </c>
      <c r="AB1052" s="24" t="n">
        <f aca="false">AA1052-Z1052</f>
        <v>1841.68</v>
      </c>
      <c r="AC1052" s="23" t="n">
        <f aca="false">IFERROR(AB1052/AA1052,0)</f>
        <v>0.368336</v>
      </c>
      <c r="AD1052" s="22" t="s">
        <v>1289</v>
      </c>
    </row>
    <row r="1053" customFormat="false" ht="15" hidden="false" customHeight="false" outlineLevel="0" collapsed="false">
      <c r="A1053" s="22" t="n">
        <v>1052</v>
      </c>
      <c r="B1053" s="22" t="s">
        <v>151</v>
      </c>
      <c r="C1053" s="37" t="n">
        <v>45601.3772453704</v>
      </c>
      <c r="D1053" s="22" t="s">
        <v>203</v>
      </c>
      <c r="E1053" s="22" t="n">
        <v>9</v>
      </c>
      <c r="F1053" s="22" t="s">
        <v>181</v>
      </c>
      <c r="G1053" s="22" t="s">
        <v>235</v>
      </c>
      <c r="H1053" s="22" t="n">
        <v>0.05</v>
      </c>
      <c r="I1053" s="38" t="n">
        <v>2738.71</v>
      </c>
      <c r="J1053" s="38" t="n">
        <v>2738.77</v>
      </c>
      <c r="K1053" s="39" t="n">
        <f aca="false">IF(F1053="BUY",J1053-I1053,I1053-J1053)</f>
        <v>0.0599999999999454</v>
      </c>
      <c r="L1053" s="38" t="n">
        <v>2732.71</v>
      </c>
      <c r="M1053" s="39" t="n">
        <f aca="false">ABS(I1053-L1053)</f>
        <v>6</v>
      </c>
      <c r="N1053" s="24" t="n">
        <f aca="false">M1053*H1053*Summary!$C$6</f>
        <v>30</v>
      </c>
      <c r="O1053" s="37" t="n">
        <v>45601.3965856481</v>
      </c>
      <c r="P1053" s="22" t="n">
        <f aca="false">ROUND((O1053-C1053)*86400,0)</f>
        <v>1671</v>
      </c>
      <c r="Q1053" s="22" t="str">
        <f aca="false">IF(P1053&lt;10,"a) &lt;10s",IF(P1053&lt;60,"b) 10-60s",IF(P1053&lt;600,"c) 1-10min","d) &gt;10min")))</f>
        <v>d) &gt;10min</v>
      </c>
      <c r="R1053" s="38" t="n">
        <v>2739.27</v>
      </c>
      <c r="S1053" s="38" t="n">
        <v>2739.25</v>
      </c>
      <c r="T1053" s="22" t="s">
        <v>189</v>
      </c>
      <c r="U1053" s="39" t="n">
        <f aca="false">IF(R1053="","",IF(F1053="BUY",R1053-S1053,S1053-R1053))</f>
        <v>0.0199999999999818</v>
      </c>
      <c r="V1053" s="39" t="n">
        <f aca="false">IF(F1053="BUY",S1053-J1053,J1053-S1053)</f>
        <v>0.480000000000018</v>
      </c>
      <c r="W1053" s="6" t="n">
        <v>2.4</v>
      </c>
      <c r="X1053" s="26" t="n">
        <f aca="false">IFERROR(W1053/N1053,0)</f>
        <v>0.08</v>
      </c>
      <c r="Y1053" s="22" t="str">
        <f aca="false">IF(W1053&gt;0,"Win",IF(W1053&lt;0,"Loss","Flat"))</f>
        <v>Win</v>
      </c>
      <c r="Z1053" s="24" t="n">
        <f aca="false">Summary!$C$5+SUM(W$2:W1053)</f>
        <v>3160.72</v>
      </c>
      <c r="AA1053" s="24" t="n">
        <f aca="false">MAX(AA1052,Z1053)</f>
        <v>5000</v>
      </c>
      <c r="AB1053" s="24" t="n">
        <f aca="false">AA1053-Z1053</f>
        <v>1839.28</v>
      </c>
      <c r="AC1053" s="23" t="n">
        <f aca="false">IFERROR(AB1053/AA1053,0)</f>
        <v>0.367856</v>
      </c>
      <c r="AD1053" s="22" t="s">
        <v>1290</v>
      </c>
    </row>
    <row r="1054" customFormat="false" ht="15" hidden="false" customHeight="false" outlineLevel="0" collapsed="false">
      <c r="A1054" s="22" t="n">
        <v>1053</v>
      </c>
      <c r="B1054" s="22" t="s">
        <v>151</v>
      </c>
      <c r="C1054" s="37" t="n">
        <v>45602.3517476852</v>
      </c>
      <c r="D1054" s="22" t="s">
        <v>204</v>
      </c>
      <c r="E1054" s="22" t="n">
        <v>8</v>
      </c>
      <c r="F1054" s="22" t="s">
        <v>182</v>
      </c>
      <c r="G1054" s="22" t="s">
        <v>237</v>
      </c>
      <c r="H1054" s="22" t="n">
        <v>0.05</v>
      </c>
      <c r="I1054" s="38" t="n">
        <v>2724.7</v>
      </c>
      <c r="J1054" s="38" t="n">
        <v>2724.05</v>
      </c>
      <c r="K1054" s="39" t="n">
        <f aca="false">IF(F1054="BUY",J1054-I1054,I1054-J1054)</f>
        <v>0.649999999999636</v>
      </c>
      <c r="L1054" s="38" t="n">
        <v>2730.7</v>
      </c>
      <c r="M1054" s="39" t="n">
        <f aca="false">ABS(I1054-L1054)</f>
        <v>6</v>
      </c>
      <c r="N1054" s="24" t="n">
        <f aca="false">M1054*H1054*Summary!$C$6</f>
        <v>30</v>
      </c>
      <c r="O1054" s="37" t="n">
        <v>45602.3872106482</v>
      </c>
      <c r="P1054" s="22" t="n">
        <f aca="false">ROUND((O1054-C1054)*86400,0)</f>
        <v>3064</v>
      </c>
      <c r="Q1054" s="22" t="str">
        <f aca="false">IF(P1054&lt;10,"a) &lt;10s",IF(P1054&lt;60,"b) 10-60s",IF(P1054&lt;600,"c) 1-10min","d) &gt;10min")))</f>
        <v>d) &gt;10min</v>
      </c>
      <c r="R1054" s="38" t="n">
        <v>2723.55</v>
      </c>
      <c r="S1054" s="38" t="n">
        <v>2723.78</v>
      </c>
      <c r="T1054" s="22" t="s">
        <v>189</v>
      </c>
      <c r="U1054" s="39" t="n">
        <f aca="false">IF(R1054="","",IF(F1054="BUY",R1054-S1054,S1054-R1054))</f>
        <v>0.230000000000018</v>
      </c>
      <c r="V1054" s="39" t="n">
        <f aca="false">IF(F1054="BUY",S1054-J1054,J1054-S1054)</f>
        <v>0.269999999999982</v>
      </c>
      <c r="W1054" s="6" t="n">
        <v>1.35</v>
      </c>
      <c r="X1054" s="26" t="n">
        <f aca="false">IFERROR(W1054/N1054,0)</f>
        <v>0.045</v>
      </c>
      <c r="Y1054" s="22" t="str">
        <f aca="false">IF(W1054&gt;0,"Win",IF(W1054&lt;0,"Loss","Flat"))</f>
        <v>Win</v>
      </c>
      <c r="Z1054" s="24" t="n">
        <f aca="false">Summary!$C$5+SUM(W$2:W1054)</f>
        <v>3162.07</v>
      </c>
      <c r="AA1054" s="24" t="n">
        <f aca="false">MAX(AA1053,Z1054)</f>
        <v>5000</v>
      </c>
      <c r="AB1054" s="24" t="n">
        <f aca="false">AA1054-Z1054</f>
        <v>1837.93</v>
      </c>
      <c r="AC1054" s="23" t="n">
        <f aca="false">IFERROR(AB1054/AA1054,0)</f>
        <v>0.367586</v>
      </c>
      <c r="AD1054" s="22" t="s">
        <v>1291</v>
      </c>
    </row>
    <row r="1055" customFormat="false" ht="15" hidden="false" customHeight="false" outlineLevel="0" collapsed="false">
      <c r="A1055" s="22" t="n">
        <v>1054</v>
      </c>
      <c r="B1055" s="22" t="s">
        <v>151</v>
      </c>
      <c r="C1055" s="37" t="n">
        <v>45602.5800694445</v>
      </c>
      <c r="D1055" s="22" t="s">
        <v>204</v>
      </c>
      <c r="E1055" s="22" t="n">
        <v>13</v>
      </c>
      <c r="F1055" s="22" t="s">
        <v>182</v>
      </c>
      <c r="G1055" s="22" t="s">
        <v>241</v>
      </c>
      <c r="H1055" s="22" t="n">
        <v>0.05</v>
      </c>
      <c r="I1055" s="38" t="n">
        <v>2701.25</v>
      </c>
      <c r="J1055" s="38" t="n">
        <v>2700.9</v>
      </c>
      <c r="K1055" s="39" t="n">
        <f aca="false">IF(F1055="BUY",J1055-I1055,I1055-J1055)</f>
        <v>0.349999999999909</v>
      </c>
      <c r="L1055" s="38" t="n">
        <v>2707.25</v>
      </c>
      <c r="M1055" s="39" t="n">
        <f aca="false">ABS(I1055-L1055)</f>
        <v>6</v>
      </c>
      <c r="N1055" s="24" t="n">
        <f aca="false">M1055*H1055*Summary!$C$6</f>
        <v>30</v>
      </c>
      <c r="O1055" s="37" t="n">
        <v>45602.5812384259</v>
      </c>
      <c r="P1055" s="22" t="n">
        <f aca="false">ROUND((O1055-C1055)*86400,0)</f>
        <v>101</v>
      </c>
      <c r="Q1055" s="22" t="str">
        <f aca="false">IF(P1055&lt;10,"a) &lt;10s",IF(P1055&lt;60,"b) 10-60s",IF(P1055&lt;600,"c) 1-10min","d) &gt;10min")))</f>
        <v>c) 1-10min</v>
      </c>
      <c r="R1055" s="38" t="n">
        <v>2700.4</v>
      </c>
      <c r="S1055" s="38" t="n">
        <v>2700.53</v>
      </c>
      <c r="T1055" s="22" t="s">
        <v>189</v>
      </c>
      <c r="U1055" s="39" t="n">
        <f aca="false">IF(R1055="","",IF(F1055="BUY",R1055-S1055,S1055-R1055))</f>
        <v>0.130000000000109</v>
      </c>
      <c r="V1055" s="39" t="n">
        <f aca="false">IF(F1055="BUY",S1055-J1055,J1055-S1055)</f>
        <v>0.369999999999891</v>
      </c>
      <c r="W1055" s="6" t="n">
        <v>1.85</v>
      </c>
      <c r="X1055" s="26" t="n">
        <f aca="false">IFERROR(W1055/N1055,0)</f>
        <v>0.0616666666666667</v>
      </c>
      <c r="Y1055" s="22" t="str">
        <f aca="false">IF(W1055&gt;0,"Win",IF(W1055&lt;0,"Loss","Flat"))</f>
        <v>Win</v>
      </c>
      <c r="Z1055" s="24" t="n">
        <f aca="false">Summary!$C$5+SUM(W$2:W1055)</f>
        <v>3163.92</v>
      </c>
      <c r="AA1055" s="24" t="n">
        <f aca="false">MAX(AA1054,Z1055)</f>
        <v>5000</v>
      </c>
      <c r="AB1055" s="24" t="n">
        <f aca="false">AA1055-Z1055</f>
        <v>1836.08</v>
      </c>
      <c r="AC1055" s="23" t="n">
        <f aca="false">IFERROR(AB1055/AA1055,0)</f>
        <v>0.367216</v>
      </c>
      <c r="AD1055" s="22" t="s">
        <v>1292</v>
      </c>
    </row>
    <row r="1056" customFormat="false" ht="15" hidden="false" customHeight="false" outlineLevel="0" collapsed="false">
      <c r="A1056" s="22" t="n">
        <v>1055</v>
      </c>
      <c r="B1056" s="22" t="s">
        <v>151</v>
      </c>
      <c r="C1056" s="37" t="n">
        <v>45603.1380902778</v>
      </c>
      <c r="D1056" s="22" t="s">
        <v>205</v>
      </c>
      <c r="E1056" s="22" t="n">
        <v>3</v>
      </c>
      <c r="F1056" s="22" t="s">
        <v>182</v>
      </c>
      <c r="G1056" s="22" t="s">
        <v>237</v>
      </c>
      <c r="H1056" s="22" t="n">
        <v>0.05</v>
      </c>
      <c r="I1056" s="38" t="n">
        <v>2652.3</v>
      </c>
      <c r="J1056" s="38" t="n">
        <v>2651.19</v>
      </c>
      <c r="K1056" s="39" t="n">
        <f aca="false">IF(F1056="BUY",J1056-I1056,I1056-J1056)</f>
        <v>1.11000000000013</v>
      </c>
      <c r="L1056" s="38" t="n">
        <v>2658.3</v>
      </c>
      <c r="M1056" s="39" t="n">
        <f aca="false">ABS(I1056-L1056)</f>
        <v>6</v>
      </c>
      <c r="N1056" s="24" t="n">
        <f aca="false">M1056*H1056*Summary!$C$6</f>
        <v>30</v>
      </c>
      <c r="O1056" s="37" t="n">
        <v>45603.1429976852</v>
      </c>
      <c r="P1056" s="22" t="n">
        <f aca="false">ROUND((O1056-C1056)*86400,0)</f>
        <v>424</v>
      </c>
      <c r="Q1056" s="22" t="str">
        <f aca="false">IF(P1056&lt;10,"a) &lt;10s",IF(P1056&lt;60,"b) 10-60s",IF(P1056&lt;600,"c) 1-10min","d) &gt;10min")))</f>
        <v>c) 1-10min</v>
      </c>
      <c r="R1056" s="38" t="n">
        <v>2650.69</v>
      </c>
      <c r="S1056" s="38" t="n">
        <v>2650.77</v>
      </c>
      <c r="T1056" s="22" t="s">
        <v>189</v>
      </c>
      <c r="U1056" s="39" t="n">
        <f aca="false">IF(R1056="","",IF(F1056="BUY",R1056-S1056,S1056-R1056))</f>
        <v>0.0799999999999272</v>
      </c>
      <c r="V1056" s="39" t="n">
        <f aca="false">IF(F1056="BUY",S1056-J1056,J1056-S1056)</f>
        <v>0.420000000000073</v>
      </c>
      <c r="W1056" s="6" t="n">
        <v>2.1</v>
      </c>
      <c r="X1056" s="26" t="n">
        <f aca="false">IFERROR(W1056/N1056,0)</f>
        <v>0.07</v>
      </c>
      <c r="Y1056" s="22" t="str">
        <f aca="false">IF(W1056&gt;0,"Win",IF(W1056&lt;0,"Loss","Flat"))</f>
        <v>Win</v>
      </c>
      <c r="Z1056" s="24" t="n">
        <f aca="false">Summary!$C$5+SUM(W$2:W1056)</f>
        <v>3166.02</v>
      </c>
      <c r="AA1056" s="24" t="n">
        <f aca="false">MAX(AA1055,Z1056)</f>
        <v>5000</v>
      </c>
      <c r="AB1056" s="24" t="n">
        <f aca="false">AA1056-Z1056</f>
        <v>1833.98</v>
      </c>
      <c r="AC1056" s="23" t="n">
        <f aca="false">IFERROR(AB1056/AA1056,0)</f>
        <v>0.366796</v>
      </c>
      <c r="AD1056" s="22" t="s">
        <v>1293</v>
      </c>
    </row>
    <row r="1057" customFormat="false" ht="15" hidden="false" customHeight="false" outlineLevel="0" collapsed="false">
      <c r="A1057" s="22" t="n">
        <v>1056</v>
      </c>
      <c r="B1057" s="22" t="s">
        <v>151</v>
      </c>
      <c r="C1057" s="37" t="n">
        <v>45603.3825462963</v>
      </c>
      <c r="D1057" s="22" t="s">
        <v>205</v>
      </c>
      <c r="E1057" s="22" t="n">
        <v>9</v>
      </c>
      <c r="F1057" s="22" t="s">
        <v>181</v>
      </c>
      <c r="G1057" s="22" t="s">
        <v>235</v>
      </c>
      <c r="H1057" s="22" t="n">
        <v>0.05</v>
      </c>
      <c r="I1057" s="38" t="n">
        <v>2660.55</v>
      </c>
      <c r="J1057" s="38" t="n">
        <v>2660.71</v>
      </c>
      <c r="K1057" s="39" t="n">
        <f aca="false">IF(F1057="BUY",J1057-I1057,I1057-J1057)</f>
        <v>0.159999999999854</v>
      </c>
      <c r="L1057" s="38" t="n">
        <v>2654.55</v>
      </c>
      <c r="M1057" s="39" t="n">
        <f aca="false">ABS(I1057-L1057)</f>
        <v>6</v>
      </c>
      <c r="N1057" s="24" t="n">
        <f aca="false">M1057*H1057*Summary!$C$6</f>
        <v>30</v>
      </c>
      <c r="O1057" s="37" t="n">
        <v>45603.4416550926</v>
      </c>
      <c r="P1057" s="22" t="n">
        <f aca="false">ROUND((O1057-C1057)*86400,0)</f>
        <v>5107</v>
      </c>
      <c r="Q1057" s="22" t="str">
        <f aca="false">IF(P1057&lt;10,"a) &lt;10s",IF(P1057&lt;60,"b) 10-60s",IF(P1057&lt;600,"c) 1-10min","d) &gt;10min")))</f>
        <v>d) &gt;10min</v>
      </c>
      <c r="R1057" s="38" t="n">
        <v>2661.21</v>
      </c>
      <c r="S1057" s="38" t="n">
        <v>2661.19</v>
      </c>
      <c r="T1057" s="22" t="s">
        <v>189</v>
      </c>
      <c r="U1057" s="39" t="n">
        <f aca="false">IF(R1057="","",IF(F1057="BUY",R1057-S1057,S1057-R1057))</f>
        <v>0.0199999999999818</v>
      </c>
      <c r="V1057" s="39" t="n">
        <f aca="false">IF(F1057="BUY",S1057-J1057,J1057-S1057)</f>
        <v>0.480000000000018</v>
      </c>
      <c r="W1057" s="6" t="n">
        <v>2.4</v>
      </c>
      <c r="X1057" s="26" t="n">
        <f aca="false">IFERROR(W1057/N1057,0)</f>
        <v>0.08</v>
      </c>
      <c r="Y1057" s="22" t="str">
        <f aca="false">IF(W1057&gt;0,"Win",IF(W1057&lt;0,"Loss","Flat"))</f>
        <v>Win</v>
      </c>
      <c r="Z1057" s="24" t="n">
        <f aca="false">Summary!$C$5+SUM(W$2:W1057)</f>
        <v>3168.42</v>
      </c>
      <c r="AA1057" s="24" t="n">
        <f aca="false">MAX(AA1056,Z1057)</f>
        <v>5000</v>
      </c>
      <c r="AB1057" s="24" t="n">
        <f aca="false">AA1057-Z1057</f>
        <v>1831.58</v>
      </c>
      <c r="AC1057" s="23" t="n">
        <f aca="false">IFERROR(AB1057/AA1057,0)</f>
        <v>0.366316</v>
      </c>
      <c r="AD1057" s="22" t="s">
        <v>1294</v>
      </c>
    </row>
    <row r="1058" customFormat="false" ht="15" hidden="false" customHeight="false" outlineLevel="0" collapsed="false">
      <c r="A1058" s="22" t="n">
        <v>1057</v>
      </c>
      <c r="B1058" s="22" t="s">
        <v>151</v>
      </c>
      <c r="C1058" s="37" t="n">
        <v>45604.0971296296</v>
      </c>
      <c r="D1058" s="22" t="s">
        <v>206</v>
      </c>
      <c r="E1058" s="22" t="n">
        <v>2</v>
      </c>
      <c r="F1058" s="22" t="s">
        <v>181</v>
      </c>
      <c r="G1058" s="22" t="s">
        <v>243</v>
      </c>
      <c r="H1058" s="22" t="n">
        <v>0.05</v>
      </c>
      <c r="I1058" s="38" t="n">
        <v>2710.24</v>
      </c>
      <c r="J1058" s="38" t="n">
        <v>2710.24</v>
      </c>
      <c r="K1058" s="39" t="n">
        <f aca="false">IF(F1058="BUY",J1058-I1058,I1058-J1058)</f>
        <v>0</v>
      </c>
      <c r="L1058" s="38" t="n">
        <v>2704.24</v>
      </c>
      <c r="M1058" s="39" t="n">
        <f aca="false">ABS(I1058-L1058)</f>
        <v>6</v>
      </c>
      <c r="N1058" s="24" t="n">
        <f aca="false">M1058*H1058*Summary!$C$6</f>
        <v>30</v>
      </c>
      <c r="O1058" s="37" t="n">
        <v>45604.1267361111</v>
      </c>
      <c r="P1058" s="22" t="n">
        <f aca="false">ROUND((O1058-C1058)*86400,0)</f>
        <v>2558</v>
      </c>
      <c r="Q1058" s="22" t="str">
        <f aca="false">IF(P1058&lt;10,"a) &lt;10s",IF(P1058&lt;60,"b) 10-60s",IF(P1058&lt;600,"c) 1-10min","d) &gt;10min")))</f>
        <v>d) &gt;10min</v>
      </c>
      <c r="R1058" s="38" t="n">
        <v>2704.24</v>
      </c>
      <c r="S1058" s="38" t="n">
        <v>2704.23</v>
      </c>
      <c r="T1058" s="22" t="s">
        <v>188</v>
      </c>
      <c r="U1058" s="39" t="n">
        <f aca="false">IF(R1058="","",IF(F1058="BUY",R1058-S1058,S1058-R1058))</f>
        <v>0.00999999999976353</v>
      </c>
      <c r="V1058" s="39" t="n">
        <f aca="false">IF(F1058="BUY",S1058-J1058,J1058-S1058)</f>
        <v>-6.00999999999976</v>
      </c>
      <c r="W1058" s="6" t="n">
        <v>-30.05</v>
      </c>
      <c r="X1058" s="26" t="n">
        <f aca="false">IFERROR(W1058/N1058,0)</f>
        <v>-1.00166666666667</v>
      </c>
      <c r="Y1058" s="22" t="str">
        <f aca="false">IF(W1058&gt;0,"Win",IF(W1058&lt;0,"Loss","Flat"))</f>
        <v>Loss</v>
      </c>
      <c r="Z1058" s="24" t="n">
        <f aca="false">Summary!$C$5+SUM(W$2:W1058)</f>
        <v>3138.37</v>
      </c>
      <c r="AA1058" s="24" t="n">
        <f aca="false">MAX(AA1057,Z1058)</f>
        <v>5000</v>
      </c>
      <c r="AB1058" s="24" t="n">
        <f aca="false">AA1058-Z1058</f>
        <v>1861.63</v>
      </c>
      <c r="AC1058" s="23" t="n">
        <f aca="false">IFERROR(AB1058/AA1058,0)</f>
        <v>0.372326</v>
      </c>
      <c r="AD1058" s="22" t="s">
        <v>1295</v>
      </c>
    </row>
    <row r="1059" customFormat="false" ht="15" hidden="false" customHeight="false" outlineLevel="0" collapsed="false">
      <c r="A1059" s="22" t="n">
        <v>1058</v>
      </c>
      <c r="B1059" s="22" t="s">
        <v>151</v>
      </c>
      <c r="C1059" s="37" t="n">
        <v>45604.3750115741</v>
      </c>
      <c r="D1059" s="22" t="s">
        <v>206</v>
      </c>
      <c r="E1059" s="22" t="n">
        <v>9</v>
      </c>
      <c r="F1059" s="22" t="s">
        <v>182</v>
      </c>
      <c r="G1059" s="22" t="s">
        <v>241</v>
      </c>
      <c r="H1059" s="22" t="n">
        <v>0.05</v>
      </c>
      <c r="I1059" s="38" t="n">
        <v>2685.85</v>
      </c>
      <c r="J1059" s="38" t="n">
        <v>2685.83</v>
      </c>
      <c r="K1059" s="39" t="n">
        <f aca="false">IF(F1059="BUY",J1059-I1059,I1059-J1059)</f>
        <v>0.0199999999999818</v>
      </c>
      <c r="L1059" s="38" t="n">
        <v>2691.85</v>
      </c>
      <c r="M1059" s="39" t="n">
        <f aca="false">ABS(I1059-L1059)</f>
        <v>6</v>
      </c>
      <c r="N1059" s="24" t="n">
        <f aca="false">M1059*H1059*Summary!$C$6</f>
        <v>30</v>
      </c>
      <c r="O1059" s="37" t="n">
        <v>45604.3887847222</v>
      </c>
      <c r="P1059" s="22" t="n">
        <f aca="false">ROUND((O1059-C1059)*86400,0)</f>
        <v>1190</v>
      </c>
      <c r="Q1059" s="22" t="str">
        <f aca="false">IF(P1059&lt;10,"a) &lt;10s",IF(P1059&lt;60,"b) 10-60s",IF(P1059&lt;600,"c) 1-10min","d) &gt;10min")))</f>
        <v>d) &gt;10min</v>
      </c>
      <c r="R1059" s="38" t="n">
        <v>2685.33</v>
      </c>
      <c r="S1059" s="38" t="n">
        <v>2685.35</v>
      </c>
      <c r="T1059" s="22" t="s">
        <v>189</v>
      </c>
      <c r="U1059" s="39" t="n">
        <f aca="false">IF(R1059="","",IF(F1059="BUY",R1059-S1059,S1059-R1059))</f>
        <v>0.0199999999999818</v>
      </c>
      <c r="V1059" s="39" t="n">
        <f aca="false">IF(F1059="BUY",S1059-J1059,J1059-S1059)</f>
        <v>0.480000000000018</v>
      </c>
      <c r="W1059" s="6" t="n">
        <v>2.4</v>
      </c>
      <c r="X1059" s="26" t="n">
        <f aca="false">IFERROR(W1059/N1059,0)</f>
        <v>0.08</v>
      </c>
      <c r="Y1059" s="22" t="str">
        <f aca="false">IF(W1059&gt;0,"Win",IF(W1059&lt;0,"Loss","Flat"))</f>
        <v>Win</v>
      </c>
      <c r="Z1059" s="24" t="n">
        <f aca="false">Summary!$C$5+SUM(W$2:W1059)</f>
        <v>3140.77</v>
      </c>
      <c r="AA1059" s="24" t="n">
        <f aca="false">MAX(AA1058,Z1059)</f>
        <v>5000</v>
      </c>
      <c r="AB1059" s="24" t="n">
        <f aca="false">AA1059-Z1059</f>
        <v>1859.23</v>
      </c>
      <c r="AC1059" s="23" t="n">
        <f aca="false">IFERROR(AB1059/AA1059,0)</f>
        <v>0.371846</v>
      </c>
      <c r="AD1059" s="22" t="s">
        <v>1296</v>
      </c>
    </row>
    <row r="1060" customFormat="false" ht="15" hidden="false" customHeight="false" outlineLevel="0" collapsed="false">
      <c r="A1060" s="22" t="n">
        <v>1059</v>
      </c>
      <c r="B1060" s="22" t="s">
        <v>151</v>
      </c>
      <c r="C1060" s="37" t="n">
        <v>45607.3760300926</v>
      </c>
      <c r="D1060" s="22" t="s">
        <v>202</v>
      </c>
      <c r="E1060" s="22" t="n">
        <v>9</v>
      </c>
      <c r="F1060" s="22" t="s">
        <v>181</v>
      </c>
      <c r="G1060" s="22" t="s">
        <v>235</v>
      </c>
      <c r="H1060" s="22" t="n">
        <v>0.05</v>
      </c>
      <c r="I1060" s="38" t="n">
        <v>2674.12</v>
      </c>
      <c r="J1060" s="38" t="n">
        <v>2674.2</v>
      </c>
      <c r="K1060" s="39" t="n">
        <f aca="false">IF(F1060="BUY",J1060-I1060,I1060-J1060)</f>
        <v>0.0799999999999272</v>
      </c>
      <c r="L1060" s="38" t="n">
        <v>2668.12</v>
      </c>
      <c r="M1060" s="39" t="n">
        <f aca="false">ABS(I1060-L1060)</f>
        <v>6</v>
      </c>
      <c r="N1060" s="24" t="n">
        <f aca="false">M1060*H1060*Summary!$C$6</f>
        <v>30</v>
      </c>
      <c r="O1060" s="37" t="n">
        <v>45607.4315856482</v>
      </c>
      <c r="P1060" s="22" t="n">
        <f aca="false">ROUND((O1060-C1060)*86400,0)</f>
        <v>4800</v>
      </c>
      <c r="Q1060" s="22" t="str">
        <f aca="false">IF(P1060&lt;10,"a) &lt;10s",IF(P1060&lt;60,"b) 10-60s",IF(P1060&lt;600,"c) 1-10min","d) &gt;10min")))</f>
        <v>d) &gt;10min</v>
      </c>
      <c r="R1060" s="38" t="n">
        <v>2668.12</v>
      </c>
      <c r="S1060" s="38" t="n">
        <v>2668.05</v>
      </c>
      <c r="T1060" s="22" t="s">
        <v>188</v>
      </c>
      <c r="U1060" s="39" t="n">
        <f aca="false">IF(R1060="","",IF(F1060="BUY",R1060-S1060,S1060-R1060))</f>
        <v>0.069999999999709</v>
      </c>
      <c r="V1060" s="39" t="n">
        <f aca="false">IF(F1060="BUY",S1060-J1060,J1060-S1060)</f>
        <v>-6.14999999999964</v>
      </c>
      <c r="W1060" s="6" t="n">
        <v>-30.75</v>
      </c>
      <c r="X1060" s="26" t="n">
        <f aca="false">IFERROR(W1060/N1060,0)</f>
        <v>-1.025</v>
      </c>
      <c r="Y1060" s="22" t="str">
        <f aca="false">IF(W1060&gt;0,"Win",IF(W1060&lt;0,"Loss","Flat"))</f>
        <v>Loss</v>
      </c>
      <c r="Z1060" s="24" t="n">
        <f aca="false">Summary!$C$5+SUM(W$2:W1060)</f>
        <v>3110.02</v>
      </c>
      <c r="AA1060" s="24" t="n">
        <f aca="false">MAX(AA1059,Z1060)</f>
        <v>5000</v>
      </c>
      <c r="AB1060" s="24" t="n">
        <f aca="false">AA1060-Z1060</f>
        <v>1889.98</v>
      </c>
      <c r="AC1060" s="23" t="n">
        <f aca="false">IFERROR(AB1060/AA1060,0)</f>
        <v>0.377996</v>
      </c>
      <c r="AD1060" s="22" t="s">
        <v>1297</v>
      </c>
    </row>
    <row r="1061" customFormat="false" ht="15" hidden="false" customHeight="false" outlineLevel="0" collapsed="false">
      <c r="A1061" s="22" t="n">
        <v>1060</v>
      </c>
      <c r="B1061" s="22" t="s">
        <v>151</v>
      </c>
      <c r="C1061" s="37" t="n">
        <v>45608.3127430556</v>
      </c>
      <c r="D1061" s="22" t="s">
        <v>203</v>
      </c>
      <c r="E1061" s="22" t="n">
        <v>7</v>
      </c>
      <c r="F1061" s="22" t="s">
        <v>182</v>
      </c>
      <c r="G1061" s="22" t="s">
        <v>237</v>
      </c>
      <c r="H1061" s="22" t="n">
        <v>0.05</v>
      </c>
      <c r="I1061" s="38" t="n">
        <v>2610.52</v>
      </c>
      <c r="J1061" s="38" t="n">
        <v>2610.46</v>
      </c>
      <c r="K1061" s="39" t="n">
        <f aca="false">IF(F1061="BUY",J1061-I1061,I1061-J1061)</f>
        <v>0.0599999999999454</v>
      </c>
      <c r="L1061" s="38" t="n">
        <v>2616.52</v>
      </c>
      <c r="M1061" s="39" t="n">
        <f aca="false">ABS(I1061-L1061)</f>
        <v>6</v>
      </c>
      <c r="N1061" s="24" t="n">
        <f aca="false">M1061*H1061*Summary!$C$6</f>
        <v>30</v>
      </c>
      <c r="O1061" s="37" t="n">
        <v>45608.3136805556</v>
      </c>
      <c r="P1061" s="22" t="n">
        <f aca="false">ROUND((O1061-C1061)*86400,0)</f>
        <v>81</v>
      </c>
      <c r="Q1061" s="22" t="str">
        <f aca="false">IF(P1061&lt;10,"a) &lt;10s",IF(P1061&lt;60,"b) 10-60s",IF(P1061&lt;600,"c) 1-10min","d) &gt;10min")))</f>
        <v>c) 1-10min</v>
      </c>
      <c r="R1061" s="38" t="n">
        <v>2609.96</v>
      </c>
      <c r="S1061" s="38" t="n">
        <v>2609.99</v>
      </c>
      <c r="T1061" s="22" t="s">
        <v>189</v>
      </c>
      <c r="U1061" s="39" t="n">
        <f aca="false">IF(R1061="","",IF(F1061="BUY",R1061-S1061,S1061-R1061))</f>
        <v>0.0299999999997453</v>
      </c>
      <c r="V1061" s="39" t="n">
        <f aca="false">IF(F1061="BUY",S1061-J1061,J1061-S1061)</f>
        <v>0.470000000000255</v>
      </c>
      <c r="W1061" s="6" t="n">
        <v>2.35</v>
      </c>
      <c r="X1061" s="26" t="n">
        <f aca="false">IFERROR(W1061/N1061,0)</f>
        <v>0.0783333333333333</v>
      </c>
      <c r="Y1061" s="22" t="str">
        <f aca="false">IF(W1061&gt;0,"Win",IF(W1061&lt;0,"Loss","Flat"))</f>
        <v>Win</v>
      </c>
      <c r="Z1061" s="24" t="n">
        <f aca="false">Summary!$C$5+SUM(W$2:W1061)</f>
        <v>3112.37</v>
      </c>
      <c r="AA1061" s="24" t="n">
        <f aca="false">MAX(AA1060,Z1061)</f>
        <v>5000</v>
      </c>
      <c r="AB1061" s="24" t="n">
        <f aca="false">AA1061-Z1061</f>
        <v>1887.63</v>
      </c>
      <c r="AC1061" s="23" t="n">
        <f aca="false">IFERROR(AB1061/AA1061,0)</f>
        <v>0.377526</v>
      </c>
      <c r="AD1061" s="22" t="s">
        <v>1298</v>
      </c>
    </row>
    <row r="1062" customFormat="false" ht="15" hidden="false" customHeight="false" outlineLevel="0" collapsed="false">
      <c r="A1062" s="22" t="n">
        <v>1061</v>
      </c>
      <c r="B1062" s="22" t="s">
        <v>151</v>
      </c>
      <c r="C1062" s="37" t="n">
        <v>45608.391712963</v>
      </c>
      <c r="D1062" s="22" t="s">
        <v>203</v>
      </c>
      <c r="E1062" s="22" t="n">
        <v>9</v>
      </c>
      <c r="F1062" s="22" t="s">
        <v>182</v>
      </c>
      <c r="G1062" s="22" t="s">
        <v>241</v>
      </c>
      <c r="H1062" s="22" t="n">
        <v>0.05</v>
      </c>
      <c r="I1062" s="38" t="n">
        <v>2603.3</v>
      </c>
      <c r="J1062" s="38" t="n">
        <v>2603</v>
      </c>
      <c r="K1062" s="39" t="n">
        <f aca="false">IF(F1062="BUY",J1062-I1062,I1062-J1062)</f>
        <v>0.300000000000182</v>
      </c>
      <c r="L1062" s="38" t="n">
        <v>2609.3</v>
      </c>
      <c r="M1062" s="39" t="n">
        <f aca="false">ABS(I1062-L1062)</f>
        <v>6</v>
      </c>
      <c r="N1062" s="24" t="n">
        <f aca="false">M1062*H1062*Summary!$C$6</f>
        <v>30</v>
      </c>
      <c r="O1062" s="37" t="n">
        <v>45608.3935532407</v>
      </c>
      <c r="P1062" s="22" t="n">
        <f aca="false">ROUND((O1062-C1062)*86400,0)</f>
        <v>159</v>
      </c>
      <c r="Q1062" s="22" t="str">
        <f aca="false">IF(P1062&lt;10,"a) &lt;10s",IF(P1062&lt;60,"b) 10-60s",IF(P1062&lt;600,"c) 1-10min","d) &gt;10min")))</f>
        <v>c) 1-10min</v>
      </c>
      <c r="R1062" s="38" t="n">
        <v>2602.5</v>
      </c>
      <c r="S1062" s="38" t="n">
        <v>2602.51</v>
      </c>
      <c r="T1062" s="22" t="s">
        <v>189</v>
      </c>
      <c r="U1062" s="39" t="n">
        <f aca="false">IF(R1062="","",IF(F1062="BUY",R1062-S1062,S1062-R1062))</f>
        <v>0.0100000000002183</v>
      </c>
      <c r="V1062" s="39" t="n">
        <f aca="false">IF(F1062="BUY",S1062-J1062,J1062-S1062)</f>
        <v>0.489999999999782</v>
      </c>
      <c r="W1062" s="6" t="n">
        <v>2.45</v>
      </c>
      <c r="X1062" s="26" t="n">
        <f aca="false">IFERROR(W1062/N1062,0)</f>
        <v>0.0816666666666667</v>
      </c>
      <c r="Y1062" s="22" t="str">
        <f aca="false">IF(W1062&gt;0,"Win",IF(W1062&lt;0,"Loss","Flat"))</f>
        <v>Win</v>
      </c>
      <c r="Z1062" s="24" t="n">
        <f aca="false">Summary!$C$5+SUM(W$2:W1062)</f>
        <v>3114.82</v>
      </c>
      <c r="AA1062" s="24" t="n">
        <f aca="false">MAX(AA1061,Z1062)</f>
        <v>5000</v>
      </c>
      <c r="AB1062" s="24" t="n">
        <f aca="false">AA1062-Z1062</f>
        <v>1885.18</v>
      </c>
      <c r="AC1062" s="23" t="n">
        <f aca="false">IFERROR(AB1062/AA1062,0)</f>
        <v>0.377036</v>
      </c>
      <c r="AD1062" s="22" t="s">
        <v>1299</v>
      </c>
    </row>
    <row r="1063" customFormat="false" ht="15" hidden="false" customHeight="false" outlineLevel="0" collapsed="false">
      <c r="A1063" s="22" t="n">
        <v>1062</v>
      </c>
      <c r="B1063" s="22" t="s">
        <v>151</v>
      </c>
      <c r="C1063" s="37" t="n">
        <v>45609.4236111111</v>
      </c>
      <c r="D1063" s="22" t="s">
        <v>204</v>
      </c>
      <c r="E1063" s="22" t="n">
        <v>10</v>
      </c>
      <c r="F1063" s="22" t="s">
        <v>182</v>
      </c>
      <c r="G1063" s="22" t="s">
        <v>241</v>
      </c>
      <c r="H1063" s="22" t="n">
        <v>0.05</v>
      </c>
      <c r="I1063" s="38" t="n">
        <v>2603.41</v>
      </c>
      <c r="J1063" s="38" t="n">
        <v>2603.36</v>
      </c>
      <c r="K1063" s="39" t="n">
        <f aca="false">IF(F1063="BUY",J1063-I1063,I1063-J1063)</f>
        <v>0.0499999999997272</v>
      </c>
      <c r="L1063" s="38" t="n">
        <v>2609.41</v>
      </c>
      <c r="M1063" s="39" t="n">
        <f aca="false">ABS(I1063-L1063)</f>
        <v>6</v>
      </c>
      <c r="N1063" s="24" t="n">
        <f aca="false">M1063*H1063*Summary!$C$6</f>
        <v>30</v>
      </c>
      <c r="O1063" s="37" t="n">
        <v>45609.4278935185</v>
      </c>
      <c r="P1063" s="22" t="n">
        <f aca="false">ROUND((O1063-C1063)*86400,0)</f>
        <v>370</v>
      </c>
      <c r="Q1063" s="22" t="str">
        <f aca="false">IF(P1063&lt;10,"a) &lt;10s",IF(P1063&lt;60,"b) 10-60s",IF(P1063&lt;600,"c) 1-10min","d) &gt;10min")))</f>
        <v>c) 1-10min</v>
      </c>
      <c r="R1063" s="38" t="n">
        <v>2602.86</v>
      </c>
      <c r="S1063" s="38" t="n">
        <v>2602.87</v>
      </c>
      <c r="T1063" s="22" t="s">
        <v>189</v>
      </c>
      <c r="U1063" s="39" t="n">
        <f aca="false">IF(R1063="","",IF(F1063="BUY",R1063-S1063,S1063-R1063))</f>
        <v>0.00999999999976353</v>
      </c>
      <c r="V1063" s="39" t="n">
        <f aca="false">IF(F1063="BUY",S1063-J1063,J1063-S1063)</f>
        <v>0.490000000000236</v>
      </c>
      <c r="W1063" s="6" t="n">
        <v>2.45</v>
      </c>
      <c r="X1063" s="26" t="n">
        <f aca="false">IFERROR(W1063/N1063,0)</f>
        <v>0.0816666666666667</v>
      </c>
      <c r="Y1063" s="22" t="str">
        <f aca="false">IF(W1063&gt;0,"Win",IF(W1063&lt;0,"Loss","Flat"))</f>
        <v>Win</v>
      </c>
      <c r="Z1063" s="24" t="n">
        <f aca="false">Summary!$C$5+SUM(W$2:W1063)</f>
        <v>3117.27</v>
      </c>
      <c r="AA1063" s="24" t="n">
        <f aca="false">MAX(AA1062,Z1063)</f>
        <v>5000</v>
      </c>
      <c r="AB1063" s="24" t="n">
        <f aca="false">AA1063-Z1063</f>
        <v>1882.73</v>
      </c>
      <c r="AC1063" s="23" t="n">
        <f aca="false">IFERROR(AB1063/AA1063,0)</f>
        <v>0.376546</v>
      </c>
      <c r="AD1063" s="22" t="s">
        <v>1300</v>
      </c>
    </row>
    <row r="1064" customFormat="false" ht="15" hidden="false" customHeight="false" outlineLevel="0" collapsed="false">
      <c r="A1064" s="22" t="n">
        <v>1063</v>
      </c>
      <c r="B1064" s="22" t="s">
        <v>151</v>
      </c>
      <c r="C1064" s="37" t="n">
        <v>45609.7739583333</v>
      </c>
      <c r="D1064" s="22" t="s">
        <v>204</v>
      </c>
      <c r="E1064" s="22" t="n">
        <v>18</v>
      </c>
      <c r="F1064" s="22" t="s">
        <v>182</v>
      </c>
      <c r="G1064" s="22" t="s">
        <v>237</v>
      </c>
      <c r="H1064" s="22" t="n">
        <v>0.05</v>
      </c>
      <c r="I1064" s="38" t="n">
        <v>2589.51</v>
      </c>
      <c r="J1064" s="38" t="n">
        <v>2589.51</v>
      </c>
      <c r="K1064" s="39" t="n">
        <f aca="false">IF(F1064="BUY",J1064-I1064,I1064-J1064)</f>
        <v>0</v>
      </c>
      <c r="L1064" s="38" t="n">
        <v>2595.51</v>
      </c>
      <c r="M1064" s="39" t="n">
        <f aca="false">ABS(I1064-L1064)</f>
        <v>6</v>
      </c>
      <c r="N1064" s="24" t="n">
        <f aca="false">M1064*H1064*Summary!$C$6</f>
        <v>30</v>
      </c>
      <c r="O1064" s="37" t="n">
        <v>45609.9270833333</v>
      </c>
      <c r="P1064" s="22" t="n">
        <f aca="false">ROUND((O1064-C1064)*86400,0)</f>
        <v>13230</v>
      </c>
      <c r="Q1064" s="22" t="str">
        <f aca="false">IF(P1064&lt;10,"a) &lt;10s",IF(P1064&lt;60,"b) 10-60s",IF(P1064&lt;600,"c) 1-10min","d) &gt;10min")))</f>
        <v>d) &gt;10min</v>
      </c>
      <c r="R1064" s="38"/>
      <c r="S1064" s="38" t="n">
        <v>2577.33</v>
      </c>
      <c r="T1064" s="22" t="s">
        <v>191</v>
      </c>
      <c r="U1064" s="39" t="str">
        <f aca="false">IF(R1064="","",IF(F1064="BUY",R1064-S1064,S1064-R1064))</f>
        <v/>
      </c>
      <c r="V1064" s="39" t="n">
        <f aca="false">IF(F1064="BUY",S1064-J1064,J1064-S1064)</f>
        <v>12.1800000000003</v>
      </c>
      <c r="W1064" s="6" t="n">
        <v>60.9</v>
      </c>
      <c r="X1064" s="26" t="n">
        <f aca="false">IFERROR(W1064/N1064,0)</f>
        <v>2.03</v>
      </c>
      <c r="Y1064" s="22" t="str">
        <f aca="false">IF(W1064&gt;0,"Win",IF(W1064&lt;0,"Loss","Flat"))</f>
        <v>Win</v>
      </c>
      <c r="Z1064" s="24" t="n">
        <f aca="false">Summary!$C$5+SUM(W$2:W1064)</f>
        <v>3178.17</v>
      </c>
      <c r="AA1064" s="24" t="n">
        <f aca="false">MAX(AA1063,Z1064)</f>
        <v>5000</v>
      </c>
      <c r="AB1064" s="24" t="n">
        <f aca="false">AA1064-Z1064</f>
        <v>1821.83</v>
      </c>
      <c r="AC1064" s="23" t="n">
        <f aca="false">IFERROR(AB1064/AA1064,0)</f>
        <v>0.364366</v>
      </c>
      <c r="AD1064" s="22" t="s">
        <v>1301</v>
      </c>
    </row>
    <row r="1065" customFormat="false" ht="15" hidden="false" customHeight="false" outlineLevel="0" collapsed="false">
      <c r="A1065" s="22" t="n">
        <v>1064</v>
      </c>
      <c r="B1065" s="22" t="s">
        <v>151</v>
      </c>
      <c r="C1065" s="37" t="n">
        <v>45610.3840972222</v>
      </c>
      <c r="D1065" s="22" t="s">
        <v>205</v>
      </c>
      <c r="E1065" s="22" t="n">
        <v>9</v>
      </c>
      <c r="F1065" s="22" t="s">
        <v>182</v>
      </c>
      <c r="G1065" s="22" t="s">
        <v>241</v>
      </c>
      <c r="H1065" s="22" t="n">
        <v>0.05</v>
      </c>
      <c r="I1065" s="38" t="n">
        <v>2551.77</v>
      </c>
      <c r="J1065" s="38" t="n">
        <v>2551.77</v>
      </c>
      <c r="K1065" s="39" t="n">
        <f aca="false">IF(F1065="BUY",J1065-I1065,I1065-J1065)</f>
        <v>0</v>
      </c>
      <c r="L1065" s="38" t="n">
        <v>2557.77</v>
      </c>
      <c r="M1065" s="39" t="n">
        <f aca="false">ABS(I1065-L1065)</f>
        <v>6</v>
      </c>
      <c r="N1065" s="24" t="n">
        <f aca="false">M1065*H1065*Summary!$C$6</f>
        <v>30</v>
      </c>
      <c r="O1065" s="37" t="n">
        <v>45610.3987615741</v>
      </c>
      <c r="P1065" s="22" t="n">
        <f aca="false">ROUND((O1065-C1065)*86400,0)</f>
        <v>1267</v>
      </c>
      <c r="Q1065" s="22" t="str">
        <f aca="false">IF(P1065&lt;10,"a) &lt;10s",IF(P1065&lt;60,"b) 10-60s",IF(P1065&lt;600,"c) 1-10min","d) &gt;10min")))</f>
        <v>d) &gt;10min</v>
      </c>
      <c r="R1065" s="38" t="n">
        <v>2557.77</v>
      </c>
      <c r="S1065" s="38" t="n">
        <v>2557.81</v>
      </c>
      <c r="T1065" s="22" t="s">
        <v>188</v>
      </c>
      <c r="U1065" s="39" t="n">
        <f aca="false">IF(R1065="","",IF(F1065="BUY",R1065-S1065,S1065-R1065))</f>
        <v>0.0399999999999636</v>
      </c>
      <c r="V1065" s="39" t="n">
        <f aca="false">IF(F1065="BUY",S1065-J1065,J1065-S1065)</f>
        <v>-6.03999999999996</v>
      </c>
      <c r="W1065" s="6" t="n">
        <v>-30.2</v>
      </c>
      <c r="X1065" s="26" t="n">
        <f aca="false">IFERROR(W1065/N1065,0)</f>
        <v>-1.00666666666667</v>
      </c>
      <c r="Y1065" s="22" t="str">
        <f aca="false">IF(W1065&gt;0,"Win",IF(W1065&lt;0,"Loss","Flat"))</f>
        <v>Loss</v>
      </c>
      <c r="Z1065" s="24" t="n">
        <f aca="false">Summary!$C$5+SUM(W$2:W1065)</f>
        <v>3147.97</v>
      </c>
      <c r="AA1065" s="24" t="n">
        <f aca="false">MAX(AA1064,Z1065)</f>
        <v>5000</v>
      </c>
      <c r="AB1065" s="24" t="n">
        <f aca="false">AA1065-Z1065</f>
        <v>1852.03</v>
      </c>
      <c r="AC1065" s="23" t="n">
        <f aca="false">IFERROR(AB1065/AA1065,0)</f>
        <v>0.370406</v>
      </c>
      <c r="AD1065" s="22" t="s">
        <v>1302</v>
      </c>
    </row>
    <row r="1066" customFormat="false" ht="15" hidden="false" customHeight="false" outlineLevel="0" collapsed="false">
      <c r="A1066" s="22" t="n">
        <v>1065</v>
      </c>
      <c r="B1066" s="22" t="s">
        <v>151</v>
      </c>
      <c r="C1066" s="37" t="n">
        <v>45611.445462963</v>
      </c>
      <c r="D1066" s="22" t="s">
        <v>206</v>
      </c>
      <c r="E1066" s="22" t="n">
        <v>10</v>
      </c>
      <c r="F1066" s="22" t="s">
        <v>181</v>
      </c>
      <c r="G1066" s="22" t="s">
        <v>235</v>
      </c>
      <c r="H1066" s="22" t="n">
        <v>0.05</v>
      </c>
      <c r="I1066" s="38" t="n">
        <v>2567.12</v>
      </c>
      <c r="J1066" s="38" t="n">
        <v>2567.12</v>
      </c>
      <c r="K1066" s="39" t="n">
        <f aca="false">IF(F1066="BUY",J1066-I1066,I1066-J1066)</f>
        <v>0</v>
      </c>
      <c r="L1066" s="38" t="n">
        <v>2561.12</v>
      </c>
      <c r="M1066" s="39" t="n">
        <f aca="false">ABS(I1066-L1066)</f>
        <v>6</v>
      </c>
      <c r="N1066" s="24" t="n">
        <f aca="false">M1066*H1066*Summary!$C$6</f>
        <v>30</v>
      </c>
      <c r="O1066" s="37" t="n">
        <v>45611.5211805556</v>
      </c>
      <c r="P1066" s="22" t="n">
        <f aca="false">ROUND((O1066-C1066)*86400,0)</f>
        <v>6542</v>
      </c>
      <c r="Q1066" s="22" t="str">
        <f aca="false">IF(P1066&lt;10,"a) &lt;10s",IF(P1066&lt;60,"b) 10-60s",IF(P1066&lt;600,"c) 1-10min","d) &gt;10min")))</f>
        <v>d) &gt;10min</v>
      </c>
      <c r="R1066" s="38" t="n">
        <v>2567.62</v>
      </c>
      <c r="S1066" s="38" t="n">
        <v>2567.37</v>
      </c>
      <c r="T1066" s="22" t="s">
        <v>189</v>
      </c>
      <c r="U1066" s="39" t="n">
        <f aca="false">IF(R1066="","",IF(F1066="BUY",R1066-S1066,S1066-R1066))</f>
        <v>0.25</v>
      </c>
      <c r="V1066" s="39" t="n">
        <f aca="false">IF(F1066="BUY",S1066-J1066,J1066-S1066)</f>
        <v>0.25</v>
      </c>
      <c r="W1066" s="6" t="n">
        <v>1.25</v>
      </c>
      <c r="X1066" s="26" t="n">
        <f aca="false">IFERROR(W1066/N1066,0)</f>
        <v>0.0416666666666667</v>
      </c>
      <c r="Y1066" s="22" t="str">
        <f aca="false">IF(W1066&gt;0,"Win",IF(W1066&lt;0,"Loss","Flat"))</f>
        <v>Win</v>
      </c>
      <c r="Z1066" s="24" t="n">
        <f aca="false">Summary!$C$5+SUM(W$2:W1066)</f>
        <v>3149.22</v>
      </c>
      <c r="AA1066" s="24" t="n">
        <f aca="false">MAX(AA1065,Z1066)</f>
        <v>5000</v>
      </c>
      <c r="AB1066" s="24" t="n">
        <f aca="false">AA1066-Z1066</f>
        <v>1850.78</v>
      </c>
      <c r="AC1066" s="23" t="n">
        <f aca="false">IFERROR(AB1066/AA1066,0)</f>
        <v>0.370156</v>
      </c>
      <c r="AD1066" s="22" t="s">
        <v>1303</v>
      </c>
    </row>
    <row r="1067" customFormat="false" ht="15" hidden="false" customHeight="false" outlineLevel="0" collapsed="false">
      <c r="A1067" s="22" t="n">
        <v>1066</v>
      </c>
      <c r="B1067" s="22" t="s">
        <v>151</v>
      </c>
      <c r="C1067" s="37" t="n">
        <v>45614.1200115741</v>
      </c>
      <c r="D1067" s="22" t="s">
        <v>202</v>
      </c>
      <c r="E1067" s="22" t="n">
        <v>2</v>
      </c>
      <c r="F1067" s="22" t="s">
        <v>181</v>
      </c>
      <c r="G1067" s="22" t="s">
        <v>243</v>
      </c>
      <c r="H1067" s="22" t="n">
        <v>0.05</v>
      </c>
      <c r="I1067" s="38" t="n">
        <v>2575.91</v>
      </c>
      <c r="J1067" s="38" t="n">
        <v>2576.02</v>
      </c>
      <c r="K1067" s="39" t="n">
        <f aca="false">IF(F1067="BUY",J1067-I1067,I1067-J1067)</f>
        <v>0.110000000000127</v>
      </c>
      <c r="L1067" s="38" t="n">
        <v>2569.91</v>
      </c>
      <c r="M1067" s="39" t="n">
        <f aca="false">ABS(I1067-L1067)</f>
        <v>6</v>
      </c>
      <c r="N1067" s="24" t="n">
        <f aca="false">M1067*H1067*Summary!$C$6</f>
        <v>30</v>
      </c>
      <c r="O1067" s="37" t="n">
        <v>45614.6752430556</v>
      </c>
      <c r="P1067" s="22" t="n">
        <f aca="false">ROUND((O1067-C1067)*86400,0)</f>
        <v>47972</v>
      </c>
      <c r="Q1067" s="22" t="str">
        <f aca="false">IF(P1067&lt;10,"a) &lt;10s",IF(P1067&lt;60,"b) 10-60s",IF(P1067&lt;600,"c) 1-10min","d) &gt;10min")))</f>
        <v>d) &gt;10min</v>
      </c>
      <c r="R1067" s="38"/>
      <c r="S1067" s="38" t="n">
        <v>2605.94</v>
      </c>
      <c r="T1067" s="22" t="s">
        <v>187</v>
      </c>
      <c r="U1067" s="39" t="str">
        <f aca="false">IF(R1067="","",IF(F1067="BUY",R1067-S1067,S1067-R1067))</f>
        <v/>
      </c>
      <c r="V1067" s="39" t="n">
        <f aca="false">IF(F1067="BUY",S1067-J1067,J1067-S1067)</f>
        <v>29.9200000000001</v>
      </c>
      <c r="W1067" s="6" t="n">
        <v>149.6</v>
      </c>
      <c r="X1067" s="26" t="n">
        <f aca="false">IFERROR(W1067/N1067,0)</f>
        <v>4.98666666666667</v>
      </c>
      <c r="Y1067" s="22" t="str">
        <f aca="false">IF(W1067&gt;0,"Win",IF(W1067&lt;0,"Loss","Flat"))</f>
        <v>Win</v>
      </c>
      <c r="Z1067" s="24" t="n">
        <f aca="false">Summary!$C$5+SUM(W$2:W1067)</f>
        <v>3298.82</v>
      </c>
      <c r="AA1067" s="24" t="n">
        <f aca="false">MAX(AA1066,Z1067)</f>
        <v>5000</v>
      </c>
      <c r="AB1067" s="24" t="n">
        <f aca="false">AA1067-Z1067</f>
        <v>1701.18</v>
      </c>
      <c r="AC1067" s="23" t="n">
        <f aca="false">IFERROR(AB1067/AA1067,0)</f>
        <v>0.340236</v>
      </c>
      <c r="AD1067" s="22" t="s">
        <v>1304</v>
      </c>
    </row>
    <row r="1068" customFormat="false" ht="15" hidden="false" customHeight="false" outlineLevel="0" collapsed="false">
      <c r="A1068" s="22" t="n">
        <v>1067</v>
      </c>
      <c r="B1068" s="22" t="s">
        <v>151</v>
      </c>
      <c r="C1068" s="37" t="n">
        <v>45615.1253472222</v>
      </c>
      <c r="D1068" s="22" t="s">
        <v>203</v>
      </c>
      <c r="E1068" s="22" t="n">
        <v>3</v>
      </c>
      <c r="F1068" s="22" t="s">
        <v>181</v>
      </c>
      <c r="G1068" s="22" t="s">
        <v>243</v>
      </c>
      <c r="H1068" s="22" t="n">
        <v>0.05</v>
      </c>
      <c r="I1068" s="38" t="n">
        <v>2614.96</v>
      </c>
      <c r="J1068" s="38" t="n">
        <v>2614.96</v>
      </c>
      <c r="K1068" s="39" t="n">
        <f aca="false">IF(F1068="BUY",J1068-I1068,I1068-J1068)</f>
        <v>0</v>
      </c>
      <c r="L1068" s="38" t="n">
        <v>2608.96</v>
      </c>
      <c r="M1068" s="39" t="n">
        <f aca="false">ABS(I1068-L1068)</f>
        <v>6</v>
      </c>
      <c r="N1068" s="24" t="n">
        <f aca="false">M1068*H1068*Summary!$C$6</f>
        <v>30</v>
      </c>
      <c r="O1068" s="37" t="n">
        <v>45615.1374421296</v>
      </c>
      <c r="P1068" s="22" t="n">
        <f aca="false">ROUND((O1068-C1068)*86400,0)</f>
        <v>1045</v>
      </c>
      <c r="Q1068" s="22" t="str">
        <f aca="false">IF(P1068&lt;10,"a) &lt;10s",IF(P1068&lt;60,"b) 10-60s",IF(P1068&lt;600,"c) 1-10min","d) &gt;10min")))</f>
        <v>d) &gt;10min</v>
      </c>
      <c r="R1068" s="38" t="n">
        <v>2615.46</v>
      </c>
      <c r="S1068" s="38" t="n">
        <v>2615.36</v>
      </c>
      <c r="T1068" s="22" t="s">
        <v>189</v>
      </c>
      <c r="U1068" s="39" t="n">
        <f aca="false">IF(R1068="","",IF(F1068="BUY",R1068-S1068,S1068-R1068))</f>
        <v>0.0999999999999091</v>
      </c>
      <c r="V1068" s="39" t="n">
        <f aca="false">IF(F1068="BUY",S1068-J1068,J1068-S1068)</f>
        <v>0.400000000000091</v>
      </c>
      <c r="W1068" s="6" t="n">
        <v>2</v>
      </c>
      <c r="X1068" s="26" t="n">
        <f aca="false">IFERROR(W1068/N1068,0)</f>
        <v>0.0666666666666667</v>
      </c>
      <c r="Y1068" s="22" t="str">
        <f aca="false">IF(W1068&gt;0,"Win",IF(W1068&lt;0,"Loss","Flat"))</f>
        <v>Win</v>
      </c>
      <c r="Z1068" s="24" t="n">
        <f aca="false">Summary!$C$5+SUM(W$2:W1068)</f>
        <v>3300.82</v>
      </c>
      <c r="AA1068" s="24" t="n">
        <f aca="false">MAX(AA1067,Z1068)</f>
        <v>5000</v>
      </c>
      <c r="AB1068" s="24" t="n">
        <f aca="false">AA1068-Z1068</f>
        <v>1699.18</v>
      </c>
      <c r="AC1068" s="23" t="n">
        <f aca="false">IFERROR(AB1068/AA1068,0)</f>
        <v>0.339836</v>
      </c>
      <c r="AD1068" s="22" t="s">
        <v>1305</v>
      </c>
    </row>
    <row r="1069" customFormat="false" ht="15" hidden="false" customHeight="false" outlineLevel="0" collapsed="false">
      <c r="A1069" s="22" t="n">
        <v>1068</v>
      </c>
      <c r="B1069" s="22" t="s">
        <v>151</v>
      </c>
      <c r="C1069" s="37" t="n">
        <v>45615.3800810185</v>
      </c>
      <c r="D1069" s="22" t="s">
        <v>203</v>
      </c>
      <c r="E1069" s="22" t="n">
        <v>9</v>
      </c>
      <c r="F1069" s="22" t="s">
        <v>182</v>
      </c>
      <c r="G1069" s="22" t="s">
        <v>241</v>
      </c>
      <c r="H1069" s="22" t="n">
        <v>0.05</v>
      </c>
      <c r="I1069" s="38" t="n">
        <v>2620.72</v>
      </c>
      <c r="J1069" s="38" t="n">
        <v>2620.7</v>
      </c>
      <c r="K1069" s="39" t="n">
        <f aca="false">IF(F1069="BUY",J1069-I1069,I1069-J1069)</f>
        <v>0.0199999999999818</v>
      </c>
      <c r="L1069" s="38" t="n">
        <v>2626.72</v>
      </c>
      <c r="M1069" s="39" t="n">
        <f aca="false">ABS(I1069-L1069)</f>
        <v>6</v>
      </c>
      <c r="N1069" s="24" t="n">
        <f aca="false">M1069*H1069*Summary!$C$6</f>
        <v>30</v>
      </c>
      <c r="O1069" s="37" t="n">
        <v>45615.4008680556</v>
      </c>
      <c r="P1069" s="22" t="n">
        <f aca="false">ROUND((O1069-C1069)*86400,0)</f>
        <v>1796</v>
      </c>
      <c r="Q1069" s="22" t="str">
        <f aca="false">IF(P1069&lt;10,"a) &lt;10s",IF(P1069&lt;60,"b) 10-60s",IF(P1069&lt;600,"c) 1-10min","d) &gt;10min")))</f>
        <v>d) &gt;10min</v>
      </c>
      <c r="R1069" s="38" t="n">
        <v>2620.2</v>
      </c>
      <c r="S1069" s="38" t="n">
        <v>2620.26</v>
      </c>
      <c r="T1069" s="22" t="s">
        <v>189</v>
      </c>
      <c r="U1069" s="39" t="n">
        <f aca="false">IF(R1069="","",IF(F1069="BUY",R1069-S1069,S1069-R1069))</f>
        <v>0.0600000000004002</v>
      </c>
      <c r="V1069" s="39" t="n">
        <f aca="false">IF(F1069="BUY",S1069-J1069,J1069-S1069)</f>
        <v>0.4399999999996</v>
      </c>
      <c r="W1069" s="6" t="n">
        <v>2.2</v>
      </c>
      <c r="X1069" s="26" t="n">
        <f aca="false">IFERROR(W1069/N1069,0)</f>
        <v>0.0733333333333333</v>
      </c>
      <c r="Y1069" s="22" t="str">
        <f aca="false">IF(W1069&gt;0,"Win",IF(W1069&lt;0,"Loss","Flat"))</f>
        <v>Win</v>
      </c>
      <c r="Z1069" s="24" t="n">
        <f aca="false">Summary!$C$5+SUM(W$2:W1069)</f>
        <v>3303.02</v>
      </c>
      <c r="AA1069" s="24" t="n">
        <f aca="false">MAX(AA1068,Z1069)</f>
        <v>5000</v>
      </c>
      <c r="AB1069" s="24" t="n">
        <f aca="false">AA1069-Z1069</f>
        <v>1696.98</v>
      </c>
      <c r="AC1069" s="23" t="n">
        <f aca="false">IFERROR(AB1069/AA1069,0)</f>
        <v>0.339396</v>
      </c>
      <c r="AD1069" s="22" t="s">
        <v>1306</v>
      </c>
    </row>
    <row r="1070" customFormat="false" ht="15" hidden="false" customHeight="false" outlineLevel="0" collapsed="false">
      <c r="A1070" s="22" t="n">
        <v>1069</v>
      </c>
      <c r="B1070" s="22" t="s">
        <v>151</v>
      </c>
      <c r="C1070" s="37" t="n">
        <v>45616.1206712963</v>
      </c>
      <c r="D1070" s="22" t="s">
        <v>204</v>
      </c>
      <c r="E1070" s="22" t="n">
        <v>2</v>
      </c>
      <c r="F1070" s="22" t="s">
        <v>181</v>
      </c>
      <c r="G1070" s="22" t="s">
        <v>243</v>
      </c>
      <c r="H1070" s="22" t="n">
        <v>0.05</v>
      </c>
      <c r="I1070" s="38" t="n">
        <v>2639.33</v>
      </c>
      <c r="J1070" s="38" t="n">
        <v>2639.34</v>
      </c>
      <c r="K1070" s="39" t="n">
        <f aca="false">IF(F1070="BUY",J1070-I1070,I1070-J1070)</f>
        <v>0.0100000000002183</v>
      </c>
      <c r="L1070" s="38" t="n">
        <v>2633.33</v>
      </c>
      <c r="M1070" s="39" t="n">
        <f aca="false">ABS(I1070-L1070)</f>
        <v>6</v>
      </c>
      <c r="N1070" s="24" t="n">
        <f aca="false">M1070*H1070*Summary!$C$6</f>
        <v>30</v>
      </c>
      <c r="O1070" s="37" t="n">
        <v>45616.1267361111</v>
      </c>
      <c r="P1070" s="22" t="n">
        <f aca="false">ROUND((O1070-C1070)*86400,0)</f>
        <v>524</v>
      </c>
      <c r="Q1070" s="22" t="str">
        <f aca="false">IF(P1070&lt;10,"a) &lt;10s",IF(P1070&lt;60,"b) 10-60s",IF(P1070&lt;600,"c) 1-10min","d) &gt;10min")))</f>
        <v>c) 1-10min</v>
      </c>
      <c r="R1070" s="38" t="n">
        <v>2639.84</v>
      </c>
      <c r="S1070" s="38" t="n">
        <v>2639.79</v>
      </c>
      <c r="T1070" s="22" t="s">
        <v>189</v>
      </c>
      <c r="U1070" s="39" t="n">
        <f aca="false">IF(R1070="","",IF(F1070="BUY",R1070-S1070,S1070-R1070))</f>
        <v>0.0500000000001819</v>
      </c>
      <c r="V1070" s="39" t="n">
        <f aca="false">IF(F1070="BUY",S1070-J1070,J1070-S1070)</f>
        <v>0.449999999999818</v>
      </c>
      <c r="W1070" s="6" t="n">
        <v>2.25</v>
      </c>
      <c r="X1070" s="26" t="n">
        <f aca="false">IFERROR(W1070/N1070,0)</f>
        <v>0.075</v>
      </c>
      <c r="Y1070" s="22" t="str">
        <f aca="false">IF(W1070&gt;0,"Win",IF(W1070&lt;0,"Loss","Flat"))</f>
        <v>Win</v>
      </c>
      <c r="Z1070" s="24" t="n">
        <f aca="false">Summary!$C$5+SUM(W$2:W1070)</f>
        <v>3305.27</v>
      </c>
      <c r="AA1070" s="24" t="n">
        <f aca="false">MAX(AA1069,Z1070)</f>
        <v>5000</v>
      </c>
      <c r="AB1070" s="24" t="n">
        <f aca="false">AA1070-Z1070</f>
        <v>1694.73</v>
      </c>
      <c r="AC1070" s="23" t="n">
        <f aca="false">IFERROR(AB1070/AA1070,0)</f>
        <v>0.338946</v>
      </c>
      <c r="AD1070" s="22" t="s">
        <v>1307</v>
      </c>
    </row>
    <row r="1071" customFormat="false" ht="15" hidden="false" customHeight="false" outlineLevel="0" collapsed="false">
      <c r="A1071" s="22" t="n">
        <v>1070</v>
      </c>
      <c r="B1071" s="22" t="s">
        <v>151</v>
      </c>
      <c r="C1071" s="37" t="n">
        <v>45616.378125</v>
      </c>
      <c r="D1071" s="22" t="s">
        <v>204</v>
      </c>
      <c r="E1071" s="22" t="n">
        <v>9</v>
      </c>
      <c r="F1071" s="22" t="s">
        <v>182</v>
      </c>
      <c r="G1071" s="22" t="s">
        <v>241</v>
      </c>
      <c r="H1071" s="22" t="n">
        <v>0.05</v>
      </c>
      <c r="I1071" s="38" t="n">
        <v>2628.47</v>
      </c>
      <c r="J1071" s="38" t="n">
        <v>2628.39</v>
      </c>
      <c r="K1071" s="39" t="n">
        <f aca="false">IF(F1071="BUY",J1071-I1071,I1071-J1071)</f>
        <v>0.0799999999999272</v>
      </c>
      <c r="L1071" s="38" t="n">
        <v>2634.47</v>
      </c>
      <c r="M1071" s="39" t="n">
        <f aca="false">ABS(I1071-L1071)</f>
        <v>6</v>
      </c>
      <c r="N1071" s="24" t="n">
        <f aca="false">M1071*H1071*Summary!$C$6</f>
        <v>30</v>
      </c>
      <c r="O1071" s="37" t="n">
        <v>45616.5806365741</v>
      </c>
      <c r="P1071" s="22" t="n">
        <f aca="false">ROUND((O1071-C1071)*86400,0)</f>
        <v>17497</v>
      </c>
      <c r="Q1071" s="22" t="str">
        <f aca="false">IF(P1071&lt;10,"a) &lt;10s",IF(P1071&lt;60,"b) 10-60s",IF(P1071&lt;600,"c) 1-10min","d) &gt;10min")))</f>
        <v>d) &gt;10min</v>
      </c>
      <c r="R1071" s="38" t="n">
        <v>2627.89</v>
      </c>
      <c r="S1071" s="38" t="n">
        <v>2628.3</v>
      </c>
      <c r="T1071" s="22" t="s">
        <v>189</v>
      </c>
      <c r="U1071" s="39" t="n">
        <f aca="false">IF(R1071="","",IF(F1071="BUY",R1071-S1071,S1071-R1071))</f>
        <v>0.410000000000309</v>
      </c>
      <c r="V1071" s="39" t="n">
        <f aca="false">IF(F1071="BUY",S1071-J1071,J1071-S1071)</f>
        <v>0.0899999999996908</v>
      </c>
      <c r="W1071" s="6" t="n">
        <v>0.45</v>
      </c>
      <c r="X1071" s="26" t="n">
        <f aca="false">IFERROR(W1071/N1071,0)</f>
        <v>0.015</v>
      </c>
      <c r="Y1071" s="22" t="str">
        <f aca="false">IF(W1071&gt;0,"Win",IF(W1071&lt;0,"Loss","Flat"))</f>
        <v>Win</v>
      </c>
      <c r="Z1071" s="24" t="n">
        <f aca="false">Summary!$C$5+SUM(W$2:W1071)</f>
        <v>3305.72</v>
      </c>
      <c r="AA1071" s="24" t="n">
        <f aca="false">MAX(AA1070,Z1071)</f>
        <v>5000</v>
      </c>
      <c r="AB1071" s="24" t="n">
        <f aca="false">AA1071-Z1071</f>
        <v>1694.28</v>
      </c>
      <c r="AC1071" s="23" t="n">
        <f aca="false">IFERROR(AB1071/AA1071,0)</f>
        <v>0.338856</v>
      </c>
      <c r="AD1071" s="22" t="s">
        <v>1308</v>
      </c>
    </row>
    <row r="1072" customFormat="false" ht="15" hidden="false" customHeight="false" outlineLevel="0" collapsed="false">
      <c r="A1072" s="22" t="n">
        <v>1071</v>
      </c>
      <c r="B1072" s="22" t="s">
        <v>151</v>
      </c>
      <c r="C1072" s="37" t="n">
        <v>45617.1056018519</v>
      </c>
      <c r="D1072" s="22" t="s">
        <v>205</v>
      </c>
      <c r="E1072" s="22" t="n">
        <v>2</v>
      </c>
      <c r="F1072" s="22" t="s">
        <v>181</v>
      </c>
      <c r="G1072" s="22" t="s">
        <v>243</v>
      </c>
      <c r="H1072" s="22" t="n">
        <v>0.05</v>
      </c>
      <c r="I1072" s="38" t="n">
        <v>2655.28</v>
      </c>
      <c r="J1072" s="38" t="n">
        <v>2655.28</v>
      </c>
      <c r="K1072" s="39" t="n">
        <f aca="false">IF(F1072="BUY",J1072-I1072,I1072-J1072)</f>
        <v>0</v>
      </c>
      <c r="L1072" s="38" t="n">
        <v>2649.28</v>
      </c>
      <c r="M1072" s="39" t="n">
        <f aca="false">ABS(I1072-L1072)</f>
        <v>6</v>
      </c>
      <c r="N1072" s="24" t="n">
        <f aca="false">M1072*H1072*Summary!$C$6</f>
        <v>30</v>
      </c>
      <c r="O1072" s="37" t="n">
        <v>45617.1295023148</v>
      </c>
      <c r="P1072" s="22" t="n">
        <f aca="false">ROUND((O1072-C1072)*86400,0)</f>
        <v>2065</v>
      </c>
      <c r="Q1072" s="22" t="str">
        <f aca="false">IF(P1072&lt;10,"a) &lt;10s",IF(P1072&lt;60,"b) 10-60s",IF(P1072&lt;600,"c) 1-10min","d) &gt;10min")))</f>
        <v>d) &gt;10min</v>
      </c>
      <c r="R1072" s="38" t="n">
        <v>2655.78</v>
      </c>
      <c r="S1072" s="38" t="n">
        <v>2655.7</v>
      </c>
      <c r="T1072" s="22" t="s">
        <v>189</v>
      </c>
      <c r="U1072" s="39" t="n">
        <f aca="false">IF(R1072="","",IF(F1072="BUY",R1072-S1072,S1072-R1072))</f>
        <v>0.080000000000382</v>
      </c>
      <c r="V1072" s="39" t="n">
        <f aca="false">IF(F1072="BUY",S1072-J1072,J1072-S1072)</f>
        <v>0.419999999999618</v>
      </c>
      <c r="W1072" s="6" t="n">
        <v>2.1</v>
      </c>
      <c r="X1072" s="26" t="n">
        <f aca="false">IFERROR(W1072/N1072,0)</f>
        <v>0.07</v>
      </c>
      <c r="Y1072" s="22" t="str">
        <f aca="false">IF(W1072&gt;0,"Win",IF(W1072&lt;0,"Loss","Flat"))</f>
        <v>Win</v>
      </c>
      <c r="Z1072" s="24" t="n">
        <f aca="false">Summary!$C$5+SUM(W$2:W1072)</f>
        <v>3307.82</v>
      </c>
      <c r="AA1072" s="24" t="n">
        <f aca="false">MAX(AA1071,Z1072)</f>
        <v>5000</v>
      </c>
      <c r="AB1072" s="24" t="n">
        <f aca="false">AA1072-Z1072</f>
        <v>1692.18</v>
      </c>
      <c r="AC1072" s="23" t="n">
        <f aca="false">IFERROR(AB1072/AA1072,0)</f>
        <v>0.338436</v>
      </c>
      <c r="AD1072" s="22" t="s">
        <v>1309</v>
      </c>
    </row>
    <row r="1073" customFormat="false" ht="15" hidden="false" customHeight="false" outlineLevel="0" collapsed="false">
      <c r="A1073" s="22" t="n">
        <v>1072</v>
      </c>
      <c r="B1073" s="22" t="s">
        <v>151</v>
      </c>
      <c r="C1073" s="37" t="n">
        <v>45617.3795138889</v>
      </c>
      <c r="D1073" s="22" t="s">
        <v>205</v>
      </c>
      <c r="E1073" s="22" t="n">
        <v>9</v>
      </c>
      <c r="F1073" s="22" t="s">
        <v>181</v>
      </c>
      <c r="G1073" s="22" t="s">
        <v>235</v>
      </c>
      <c r="H1073" s="22" t="n">
        <v>0.05</v>
      </c>
      <c r="I1073" s="38" t="n">
        <v>2662.09</v>
      </c>
      <c r="J1073" s="38" t="n">
        <v>2662.1</v>
      </c>
      <c r="K1073" s="39" t="n">
        <f aca="false">IF(F1073="BUY",J1073-I1073,I1073-J1073)</f>
        <v>0.00999999999976353</v>
      </c>
      <c r="L1073" s="38" t="n">
        <v>2656.09</v>
      </c>
      <c r="M1073" s="39" t="n">
        <f aca="false">ABS(I1073-L1073)</f>
        <v>6</v>
      </c>
      <c r="N1073" s="24" t="n">
        <f aca="false">M1073*H1073*Summary!$C$6</f>
        <v>30</v>
      </c>
      <c r="O1073" s="37" t="n">
        <v>45617.3979282407</v>
      </c>
      <c r="P1073" s="22" t="n">
        <f aca="false">ROUND((O1073-C1073)*86400,0)</f>
        <v>1591</v>
      </c>
      <c r="Q1073" s="22" t="str">
        <f aca="false">IF(P1073&lt;10,"a) &lt;10s",IF(P1073&lt;60,"b) 10-60s",IF(P1073&lt;600,"c) 1-10min","d) &gt;10min")))</f>
        <v>d) &gt;10min</v>
      </c>
      <c r="R1073" s="38" t="n">
        <v>2662.6</v>
      </c>
      <c r="S1073" s="38" t="n">
        <v>2662.6</v>
      </c>
      <c r="T1073" s="22" t="s">
        <v>189</v>
      </c>
      <c r="U1073" s="39" t="n">
        <f aca="false">IF(R1073="","",IF(F1073="BUY",R1073-S1073,S1073-R1073))</f>
        <v>0</v>
      </c>
      <c r="V1073" s="39" t="n">
        <f aca="false">IF(F1073="BUY",S1073-J1073,J1073-S1073)</f>
        <v>0.5</v>
      </c>
      <c r="W1073" s="6" t="n">
        <v>2.5</v>
      </c>
      <c r="X1073" s="26" t="n">
        <f aca="false">IFERROR(W1073/N1073,0)</f>
        <v>0.0833333333333333</v>
      </c>
      <c r="Y1073" s="22" t="str">
        <f aca="false">IF(W1073&gt;0,"Win",IF(W1073&lt;0,"Loss","Flat"))</f>
        <v>Win</v>
      </c>
      <c r="Z1073" s="24" t="n">
        <f aca="false">Summary!$C$5+SUM(W$2:W1073)</f>
        <v>3310.32</v>
      </c>
      <c r="AA1073" s="24" t="n">
        <f aca="false">MAX(AA1072,Z1073)</f>
        <v>5000</v>
      </c>
      <c r="AB1073" s="24" t="n">
        <f aca="false">AA1073-Z1073</f>
        <v>1689.68</v>
      </c>
      <c r="AC1073" s="23" t="n">
        <f aca="false">IFERROR(AB1073/AA1073,0)</f>
        <v>0.337936</v>
      </c>
      <c r="AD1073" s="22" t="s">
        <v>1310</v>
      </c>
    </row>
    <row r="1074" customFormat="false" ht="15" hidden="false" customHeight="false" outlineLevel="0" collapsed="false">
      <c r="A1074" s="22" t="n">
        <v>1073</v>
      </c>
      <c r="B1074" s="22" t="s">
        <v>151</v>
      </c>
      <c r="C1074" s="37" t="n">
        <v>45618.0958564815</v>
      </c>
      <c r="D1074" s="22" t="s">
        <v>206</v>
      </c>
      <c r="E1074" s="22" t="n">
        <v>2</v>
      </c>
      <c r="F1074" s="22" t="s">
        <v>181</v>
      </c>
      <c r="G1074" s="22" t="s">
        <v>243</v>
      </c>
      <c r="H1074" s="22" t="n">
        <v>0.05</v>
      </c>
      <c r="I1074" s="38" t="n">
        <v>2673.39</v>
      </c>
      <c r="J1074" s="38" t="n">
        <v>2673.56</v>
      </c>
      <c r="K1074" s="39" t="n">
        <f aca="false">IF(F1074="BUY",J1074-I1074,I1074-J1074)</f>
        <v>0.170000000000073</v>
      </c>
      <c r="L1074" s="38" t="n">
        <v>2667.39</v>
      </c>
      <c r="M1074" s="39" t="n">
        <f aca="false">ABS(I1074-L1074)</f>
        <v>6</v>
      </c>
      <c r="N1074" s="24" t="n">
        <f aca="false">M1074*H1074*Summary!$C$6</f>
        <v>30</v>
      </c>
      <c r="O1074" s="37" t="n">
        <v>45618.4840740741</v>
      </c>
      <c r="P1074" s="22" t="n">
        <f aca="false">ROUND((O1074-C1074)*86400,0)</f>
        <v>33542</v>
      </c>
      <c r="Q1074" s="22" t="str">
        <f aca="false">IF(P1074&lt;10,"a) &lt;10s",IF(P1074&lt;60,"b) 10-60s",IF(P1074&lt;600,"c) 1-10min","d) &gt;10min")))</f>
        <v>d) &gt;10min</v>
      </c>
      <c r="R1074" s="38"/>
      <c r="S1074" s="38" t="n">
        <v>2703.44</v>
      </c>
      <c r="T1074" s="22" t="s">
        <v>187</v>
      </c>
      <c r="U1074" s="39" t="str">
        <f aca="false">IF(R1074="","",IF(F1074="BUY",R1074-S1074,S1074-R1074))</f>
        <v/>
      </c>
      <c r="V1074" s="39" t="n">
        <f aca="false">IF(F1074="BUY",S1074-J1074,J1074-S1074)</f>
        <v>29.8800000000001</v>
      </c>
      <c r="W1074" s="6" t="n">
        <v>149.4</v>
      </c>
      <c r="X1074" s="26" t="n">
        <f aca="false">IFERROR(W1074/N1074,0)</f>
        <v>4.98</v>
      </c>
      <c r="Y1074" s="22" t="str">
        <f aca="false">IF(W1074&gt;0,"Win",IF(W1074&lt;0,"Loss","Flat"))</f>
        <v>Win</v>
      </c>
      <c r="Z1074" s="24" t="n">
        <f aca="false">Summary!$C$5+SUM(W$2:W1074)</f>
        <v>3459.72</v>
      </c>
      <c r="AA1074" s="24" t="n">
        <f aca="false">MAX(AA1073,Z1074)</f>
        <v>5000</v>
      </c>
      <c r="AB1074" s="24" t="n">
        <f aca="false">AA1074-Z1074</f>
        <v>1540.28</v>
      </c>
      <c r="AC1074" s="23" t="n">
        <f aca="false">IFERROR(AB1074/AA1074,0)</f>
        <v>0.308056</v>
      </c>
      <c r="AD1074" s="22" t="s">
        <v>1311</v>
      </c>
    </row>
    <row r="1075" customFormat="false" ht="15" hidden="false" customHeight="false" outlineLevel="0" collapsed="false">
      <c r="A1075" s="22" t="n">
        <v>1074</v>
      </c>
      <c r="B1075" s="22" t="s">
        <v>151</v>
      </c>
      <c r="C1075" s="37" t="n">
        <v>45621.0555439815</v>
      </c>
      <c r="D1075" s="22" t="s">
        <v>202</v>
      </c>
      <c r="E1075" s="22" t="n">
        <v>1</v>
      </c>
      <c r="F1075" s="22" t="s">
        <v>181</v>
      </c>
      <c r="G1075" s="22" t="s">
        <v>243</v>
      </c>
      <c r="H1075" s="22" t="n">
        <v>0.05</v>
      </c>
      <c r="I1075" s="38" t="n">
        <v>2716.17</v>
      </c>
      <c r="J1075" s="38" t="n">
        <v>2716.23</v>
      </c>
      <c r="K1075" s="39" t="n">
        <f aca="false">IF(F1075="BUY",J1075-I1075,I1075-J1075)</f>
        <v>0.0599999999999454</v>
      </c>
      <c r="L1075" s="38" t="n">
        <v>2710.17</v>
      </c>
      <c r="M1075" s="39" t="n">
        <f aca="false">ABS(I1075-L1075)</f>
        <v>6</v>
      </c>
      <c r="N1075" s="24" t="n">
        <f aca="false">M1075*H1075*Summary!$C$6</f>
        <v>30</v>
      </c>
      <c r="O1075" s="37" t="n">
        <v>45621.0648032407</v>
      </c>
      <c r="P1075" s="22" t="n">
        <f aca="false">ROUND((O1075-C1075)*86400,0)</f>
        <v>800</v>
      </c>
      <c r="Q1075" s="22" t="str">
        <f aca="false">IF(P1075&lt;10,"a) &lt;10s",IF(P1075&lt;60,"b) 10-60s",IF(P1075&lt;600,"c) 1-10min","d) &gt;10min")))</f>
        <v>d) &gt;10min</v>
      </c>
      <c r="R1075" s="38" t="n">
        <v>2716.73</v>
      </c>
      <c r="S1075" s="38" t="n">
        <v>2716.73</v>
      </c>
      <c r="T1075" s="22" t="s">
        <v>189</v>
      </c>
      <c r="U1075" s="39" t="n">
        <f aca="false">IF(R1075="","",IF(F1075="BUY",R1075-S1075,S1075-R1075))</f>
        <v>0</v>
      </c>
      <c r="V1075" s="39" t="n">
        <f aca="false">IF(F1075="BUY",S1075-J1075,J1075-S1075)</f>
        <v>0.5</v>
      </c>
      <c r="W1075" s="6" t="n">
        <v>2.5</v>
      </c>
      <c r="X1075" s="26" t="n">
        <f aca="false">IFERROR(W1075/N1075,0)</f>
        <v>0.0833333333333333</v>
      </c>
      <c r="Y1075" s="22" t="str">
        <f aca="false">IF(W1075&gt;0,"Win",IF(W1075&lt;0,"Loss","Flat"))</f>
        <v>Win</v>
      </c>
      <c r="Z1075" s="24" t="n">
        <f aca="false">Summary!$C$5+SUM(W$2:W1075)</f>
        <v>3462.22</v>
      </c>
      <c r="AA1075" s="24" t="n">
        <f aca="false">MAX(AA1074,Z1075)</f>
        <v>5000</v>
      </c>
      <c r="AB1075" s="24" t="n">
        <f aca="false">AA1075-Z1075</f>
        <v>1537.78</v>
      </c>
      <c r="AC1075" s="23" t="n">
        <f aca="false">IFERROR(AB1075/AA1075,0)</f>
        <v>0.307556</v>
      </c>
      <c r="AD1075" s="22" t="s">
        <v>1312</v>
      </c>
    </row>
    <row r="1076" customFormat="false" ht="15" hidden="false" customHeight="false" outlineLevel="0" collapsed="false">
      <c r="A1076" s="22" t="n">
        <v>1075</v>
      </c>
      <c r="B1076" s="22" t="s">
        <v>151</v>
      </c>
      <c r="C1076" s="37" t="n">
        <v>45621.4602314815</v>
      </c>
      <c r="D1076" s="22" t="s">
        <v>202</v>
      </c>
      <c r="E1076" s="22" t="n">
        <v>11</v>
      </c>
      <c r="F1076" s="22" t="s">
        <v>181</v>
      </c>
      <c r="G1076" s="22" t="s">
        <v>235</v>
      </c>
      <c r="H1076" s="22" t="n">
        <v>0.05</v>
      </c>
      <c r="I1076" s="38" t="n">
        <v>2673.85</v>
      </c>
      <c r="J1076" s="38" t="n">
        <v>2673.94</v>
      </c>
      <c r="K1076" s="39" t="n">
        <f aca="false">IF(F1076="BUY",J1076-I1076,I1076-J1076)</f>
        <v>0.0900000000001455</v>
      </c>
      <c r="L1076" s="38" t="n">
        <v>2667.85</v>
      </c>
      <c r="M1076" s="39" t="n">
        <f aca="false">ABS(I1076-L1076)</f>
        <v>6</v>
      </c>
      <c r="N1076" s="24" t="n">
        <f aca="false">M1076*H1076*Summary!$C$6</f>
        <v>30</v>
      </c>
      <c r="O1076" s="37" t="n">
        <v>45621.6678472222</v>
      </c>
      <c r="P1076" s="22" t="n">
        <f aca="false">ROUND((O1076-C1076)*86400,0)</f>
        <v>17938</v>
      </c>
      <c r="Q1076" s="22" t="str">
        <f aca="false">IF(P1076&lt;10,"a) &lt;10s",IF(P1076&lt;60,"b) 10-60s",IF(P1076&lt;600,"c) 1-10min","d) &gt;10min")))</f>
        <v>d) &gt;10min</v>
      </c>
      <c r="R1076" s="38" t="n">
        <v>2674.44</v>
      </c>
      <c r="S1076" s="38" t="n">
        <v>2674.44</v>
      </c>
      <c r="T1076" s="22" t="s">
        <v>189</v>
      </c>
      <c r="U1076" s="39" t="n">
        <f aca="false">IF(R1076="","",IF(F1076="BUY",R1076-S1076,S1076-R1076))</f>
        <v>0</v>
      </c>
      <c r="V1076" s="39" t="n">
        <f aca="false">IF(F1076="BUY",S1076-J1076,J1076-S1076)</f>
        <v>0.5</v>
      </c>
      <c r="W1076" s="6" t="n">
        <v>2.5</v>
      </c>
      <c r="X1076" s="26" t="n">
        <f aca="false">IFERROR(W1076/N1076,0)</f>
        <v>0.0833333333333333</v>
      </c>
      <c r="Y1076" s="22" t="str">
        <f aca="false">IF(W1076&gt;0,"Win",IF(W1076&lt;0,"Loss","Flat"))</f>
        <v>Win</v>
      </c>
      <c r="Z1076" s="24" t="n">
        <f aca="false">Summary!$C$5+SUM(W$2:W1076)</f>
        <v>3464.72</v>
      </c>
      <c r="AA1076" s="24" t="n">
        <f aca="false">MAX(AA1075,Z1076)</f>
        <v>5000</v>
      </c>
      <c r="AB1076" s="24" t="n">
        <f aca="false">AA1076-Z1076</f>
        <v>1535.28</v>
      </c>
      <c r="AC1076" s="23" t="n">
        <f aca="false">IFERROR(AB1076/AA1076,0)</f>
        <v>0.307056</v>
      </c>
      <c r="AD1076" s="22" t="s">
        <v>1313</v>
      </c>
    </row>
    <row r="1077" customFormat="false" ht="15" hidden="false" customHeight="false" outlineLevel="0" collapsed="false">
      <c r="A1077" s="22" t="n">
        <v>1076</v>
      </c>
      <c r="B1077" s="22" t="s">
        <v>151</v>
      </c>
      <c r="C1077" s="37" t="n">
        <v>45622.0711458333</v>
      </c>
      <c r="D1077" s="22" t="s">
        <v>203</v>
      </c>
      <c r="E1077" s="22" t="n">
        <v>1</v>
      </c>
      <c r="F1077" s="22" t="s">
        <v>182</v>
      </c>
      <c r="G1077" s="22" t="s">
        <v>237</v>
      </c>
      <c r="H1077" s="22" t="n">
        <v>0.05</v>
      </c>
      <c r="I1077" s="38" t="n">
        <v>2615.46</v>
      </c>
      <c r="J1077" s="38" t="n">
        <v>2615.25</v>
      </c>
      <c r="K1077" s="39" t="n">
        <f aca="false">IF(F1077="BUY",J1077-I1077,I1077-J1077)</f>
        <v>0.210000000000036</v>
      </c>
      <c r="L1077" s="38" t="n">
        <v>2621.46</v>
      </c>
      <c r="M1077" s="39" t="n">
        <f aca="false">ABS(I1077-L1077)</f>
        <v>6</v>
      </c>
      <c r="N1077" s="24" t="n">
        <f aca="false">M1077*H1077*Summary!$C$6</f>
        <v>30</v>
      </c>
      <c r="O1077" s="37" t="n">
        <v>45622.0976041667</v>
      </c>
      <c r="P1077" s="22" t="n">
        <f aca="false">ROUND((O1077-C1077)*86400,0)</f>
        <v>2286</v>
      </c>
      <c r="Q1077" s="22" t="str">
        <f aca="false">IF(P1077&lt;10,"a) &lt;10s",IF(P1077&lt;60,"b) 10-60s",IF(P1077&lt;600,"c) 1-10min","d) &gt;10min")))</f>
        <v>d) &gt;10min</v>
      </c>
      <c r="R1077" s="38" t="n">
        <v>2614.75</v>
      </c>
      <c r="S1077" s="38" t="n">
        <v>2614.76</v>
      </c>
      <c r="T1077" s="22" t="s">
        <v>189</v>
      </c>
      <c r="U1077" s="39" t="n">
        <f aca="false">IF(R1077="","",IF(F1077="BUY",R1077-S1077,S1077-R1077))</f>
        <v>0.0100000000002183</v>
      </c>
      <c r="V1077" s="39" t="n">
        <f aca="false">IF(F1077="BUY",S1077-J1077,J1077-S1077)</f>
        <v>0.489999999999782</v>
      </c>
      <c r="W1077" s="6" t="n">
        <v>2.45</v>
      </c>
      <c r="X1077" s="26" t="n">
        <f aca="false">IFERROR(W1077/N1077,0)</f>
        <v>0.0816666666666667</v>
      </c>
      <c r="Y1077" s="22" t="str">
        <f aca="false">IF(W1077&gt;0,"Win",IF(W1077&lt;0,"Loss","Flat"))</f>
        <v>Win</v>
      </c>
      <c r="Z1077" s="24" t="n">
        <f aca="false">Summary!$C$5+SUM(W$2:W1077)</f>
        <v>3467.17</v>
      </c>
      <c r="AA1077" s="24" t="n">
        <f aca="false">MAX(AA1076,Z1077)</f>
        <v>5000</v>
      </c>
      <c r="AB1077" s="24" t="n">
        <f aca="false">AA1077-Z1077</f>
        <v>1532.83</v>
      </c>
      <c r="AC1077" s="23" t="n">
        <f aca="false">IFERROR(AB1077/AA1077,0)</f>
        <v>0.306566</v>
      </c>
      <c r="AD1077" s="22" t="s">
        <v>1314</v>
      </c>
    </row>
    <row r="1078" customFormat="false" ht="15" hidden="false" customHeight="false" outlineLevel="0" collapsed="false">
      <c r="A1078" s="22" t="n">
        <v>1077</v>
      </c>
      <c r="B1078" s="22" t="s">
        <v>151</v>
      </c>
      <c r="C1078" s="37" t="n">
        <v>45622.3926851852</v>
      </c>
      <c r="D1078" s="22" t="s">
        <v>203</v>
      </c>
      <c r="E1078" s="22" t="n">
        <v>9</v>
      </c>
      <c r="F1078" s="22" t="s">
        <v>182</v>
      </c>
      <c r="G1078" s="22" t="s">
        <v>241</v>
      </c>
      <c r="H1078" s="22" t="n">
        <v>0.05</v>
      </c>
      <c r="I1078" s="38" t="n">
        <v>2617.76</v>
      </c>
      <c r="J1078" s="38" t="n">
        <v>2617.72</v>
      </c>
      <c r="K1078" s="39" t="n">
        <f aca="false">IF(F1078="BUY",J1078-I1078,I1078-J1078)</f>
        <v>0.0400000000004184</v>
      </c>
      <c r="L1078" s="38" t="n">
        <v>2623.76</v>
      </c>
      <c r="M1078" s="39" t="n">
        <f aca="false">ABS(I1078-L1078)</f>
        <v>6</v>
      </c>
      <c r="N1078" s="24" t="n">
        <f aca="false">M1078*H1078*Summary!$C$6</f>
        <v>30</v>
      </c>
      <c r="O1078" s="37" t="n">
        <v>45622.4249189815</v>
      </c>
      <c r="P1078" s="22" t="n">
        <f aca="false">ROUND((O1078-C1078)*86400,0)</f>
        <v>2785</v>
      </c>
      <c r="Q1078" s="22" t="str">
        <f aca="false">IF(P1078&lt;10,"a) &lt;10s",IF(P1078&lt;60,"b) 10-60s",IF(P1078&lt;600,"c) 1-10min","d) &gt;10min")))</f>
        <v>d) &gt;10min</v>
      </c>
      <c r="R1078" s="38" t="n">
        <v>2617.22</v>
      </c>
      <c r="S1078" s="38" t="n">
        <v>2617.22</v>
      </c>
      <c r="T1078" s="22" t="s">
        <v>189</v>
      </c>
      <c r="U1078" s="39" t="n">
        <f aca="false">IF(R1078="","",IF(F1078="BUY",R1078-S1078,S1078-R1078))</f>
        <v>0</v>
      </c>
      <c r="V1078" s="39" t="n">
        <f aca="false">IF(F1078="BUY",S1078-J1078,J1078-S1078)</f>
        <v>0.5</v>
      </c>
      <c r="W1078" s="6" t="n">
        <v>2.5</v>
      </c>
      <c r="X1078" s="26" t="n">
        <f aca="false">IFERROR(W1078/N1078,0)</f>
        <v>0.0833333333333333</v>
      </c>
      <c r="Y1078" s="22" t="str">
        <f aca="false">IF(W1078&gt;0,"Win",IF(W1078&lt;0,"Loss","Flat"))</f>
        <v>Win</v>
      </c>
      <c r="Z1078" s="24" t="n">
        <f aca="false">Summary!$C$5+SUM(W$2:W1078)</f>
        <v>3469.67</v>
      </c>
      <c r="AA1078" s="24" t="n">
        <f aca="false">MAX(AA1077,Z1078)</f>
        <v>5000</v>
      </c>
      <c r="AB1078" s="24" t="n">
        <f aca="false">AA1078-Z1078</f>
        <v>1530.33</v>
      </c>
      <c r="AC1078" s="23" t="n">
        <f aca="false">IFERROR(AB1078/AA1078,0)</f>
        <v>0.306066</v>
      </c>
      <c r="AD1078" s="22" t="s">
        <v>1315</v>
      </c>
    </row>
    <row r="1079" customFormat="false" ht="15" hidden="false" customHeight="false" outlineLevel="0" collapsed="false">
      <c r="A1079" s="22" t="n">
        <v>1078</v>
      </c>
      <c r="B1079" s="22" t="s">
        <v>151</v>
      </c>
      <c r="C1079" s="37" t="n">
        <v>45623.3129050926</v>
      </c>
      <c r="D1079" s="22" t="s">
        <v>204</v>
      </c>
      <c r="E1079" s="22" t="n">
        <v>7</v>
      </c>
      <c r="F1079" s="22" t="s">
        <v>181</v>
      </c>
      <c r="G1079" s="22" t="s">
        <v>243</v>
      </c>
      <c r="H1079" s="22" t="n">
        <v>0.05</v>
      </c>
      <c r="I1079" s="38" t="n">
        <v>2641.77</v>
      </c>
      <c r="J1079" s="38" t="n">
        <v>2641.83</v>
      </c>
      <c r="K1079" s="39" t="n">
        <f aca="false">IF(F1079="BUY",J1079-I1079,I1079-J1079)</f>
        <v>0.0599999999999454</v>
      </c>
      <c r="L1079" s="38" t="n">
        <v>2635.77</v>
      </c>
      <c r="M1079" s="39" t="n">
        <f aca="false">ABS(I1079-L1079)</f>
        <v>6</v>
      </c>
      <c r="N1079" s="24" t="n">
        <f aca="false">M1079*H1079*Summary!$C$6</f>
        <v>30</v>
      </c>
      <c r="O1079" s="37" t="n">
        <v>45623.3308564815</v>
      </c>
      <c r="P1079" s="22" t="n">
        <f aca="false">ROUND((O1079-C1079)*86400,0)</f>
        <v>1551</v>
      </c>
      <c r="Q1079" s="22" t="str">
        <f aca="false">IF(P1079&lt;10,"a) &lt;10s",IF(P1079&lt;60,"b) 10-60s",IF(P1079&lt;600,"c) 1-10min","d) &gt;10min")))</f>
        <v>d) &gt;10min</v>
      </c>
      <c r="R1079" s="38" t="n">
        <v>2642.33</v>
      </c>
      <c r="S1079" s="38" t="n">
        <v>2642.32</v>
      </c>
      <c r="T1079" s="22" t="s">
        <v>189</v>
      </c>
      <c r="U1079" s="39" t="n">
        <f aca="false">IF(R1079="","",IF(F1079="BUY",R1079-S1079,S1079-R1079))</f>
        <v>0.00999999999976353</v>
      </c>
      <c r="V1079" s="39" t="n">
        <f aca="false">IF(F1079="BUY",S1079-J1079,J1079-S1079)</f>
        <v>0.490000000000236</v>
      </c>
      <c r="W1079" s="6" t="n">
        <v>2.45</v>
      </c>
      <c r="X1079" s="26" t="n">
        <f aca="false">IFERROR(W1079/N1079,0)</f>
        <v>0.0816666666666667</v>
      </c>
      <c r="Y1079" s="22" t="str">
        <f aca="false">IF(W1079&gt;0,"Win",IF(W1079&lt;0,"Loss","Flat"))</f>
        <v>Win</v>
      </c>
      <c r="Z1079" s="24" t="n">
        <f aca="false">Summary!$C$5+SUM(W$2:W1079)</f>
        <v>3472.12</v>
      </c>
      <c r="AA1079" s="24" t="n">
        <f aca="false">MAX(AA1078,Z1079)</f>
        <v>5000</v>
      </c>
      <c r="AB1079" s="24" t="n">
        <f aca="false">AA1079-Z1079</f>
        <v>1527.88</v>
      </c>
      <c r="AC1079" s="23" t="n">
        <f aca="false">IFERROR(AB1079/AA1079,0)</f>
        <v>0.305576</v>
      </c>
      <c r="AD1079" s="22" t="s">
        <v>1316</v>
      </c>
    </row>
    <row r="1080" customFormat="false" ht="15" hidden="false" customHeight="false" outlineLevel="0" collapsed="false">
      <c r="A1080" s="22" t="n">
        <v>1079</v>
      </c>
      <c r="B1080" s="22" t="s">
        <v>151</v>
      </c>
      <c r="C1080" s="37" t="n">
        <v>45623.7188310185</v>
      </c>
      <c r="D1080" s="22" t="s">
        <v>204</v>
      </c>
      <c r="E1080" s="22" t="n">
        <v>17</v>
      </c>
      <c r="F1080" s="22" t="s">
        <v>182</v>
      </c>
      <c r="G1080" s="22" t="s">
        <v>241</v>
      </c>
      <c r="H1080" s="22" t="n">
        <v>0.05</v>
      </c>
      <c r="I1080" s="38" t="n">
        <v>2638.08</v>
      </c>
      <c r="J1080" s="38" t="n">
        <v>2638.03</v>
      </c>
      <c r="K1080" s="39" t="n">
        <f aca="false">IF(F1080="BUY",J1080-I1080,I1080-J1080)</f>
        <v>0.0499999999997272</v>
      </c>
      <c r="L1080" s="38" t="n">
        <v>2644.08</v>
      </c>
      <c r="M1080" s="39" t="n">
        <f aca="false">ABS(I1080-L1080)</f>
        <v>6</v>
      </c>
      <c r="N1080" s="24" t="n">
        <f aca="false">M1080*H1080*Summary!$C$6</f>
        <v>30</v>
      </c>
      <c r="O1080" s="37" t="n">
        <v>45623.7199652778</v>
      </c>
      <c r="P1080" s="22" t="n">
        <f aca="false">ROUND((O1080-C1080)*86400,0)</f>
        <v>98</v>
      </c>
      <c r="Q1080" s="22" t="str">
        <f aca="false">IF(P1080&lt;10,"a) &lt;10s",IF(P1080&lt;60,"b) 10-60s",IF(P1080&lt;600,"c) 1-10min","d) &gt;10min")))</f>
        <v>c) 1-10min</v>
      </c>
      <c r="R1080" s="38" t="n">
        <v>2637.53</v>
      </c>
      <c r="S1080" s="38" t="n">
        <v>2637.56</v>
      </c>
      <c r="T1080" s="22" t="s">
        <v>189</v>
      </c>
      <c r="U1080" s="39" t="n">
        <f aca="false">IF(R1080="","",IF(F1080="BUY",R1080-S1080,S1080-R1080))</f>
        <v>0.0299999999997453</v>
      </c>
      <c r="V1080" s="39" t="n">
        <f aca="false">IF(F1080="BUY",S1080-J1080,J1080-S1080)</f>
        <v>0.470000000000255</v>
      </c>
      <c r="W1080" s="6" t="n">
        <v>2.35</v>
      </c>
      <c r="X1080" s="26" t="n">
        <f aca="false">IFERROR(W1080/N1080,0)</f>
        <v>0.0783333333333333</v>
      </c>
      <c r="Y1080" s="22" t="str">
        <f aca="false">IF(W1080&gt;0,"Win",IF(W1080&lt;0,"Loss","Flat"))</f>
        <v>Win</v>
      </c>
      <c r="Z1080" s="24" t="n">
        <f aca="false">Summary!$C$5+SUM(W$2:W1080)</f>
        <v>3474.47</v>
      </c>
      <c r="AA1080" s="24" t="n">
        <f aca="false">MAX(AA1079,Z1080)</f>
        <v>5000</v>
      </c>
      <c r="AB1080" s="24" t="n">
        <f aca="false">AA1080-Z1080</f>
        <v>1525.53</v>
      </c>
      <c r="AC1080" s="23" t="n">
        <f aca="false">IFERROR(AB1080/AA1080,0)</f>
        <v>0.305106</v>
      </c>
      <c r="AD1080" s="22" t="s">
        <v>1317</v>
      </c>
    </row>
    <row r="1081" customFormat="false" ht="15" hidden="false" customHeight="false" outlineLevel="0" collapsed="false">
      <c r="A1081" s="22" t="n">
        <v>1080</v>
      </c>
      <c r="B1081" s="22" t="s">
        <v>151</v>
      </c>
      <c r="C1081" s="37" t="n">
        <v>45624.1307986111</v>
      </c>
      <c r="D1081" s="22" t="s">
        <v>205</v>
      </c>
      <c r="E1081" s="22" t="n">
        <v>3</v>
      </c>
      <c r="F1081" s="22" t="s">
        <v>182</v>
      </c>
      <c r="G1081" s="22" t="s">
        <v>237</v>
      </c>
      <c r="H1081" s="22" t="n">
        <v>0.05</v>
      </c>
      <c r="I1081" s="38" t="n">
        <v>2626.94</v>
      </c>
      <c r="J1081" s="38" t="n">
        <v>2626.91</v>
      </c>
      <c r="K1081" s="39" t="n">
        <f aca="false">IF(F1081="BUY",J1081-I1081,I1081-J1081)</f>
        <v>0.0300000000002001</v>
      </c>
      <c r="L1081" s="38" t="n">
        <v>2632.94</v>
      </c>
      <c r="M1081" s="39" t="n">
        <f aca="false">ABS(I1081-L1081)</f>
        <v>6</v>
      </c>
      <c r="N1081" s="24" t="n">
        <f aca="false">M1081*H1081*Summary!$C$6</f>
        <v>30</v>
      </c>
      <c r="O1081" s="37" t="n">
        <v>45624.1313194444</v>
      </c>
      <c r="P1081" s="22" t="n">
        <f aca="false">ROUND((O1081-C1081)*86400,0)</f>
        <v>45</v>
      </c>
      <c r="Q1081" s="22" t="str">
        <f aca="false">IF(P1081&lt;10,"a) &lt;10s",IF(P1081&lt;60,"b) 10-60s",IF(P1081&lt;600,"c) 1-10min","d) &gt;10min")))</f>
        <v>b) 10-60s</v>
      </c>
      <c r="R1081" s="38" t="n">
        <v>2626.41</v>
      </c>
      <c r="S1081" s="38" t="n">
        <v>2626.46</v>
      </c>
      <c r="T1081" s="22" t="s">
        <v>189</v>
      </c>
      <c r="U1081" s="39" t="n">
        <f aca="false">IF(R1081="","",IF(F1081="BUY",R1081-S1081,S1081-R1081))</f>
        <v>0.0500000000001819</v>
      </c>
      <c r="V1081" s="39" t="n">
        <f aca="false">IF(F1081="BUY",S1081-J1081,J1081-S1081)</f>
        <v>0.449999999999818</v>
      </c>
      <c r="W1081" s="6" t="n">
        <v>2.25</v>
      </c>
      <c r="X1081" s="26" t="n">
        <f aca="false">IFERROR(W1081/N1081,0)</f>
        <v>0.075</v>
      </c>
      <c r="Y1081" s="22" t="str">
        <f aca="false">IF(W1081&gt;0,"Win",IF(W1081&lt;0,"Loss","Flat"))</f>
        <v>Win</v>
      </c>
      <c r="Z1081" s="24" t="n">
        <f aca="false">Summary!$C$5+SUM(W$2:W1081)</f>
        <v>3476.72</v>
      </c>
      <c r="AA1081" s="24" t="n">
        <f aca="false">MAX(AA1080,Z1081)</f>
        <v>5000</v>
      </c>
      <c r="AB1081" s="24" t="n">
        <f aca="false">AA1081-Z1081</f>
        <v>1523.28</v>
      </c>
      <c r="AC1081" s="23" t="n">
        <f aca="false">IFERROR(AB1081/AA1081,0)</f>
        <v>0.304656</v>
      </c>
      <c r="AD1081" s="22" t="s">
        <v>1318</v>
      </c>
    </row>
    <row r="1082" customFormat="false" ht="15" hidden="false" customHeight="false" outlineLevel="0" collapsed="false">
      <c r="A1082" s="22" t="n">
        <v>1081</v>
      </c>
      <c r="B1082" s="22" t="s">
        <v>151</v>
      </c>
      <c r="C1082" s="37" t="n">
        <v>45624.3888773148</v>
      </c>
      <c r="D1082" s="22" t="s">
        <v>205</v>
      </c>
      <c r="E1082" s="22" t="n">
        <v>9</v>
      </c>
      <c r="F1082" s="22" t="s">
        <v>181</v>
      </c>
      <c r="G1082" s="22" t="s">
        <v>235</v>
      </c>
      <c r="H1082" s="22" t="n">
        <v>0.05</v>
      </c>
      <c r="I1082" s="38" t="n">
        <v>2639.46</v>
      </c>
      <c r="J1082" s="38" t="n">
        <v>2639.49</v>
      </c>
      <c r="K1082" s="39" t="n">
        <f aca="false">IF(F1082="BUY",J1082-I1082,I1082-J1082)</f>
        <v>0.0299999999997453</v>
      </c>
      <c r="L1082" s="38" t="n">
        <v>2633.46</v>
      </c>
      <c r="M1082" s="39" t="n">
        <f aca="false">ABS(I1082-L1082)</f>
        <v>6</v>
      </c>
      <c r="N1082" s="24" t="n">
        <f aca="false">M1082*H1082*Summary!$C$6</f>
        <v>30</v>
      </c>
      <c r="O1082" s="37" t="n">
        <v>45624.7227083333</v>
      </c>
      <c r="P1082" s="22" t="n">
        <f aca="false">ROUND((O1082-C1082)*86400,0)</f>
        <v>28843</v>
      </c>
      <c r="Q1082" s="22" t="str">
        <f aca="false">IF(P1082&lt;10,"a) &lt;10s",IF(P1082&lt;60,"b) 10-60s",IF(P1082&lt;600,"c) 1-10min","d) &gt;10min")))</f>
        <v>d) &gt;10min</v>
      </c>
      <c r="R1082" s="38" t="n">
        <v>2639.99</v>
      </c>
      <c r="S1082" s="38" t="n">
        <v>2639.98</v>
      </c>
      <c r="T1082" s="22" t="s">
        <v>189</v>
      </c>
      <c r="U1082" s="39" t="n">
        <f aca="false">IF(R1082="","",IF(F1082="BUY",R1082-S1082,S1082-R1082))</f>
        <v>0.00999999999976353</v>
      </c>
      <c r="V1082" s="39" t="n">
        <f aca="false">IF(F1082="BUY",S1082-J1082,J1082-S1082)</f>
        <v>0.490000000000236</v>
      </c>
      <c r="W1082" s="6" t="n">
        <v>2.45</v>
      </c>
      <c r="X1082" s="26" t="n">
        <f aca="false">IFERROR(W1082/N1082,0)</f>
        <v>0.0816666666666667</v>
      </c>
      <c r="Y1082" s="22" t="str">
        <f aca="false">IF(W1082&gt;0,"Win",IF(W1082&lt;0,"Loss","Flat"))</f>
        <v>Win</v>
      </c>
      <c r="Z1082" s="24" t="n">
        <f aca="false">Summary!$C$5+SUM(W$2:W1082)</f>
        <v>3479.17</v>
      </c>
      <c r="AA1082" s="24" t="n">
        <f aca="false">MAX(AA1081,Z1082)</f>
        <v>5000</v>
      </c>
      <c r="AB1082" s="24" t="n">
        <f aca="false">AA1082-Z1082</f>
        <v>1520.83</v>
      </c>
      <c r="AC1082" s="23" t="n">
        <f aca="false">IFERROR(AB1082/AA1082,0)</f>
        <v>0.304166</v>
      </c>
      <c r="AD1082" s="22" t="s">
        <v>1319</v>
      </c>
    </row>
    <row r="1083" customFormat="false" ht="15" hidden="false" customHeight="false" outlineLevel="0" collapsed="false">
      <c r="A1083" s="22" t="n">
        <v>1082</v>
      </c>
      <c r="B1083" s="22" t="s">
        <v>151</v>
      </c>
      <c r="C1083" s="37" t="n">
        <v>45625.1715856482</v>
      </c>
      <c r="D1083" s="22" t="s">
        <v>206</v>
      </c>
      <c r="E1083" s="22" t="n">
        <v>4</v>
      </c>
      <c r="F1083" s="22" t="s">
        <v>181</v>
      </c>
      <c r="G1083" s="22" t="s">
        <v>243</v>
      </c>
      <c r="H1083" s="22" t="n">
        <v>0.05</v>
      </c>
      <c r="I1083" s="38" t="n">
        <v>2649.52</v>
      </c>
      <c r="J1083" s="38" t="n">
        <v>2649.52</v>
      </c>
      <c r="K1083" s="39" t="n">
        <f aca="false">IF(F1083="BUY",J1083-I1083,I1083-J1083)</f>
        <v>0</v>
      </c>
      <c r="L1083" s="38" t="n">
        <v>2643.52</v>
      </c>
      <c r="M1083" s="39" t="n">
        <f aca="false">ABS(I1083-L1083)</f>
        <v>6</v>
      </c>
      <c r="N1083" s="24" t="n">
        <f aca="false">M1083*H1083*Summary!$C$6</f>
        <v>30</v>
      </c>
      <c r="O1083" s="37" t="n">
        <v>45625.8848148148</v>
      </c>
      <c r="P1083" s="22" t="n">
        <f aca="false">ROUND((O1083-C1083)*86400,0)</f>
        <v>61623</v>
      </c>
      <c r="Q1083" s="22" t="str">
        <f aca="false">IF(P1083&lt;10,"a) &lt;10s",IF(P1083&lt;60,"b) 10-60s",IF(P1083&lt;600,"c) 1-10min","d) &gt;10min")))</f>
        <v>d) &gt;10min</v>
      </c>
      <c r="R1083" s="38" t="n">
        <v>2650.02</v>
      </c>
      <c r="S1083" s="38" t="n">
        <v>2649.79</v>
      </c>
      <c r="T1083" s="22" t="s">
        <v>189</v>
      </c>
      <c r="U1083" s="39" t="n">
        <f aca="false">IF(R1083="","",IF(F1083="BUY",R1083-S1083,S1083-R1083))</f>
        <v>0.230000000000018</v>
      </c>
      <c r="V1083" s="39" t="n">
        <f aca="false">IF(F1083="BUY",S1083-J1083,J1083-S1083)</f>
        <v>0.269999999999982</v>
      </c>
      <c r="W1083" s="6" t="n">
        <v>1.35</v>
      </c>
      <c r="X1083" s="26" t="n">
        <f aca="false">IFERROR(W1083/N1083,0)</f>
        <v>0.045</v>
      </c>
      <c r="Y1083" s="22" t="str">
        <f aca="false">IF(W1083&gt;0,"Win",IF(W1083&lt;0,"Loss","Flat"))</f>
        <v>Win</v>
      </c>
      <c r="Z1083" s="24" t="n">
        <f aca="false">Summary!$C$5+SUM(W$2:W1083)</f>
        <v>3480.52</v>
      </c>
      <c r="AA1083" s="24" t="n">
        <f aca="false">MAX(AA1082,Z1083)</f>
        <v>5000</v>
      </c>
      <c r="AB1083" s="24" t="n">
        <f aca="false">AA1083-Z1083</f>
        <v>1519.48</v>
      </c>
      <c r="AC1083" s="23" t="n">
        <f aca="false">IFERROR(AB1083/AA1083,0)</f>
        <v>0.303896</v>
      </c>
      <c r="AD1083" s="22" t="s">
        <v>1320</v>
      </c>
    </row>
    <row r="1084" customFormat="false" ht="15" hidden="false" customHeight="false" outlineLevel="0" collapsed="false">
      <c r="A1084" s="22" t="n">
        <v>1083</v>
      </c>
      <c r="B1084" s="22" t="s">
        <v>152</v>
      </c>
      <c r="C1084" s="37" t="n">
        <v>45628.1136111111</v>
      </c>
      <c r="D1084" s="22" t="s">
        <v>202</v>
      </c>
      <c r="E1084" s="22" t="n">
        <v>2</v>
      </c>
      <c r="F1084" s="22" t="s">
        <v>182</v>
      </c>
      <c r="G1084" s="22" t="s">
        <v>237</v>
      </c>
      <c r="H1084" s="22" t="n">
        <v>0.05</v>
      </c>
      <c r="I1084" s="38" t="n">
        <v>2633.93</v>
      </c>
      <c r="J1084" s="38" t="n">
        <v>2633.05</v>
      </c>
      <c r="K1084" s="39" t="n">
        <f aca="false">IF(F1084="BUY",J1084-I1084,I1084-J1084)</f>
        <v>0.879999999999654</v>
      </c>
      <c r="L1084" s="38" t="n">
        <v>2639.93</v>
      </c>
      <c r="M1084" s="39" t="n">
        <f aca="false">ABS(I1084-L1084)</f>
        <v>6</v>
      </c>
      <c r="N1084" s="24" t="n">
        <f aca="false">M1084*H1084*Summary!$C$6</f>
        <v>30</v>
      </c>
      <c r="O1084" s="37" t="n">
        <v>45628.1140740741</v>
      </c>
      <c r="P1084" s="22" t="n">
        <f aca="false">ROUND((O1084-C1084)*86400,0)</f>
        <v>40</v>
      </c>
      <c r="Q1084" s="22" t="str">
        <f aca="false">IF(P1084&lt;10,"a) &lt;10s",IF(P1084&lt;60,"b) 10-60s",IF(P1084&lt;600,"c) 1-10min","d) &gt;10min")))</f>
        <v>b) 10-60s</v>
      </c>
      <c r="R1084" s="38" t="n">
        <v>2632.55</v>
      </c>
      <c r="S1084" s="38" t="n">
        <v>2632.7</v>
      </c>
      <c r="T1084" s="22" t="s">
        <v>189</v>
      </c>
      <c r="U1084" s="39" t="n">
        <f aca="false">IF(R1084="","",IF(F1084="BUY",R1084-S1084,S1084-R1084))</f>
        <v>0.149999999999636</v>
      </c>
      <c r="V1084" s="39" t="n">
        <f aca="false">IF(F1084="BUY",S1084-J1084,J1084-S1084)</f>
        <v>0.350000000000364</v>
      </c>
      <c r="W1084" s="6" t="n">
        <v>1.75</v>
      </c>
      <c r="X1084" s="26" t="n">
        <f aca="false">IFERROR(W1084/N1084,0)</f>
        <v>0.0583333333333333</v>
      </c>
      <c r="Y1084" s="22" t="str">
        <f aca="false">IF(W1084&gt;0,"Win",IF(W1084&lt;0,"Loss","Flat"))</f>
        <v>Win</v>
      </c>
      <c r="Z1084" s="24" t="n">
        <f aca="false">Summary!$C$5+SUM(W$2:W1084)</f>
        <v>3482.27</v>
      </c>
      <c r="AA1084" s="24" t="n">
        <f aca="false">MAX(AA1083,Z1084)</f>
        <v>5000</v>
      </c>
      <c r="AB1084" s="24" t="n">
        <f aca="false">AA1084-Z1084</f>
        <v>1517.73</v>
      </c>
      <c r="AC1084" s="23" t="n">
        <f aca="false">IFERROR(AB1084/AA1084,0)</f>
        <v>0.303546</v>
      </c>
      <c r="AD1084" s="22" t="s">
        <v>1321</v>
      </c>
    </row>
    <row r="1085" customFormat="false" ht="15" hidden="false" customHeight="false" outlineLevel="0" collapsed="false">
      <c r="A1085" s="22" t="n">
        <v>1084</v>
      </c>
      <c r="B1085" s="22" t="s">
        <v>152</v>
      </c>
      <c r="C1085" s="37" t="n">
        <v>45628.3817013889</v>
      </c>
      <c r="D1085" s="22" t="s">
        <v>202</v>
      </c>
      <c r="E1085" s="22" t="n">
        <v>9</v>
      </c>
      <c r="F1085" s="22" t="s">
        <v>181</v>
      </c>
      <c r="G1085" s="22" t="s">
        <v>235</v>
      </c>
      <c r="H1085" s="22" t="n">
        <v>0.05</v>
      </c>
      <c r="I1085" s="38" t="n">
        <v>2628.62</v>
      </c>
      <c r="J1085" s="38" t="n">
        <v>2628.69</v>
      </c>
      <c r="K1085" s="39" t="n">
        <f aca="false">IF(F1085="BUY",J1085-I1085,I1085-J1085)</f>
        <v>0.0700000000001637</v>
      </c>
      <c r="L1085" s="38" t="n">
        <v>2622.62</v>
      </c>
      <c r="M1085" s="39" t="n">
        <f aca="false">ABS(I1085-L1085)</f>
        <v>6</v>
      </c>
      <c r="N1085" s="24" t="n">
        <f aca="false">M1085*H1085*Summary!$C$6</f>
        <v>30</v>
      </c>
      <c r="O1085" s="37" t="n">
        <v>45628.411712963</v>
      </c>
      <c r="P1085" s="22" t="n">
        <f aca="false">ROUND((O1085-C1085)*86400,0)</f>
        <v>2593</v>
      </c>
      <c r="Q1085" s="22" t="str">
        <f aca="false">IF(P1085&lt;10,"a) &lt;10s",IF(P1085&lt;60,"b) 10-60s",IF(P1085&lt;600,"c) 1-10min","d) &gt;10min")))</f>
        <v>d) &gt;10min</v>
      </c>
      <c r="R1085" s="38" t="n">
        <v>2629.19</v>
      </c>
      <c r="S1085" s="38" t="n">
        <v>2629.19</v>
      </c>
      <c r="T1085" s="22" t="s">
        <v>189</v>
      </c>
      <c r="U1085" s="39" t="n">
        <f aca="false">IF(R1085="","",IF(F1085="BUY",R1085-S1085,S1085-R1085))</f>
        <v>0</v>
      </c>
      <c r="V1085" s="39" t="n">
        <f aca="false">IF(F1085="BUY",S1085-J1085,J1085-S1085)</f>
        <v>0.5</v>
      </c>
      <c r="W1085" s="6" t="n">
        <v>2.5</v>
      </c>
      <c r="X1085" s="26" t="n">
        <f aca="false">IFERROR(W1085/N1085,0)</f>
        <v>0.0833333333333333</v>
      </c>
      <c r="Y1085" s="22" t="str">
        <f aca="false">IF(W1085&gt;0,"Win",IF(W1085&lt;0,"Loss","Flat"))</f>
        <v>Win</v>
      </c>
      <c r="Z1085" s="24" t="n">
        <f aca="false">Summary!$C$5+SUM(W$2:W1085)</f>
        <v>3484.77</v>
      </c>
      <c r="AA1085" s="24" t="n">
        <f aca="false">MAX(AA1084,Z1085)</f>
        <v>5000</v>
      </c>
      <c r="AB1085" s="24" t="n">
        <f aca="false">AA1085-Z1085</f>
        <v>1515.23</v>
      </c>
      <c r="AC1085" s="23" t="n">
        <f aca="false">IFERROR(AB1085/AA1085,0)</f>
        <v>0.303046</v>
      </c>
      <c r="AD1085" s="22" t="s">
        <v>1322</v>
      </c>
    </row>
    <row r="1086" customFormat="false" ht="15" hidden="false" customHeight="false" outlineLevel="0" collapsed="false">
      <c r="A1086" s="22" t="n">
        <v>1085</v>
      </c>
      <c r="B1086" s="22" t="s">
        <v>152</v>
      </c>
      <c r="C1086" s="37" t="n">
        <v>45629.6587152778</v>
      </c>
      <c r="D1086" s="22" t="s">
        <v>203</v>
      </c>
      <c r="E1086" s="22" t="n">
        <v>15</v>
      </c>
      <c r="F1086" s="22" t="s">
        <v>181</v>
      </c>
      <c r="G1086" s="22" t="s">
        <v>235</v>
      </c>
      <c r="H1086" s="22" t="n">
        <v>0.05</v>
      </c>
      <c r="I1086" s="38" t="n">
        <v>2649.92</v>
      </c>
      <c r="J1086" s="38" t="n">
        <v>2649.98</v>
      </c>
      <c r="K1086" s="39" t="n">
        <f aca="false">IF(F1086="BUY",J1086-I1086,I1086-J1086)</f>
        <v>0.0599999999999454</v>
      </c>
      <c r="L1086" s="38" t="n">
        <v>2643.92</v>
      </c>
      <c r="M1086" s="39" t="n">
        <f aca="false">ABS(I1086-L1086)</f>
        <v>6</v>
      </c>
      <c r="N1086" s="24" t="n">
        <f aca="false">M1086*H1086*Summary!$C$6</f>
        <v>30</v>
      </c>
      <c r="O1086" s="37" t="n">
        <v>45629.6720949074</v>
      </c>
      <c r="P1086" s="22" t="n">
        <f aca="false">ROUND((O1086-C1086)*86400,0)</f>
        <v>1156</v>
      </c>
      <c r="Q1086" s="22" t="str">
        <f aca="false">IF(P1086&lt;10,"a) &lt;10s",IF(P1086&lt;60,"b) 10-60s",IF(P1086&lt;600,"c) 1-10min","d) &gt;10min")))</f>
        <v>d) &gt;10min</v>
      </c>
      <c r="R1086" s="38" t="n">
        <v>2650.48</v>
      </c>
      <c r="S1086" s="38" t="n">
        <v>2650.3</v>
      </c>
      <c r="T1086" s="22" t="s">
        <v>189</v>
      </c>
      <c r="U1086" s="39" t="n">
        <f aca="false">IF(R1086="","",IF(F1086="BUY",R1086-S1086,S1086-R1086))</f>
        <v>0.179999999999836</v>
      </c>
      <c r="V1086" s="39" t="n">
        <f aca="false">IF(F1086="BUY",S1086-J1086,J1086-S1086)</f>
        <v>0.320000000000164</v>
      </c>
      <c r="W1086" s="6" t="n">
        <v>1.6</v>
      </c>
      <c r="X1086" s="26" t="n">
        <f aca="false">IFERROR(W1086/N1086,0)</f>
        <v>0.0533333333333333</v>
      </c>
      <c r="Y1086" s="22" t="str">
        <f aca="false">IF(W1086&gt;0,"Win",IF(W1086&lt;0,"Loss","Flat"))</f>
        <v>Win</v>
      </c>
      <c r="Z1086" s="24" t="n">
        <f aca="false">Summary!$C$5+SUM(W$2:W1086)</f>
        <v>3486.37</v>
      </c>
      <c r="AA1086" s="24" t="n">
        <f aca="false">MAX(AA1085,Z1086)</f>
        <v>5000</v>
      </c>
      <c r="AB1086" s="24" t="n">
        <f aca="false">AA1086-Z1086</f>
        <v>1513.63</v>
      </c>
      <c r="AC1086" s="23" t="n">
        <f aca="false">IFERROR(AB1086/AA1086,0)</f>
        <v>0.302726</v>
      </c>
      <c r="AD1086" s="22" t="s">
        <v>1323</v>
      </c>
    </row>
    <row r="1087" customFormat="false" ht="15" hidden="false" customHeight="false" outlineLevel="0" collapsed="false">
      <c r="A1087" s="22" t="n">
        <v>1086</v>
      </c>
      <c r="B1087" s="22" t="s">
        <v>152</v>
      </c>
      <c r="C1087" s="37" t="n">
        <v>45630.3845138889</v>
      </c>
      <c r="D1087" s="22" t="s">
        <v>204</v>
      </c>
      <c r="E1087" s="22" t="n">
        <v>9</v>
      </c>
      <c r="F1087" s="22" t="s">
        <v>182</v>
      </c>
      <c r="G1087" s="22" t="s">
        <v>241</v>
      </c>
      <c r="H1087" s="22" t="n">
        <v>0.05</v>
      </c>
      <c r="I1087" s="38" t="n">
        <v>2647.3</v>
      </c>
      <c r="J1087" s="38" t="n">
        <v>2647.3</v>
      </c>
      <c r="K1087" s="39" t="n">
        <f aca="false">IF(F1087="BUY",J1087-I1087,I1087-J1087)</f>
        <v>0</v>
      </c>
      <c r="L1087" s="38" t="n">
        <v>2653.3</v>
      </c>
      <c r="M1087" s="39" t="n">
        <f aca="false">ABS(I1087-L1087)</f>
        <v>6</v>
      </c>
      <c r="N1087" s="24" t="n">
        <f aca="false">M1087*H1087*Summary!$C$6</f>
        <v>30</v>
      </c>
      <c r="O1087" s="37" t="n">
        <v>45630.5603472222</v>
      </c>
      <c r="P1087" s="22" t="n">
        <f aca="false">ROUND((O1087-C1087)*86400,0)</f>
        <v>15192</v>
      </c>
      <c r="Q1087" s="22" t="str">
        <f aca="false">IF(P1087&lt;10,"a) &lt;10s",IF(P1087&lt;60,"b) 10-60s",IF(P1087&lt;600,"c) 1-10min","d) &gt;10min")))</f>
        <v>d) &gt;10min</v>
      </c>
      <c r="R1087" s="38" t="n">
        <v>2646.8</v>
      </c>
      <c r="S1087" s="38" t="n">
        <v>2646.81</v>
      </c>
      <c r="T1087" s="22" t="s">
        <v>189</v>
      </c>
      <c r="U1087" s="39" t="n">
        <f aca="false">IF(R1087="","",IF(F1087="BUY",R1087-S1087,S1087-R1087))</f>
        <v>0.00999999999976353</v>
      </c>
      <c r="V1087" s="39" t="n">
        <f aca="false">IF(F1087="BUY",S1087-J1087,J1087-S1087)</f>
        <v>0.490000000000236</v>
      </c>
      <c r="W1087" s="6" t="n">
        <v>2.45</v>
      </c>
      <c r="X1087" s="26" t="n">
        <f aca="false">IFERROR(W1087/N1087,0)</f>
        <v>0.0816666666666667</v>
      </c>
      <c r="Y1087" s="22" t="str">
        <f aca="false">IF(W1087&gt;0,"Win",IF(W1087&lt;0,"Loss","Flat"))</f>
        <v>Win</v>
      </c>
      <c r="Z1087" s="24" t="n">
        <f aca="false">Summary!$C$5+SUM(W$2:W1087)</f>
        <v>3488.82</v>
      </c>
      <c r="AA1087" s="24" t="n">
        <f aca="false">MAX(AA1086,Z1087)</f>
        <v>5000</v>
      </c>
      <c r="AB1087" s="24" t="n">
        <f aca="false">AA1087-Z1087</f>
        <v>1511.18</v>
      </c>
      <c r="AC1087" s="23" t="n">
        <f aca="false">IFERROR(AB1087/AA1087,0)</f>
        <v>0.302236</v>
      </c>
      <c r="AD1087" s="22" t="s">
        <v>1324</v>
      </c>
    </row>
    <row r="1088" customFormat="false" ht="15" hidden="false" customHeight="false" outlineLevel="0" collapsed="false">
      <c r="A1088" s="22" t="n">
        <v>1087</v>
      </c>
      <c r="B1088" s="22" t="s">
        <v>152</v>
      </c>
      <c r="C1088" s="37" t="n">
        <v>45630.6280092593</v>
      </c>
      <c r="D1088" s="22" t="s">
        <v>204</v>
      </c>
      <c r="E1088" s="22" t="n">
        <v>15</v>
      </c>
      <c r="F1088" s="22" t="s">
        <v>182</v>
      </c>
      <c r="G1088" s="22" t="s">
        <v>237</v>
      </c>
      <c r="H1088" s="22" t="n">
        <v>0.05</v>
      </c>
      <c r="I1088" s="38" t="n">
        <v>2633.97</v>
      </c>
      <c r="J1088" s="38" t="n">
        <v>2633.93</v>
      </c>
      <c r="K1088" s="39" t="n">
        <f aca="false">IF(F1088="BUY",J1088-I1088,I1088-J1088)</f>
        <v>0.0399999999999636</v>
      </c>
      <c r="L1088" s="38" t="n">
        <v>2639.97</v>
      </c>
      <c r="M1088" s="39" t="n">
        <f aca="false">ABS(I1088-L1088)</f>
        <v>6</v>
      </c>
      <c r="N1088" s="24" t="n">
        <f aca="false">M1088*H1088*Summary!$C$6</f>
        <v>30</v>
      </c>
      <c r="O1088" s="37" t="n">
        <v>45630.6376041667</v>
      </c>
      <c r="P1088" s="22" t="n">
        <f aca="false">ROUND((O1088-C1088)*86400,0)</f>
        <v>829</v>
      </c>
      <c r="Q1088" s="22" t="str">
        <f aca="false">IF(P1088&lt;10,"a) &lt;10s",IF(P1088&lt;60,"b) 10-60s",IF(P1088&lt;600,"c) 1-10min","d) &gt;10min")))</f>
        <v>d) &gt;10min</v>
      </c>
      <c r="R1088" s="38" t="n">
        <v>2639.97</v>
      </c>
      <c r="S1088" s="38" t="n">
        <v>2639.98</v>
      </c>
      <c r="T1088" s="22" t="s">
        <v>188</v>
      </c>
      <c r="U1088" s="39" t="n">
        <f aca="false">IF(R1088="","",IF(F1088="BUY",R1088-S1088,S1088-R1088))</f>
        <v>0.0100000000002183</v>
      </c>
      <c r="V1088" s="39" t="n">
        <f aca="false">IF(F1088="BUY",S1088-J1088,J1088-S1088)</f>
        <v>-6.05000000000018</v>
      </c>
      <c r="W1088" s="6" t="n">
        <v>-30.25</v>
      </c>
      <c r="X1088" s="26" t="n">
        <f aca="false">IFERROR(W1088/N1088,0)</f>
        <v>-1.00833333333333</v>
      </c>
      <c r="Y1088" s="22" t="str">
        <f aca="false">IF(W1088&gt;0,"Win",IF(W1088&lt;0,"Loss","Flat"))</f>
        <v>Loss</v>
      </c>
      <c r="Z1088" s="24" t="n">
        <f aca="false">Summary!$C$5+SUM(W$2:W1088)</f>
        <v>3458.57</v>
      </c>
      <c r="AA1088" s="24" t="n">
        <f aca="false">MAX(AA1087,Z1088)</f>
        <v>5000</v>
      </c>
      <c r="AB1088" s="24" t="n">
        <f aca="false">AA1088-Z1088</f>
        <v>1541.43</v>
      </c>
      <c r="AC1088" s="23" t="n">
        <f aca="false">IFERROR(AB1088/AA1088,0)</f>
        <v>0.308286</v>
      </c>
      <c r="AD1088" s="22" t="s">
        <v>1325</v>
      </c>
    </row>
    <row r="1089" customFormat="false" ht="15" hidden="false" customHeight="false" outlineLevel="0" collapsed="false">
      <c r="A1089" s="22" t="n">
        <v>1088</v>
      </c>
      <c r="B1089" s="22" t="s">
        <v>152</v>
      </c>
      <c r="C1089" s="37" t="n">
        <v>45631.3755902778</v>
      </c>
      <c r="D1089" s="22" t="s">
        <v>205</v>
      </c>
      <c r="E1089" s="22" t="n">
        <v>9</v>
      </c>
      <c r="F1089" s="22" t="s">
        <v>182</v>
      </c>
      <c r="G1089" s="22" t="s">
        <v>241</v>
      </c>
      <c r="H1089" s="22" t="n">
        <v>0.05</v>
      </c>
      <c r="I1089" s="38" t="n">
        <v>2645.38</v>
      </c>
      <c r="J1089" s="38" t="n">
        <v>2645.28</v>
      </c>
      <c r="K1089" s="39" t="n">
        <f aca="false">IF(F1089="BUY",J1089-I1089,I1089-J1089)</f>
        <v>0.0999999999999091</v>
      </c>
      <c r="L1089" s="38" t="n">
        <v>2651.38</v>
      </c>
      <c r="M1089" s="39" t="n">
        <f aca="false">ABS(I1089-L1089)</f>
        <v>6</v>
      </c>
      <c r="N1089" s="24" t="n">
        <f aca="false">M1089*H1089*Summary!$C$6</f>
        <v>30</v>
      </c>
      <c r="O1089" s="37" t="n">
        <v>45631.4606365741</v>
      </c>
      <c r="P1089" s="22" t="n">
        <f aca="false">ROUND((O1089-C1089)*86400,0)</f>
        <v>7348</v>
      </c>
      <c r="Q1089" s="22" t="str">
        <f aca="false">IF(P1089&lt;10,"a) &lt;10s",IF(P1089&lt;60,"b) 10-60s",IF(P1089&lt;600,"c) 1-10min","d) &gt;10min")))</f>
        <v>d) &gt;10min</v>
      </c>
      <c r="R1089" s="38" t="n">
        <v>2644.78</v>
      </c>
      <c r="S1089" s="38" t="n">
        <v>2644.79</v>
      </c>
      <c r="T1089" s="22" t="s">
        <v>189</v>
      </c>
      <c r="U1089" s="39" t="n">
        <f aca="false">IF(R1089="","",IF(F1089="BUY",R1089-S1089,S1089-R1089))</f>
        <v>0.00999999999976353</v>
      </c>
      <c r="V1089" s="39" t="n">
        <f aca="false">IF(F1089="BUY",S1089-J1089,J1089-S1089)</f>
        <v>0.490000000000236</v>
      </c>
      <c r="W1089" s="6" t="n">
        <v>2.45</v>
      </c>
      <c r="X1089" s="26" t="n">
        <f aca="false">IFERROR(W1089/N1089,0)</f>
        <v>0.0816666666666667</v>
      </c>
      <c r="Y1089" s="22" t="str">
        <f aca="false">IF(W1089&gt;0,"Win",IF(W1089&lt;0,"Loss","Flat"))</f>
        <v>Win</v>
      </c>
      <c r="Z1089" s="24" t="n">
        <f aca="false">Summary!$C$5+SUM(W$2:W1089)</f>
        <v>3461.02</v>
      </c>
      <c r="AA1089" s="24" t="n">
        <f aca="false">MAX(AA1088,Z1089)</f>
        <v>5000</v>
      </c>
      <c r="AB1089" s="24" t="n">
        <f aca="false">AA1089-Z1089</f>
        <v>1538.98</v>
      </c>
      <c r="AC1089" s="23" t="n">
        <f aca="false">IFERROR(AB1089/AA1089,0)</f>
        <v>0.307796</v>
      </c>
      <c r="AD1089" s="22" t="s">
        <v>1326</v>
      </c>
    </row>
    <row r="1090" customFormat="false" ht="15" hidden="false" customHeight="false" outlineLevel="0" collapsed="false">
      <c r="A1090" s="22" t="n">
        <v>1089</v>
      </c>
      <c r="B1090" s="22" t="s">
        <v>152</v>
      </c>
      <c r="C1090" s="37" t="n">
        <v>45631.7371990741</v>
      </c>
      <c r="D1090" s="22" t="s">
        <v>205</v>
      </c>
      <c r="E1090" s="22" t="n">
        <v>17</v>
      </c>
      <c r="F1090" s="22" t="s">
        <v>182</v>
      </c>
      <c r="G1090" s="22" t="s">
        <v>237</v>
      </c>
      <c r="H1090" s="22" t="n">
        <v>0.05</v>
      </c>
      <c r="I1090" s="38" t="n">
        <v>2632.32</v>
      </c>
      <c r="J1090" s="38" t="n">
        <v>2632.3</v>
      </c>
      <c r="K1090" s="39" t="n">
        <f aca="false">IF(F1090="BUY",J1090-I1090,I1090-J1090)</f>
        <v>0.0199999999999818</v>
      </c>
      <c r="L1090" s="38" t="n">
        <v>2638.32</v>
      </c>
      <c r="M1090" s="39" t="n">
        <f aca="false">ABS(I1090-L1090)</f>
        <v>6</v>
      </c>
      <c r="N1090" s="24" t="n">
        <f aca="false">M1090*H1090*Summary!$C$6</f>
        <v>30</v>
      </c>
      <c r="O1090" s="37" t="n">
        <v>45631.7437615741</v>
      </c>
      <c r="P1090" s="22" t="n">
        <f aca="false">ROUND((O1090-C1090)*86400,0)</f>
        <v>567</v>
      </c>
      <c r="Q1090" s="22" t="str">
        <f aca="false">IF(P1090&lt;10,"a) &lt;10s",IF(P1090&lt;60,"b) 10-60s",IF(P1090&lt;600,"c) 1-10min","d) &gt;10min")))</f>
        <v>c) 1-10min</v>
      </c>
      <c r="R1090" s="38" t="n">
        <v>2638.32</v>
      </c>
      <c r="S1090" s="38" t="n">
        <v>2638.38</v>
      </c>
      <c r="T1090" s="22" t="s">
        <v>188</v>
      </c>
      <c r="U1090" s="39" t="n">
        <f aca="false">IF(R1090="","",IF(F1090="BUY",R1090-S1090,S1090-R1090))</f>
        <v>0.0599999999999454</v>
      </c>
      <c r="V1090" s="39" t="n">
        <f aca="false">IF(F1090="BUY",S1090-J1090,J1090-S1090)</f>
        <v>-6.07999999999993</v>
      </c>
      <c r="W1090" s="6" t="n">
        <v>-30.4</v>
      </c>
      <c r="X1090" s="26" t="n">
        <f aca="false">IFERROR(W1090/N1090,0)</f>
        <v>-1.01333333333333</v>
      </c>
      <c r="Y1090" s="22" t="str">
        <f aca="false">IF(W1090&gt;0,"Win",IF(W1090&lt;0,"Loss","Flat"))</f>
        <v>Loss</v>
      </c>
      <c r="Z1090" s="24" t="n">
        <f aca="false">Summary!$C$5+SUM(W$2:W1090)</f>
        <v>3430.62</v>
      </c>
      <c r="AA1090" s="24" t="n">
        <f aca="false">MAX(AA1089,Z1090)</f>
        <v>5000</v>
      </c>
      <c r="AB1090" s="24" t="n">
        <f aca="false">AA1090-Z1090</f>
        <v>1569.38</v>
      </c>
      <c r="AC1090" s="23" t="n">
        <f aca="false">IFERROR(AB1090/AA1090,0)</f>
        <v>0.313876</v>
      </c>
      <c r="AD1090" s="22" t="s">
        <v>1327</v>
      </c>
    </row>
    <row r="1091" customFormat="false" ht="15" hidden="false" customHeight="false" outlineLevel="0" collapsed="false">
      <c r="A1091" s="22" t="n">
        <v>1090</v>
      </c>
      <c r="B1091" s="22" t="s">
        <v>152</v>
      </c>
      <c r="C1091" s="37" t="n">
        <v>45632.1308912037</v>
      </c>
      <c r="D1091" s="22" t="s">
        <v>206</v>
      </c>
      <c r="E1091" s="22" t="n">
        <v>3</v>
      </c>
      <c r="F1091" s="22" t="s">
        <v>182</v>
      </c>
      <c r="G1091" s="22" t="s">
        <v>237</v>
      </c>
      <c r="H1091" s="22" t="n">
        <v>0.05</v>
      </c>
      <c r="I1091" s="38" t="n">
        <v>2623.39</v>
      </c>
      <c r="J1091" s="38" t="n">
        <v>2623.27</v>
      </c>
      <c r="K1091" s="39" t="n">
        <f aca="false">IF(F1091="BUY",J1091-I1091,I1091-J1091)</f>
        <v>0.119999999999891</v>
      </c>
      <c r="L1091" s="38" t="n">
        <v>2629.39</v>
      </c>
      <c r="M1091" s="39" t="n">
        <f aca="false">ABS(I1091-L1091)</f>
        <v>6</v>
      </c>
      <c r="N1091" s="24" t="n">
        <f aca="false">M1091*H1091*Summary!$C$6</f>
        <v>30</v>
      </c>
      <c r="O1091" s="37" t="n">
        <v>45632.1514814815</v>
      </c>
      <c r="P1091" s="22" t="n">
        <f aca="false">ROUND((O1091-C1091)*86400,0)</f>
        <v>1779</v>
      </c>
      <c r="Q1091" s="22" t="str">
        <f aca="false">IF(P1091&lt;10,"a) &lt;10s",IF(P1091&lt;60,"b) 10-60s",IF(P1091&lt;600,"c) 1-10min","d) &gt;10min")))</f>
        <v>d) &gt;10min</v>
      </c>
      <c r="R1091" s="38" t="n">
        <v>2622.77</v>
      </c>
      <c r="S1091" s="38" t="n">
        <v>2622.77</v>
      </c>
      <c r="T1091" s="22" t="s">
        <v>189</v>
      </c>
      <c r="U1091" s="39" t="n">
        <f aca="false">IF(R1091="","",IF(F1091="BUY",R1091-S1091,S1091-R1091))</f>
        <v>0</v>
      </c>
      <c r="V1091" s="39" t="n">
        <f aca="false">IF(F1091="BUY",S1091-J1091,J1091-S1091)</f>
        <v>0.5</v>
      </c>
      <c r="W1091" s="6" t="n">
        <v>2.5</v>
      </c>
      <c r="X1091" s="26" t="n">
        <f aca="false">IFERROR(W1091/N1091,0)</f>
        <v>0.0833333333333333</v>
      </c>
      <c r="Y1091" s="22" t="str">
        <f aca="false">IF(W1091&gt;0,"Win",IF(W1091&lt;0,"Loss","Flat"))</f>
        <v>Win</v>
      </c>
      <c r="Z1091" s="24" t="n">
        <f aca="false">Summary!$C$5+SUM(W$2:W1091)</f>
        <v>3433.12</v>
      </c>
      <c r="AA1091" s="24" t="n">
        <f aca="false">MAX(AA1090,Z1091)</f>
        <v>5000</v>
      </c>
      <c r="AB1091" s="24" t="n">
        <f aca="false">AA1091-Z1091</f>
        <v>1566.88</v>
      </c>
      <c r="AC1091" s="23" t="n">
        <f aca="false">IFERROR(AB1091/AA1091,0)</f>
        <v>0.313376</v>
      </c>
      <c r="AD1091" s="22" t="s">
        <v>1328</v>
      </c>
    </row>
    <row r="1092" customFormat="false" ht="15" hidden="false" customHeight="false" outlineLevel="0" collapsed="false">
      <c r="A1092" s="22" t="n">
        <v>1091</v>
      </c>
      <c r="B1092" s="22" t="s">
        <v>152</v>
      </c>
      <c r="C1092" s="37" t="n">
        <v>45632.4480671296</v>
      </c>
      <c r="D1092" s="22" t="s">
        <v>206</v>
      </c>
      <c r="E1092" s="22" t="n">
        <v>10</v>
      </c>
      <c r="F1092" s="22" t="s">
        <v>181</v>
      </c>
      <c r="G1092" s="22" t="s">
        <v>235</v>
      </c>
      <c r="H1092" s="22" t="n">
        <v>0.05</v>
      </c>
      <c r="I1092" s="38" t="n">
        <v>2642.47</v>
      </c>
      <c r="J1092" s="38" t="n">
        <v>2642.47</v>
      </c>
      <c r="K1092" s="39" t="n">
        <f aca="false">IF(F1092="BUY",J1092-I1092,I1092-J1092)</f>
        <v>0</v>
      </c>
      <c r="L1092" s="38" t="n">
        <v>2636.47</v>
      </c>
      <c r="M1092" s="39" t="n">
        <f aca="false">ABS(I1092-L1092)</f>
        <v>6</v>
      </c>
      <c r="N1092" s="24" t="n">
        <f aca="false">M1092*H1092*Summary!$C$6</f>
        <v>30</v>
      </c>
      <c r="O1092" s="37" t="n">
        <v>45632.4625694445</v>
      </c>
      <c r="P1092" s="22" t="n">
        <f aca="false">ROUND((O1092-C1092)*86400,0)</f>
        <v>1253</v>
      </c>
      <c r="Q1092" s="22" t="str">
        <f aca="false">IF(P1092&lt;10,"a) &lt;10s",IF(P1092&lt;60,"b) 10-60s",IF(P1092&lt;600,"c) 1-10min","d) &gt;10min")))</f>
        <v>d) &gt;10min</v>
      </c>
      <c r="R1092" s="38" t="n">
        <v>2642.97</v>
      </c>
      <c r="S1092" s="38" t="n">
        <v>2642.95</v>
      </c>
      <c r="T1092" s="22" t="s">
        <v>189</v>
      </c>
      <c r="U1092" s="39" t="n">
        <f aca="false">IF(R1092="","",IF(F1092="BUY",R1092-S1092,S1092-R1092))</f>
        <v>0.0199999999999818</v>
      </c>
      <c r="V1092" s="39" t="n">
        <f aca="false">IF(F1092="BUY",S1092-J1092,J1092-S1092)</f>
        <v>0.480000000000018</v>
      </c>
      <c r="W1092" s="6" t="n">
        <v>2.4</v>
      </c>
      <c r="X1092" s="26" t="n">
        <f aca="false">IFERROR(W1092/N1092,0)</f>
        <v>0.08</v>
      </c>
      <c r="Y1092" s="22" t="str">
        <f aca="false">IF(W1092&gt;0,"Win",IF(W1092&lt;0,"Loss","Flat"))</f>
        <v>Win</v>
      </c>
      <c r="Z1092" s="24" t="n">
        <f aca="false">Summary!$C$5+SUM(W$2:W1092)</f>
        <v>3435.52</v>
      </c>
      <c r="AA1092" s="24" t="n">
        <f aca="false">MAX(AA1091,Z1092)</f>
        <v>5000</v>
      </c>
      <c r="AB1092" s="24" t="n">
        <f aca="false">AA1092-Z1092</f>
        <v>1564.48</v>
      </c>
      <c r="AC1092" s="23" t="n">
        <f aca="false">IFERROR(AB1092/AA1092,0)</f>
        <v>0.312896</v>
      </c>
      <c r="AD1092" s="22" t="s">
        <v>1329</v>
      </c>
    </row>
    <row r="1093" customFormat="false" ht="15" hidden="false" customHeight="false" outlineLevel="0" collapsed="false">
      <c r="A1093" s="22" t="n">
        <v>1092</v>
      </c>
      <c r="B1093" s="22" t="s">
        <v>152</v>
      </c>
      <c r="C1093" s="37" t="n">
        <v>45635.3757291667</v>
      </c>
      <c r="D1093" s="22" t="s">
        <v>202</v>
      </c>
      <c r="E1093" s="22" t="n">
        <v>9</v>
      </c>
      <c r="F1093" s="22" t="s">
        <v>181</v>
      </c>
      <c r="G1093" s="22" t="s">
        <v>235</v>
      </c>
      <c r="H1093" s="22" t="n">
        <v>0.05</v>
      </c>
      <c r="I1093" s="38" t="n">
        <v>2644.35</v>
      </c>
      <c r="J1093" s="38" t="n">
        <v>2644.36</v>
      </c>
      <c r="K1093" s="39" t="n">
        <f aca="false">IF(F1093="BUY",J1093-I1093,I1093-J1093)</f>
        <v>0.0100000000002183</v>
      </c>
      <c r="L1093" s="38" t="n">
        <v>2638.35</v>
      </c>
      <c r="M1093" s="39" t="n">
        <f aca="false">ABS(I1093-L1093)</f>
        <v>6</v>
      </c>
      <c r="N1093" s="24" t="n">
        <f aca="false">M1093*H1093*Summary!$C$6</f>
        <v>30</v>
      </c>
      <c r="O1093" s="37" t="n">
        <v>45635.7049421296</v>
      </c>
      <c r="P1093" s="22" t="n">
        <f aca="false">ROUND((O1093-C1093)*86400,0)</f>
        <v>28444</v>
      </c>
      <c r="Q1093" s="22" t="str">
        <f aca="false">IF(P1093&lt;10,"a) &lt;10s",IF(P1093&lt;60,"b) 10-60s",IF(P1093&lt;600,"c) 1-10min","d) &gt;10min")))</f>
        <v>d) &gt;10min</v>
      </c>
      <c r="R1093" s="38"/>
      <c r="S1093" s="38" t="n">
        <v>2674.5</v>
      </c>
      <c r="T1093" s="22" t="s">
        <v>187</v>
      </c>
      <c r="U1093" s="39" t="str">
        <f aca="false">IF(R1093="","",IF(F1093="BUY",R1093-S1093,S1093-R1093))</f>
        <v/>
      </c>
      <c r="V1093" s="39" t="n">
        <f aca="false">IF(F1093="BUY",S1093-J1093,J1093-S1093)</f>
        <v>30.1399999999999</v>
      </c>
      <c r="W1093" s="6" t="n">
        <v>150.7</v>
      </c>
      <c r="X1093" s="26" t="n">
        <f aca="false">IFERROR(W1093/N1093,0)</f>
        <v>5.02333333333333</v>
      </c>
      <c r="Y1093" s="22" t="str">
        <f aca="false">IF(W1093&gt;0,"Win",IF(W1093&lt;0,"Loss","Flat"))</f>
        <v>Win</v>
      </c>
      <c r="Z1093" s="24" t="n">
        <f aca="false">Summary!$C$5+SUM(W$2:W1093)</f>
        <v>3586.22</v>
      </c>
      <c r="AA1093" s="24" t="n">
        <f aca="false">MAX(AA1092,Z1093)</f>
        <v>5000</v>
      </c>
      <c r="AB1093" s="24" t="n">
        <f aca="false">AA1093-Z1093</f>
        <v>1413.78</v>
      </c>
      <c r="AC1093" s="23" t="n">
        <f aca="false">IFERROR(AB1093/AA1093,0)</f>
        <v>0.282756</v>
      </c>
      <c r="AD1093" s="22" t="s">
        <v>1330</v>
      </c>
    </row>
    <row r="1094" customFormat="false" ht="15" hidden="false" customHeight="false" outlineLevel="0" collapsed="false">
      <c r="A1094" s="22" t="n">
        <v>1093</v>
      </c>
      <c r="B1094" s="22" t="s">
        <v>152</v>
      </c>
      <c r="C1094" s="37" t="n">
        <v>45636.4106481482</v>
      </c>
      <c r="D1094" s="22" t="s">
        <v>203</v>
      </c>
      <c r="E1094" s="22" t="n">
        <v>9</v>
      </c>
      <c r="F1094" s="22" t="s">
        <v>182</v>
      </c>
      <c r="G1094" s="22" t="s">
        <v>241</v>
      </c>
      <c r="H1094" s="22" t="n">
        <v>0.05</v>
      </c>
      <c r="I1094" s="38" t="n">
        <v>2665.63</v>
      </c>
      <c r="J1094" s="38" t="n">
        <v>2665.5</v>
      </c>
      <c r="K1094" s="39" t="n">
        <f aca="false">IF(F1094="BUY",J1094-I1094,I1094-J1094)</f>
        <v>0.130000000000109</v>
      </c>
      <c r="L1094" s="38" t="n">
        <v>2671.63</v>
      </c>
      <c r="M1094" s="39" t="n">
        <f aca="false">ABS(I1094-L1094)</f>
        <v>6</v>
      </c>
      <c r="N1094" s="24" t="n">
        <f aca="false">M1094*H1094*Summary!$C$6</f>
        <v>30</v>
      </c>
      <c r="O1094" s="37" t="n">
        <v>45636.4214583333</v>
      </c>
      <c r="P1094" s="22" t="n">
        <f aca="false">ROUND((O1094-C1094)*86400,0)</f>
        <v>934</v>
      </c>
      <c r="Q1094" s="22" t="str">
        <f aca="false">IF(P1094&lt;10,"a) &lt;10s",IF(P1094&lt;60,"b) 10-60s",IF(P1094&lt;600,"c) 1-10min","d) &gt;10min")))</f>
        <v>d) &gt;10min</v>
      </c>
      <c r="R1094" s="38" t="n">
        <v>2665</v>
      </c>
      <c r="S1094" s="38" t="n">
        <v>2665</v>
      </c>
      <c r="T1094" s="22" t="s">
        <v>189</v>
      </c>
      <c r="U1094" s="39" t="n">
        <f aca="false">IF(R1094="","",IF(F1094="BUY",R1094-S1094,S1094-R1094))</f>
        <v>0</v>
      </c>
      <c r="V1094" s="39" t="n">
        <f aca="false">IF(F1094="BUY",S1094-J1094,J1094-S1094)</f>
        <v>0.5</v>
      </c>
      <c r="W1094" s="6" t="n">
        <v>2.5</v>
      </c>
      <c r="X1094" s="26" t="n">
        <f aca="false">IFERROR(W1094/N1094,0)</f>
        <v>0.0833333333333333</v>
      </c>
      <c r="Y1094" s="22" t="str">
        <f aca="false">IF(W1094&gt;0,"Win",IF(W1094&lt;0,"Loss","Flat"))</f>
        <v>Win</v>
      </c>
      <c r="Z1094" s="24" t="n">
        <f aca="false">Summary!$C$5+SUM(W$2:W1094)</f>
        <v>3588.72</v>
      </c>
      <c r="AA1094" s="24" t="n">
        <f aca="false">MAX(AA1093,Z1094)</f>
        <v>5000</v>
      </c>
      <c r="AB1094" s="24" t="n">
        <f aca="false">AA1094-Z1094</f>
        <v>1411.28</v>
      </c>
      <c r="AC1094" s="23" t="n">
        <f aca="false">IFERROR(AB1094/AA1094,0)</f>
        <v>0.282256</v>
      </c>
      <c r="AD1094" s="22" t="s">
        <v>1331</v>
      </c>
    </row>
    <row r="1095" customFormat="false" ht="15" hidden="false" customHeight="false" outlineLevel="0" collapsed="false">
      <c r="A1095" s="22" t="n">
        <v>1094</v>
      </c>
      <c r="B1095" s="22" t="s">
        <v>152</v>
      </c>
      <c r="C1095" s="37" t="n">
        <v>45636.5361921296</v>
      </c>
      <c r="D1095" s="22" t="s">
        <v>203</v>
      </c>
      <c r="E1095" s="22" t="n">
        <v>12</v>
      </c>
      <c r="F1095" s="22" t="s">
        <v>181</v>
      </c>
      <c r="G1095" s="22" t="s">
        <v>243</v>
      </c>
      <c r="H1095" s="22" t="n">
        <v>0.05</v>
      </c>
      <c r="I1095" s="38" t="n">
        <v>2676.26</v>
      </c>
      <c r="J1095" s="38" t="n">
        <v>2676.26</v>
      </c>
      <c r="K1095" s="39" t="n">
        <f aca="false">IF(F1095="BUY",J1095-I1095,I1095-J1095)</f>
        <v>0</v>
      </c>
      <c r="L1095" s="38" t="n">
        <v>2670.26</v>
      </c>
      <c r="M1095" s="39" t="n">
        <f aca="false">ABS(I1095-L1095)</f>
        <v>6</v>
      </c>
      <c r="N1095" s="24" t="n">
        <f aca="false">M1095*H1095*Summary!$C$6</f>
        <v>30</v>
      </c>
      <c r="O1095" s="37" t="n">
        <v>45636.5546180556</v>
      </c>
      <c r="P1095" s="22" t="n">
        <f aca="false">ROUND((O1095-C1095)*86400,0)</f>
        <v>1592</v>
      </c>
      <c r="Q1095" s="22" t="str">
        <f aca="false">IF(P1095&lt;10,"a) &lt;10s",IF(P1095&lt;60,"b) 10-60s",IF(P1095&lt;600,"c) 1-10min","d) &gt;10min")))</f>
        <v>d) &gt;10min</v>
      </c>
      <c r="R1095" s="38" t="n">
        <v>2670.26</v>
      </c>
      <c r="S1095" s="38" t="n">
        <v>2670.14</v>
      </c>
      <c r="T1095" s="22" t="s">
        <v>188</v>
      </c>
      <c r="U1095" s="39" t="n">
        <f aca="false">IF(R1095="","",IF(F1095="BUY",R1095-S1095,S1095-R1095))</f>
        <v>0.120000000000346</v>
      </c>
      <c r="V1095" s="39" t="n">
        <f aca="false">IF(F1095="BUY",S1095-J1095,J1095-S1095)</f>
        <v>-6.12000000000035</v>
      </c>
      <c r="W1095" s="6" t="n">
        <v>-30.6</v>
      </c>
      <c r="X1095" s="26" t="n">
        <f aca="false">IFERROR(W1095/N1095,0)</f>
        <v>-1.02</v>
      </c>
      <c r="Y1095" s="22" t="str">
        <f aca="false">IF(W1095&gt;0,"Win",IF(W1095&lt;0,"Loss","Flat"))</f>
        <v>Loss</v>
      </c>
      <c r="Z1095" s="24" t="n">
        <f aca="false">Summary!$C$5+SUM(W$2:W1095)</f>
        <v>3558.12</v>
      </c>
      <c r="AA1095" s="24" t="n">
        <f aca="false">MAX(AA1094,Z1095)</f>
        <v>5000</v>
      </c>
      <c r="AB1095" s="24" t="n">
        <f aca="false">AA1095-Z1095</f>
        <v>1441.88</v>
      </c>
      <c r="AC1095" s="23" t="n">
        <f aca="false">IFERROR(AB1095/AA1095,0)</f>
        <v>0.288376</v>
      </c>
      <c r="AD1095" s="22" t="s">
        <v>1332</v>
      </c>
    </row>
    <row r="1096" customFormat="false" ht="15" hidden="false" customHeight="false" outlineLevel="0" collapsed="false">
      <c r="A1096" s="22" t="n">
        <v>1095</v>
      </c>
      <c r="B1096" s="22" t="s">
        <v>152</v>
      </c>
      <c r="C1096" s="37" t="n">
        <v>45637.0559837963</v>
      </c>
      <c r="D1096" s="22" t="s">
        <v>204</v>
      </c>
      <c r="E1096" s="22" t="n">
        <v>1</v>
      </c>
      <c r="F1096" s="22" t="s">
        <v>181</v>
      </c>
      <c r="G1096" s="22" t="s">
        <v>243</v>
      </c>
      <c r="H1096" s="22" t="n">
        <v>0.05</v>
      </c>
      <c r="I1096" s="38" t="n">
        <v>2695.38</v>
      </c>
      <c r="J1096" s="38" t="n">
        <v>2695.39</v>
      </c>
      <c r="K1096" s="39" t="n">
        <f aca="false">IF(F1096="BUY",J1096-I1096,I1096-J1096)</f>
        <v>0.00999999999976353</v>
      </c>
      <c r="L1096" s="38" t="n">
        <v>2689.38</v>
      </c>
      <c r="M1096" s="39" t="n">
        <f aca="false">ABS(I1096-L1096)</f>
        <v>6</v>
      </c>
      <c r="N1096" s="24" t="n">
        <f aca="false">M1096*H1096*Summary!$C$6</f>
        <v>30</v>
      </c>
      <c r="O1096" s="37" t="n">
        <v>45637.0771527778</v>
      </c>
      <c r="P1096" s="22" t="n">
        <f aca="false">ROUND((O1096-C1096)*86400,0)</f>
        <v>1829</v>
      </c>
      <c r="Q1096" s="22" t="str">
        <f aca="false">IF(P1096&lt;10,"a) &lt;10s",IF(P1096&lt;60,"b) 10-60s",IF(P1096&lt;600,"c) 1-10min","d) &gt;10min")))</f>
        <v>d) &gt;10min</v>
      </c>
      <c r="R1096" s="38" t="n">
        <v>2695.89</v>
      </c>
      <c r="S1096" s="38" t="n">
        <v>2695.86</v>
      </c>
      <c r="T1096" s="22" t="s">
        <v>189</v>
      </c>
      <c r="U1096" s="39" t="n">
        <f aca="false">IF(R1096="","",IF(F1096="BUY",R1096-S1096,S1096-R1096))</f>
        <v>0.0299999999997453</v>
      </c>
      <c r="V1096" s="39" t="n">
        <f aca="false">IF(F1096="BUY",S1096-J1096,J1096-S1096)</f>
        <v>0.470000000000255</v>
      </c>
      <c r="W1096" s="6" t="n">
        <v>2.35</v>
      </c>
      <c r="X1096" s="26" t="n">
        <f aca="false">IFERROR(W1096/N1096,0)</f>
        <v>0.0783333333333333</v>
      </c>
      <c r="Y1096" s="22" t="str">
        <f aca="false">IF(W1096&gt;0,"Win",IF(W1096&lt;0,"Loss","Flat"))</f>
        <v>Win</v>
      </c>
      <c r="Z1096" s="24" t="n">
        <f aca="false">Summary!$C$5+SUM(W$2:W1096)</f>
        <v>3560.47</v>
      </c>
      <c r="AA1096" s="24" t="n">
        <f aca="false">MAX(AA1095,Z1096)</f>
        <v>5000</v>
      </c>
      <c r="AB1096" s="24" t="n">
        <f aca="false">AA1096-Z1096</f>
        <v>1439.53</v>
      </c>
      <c r="AC1096" s="23" t="n">
        <f aca="false">IFERROR(AB1096/AA1096,0)</f>
        <v>0.287906</v>
      </c>
      <c r="AD1096" s="22" t="s">
        <v>1333</v>
      </c>
    </row>
    <row r="1097" customFormat="false" ht="15" hidden="false" customHeight="false" outlineLevel="0" collapsed="false">
      <c r="A1097" s="22" t="n">
        <v>1096</v>
      </c>
      <c r="B1097" s="22" t="s">
        <v>152</v>
      </c>
      <c r="C1097" s="37" t="n">
        <v>45637.5056712963</v>
      </c>
      <c r="D1097" s="22" t="s">
        <v>204</v>
      </c>
      <c r="E1097" s="22" t="n">
        <v>12</v>
      </c>
      <c r="F1097" s="22" t="s">
        <v>181</v>
      </c>
      <c r="G1097" s="22" t="s">
        <v>235</v>
      </c>
      <c r="H1097" s="22" t="n">
        <v>0.05</v>
      </c>
      <c r="I1097" s="38" t="n">
        <v>2697.54</v>
      </c>
      <c r="J1097" s="38" t="n">
        <v>2697.63</v>
      </c>
      <c r="K1097" s="39" t="n">
        <f aca="false">IF(F1097="BUY",J1097-I1097,I1097-J1097)</f>
        <v>0.0900000000001455</v>
      </c>
      <c r="L1097" s="38" t="n">
        <v>2691.54</v>
      </c>
      <c r="M1097" s="39" t="n">
        <f aca="false">ABS(I1097-L1097)</f>
        <v>6</v>
      </c>
      <c r="N1097" s="24" t="n">
        <f aca="false">M1097*H1097*Summary!$C$6</f>
        <v>30</v>
      </c>
      <c r="O1097" s="37" t="n">
        <v>45637.6418981482</v>
      </c>
      <c r="P1097" s="22" t="n">
        <f aca="false">ROUND((O1097-C1097)*86400,0)</f>
        <v>11770</v>
      </c>
      <c r="Q1097" s="22" t="str">
        <f aca="false">IF(P1097&lt;10,"a) &lt;10s",IF(P1097&lt;60,"b) 10-60s",IF(P1097&lt;600,"c) 1-10min","d) &gt;10min")))</f>
        <v>d) &gt;10min</v>
      </c>
      <c r="R1097" s="38" t="n">
        <v>2691.54</v>
      </c>
      <c r="S1097" s="38" t="n">
        <v>2691.4</v>
      </c>
      <c r="T1097" s="22" t="s">
        <v>188</v>
      </c>
      <c r="U1097" s="39" t="n">
        <f aca="false">IF(R1097="","",IF(F1097="BUY",R1097-S1097,S1097-R1097))</f>
        <v>0.139999999999873</v>
      </c>
      <c r="V1097" s="39" t="n">
        <f aca="false">IF(F1097="BUY",S1097-J1097,J1097-S1097)</f>
        <v>-6.23000000000002</v>
      </c>
      <c r="W1097" s="6" t="n">
        <v>-31.15</v>
      </c>
      <c r="X1097" s="26" t="n">
        <f aca="false">IFERROR(W1097/N1097,0)</f>
        <v>-1.03833333333333</v>
      </c>
      <c r="Y1097" s="22" t="str">
        <f aca="false">IF(W1097&gt;0,"Win",IF(W1097&lt;0,"Loss","Flat"))</f>
        <v>Loss</v>
      </c>
      <c r="Z1097" s="24" t="n">
        <f aca="false">Summary!$C$5+SUM(W$2:W1097)</f>
        <v>3529.32</v>
      </c>
      <c r="AA1097" s="24" t="n">
        <f aca="false">MAX(AA1096,Z1097)</f>
        <v>5000</v>
      </c>
      <c r="AB1097" s="24" t="n">
        <f aca="false">AA1097-Z1097</f>
        <v>1470.68</v>
      </c>
      <c r="AC1097" s="23" t="n">
        <f aca="false">IFERROR(AB1097/AA1097,0)</f>
        <v>0.294136</v>
      </c>
      <c r="AD1097" s="22" t="s">
        <v>1334</v>
      </c>
    </row>
    <row r="1098" customFormat="false" ht="15" hidden="false" customHeight="false" outlineLevel="0" collapsed="false">
      <c r="A1098" s="22" t="n">
        <v>1097</v>
      </c>
      <c r="B1098" s="22" t="s">
        <v>152</v>
      </c>
      <c r="C1098" s="37" t="n">
        <v>45638.0881944444</v>
      </c>
      <c r="D1098" s="22" t="s">
        <v>205</v>
      </c>
      <c r="E1098" s="22" t="n">
        <v>2</v>
      </c>
      <c r="F1098" s="22" t="s">
        <v>181</v>
      </c>
      <c r="G1098" s="22" t="s">
        <v>243</v>
      </c>
      <c r="H1098" s="22" t="n">
        <v>0.05</v>
      </c>
      <c r="I1098" s="38" t="n">
        <v>2721.01</v>
      </c>
      <c r="J1098" s="38" t="n">
        <v>2721.07</v>
      </c>
      <c r="K1098" s="39" t="n">
        <f aca="false">IF(F1098="BUY",J1098-I1098,I1098-J1098)</f>
        <v>0.0599999999999454</v>
      </c>
      <c r="L1098" s="38" t="n">
        <v>2715.01</v>
      </c>
      <c r="M1098" s="39" t="n">
        <f aca="false">ABS(I1098-L1098)</f>
        <v>6</v>
      </c>
      <c r="N1098" s="24" t="n">
        <f aca="false">M1098*H1098*Summary!$C$6</f>
        <v>30</v>
      </c>
      <c r="O1098" s="37" t="n">
        <v>45638.1289814815</v>
      </c>
      <c r="P1098" s="22" t="n">
        <f aca="false">ROUND((O1098-C1098)*86400,0)</f>
        <v>3524</v>
      </c>
      <c r="Q1098" s="22" t="str">
        <f aca="false">IF(P1098&lt;10,"a) &lt;10s",IF(P1098&lt;60,"b) 10-60s",IF(P1098&lt;600,"c) 1-10min","d) &gt;10min")))</f>
        <v>d) &gt;10min</v>
      </c>
      <c r="R1098" s="38" t="n">
        <v>2721.57</v>
      </c>
      <c r="S1098" s="38" t="n">
        <v>2721.5</v>
      </c>
      <c r="T1098" s="22" t="s">
        <v>189</v>
      </c>
      <c r="U1098" s="39" t="n">
        <f aca="false">IF(R1098="","",IF(F1098="BUY",R1098-S1098,S1098-R1098))</f>
        <v>0.0700000000001637</v>
      </c>
      <c r="V1098" s="39" t="n">
        <f aca="false">IF(F1098="BUY",S1098-J1098,J1098-S1098)</f>
        <v>0.429999999999836</v>
      </c>
      <c r="W1098" s="6" t="n">
        <v>2.15</v>
      </c>
      <c r="X1098" s="26" t="n">
        <f aca="false">IFERROR(W1098/N1098,0)</f>
        <v>0.0716666666666667</v>
      </c>
      <c r="Y1098" s="22" t="str">
        <f aca="false">IF(W1098&gt;0,"Win",IF(W1098&lt;0,"Loss","Flat"))</f>
        <v>Win</v>
      </c>
      <c r="Z1098" s="24" t="n">
        <f aca="false">Summary!$C$5+SUM(W$2:W1098)</f>
        <v>3531.47</v>
      </c>
      <c r="AA1098" s="24" t="n">
        <f aca="false">MAX(AA1097,Z1098)</f>
        <v>5000</v>
      </c>
      <c r="AB1098" s="24" t="n">
        <f aca="false">AA1098-Z1098</f>
        <v>1468.53</v>
      </c>
      <c r="AC1098" s="23" t="n">
        <f aca="false">IFERROR(AB1098/AA1098,0)</f>
        <v>0.293706</v>
      </c>
      <c r="AD1098" s="22" t="s">
        <v>1335</v>
      </c>
    </row>
    <row r="1099" customFormat="false" ht="15" hidden="false" customHeight="false" outlineLevel="0" collapsed="false">
      <c r="A1099" s="22" t="n">
        <v>1098</v>
      </c>
      <c r="B1099" s="22" t="s">
        <v>152</v>
      </c>
      <c r="C1099" s="37" t="n">
        <v>45638.5074189815</v>
      </c>
      <c r="D1099" s="22" t="s">
        <v>205</v>
      </c>
      <c r="E1099" s="22" t="n">
        <v>12</v>
      </c>
      <c r="F1099" s="22" t="s">
        <v>182</v>
      </c>
      <c r="G1099" s="22" t="s">
        <v>241</v>
      </c>
      <c r="H1099" s="22" t="n">
        <v>0.05</v>
      </c>
      <c r="I1099" s="38" t="n">
        <v>2709.59</v>
      </c>
      <c r="J1099" s="38" t="n">
        <v>2709.57</v>
      </c>
      <c r="K1099" s="39" t="n">
        <f aca="false">IF(F1099="BUY",J1099-I1099,I1099-J1099)</f>
        <v>0.0199999999999818</v>
      </c>
      <c r="L1099" s="38" t="n">
        <v>2715.59</v>
      </c>
      <c r="M1099" s="39" t="n">
        <f aca="false">ABS(I1099-L1099)</f>
        <v>6</v>
      </c>
      <c r="N1099" s="24" t="n">
        <f aca="false">M1099*H1099*Summary!$C$6</f>
        <v>30</v>
      </c>
      <c r="O1099" s="37" t="n">
        <v>45638.5251736111</v>
      </c>
      <c r="P1099" s="22" t="n">
        <f aca="false">ROUND((O1099-C1099)*86400,0)</f>
        <v>1534</v>
      </c>
      <c r="Q1099" s="22" t="str">
        <f aca="false">IF(P1099&lt;10,"a) &lt;10s",IF(P1099&lt;60,"b) 10-60s",IF(P1099&lt;600,"c) 1-10min","d) &gt;10min")))</f>
        <v>d) &gt;10min</v>
      </c>
      <c r="R1099" s="38" t="n">
        <v>2715.59</v>
      </c>
      <c r="S1099" s="38" t="n">
        <v>2715.63</v>
      </c>
      <c r="T1099" s="22" t="s">
        <v>188</v>
      </c>
      <c r="U1099" s="39" t="n">
        <f aca="false">IF(R1099="","",IF(F1099="BUY",R1099-S1099,S1099-R1099))</f>
        <v>0.0399999999999636</v>
      </c>
      <c r="V1099" s="39" t="n">
        <f aca="false">IF(F1099="BUY",S1099-J1099,J1099-S1099)</f>
        <v>-6.05999999999995</v>
      </c>
      <c r="W1099" s="6" t="n">
        <v>-30.3</v>
      </c>
      <c r="X1099" s="26" t="n">
        <f aca="false">IFERROR(W1099/N1099,0)</f>
        <v>-1.01</v>
      </c>
      <c r="Y1099" s="22" t="str">
        <f aca="false">IF(W1099&gt;0,"Win",IF(W1099&lt;0,"Loss","Flat"))</f>
        <v>Loss</v>
      </c>
      <c r="Z1099" s="24" t="n">
        <f aca="false">Summary!$C$5+SUM(W$2:W1099)</f>
        <v>3501.17</v>
      </c>
      <c r="AA1099" s="24" t="n">
        <f aca="false">MAX(AA1098,Z1099)</f>
        <v>5000</v>
      </c>
      <c r="AB1099" s="24" t="n">
        <f aca="false">AA1099-Z1099</f>
        <v>1498.83</v>
      </c>
      <c r="AC1099" s="23" t="n">
        <f aca="false">IFERROR(AB1099/AA1099,0)</f>
        <v>0.299766</v>
      </c>
      <c r="AD1099" s="22" t="s">
        <v>1336</v>
      </c>
    </row>
    <row r="1100" customFormat="false" ht="15" hidden="false" customHeight="false" outlineLevel="0" collapsed="false">
      <c r="A1100" s="22" t="n">
        <v>1099</v>
      </c>
      <c r="B1100" s="22" t="s">
        <v>152</v>
      </c>
      <c r="C1100" s="37" t="n">
        <v>45639.3781134259</v>
      </c>
      <c r="D1100" s="22" t="s">
        <v>206</v>
      </c>
      <c r="E1100" s="22" t="n">
        <v>9</v>
      </c>
      <c r="F1100" s="22" t="s">
        <v>181</v>
      </c>
      <c r="G1100" s="22" t="s">
        <v>235</v>
      </c>
      <c r="H1100" s="22" t="n">
        <v>0.05</v>
      </c>
      <c r="I1100" s="38" t="n">
        <v>2690.32</v>
      </c>
      <c r="J1100" s="38" t="n">
        <v>2690.33</v>
      </c>
      <c r="K1100" s="39" t="n">
        <f aca="false">IF(F1100="BUY",J1100-I1100,I1100-J1100)</f>
        <v>0.00999999999976353</v>
      </c>
      <c r="L1100" s="38" t="n">
        <v>2684.32</v>
      </c>
      <c r="M1100" s="39" t="n">
        <f aca="false">ABS(I1100-L1100)</f>
        <v>6</v>
      </c>
      <c r="N1100" s="24" t="n">
        <f aca="false">M1100*H1100*Summary!$C$6</f>
        <v>30</v>
      </c>
      <c r="O1100" s="37" t="n">
        <v>45639.392337963</v>
      </c>
      <c r="P1100" s="22" t="n">
        <f aca="false">ROUND((O1100-C1100)*86400,0)</f>
        <v>1229</v>
      </c>
      <c r="Q1100" s="22" t="str">
        <f aca="false">IF(P1100&lt;10,"a) &lt;10s",IF(P1100&lt;60,"b) 10-60s",IF(P1100&lt;600,"c) 1-10min","d) &gt;10min")))</f>
        <v>d) &gt;10min</v>
      </c>
      <c r="R1100" s="38" t="n">
        <v>2684.32</v>
      </c>
      <c r="S1100" s="38" t="n">
        <v>2684.32</v>
      </c>
      <c r="T1100" s="22" t="s">
        <v>188</v>
      </c>
      <c r="U1100" s="39" t="n">
        <f aca="false">IF(R1100="","",IF(F1100="BUY",R1100-S1100,S1100-R1100))</f>
        <v>0</v>
      </c>
      <c r="V1100" s="39" t="n">
        <f aca="false">IF(F1100="BUY",S1100-J1100,J1100-S1100)</f>
        <v>-6.00999999999976</v>
      </c>
      <c r="W1100" s="6" t="n">
        <v>-30.05</v>
      </c>
      <c r="X1100" s="26" t="n">
        <f aca="false">IFERROR(W1100/N1100,0)</f>
        <v>-1.00166666666667</v>
      </c>
      <c r="Y1100" s="22" t="str">
        <f aca="false">IF(W1100&gt;0,"Win",IF(W1100&lt;0,"Loss","Flat"))</f>
        <v>Loss</v>
      </c>
      <c r="Z1100" s="24" t="n">
        <f aca="false">Summary!$C$5+SUM(W$2:W1100)</f>
        <v>3471.12</v>
      </c>
      <c r="AA1100" s="24" t="n">
        <f aca="false">MAX(AA1099,Z1100)</f>
        <v>5000</v>
      </c>
      <c r="AB1100" s="24" t="n">
        <f aca="false">AA1100-Z1100</f>
        <v>1528.88</v>
      </c>
      <c r="AC1100" s="23" t="n">
        <f aca="false">IFERROR(AB1100/AA1100,0)</f>
        <v>0.305776</v>
      </c>
      <c r="AD1100" s="22" t="s">
        <v>1337</v>
      </c>
    </row>
    <row r="1101" customFormat="false" ht="15" hidden="false" customHeight="false" outlineLevel="0" collapsed="false">
      <c r="A1101" s="22" t="n">
        <v>1100</v>
      </c>
      <c r="B1101" s="22" t="s">
        <v>152</v>
      </c>
      <c r="C1101" s="37" t="n">
        <v>45639.456712963</v>
      </c>
      <c r="D1101" s="22" t="s">
        <v>206</v>
      </c>
      <c r="E1101" s="22" t="n">
        <v>10</v>
      </c>
      <c r="F1101" s="22" t="s">
        <v>182</v>
      </c>
      <c r="G1101" s="22" t="s">
        <v>237</v>
      </c>
      <c r="H1101" s="22" t="n">
        <v>0.05</v>
      </c>
      <c r="I1101" s="38" t="n">
        <v>2675.06</v>
      </c>
      <c r="J1101" s="38" t="n">
        <v>2675</v>
      </c>
      <c r="K1101" s="39" t="n">
        <f aca="false">IF(F1101="BUY",J1101-I1101,I1101-J1101)</f>
        <v>0.0599999999999454</v>
      </c>
      <c r="L1101" s="38" t="n">
        <v>2681.06</v>
      </c>
      <c r="M1101" s="39" t="n">
        <f aca="false">ABS(I1101-L1101)</f>
        <v>6</v>
      </c>
      <c r="N1101" s="24" t="n">
        <f aca="false">M1101*H1101*Summary!$C$6</f>
        <v>30</v>
      </c>
      <c r="O1101" s="37" t="n">
        <v>45639.4627546296</v>
      </c>
      <c r="P1101" s="22" t="n">
        <f aca="false">ROUND((O1101-C1101)*86400,0)</f>
        <v>522</v>
      </c>
      <c r="Q1101" s="22" t="str">
        <f aca="false">IF(P1101&lt;10,"a) &lt;10s",IF(P1101&lt;60,"b) 10-60s",IF(P1101&lt;600,"c) 1-10min","d) &gt;10min")))</f>
        <v>c) 1-10min</v>
      </c>
      <c r="R1101" s="38" t="n">
        <v>2674.5</v>
      </c>
      <c r="S1101" s="38" t="n">
        <v>2674.55</v>
      </c>
      <c r="T1101" s="22" t="s">
        <v>189</v>
      </c>
      <c r="U1101" s="39" t="n">
        <f aca="false">IF(R1101="","",IF(F1101="BUY",R1101-S1101,S1101-R1101))</f>
        <v>0.0500000000001819</v>
      </c>
      <c r="V1101" s="39" t="n">
        <f aca="false">IF(F1101="BUY",S1101-J1101,J1101-S1101)</f>
        <v>0.449999999999818</v>
      </c>
      <c r="W1101" s="6" t="n">
        <v>2.25</v>
      </c>
      <c r="X1101" s="26" t="n">
        <f aca="false">IFERROR(W1101/N1101,0)</f>
        <v>0.075</v>
      </c>
      <c r="Y1101" s="22" t="str">
        <f aca="false">IF(W1101&gt;0,"Win",IF(W1101&lt;0,"Loss","Flat"))</f>
        <v>Win</v>
      </c>
      <c r="Z1101" s="24" t="n">
        <f aca="false">Summary!$C$5+SUM(W$2:W1101)</f>
        <v>3473.37</v>
      </c>
      <c r="AA1101" s="24" t="n">
        <f aca="false">MAX(AA1100,Z1101)</f>
        <v>5000</v>
      </c>
      <c r="AB1101" s="24" t="n">
        <f aca="false">AA1101-Z1101</f>
        <v>1526.63</v>
      </c>
      <c r="AC1101" s="23" t="n">
        <f aca="false">IFERROR(AB1101/AA1101,0)</f>
        <v>0.305326</v>
      </c>
      <c r="AD1101" s="22" t="s">
        <v>1338</v>
      </c>
    </row>
    <row r="1102" customFormat="false" ht="15" hidden="false" customHeight="false" outlineLevel="0" collapsed="false">
      <c r="A1102" s="22" t="n">
        <v>1101</v>
      </c>
      <c r="B1102" s="22" t="s">
        <v>152</v>
      </c>
      <c r="C1102" s="37" t="n">
        <v>45642.1180439815</v>
      </c>
      <c r="D1102" s="22" t="s">
        <v>202</v>
      </c>
      <c r="E1102" s="22" t="n">
        <v>2</v>
      </c>
      <c r="F1102" s="22" t="s">
        <v>182</v>
      </c>
      <c r="G1102" s="22" t="s">
        <v>237</v>
      </c>
      <c r="H1102" s="22" t="n">
        <v>0.05</v>
      </c>
      <c r="I1102" s="38" t="n">
        <v>2645.95</v>
      </c>
      <c r="J1102" s="38" t="n">
        <v>2645.85</v>
      </c>
      <c r="K1102" s="39" t="n">
        <f aca="false">IF(F1102="BUY",J1102-I1102,I1102-J1102)</f>
        <v>0.0999999999999091</v>
      </c>
      <c r="L1102" s="38" t="n">
        <v>2651.95</v>
      </c>
      <c r="M1102" s="39" t="n">
        <f aca="false">ABS(I1102-L1102)</f>
        <v>6</v>
      </c>
      <c r="N1102" s="24" t="n">
        <f aca="false">M1102*H1102*Summary!$C$6</f>
        <v>30</v>
      </c>
      <c r="O1102" s="37" t="n">
        <v>45642.1232986111</v>
      </c>
      <c r="P1102" s="22" t="n">
        <f aca="false">ROUND((O1102-C1102)*86400,0)</f>
        <v>454</v>
      </c>
      <c r="Q1102" s="22" t="str">
        <f aca="false">IF(P1102&lt;10,"a) &lt;10s",IF(P1102&lt;60,"b) 10-60s",IF(P1102&lt;600,"c) 1-10min","d) &gt;10min")))</f>
        <v>c) 1-10min</v>
      </c>
      <c r="R1102" s="38" t="n">
        <v>2645.35</v>
      </c>
      <c r="S1102" s="38" t="n">
        <v>2645.35</v>
      </c>
      <c r="T1102" s="22" t="s">
        <v>189</v>
      </c>
      <c r="U1102" s="39" t="n">
        <f aca="false">IF(R1102="","",IF(F1102="BUY",R1102-S1102,S1102-R1102))</f>
        <v>0</v>
      </c>
      <c r="V1102" s="39" t="n">
        <f aca="false">IF(F1102="BUY",S1102-J1102,J1102-S1102)</f>
        <v>0.5</v>
      </c>
      <c r="W1102" s="6" t="n">
        <v>2.5</v>
      </c>
      <c r="X1102" s="26" t="n">
        <f aca="false">IFERROR(W1102/N1102,0)</f>
        <v>0.0833333333333333</v>
      </c>
      <c r="Y1102" s="22" t="str">
        <f aca="false">IF(W1102&gt;0,"Win",IF(W1102&lt;0,"Loss","Flat"))</f>
        <v>Win</v>
      </c>
      <c r="Z1102" s="24" t="n">
        <f aca="false">Summary!$C$5+SUM(W$2:W1102)</f>
        <v>3475.87</v>
      </c>
      <c r="AA1102" s="24" t="n">
        <f aca="false">MAX(AA1101,Z1102)</f>
        <v>5000</v>
      </c>
      <c r="AB1102" s="24" t="n">
        <f aca="false">AA1102-Z1102</f>
        <v>1524.13</v>
      </c>
      <c r="AC1102" s="23" t="n">
        <f aca="false">IFERROR(AB1102/AA1102,0)</f>
        <v>0.304826</v>
      </c>
      <c r="AD1102" s="22" t="s">
        <v>1339</v>
      </c>
    </row>
    <row r="1103" customFormat="false" ht="15" hidden="false" customHeight="false" outlineLevel="0" collapsed="false">
      <c r="A1103" s="22" t="n">
        <v>1102</v>
      </c>
      <c r="B1103" s="22" t="s">
        <v>152</v>
      </c>
      <c r="C1103" s="37" t="n">
        <v>45642.3905671296</v>
      </c>
      <c r="D1103" s="22" t="s">
        <v>202</v>
      </c>
      <c r="E1103" s="22" t="n">
        <v>9</v>
      </c>
      <c r="F1103" s="22" t="s">
        <v>181</v>
      </c>
      <c r="G1103" s="22" t="s">
        <v>235</v>
      </c>
      <c r="H1103" s="22" t="n">
        <v>0.05</v>
      </c>
      <c r="I1103" s="38" t="n">
        <v>2654.66</v>
      </c>
      <c r="J1103" s="38" t="n">
        <v>2654.66</v>
      </c>
      <c r="K1103" s="39" t="n">
        <f aca="false">IF(F1103="BUY",J1103-I1103,I1103-J1103)</f>
        <v>0</v>
      </c>
      <c r="L1103" s="38" t="n">
        <v>2648.66</v>
      </c>
      <c r="M1103" s="39" t="n">
        <f aca="false">ABS(I1103-L1103)</f>
        <v>6</v>
      </c>
      <c r="N1103" s="24" t="n">
        <f aca="false">M1103*H1103*Summary!$C$6</f>
        <v>30</v>
      </c>
      <c r="O1103" s="37" t="n">
        <v>45642.6963425926</v>
      </c>
      <c r="P1103" s="22" t="n">
        <f aca="false">ROUND((O1103-C1103)*86400,0)</f>
        <v>26419</v>
      </c>
      <c r="Q1103" s="22" t="str">
        <f aca="false">IF(P1103&lt;10,"a) &lt;10s",IF(P1103&lt;60,"b) 10-60s",IF(P1103&lt;600,"c) 1-10min","d) &gt;10min")))</f>
        <v>d) &gt;10min</v>
      </c>
      <c r="R1103" s="38" t="n">
        <v>2655.16</v>
      </c>
      <c r="S1103" s="38" t="n">
        <v>2655.16</v>
      </c>
      <c r="T1103" s="22" t="s">
        <v>189</v>
      </c>
      <c r="U1103" s="39" t="n">
        <f aca="false">IF(R1103="","",IF(F1103="BUY",R1103-S1103,S1103-R1103))</f>
        <v>0</v>
      </c>
      <c r="V1103" s="39" t="n">
        <f aca="false">IF(F1103="BUY",S1103-J1103,J1103-S1103)</f>
        <v>0.5</v>
      </c>
      <c r="W1103" s="6" t="n">
        <v>2.5</v>
      </c>
      <c r="X1103" s="26" t="n">
        <f aca="false">IFERROR(W1103/N1103,0)</f>
        <v>0.0833333333333333</v>
      </c>
      <c r="Y1103" s="22" t="str">
        <f aca="false">IF(W1103&gt;0,"Win",IF(W1103&lt;0,"Loss","Flat"))</f>
        <v>Win</v>
      </c>
      <c r="Z1103" s="24" t="n">
        <f aca="false">Summary!$C$5+SUM(W$2:W1103)</f>
        <v>3478.37</v>
      </c>
      <c r="AA1103" s="24" t="n">
        <f aca="false">MAX(AA1102,Z1103)</f>
        <v>5000</v>
      </c>
      <c r="AB1103" s="24" t="n">
        <f aca="false">AA1103-Z1103</f>
        <v>1521.63</v>
      </c>
      <c r="AC1103" s="23" t="n">
        <f aca="false">IFERROR(AB1103/AA1103,0)</f>
        <v>0.304326</v>
      </c>
      <c r="AD1103" s="22" t="s">
        <v>1340</v>
      </c>
    </row>
    <row r="1104" customFormat="false" ht="15" hidden="false" customHeight="false" outlineLevel="0" collapsed="false">
      <c r="A1104" s="22" t="n">
        <v>1103</v>
      </c>
      <c r="B1104" s="22" t="s">
        <v>152</v>
      </c>
      <c r="C1104" s="37" t="n">
        <v>45643.3905902778</v>
      </c>
      <c r="D1104" s="22" t="s">
        <v>203</v>
      </c>
      <c r="E1104" s="22" t="n">
        <v>9</v>
      </c>
      <c r="F1104" s="22" t="s">
        <v>181</v>
      </c>
      <c r="G1104" s="22" t="s">
        <v>235</v>
      </c>
      <c r="H1104" s="22" t="n">
        <v>0.05</v>
      </c>
      <c r="I1104" s="38" t="n">
        <v>2654.67</v>
      </c>
      <c r="J1104" s="38" t="n">
        <v>2654.74</v>
      </c>
      <c r="K1104" s="39" t="n">
        <f aca="false">IF(F1104="BUY",J1104-I1104,I1104-J1104)</f>
        <v>0.069999999999709</v>
      </c>
      <c r="L1104" s="38" t="n">
        <v>2648.67</v>
      </c>
      <c r="M1104" s="39" t="n">
        <f aca="false">ABS(I1104-L1104)</f>
        <v>6</v>
      </c>
      <c r="N1104" s="24" t="n">
        <f aca="false">M1104*H1104*Summary!$C$6</f>
        <v>30</v>
      </c>
      <c r="O1104" s="37" t="n">
        <v>45643.4057291667</v>
      </c>
      <c r="P1104" s="22" t="n">
        <f aca="false">ROUND((O1104-C1104)*86400,0)</f>
        <v>1308</v>
      </c>
      <c r="Q1104" s="22" t="str">
        <f aca="false">IF(P1104&lt;10,"a) &lt;10s",IF(P1104&lt;60,"b) 10-60s",IF(P1104&lt;600,"c) 1-10min","d) &gt;10min")))</f>
        <v>d) &gt;10min</v>
      </c>
      <c r="R1104" s="38" t="n">
        <v>2655.24</v>
      </c>
      <c r="S1104" s="38" t="n">
        <v>2655.21</v>
      </c>
      <c r="T1104" s="22" t="s">
        <v>189</v>
      </c>
      <c r="U1104" s="39" t="n">
        <f aca="false">IF(R1104="","",IF(F1104="BUY",R1104-S1104,S1104-R1104))</f>
        <v>0.0299999999997453</v>
      </c>
      <c r="V1104" s="39" t="n">
        <f aca="false">IF(F1104="BUY",S1104-J1104,J1104-S1104)</f>
        <v>0.470000000000255</v>
      </c>
      <c r="W1104" s="6" t="n">
        <v>2.35</v>
      </c>
      <c r="X1104" s="26" t="n">
        <f aca="false">IFERROR(W1104/N1104,0)</f>
        <v>0.0783333333333333</v>
      </c>
      <c r="Y1104" s="22" t="str">
        <f aca="false">IF(W1104&gt;0,"Win",IF(W1104&lt;0,"Loss","Flat"))</f>
        <v>Win</v>
      </c>
      <c r="Z1104" s="24" t="n">
        <f aca="false">Summary!$C$5+SUM(W$2:W1104)</f>
        <v>3480.72</v>
      </c>
      <c r="AA1104" s="24" t="n">
        <f aca="false">MAX(AA1103,Z1104)</f>
        <v>5000</v>
      </c>
      <c r="AB1104" s="24" t="n">
        <f aca="false">AA1104-Z1104</f>
        <v>1519.28</v>
      </c>
      <c r="AC1104" s="23" t="n">
        <f aca="false">IFERROR(AB1104/AA1104,0)</f>
        <v>0.303856</v>
      </c>
      <c r="AD1104" s="22" t="s">
        <v>1341</v>
      </c>
    </row>
    <row r="1105" customFormat="false" ht="15" hidden="false" customHeight="false" outlineLevel="0" collapsed="false">
      <c r="A1105" s="22" t="n">
        <v>1104</v>
      </c>
      <c r="B1105" s="22" t="s">
        <v>152</v>
      </c>
      <c r="C1105" s="37" t="n">
        <v>45643.4562731482</v>
      </c>
      <c r="D1105" s="22" t="s">
        <v>203</v>
      </c>
      <c r="E1105" s="22" t="n">
        <v>10</v>
      </c>
      <c r="F1105" s="22" t="s">
        <v>182</v>
      </c>
      <c r="G1105" s="22" t="s">
        <v>237</v>
      </c>
      <c r="H1105" s="22" t="n">
        <v>0.05</v>
      </c>
      <c r="I1105" s="38" t="n">
        <v>2643.37</v>
      </c>
      <c r="J1105" s="38" t="n">
        <v>2643.36</v>
      </c>
      <c r="K1105" s="39" t="n">
        <f aca="false">IF(F1105="BUY",J1105-I1105,I1105-J1105)</f>
        <v>0.00999999999976353</v>
      </c>
      <c r="L1105" s="38" t="n">
        <v>2649.37</v>
      </c>
      <c r="M1105" s="39" t="n">
        <f aca="false">ABS(I1105-L1105)</f>
        <v>6</v>
      </c>
      <c r="N1105" s="24" t="n">
        <f aca="false">M1105*H1105*Summary!$C$6</f>
        <v>30</v>
      </c>
      <c r="O1105" s="37" t="n">
        <v>45643.5140625</v>
      </c>
      <c r="P1105" s="22" t="n">
        <f aca="false">ROUND((O1105-C1105)*86400,0)</f>
        <v>4993</v>
      </c>
      <c r="Q1105" s="22" t="str">
        <f aca="false">IF(P1105&lt;10,"a) &lt;10s",IF(P1105&lt;60,"b) 10-60s",IF(P1105&lt;600,"c) 1-10min","d) &gt;10min")))</f>
        <v>d) &gt;10min</v>
      </c>
      <c r="R1105" s="38" t="n">
        <v>2642.86</v>
      </c>
      <c r="S1105" s="38" t="n">
        <v>2643</v>
      </c>
      <c r="T1105" s="22" t="s">
        <v>189</v>
      </c>
      <c r="U1105" s="39" t="n">
        <f aca="false">IF(R1105="","",IF(F1105="BUY",R1105-S1105,S1105-R1105))</f>
        <v>0.139999999999873</v>
      </c>
      <c r="V1105" s="39" t="n">
        <f aca="false">IF(F1105="BUY",S1105-J1105,J1105-S1105)</f>
        <v>0.360000000000127</v>
      </c>
      <c r="W1105" s="6" t="n">
        <v>1.8</v>
      </c>
      <c r="X1105" s="26" t="n">
        <f aca="false">IFERROR(W1105/N1105,0)</f>
        <v>0.06</v>
      </c>
      <c r="Y1105" s="22" t="str">
        <f aca="false">IF(W1105&gt;0,"Win",IF(W1105&lt;0,"Loss","Flat"))</f>
        <v>Win</v>
      </c>
      <c r="Z1105" s="24" t="n">
        <f aca="false">Summary!$C$5+SUM(W$2:W1105)</f>
        <v>3482.52</v>
      </c>
      <c r="AA1105" s="24" t="n">
        <f aca="false">MAX(AA1104,Z1105)</f>
        <v>5000</v>
      </c>
      <c r="AB1105" s="24" t="n">
        <f aca="false">AA1105-Z1105</f>
        <v>1517.48</v>
      </c>
      <c r="AC1105" s="23" t="n">
        <f aca="false">IFERROR(AB1105/AA1105,0)</f>
        <v>0.303496</v>
      </c>
      <c r="AD1105" s="22" t="s">
        <v>1342</v>
      </c>
    </row>
    <row r="1106" customFormat="false" ht="15" hidden="false" customHeight="false" outlineLevel="0" collapsed="false">
      <c r="A1106" s="22" t="n">
        <v>1105</v>
      </c>
      <c r="B1106" s="22" t="s">
        <v>152</v>
      </c>
      <c r="C1106" s="37" t="n">
        <v>45644.4050694444</v>
      </c>
      <c r="D1106" s="22" t="s">
        <v>204</v>
      </c>
      <c r="E1106" s="22" t="n">
        <v>9</v>
      </c>
      <c r="F1106" s="22" t="s">
        <v>182</v>
      </c>
      <c r="G1106" s="22" t="s">
        <v>241</v>
      </c>
      <c r="H1106" s="22" t="n">
        <v>0.05</v>
      </c>
      <c r="I1106" s="38" t="n">
        <v>2643.74</v>
      </c>
      <c r="J1106" s="38" t="n">
        <v>2643.74</v>
      </c>
      <c r="K1106" s="39" t="n">
        <f aca="false">IF(F1106="BUY",J1106-I1106,I1106-J1106)</f>
        <v>0</v>
      </c>
      <c r="L1106" s="38" t="n">
        <v>2649.74</v>
      </c>
      <c r="M1106" s="39" t="n">
        <f aca="false">ABS(I1106-L1106)</f>
        <v>6</v>
      </c>
      <c r="N1106" s="24" t="n">
        <f aca="false">M1106*H1106*Summary!$C$6</f>
        <v>30</v>
      </c>
      <c r="O1106" s="37" t="n">
        <v>45644.4562962963</v>
      </c>
      <c r="P1106" s="22" t="n">
        <f aca="false">ROUND((O1106-C1106)*86400,0)</f>
        <v>4426</v>
      </c>
      <c r="Q1106" s="22" t="str">
        <f aca="false">IF(P1106&lt;10,"a) &lt;10s",IF(P1106&lt;60,"b) 10-60s",IF(P1106&lt;600,"c) 1-10min","d) &gt;10min")))</f>
        <v>d) &gt;10min</v>
      </c>
      <c r="R1106" s="38" t="n">
        <v>2649.74</v>
      </c>
      <c r="S1106" s="38" t="n">
        <v>2649.78</v>
      </c>
      <c r="T1106" s="22" t="s">
        <v>188</v>
      </c>
      <c r="U1106" s="39" t="n">
        <f aca="false">IF(R1106="","",IF(F1106="BUY",R1106-S1106,S1106-R1106))</f>
        <v>0.0400000000004184</v>
      </c>
      <c r="V1106" s="39" t="n">
        <f aca="false">IF(F1106="BUY",S1106-J1106,J1106-S1106)</f>
        <v>-6.04000000000042</v>
      </c>
      <c r="W1106" s="6" t="n">
        <v>-30.2</v>
      </c>
      <c r="X1106" s="26" t="n">
        <f aca="false">IFERROR(W1106/N1106,0)</f>
        <v>-1.00666666666667</v>
      </c>
      <c r="Y1106" s="22" t="str">
        <f aca="false">IF(W1106&gt;0,"Win",IF(W1106&lt;0,"Loss","Flat"))</f>
        <v>Loss</v>
      </c>
      <c r="Z1106" s="24" t="n">
        <f aca="false">Summary!$C$5+SUM(W$2:W1106)</f>
        <v>3452.32</v>
      </c>
      <c r="AA1106" s="24" t="n">
        <f aca="false">MAX(AA1105,Z1106)</f>
        <v>5000</v>
      </c>
      <c r="AB1106" s="24" t="n">
        <f aca="false">AA1106-Z1106</f>
        <v>1547.68</v>
      </c>
      <c r="AC1106" s="23" t="n">
        <f aca="false">IFERROR(AB1106/AA1106,0)</f>
        <v>0.309536</v>
      </c>
      <c r="AD1106" s="22" t="s">
        <v>1343</v>
      </c>
    </row>
    <row r="1107" customFormat="false" ht="15" hidden="false" customHeight="false" outlineLevel="0" collapsed="false">
      <c r="A1107" s="22" t="n">
        <v>1106</v>
      </c>
      <c r="B1107" s="22" t="s">
        <v>152</v>
      </c>
      <c r="C1107" s="37" t="n">
        <v>45644.8750231482</v>
      </c>
      <c r="D1107" s="22" t="s">
        <v>204</v>
      </c>
      <c r="E1107" s="22" t="n">
        <v>21</v>
      </c>
      <c r="F1107" s="22" t="s">
        <v>182</v>
      </c>
      <c r="G1107" s="22" t="s">
        <v>237</v>
      </c>
      <c r="H1107" s="22" t="n">
        <v>0.05</v>
      </c>
      <c r="I1107" s="38" t="n">
        <v>2632.8</v>
      </c>
      <c r="J1107" s="38" t="n">
        <v>2630.65</v>
      </c>
      <c r="K1107" s="39" t="n">
        <f aca="false">IF(F1107="BUY",J1107-I1107,I1107-J1107)</f>
        <v>2.15000000000009</v>
      </c>
      <c r="L1107" s="38" t="n">
        <v>2638.8</v>
      </c>
      <c r="M1107" s="39" t="n">
        <f aca="false">ABS(I1107-L1107)</f>
        <v>6</v>
      </c>
      <c r="N1107" s="24" t="n">
        <f aca="false">M1107*H1107*Summary!$C$6</f>
        <v>30</v>
      </c>
      <c r="O1107" s="37" t="n">
        <v>45644.9270833333</v>
      </c>
      <c r="P1107" s="22" t="n">
        <f aca="false">ROUND((O1107-C1107)*86400,0)</f>
        <v>4498</v>
      </c>
      <c r="Q1107" s="22" t="str">
        <f aca="false">IF(P1107&lt;10,"a) &lt;10s",IF(P1107&lt;60,"b) 10-60s",IF(P1107&lt;600,"c) 1-10min","d) &gt;10min")))</f>
        <v>d) &gt;10min</v>
      </c>
      <c r="R1107" s="38"/>
      <c r="S1107" s="38" t="n">
        <v>2607.25</v>
      </c>
      <c r="T1107" s="22" t="s">
        <v>191</v>
      </c>
      <c r="U1107" s="39" t="str">
        <f aca="false">IF(R1107="","",IF(F1107="BUY",R1107-S1107,S1107-R1107))</f>
        <v/>
      </c>
      <c r="V1107" s="39" t="n">
        <f aca="false">IF(F1107="BUY",S1107-J1107,J1107-S1107)</f>
        <v>23.4000000000001</v>
      </c>
      <c r="W1107" s="6" t="n">
        <v>117</v>
      </c>
      <c r="X1107" s="26" t="n">
        <f aca="false">IFERROR(W1107/N1107,0)</f>
        <v>3.9</v>
      </c>
      <c r="Y1107" s="22" t="str">
        <f aca="false">IF(W1107&gt;0,"Win",IF(W1107&lt;0,"Loss","Flat"))</f>
        <v>Win</v>
      </c>
      <c r="Z1107" s="24" t="n">
        <f aca="false">Summary!$C$5+SUM(W$2:W1107)</f>
        <v>3569.32</v>
      </c>
      <c r="AA1107" s="24" t="n">
        <f aca="false">MAX(AA1106,Z1107)</f>
        <v>5000</v>
      </c>
      <c r="AB1107" s="24" t="n">
        <f aca="false">AA1107-Z1107</f>
        <v>1430.68</v>
      </c>
      <c r="AC1107" s="23" t="n">
        <f aca="false">IFERROR(AB1107/AA1107,0)</f>
        <v>0.286136</v>
      </c>
      <c r="AD1107" s="22" t="s">
        <v>1344</v>
      </c>
    </row>
    <row r="1108" customFormat="false" ht="15" hidden="false" customHeight="false" outlineLevel="0" collapsed="false">
      <c r="A1108" s="22" t="n">
        <v>1107</v>
      </c>
      <c r="B1108" s="22" t="s">
        <v>152</v>
      </c>
      <c r="C1108" s="37" t="n">
        <v>45645.3799421296</v>
      </c>
      <c r="D1108" s="22" t="s">
        <v>205</v>
      </c>
      <c r="E1108" s="22" t="n">
        <v>9</v>
      </c>
      <c r="F1108" s="22" t="s">
        <v>181</v>
      </c>
      <c r="G1108" s="22" t="s">
        <v>235</v>
      </c>
      <c r="H1108" s="22" t="n">
        <v>0.05</v>
      </c>
      <c r="I1108" s="38" t="n">
        <v>2614.08</v>
      </c>
      <c r="J1108" s="38" t="n">
        <v>2614.24</v>
      </c>
      <c r="K1108" s="39" t="n">
        <f aca="false">IF(F1108="BUY",J1108-I1108,I1108-J1108)</f>
        <v>0.159999999999854</v>
      </c>
      <c r="L1108" s="38" t="n">
        <v>2608.08</v>
      </c>
      <c r="M1108" s="39" t="n">
        <f aca="false">ABS(I1108-L1108)</f>
        <v>6</v>
      </c>
      <c r="N1108" s="24" t="n">
        <f aca="false">M1108*H1108*Summary!$C$6</f>
        <v>30</v>
      </c>
      <c r="O1108" s="37" t="n">
        <v>45645.4168518519</v>
      </c>
      <c r="P1108" s="22" t="n">
        <f aca="false">ROUND((O1108-C1108)*86400,0)</f>
        <v>3189</v>
      </c>
      <c r="Q1108" s="22" t="str">
        <f aca="false">IF(P1108&lt;10,"a) &lt;10s",IF(P1108&lt;60,"b) 10-60s",IF(P1108&lt;600,"c) 1-10min","d) &gt;10min")))</f>
        <v>d) &gt;10min</v>
      </c>
      <c r="R1108" s="38" t="n">
        <v>2614.74</v>
      </c>
      <c r="S1108" s="38" t="n">
        <v>2614.68</v>
      </c>
      <c r="T1108" s="22" t="s">
        <v>189</v>
      </c>
      <c r="U1108" s="39" t="n">
        <f aca="false">IF(R1108="","",IF(F1108="BUY",R1108-S1108,S1108-R1108))</f>
        <v>0.0599999999999454</v>
      </c>
      <c r="V1108" s="39" t="n">
        <f aca="false">IF(F1108="BUY",S1108-J1108,J1108-S1108)</f>
        <v>0.440000000000055</v>
      </c>
      <c r="W1108" s="6" t="n">
        <v>2.2</v>
      </c>
      <c r="X1108" s="26" t="n">
        <f aca="false">IFERROR(W1108/N1108,0)</f>
        <v>0.0733333333333333</v>
      </c>
      <c r="Y1108" s="22" t="str">
        <f aca="false">IF(W1108&gt;0,"Win",IF(W1108&lt;0,"Loss","Flat"))</f>
        <v>Win</v>
      </c>
      <c r="Z1108" s="24" t="n">
        <f aca="false">Summary!$C$5+SUM(W$2:W1108)</f>
        <v>3571.52</v>
      </c>
      <c r="AA1108" s="24" t="n">
        <f aca="false">MAX(AA1107,Z1108)</f>
        <v>5000</v>
      </c>
      <c r="AB1108" s="24" t="n">
        <f aca="false">AA1108-Z1108</f>
        <v>1428.48</v>
      </c>
      <c r="AC1108" s="23" t="n">
        <f aca="false">IFERROR(AB1108/AA1108,0)</f>
        <v>0.285696</v>
      </c>
      <c r="AD1108" s="22" t="s">
        <v>1345</v>
      </c>
    </row>
    <row r="1109" customFormat="false" ht="15" hidden="false" customHeight="false" outlineLevel="0" collapsed="false">
      <c r="A1109" s="22" t="n">
        <v>1108</v>
      </c>
      <c r="B1109" s="22" t="s">
        <v>152</v>
      </c>
      <c r="C1109" s="37" t="n">
        <v>45646.3767592593</v>
      </c>
      <c r="D1109" s="22" t="s">
        <v>206</v>
      </c>
      <c r="E1109" s="22" t="n">
        <v>9</v>
      </c>
      <c r="F1109" s="22" t="s">
        <v>181</v>
      </c>
      <c r="G1109" s="22" t="s">
        <v>235</v>
      </c>
      <c r="H1109" s="22" t="n">
        <v>0.05</v>
      </c>
      <c r="I1109" s="38" t="n">
        <v>2605.2</v>
      </c>
      <c r="J1109" s="38" t="n">
        <v>2605.29</v>
      </c>
      <c r="K1109" s="39" t="n">
        <f aca="false">IF(F1109="BUY",J1109-I1109,I1109-J1109)</f>
        <v>0.0900000000001455</v>
      </c>
      <c r="L1109" s="38" t="n">
        <v>2599.2</v>
      </c>
      <c r="M1109" s="39" t="n">
        <f aca="false">ABS(I1109-L1109)</f>
        <v>6</v>
      </c>
      <c r="N1109" s="24" t="n">
        <f aca="false">M1109*H1109*Summary!$C$6</f>
        <v>30</v>
      </c>
      <c r="O1109" s="37" t="n">
        <v>45646.3839351852</v>
      </c>
      <c r="P1109" s="22" t="n">
        <f aca="false">ROUND((O1109-C1109)*86400,0)</f>
        <v>620</v>
      </c>
      <c r="Q1109" s="22" t="str">
        <f aca="false">IF(P1109&lt;10,"a) &lt;10s",IF(P1109&lt;60,"b) 10-60s",IF(P1109&lt;600,"c) 1-10min","d) &gt;10min")))</f>
        <v>d) &gt;10min</v>
      </c>
      <c r="R1109" s="38" t="n">
        <v>2605.79</v>
      </c>
      <c r="S1109" s="38" t="n">
        <v>2605.75</v>
      </c>
      <c r="T1109" s="22" t="s">
        <v>189</v>
      </c>
      <c r="U1109" s="39" t="n">
        <f aca="false">IF(R1109="","",IF(F1109="BUY",R1109-S1109,S1109-R1109))</f>
        <v>0.0399999999999636</v>
      </c>
      <c r="V1109" s="39" t="n">
        <f aca="false">IF(F1109="BUY",S1109-J1109,J1109-S1109)</f>
        <v>0.460000000000036</v>
      </c>
      <c r="W1109" s="6" t="n">
        <v>2.3</v>
      </c>
      <c r="X1109" s="26" t="n">
        <f aca="false">IFERROR(W1109/N1109,0)</f>
        <v>0.0766666666666667</v>
      </c>
      <c r="Y1109" s="22" t="str">
        <f aca="false">IF(W1109&gt;0,"Win",IF(W1109&lt;0,"Loss","Flat"))</f>
        <v>Win</v>
      </c>
      <c r="Z1109" s="24" t="n">
        <f aca="false">Summary!$C$5+SUM(W$2:W1109)</f>
        <v>3573.82</v>
      </c>
      <c r="AA1109" s="24" t="n">
        <f aca="false">MAX(AA1108,Z1109)</f>
        <v>5000</v>
      </c>
      <c r="AB1109" s="24" t="n">
        <f aca="false">AA1109-Z1109</f>
        <v>1426.18</v>
      </c>
      <c r="AC1109" s="23" t="n">
        <f aca="false">IFERROR(AB1109/AA1109,0)</f>
        <v>0.285236</v>
      </c>
      <c r="AD1109" s="22" t="s">
        <v>1346</v>
      </c>
    </row>
    <row r="1110" customFormat="false" ht="15" hidden="false" customHeight="false" outlineLevel="0" collapsed="false">
      <c r="A1110" s="22" t="n">
        <v>1109</v>
      </c>
      <c r="B1110" s="22" t="s">
        <v>152</v>
      </c>
      <c r="C1110" s="37" t="n">
        <v>45646.726400463</v>
      </c>
      <c r="D1110" s="22" t="s">
        <v>206</v>
      </c>
      <c r="E1110" s="22" t="n">
        <v>17</v>
      </c>
      <c r="F1110" s="22" t="s">
        <v>181</v>
      </c>
      <c r="G1110" s="22" t="s">
        <v>243</v>
      </c>
      <c r="H1110" s="22" t="n">
        <v>0.05</v>
      </c>
      <c r="I1110" s="38" t="n">
        <v>2626.33</v>
      </c>
      <c r="J1110" s="38" t="n">
        <v>2626.35</v>
      </c>
      <c r="K1110" s="39" t="n">
        <f aca="false">IF(F1110="BUY",J1110-I1110,I1110-J1110)</f>
        <v>0.0199999999999818</v>
      </c>
      <c r="L1110" s="38" t="n">
        <v>2620.33</v>
      </c>
      <c r="M1110" s="39" t="n">
        <f aca="false">ABS(I1110-L1110)</f>
        <v>6</v>
      </c>
      <c r="N1110" s="24" t="n">
        <f aca="false">M1110*H1110*Summary!$C$6</f>
        <v>30</v>
      </c>
      <c r="O1110" s="37" t="n">
        <v>45646.7347800926</v>
      </c>
      <c r="P1110" s="22" t="n">
        <f aca="false">ROUND((O1110-C1110)*86400,0)</f>
        <v>724</v>
      </c>
      <c r="Q1110" s="22" t="str">
        <f aca="false">IF(P1110&lt;10,"a) &lt;10s",IF(P1110&lt;60,"b) 10-60s",IF(P1110&lt;600,"c) 1-10min","d) &gt;10min")))</f>
        <v>d) &gt;10min</v>
      </c>
      <c r="R1110" s="38" t="n">
        <v>2626.85</v>
      </c>
      <c r="S1110" s="38" t="n">
        <v>2626.85</v>
      </c>
      <c r="T1110" s="22" t="s">
        <v>189</v>
      </c>
      <c r="U1110" s="39" t="n">
        <f aca="false">IF(R1110="","",IF(F1110="BUY",R1110-S1110,S1110-R1110))</f>
        <v>0</v>
      </c>
      <c r="V1110" s="39" t="n">
        <f aca="false">IF(F1110="BUY",S1110-J1110,J1110-S1110)</f>
        <v>0.5</v>
      </c>
      <c r="W1110" s="6" t="n">
        <v>2.5</v>
      </c>
      <c r="X1110" s="26" t="n">
        <f aca="false">IFERROR(W1110/N1110,0)</f>
        <v>0.0833333333333333</v>
      </c>
      <c r="Y1110" s="22" t="str">
        <f aca="false">IF(W1110&gt;0,"Win",IF(W1110&lt;0,"Loss","Flat"))</f>
        <v>Win</v>
      </c>
      <c r="Z1110" s="24" t="n">
        <f aca="false">Summary!$C$5+SUM(W$2:W1110)</f>
        <v>3576.32</v>
      </c>
      <c r="AA1110" s="24" t="n">
        <f aca="false">MAX(AA1109,Z1110)</f>
        <v>5000</v>
      </c>
      <c r="AB1110" s="24" t="n">
        <f aca="false">AA1110-Z1110</f>
        <v>1423.68</v>
      </c>
      <c r="AC1110" s="23" t="n">
        <f aca="false">IFERROR(AB1110/AA1110,0)</f>
        <v>0.284736</v>
      </c>
      <c r="AD1110" s="22" t="s">
        <v>1347</v>
      </c>
    </row>
    <row r="1111" customFormat="false" ht="15" hidden="false" customHeight="false" outlineLevel="0" collapsed="false">
      <c r="A1111" s="22" t="n">
        <v>1110</v>
      </c>
      <c r="B1111" s="22" t="s">
        <v>152</v>
      </c>
      <c r="C1111" s="37" t="n">
        <v>45649.3578935185</v>
      </c>
      <c r="D1111" s="22" t="s">
        <v>202</v>
      </c>
      <c r="E1111" s="22" t="n">
        <v>8</v>
      </c>
      <c r="F1111" s="22" t="s">
        <v>181</v>
      </c>
      <c r="G1111" s="22" t="s">
        <v>243</v>
      </c>
      <c r="H1111" s="22" t="n">
        <v>0.05</v>
      </c>
      <c r="I1111" s="38" t="n">
        <v>2631.7</v>
      </c>
      <c r="J1111" s="38" t="n">
        <v>2631.7</v>
      </c>
      <c r="K1111" s="39" t="n">
        <f aca="false">IF(F1111="BUY",J1111-I1111,I1111-J1111)</f>
        <v>0</v>
      </c>
      <c r="L1111" s="38" t="n">
        <v>2625.7</v>
      </c>
      <c r="M1111" s="39" t="n">
        <f aca="false">ABS(I1111-L1111)</f>
        <v>6</v>
      </c>
      <c r="N1111" s="24" t="n">
        <f aca="false">M1111*H1111*Summary!$C$6</f>
        <v>30</v>
      </c>
      <c r="O1111" s="37" t="n">
        <v>45649.5013425926</v>
      </c>
      <c r="P1111" s="22" t="n">
        <f aca="false">ROUND((O1111-C1111)*86400,0)</f>
        <v>12394</v>
      </c>
      <c r="Q1111" s="22" t="str">
        <f aca="false">IF(P1111&lt;10,"a) &lt;10s",IF(P1111&lt;60,"b) 10-60s",IF(P1111&lt;600,"c) 1-10min","d) &gt;10min")))</f>
        <v>d) &gt;10min</v>
      </c>
      <c r="R1111" s="38" t="n">
        <v>2625.7</v>
      </c>
      <c r="S1111" s="38" t="n">
        <v>2625.7</v>
      </c>
      <c r="T1111" s="22" t="s">
        <v>188</v>
      </c>
      <c r="U1111" s="39" t="n">
        <f aca="false">IF(R1111="","",IF(F1111="BUY",R1111-S1111,S1111-R1111))</f>
        <v>0</v>
      </c>
      <c r="V1111" s="39" t="n">
        <f aca="false">IF(F1111="BUY",S1111-J1111,J1111-S1111)</f>
        <v>-6</v>
      </c>
      <c r="W1111" s="6" t="n">
        <v>-30</v>
      </c>
      <c r="X1111" s="26" t="n">
        <f aca="false">IFERROR(W1111/N1111,0)</f>
        <v>-1</v>
      </c>
      <c r="Y1111" s="22" t="str">
        <f aca="false">IF(W1111&gt;0,"Win",IF(W1111&lt;0,"Loss","Flat"))</f>
        <v>Loss</v>
      </c>
      <c r="Z1111" s="24" t="n">
        <f aca="false">Summary!$C$5+SUM(W$2:W1111)</f>
        <v>3546.32</v>
      </c>
      <c r="AA1111" s="24" t="n">
        <f aca="false">MAX(AA1110,Z1111)</f>
        <v>5000</v>
      </c>
      <c r="AB1111" s="24" t="n">
        <f aca="false">AA1111-Z1111</f>
        <v>1453.68</v>
      </c>
      <c r="AC1111" s="23" t="n">
        <f aca="false">IFERROR(AB1111/AA1111,0)</f>
        <v>0.290736</v>
      </c>
      <c r="AD1111" s="22" t="s">
        <v>1348</v>
      </c>
    </row>
    <row r="1112" customFormat="false" ht="15" hidden="false" customHeight="false" outlineLevel="0" collapsed="false">
      <c r="A1112" s="22" t="n">
        <v>1111</v>
      </c>
      <c r="B1112" s="22" t="s">
        <v>152</v>
      </c>
      <c r="C1112" s="37" t="n">
        <v>45649.5113541667</v>
      </c>
      <c r="D1112" s="22" t="s">
        <v>202</v>
      </c>
      <c r="E1112" s="22" t="n">
        <v>12</v>
      </c>
      <c r="F1112" s="22" t="s">
        <v>182</v>
      </c>
      <c r="G1112" s="22" t="s">
        <v>241</v>
      </c>
      <c r="H1112" s="22" t="n">
        <v>0.05</v>
      </c>
      <c r="I1112" s="38" t="n">
        <v>2624.33</v>
      </c>
      <c r="J1112" s="38" t="n">
        <v>2624.32</v>
      </c>
      <c r="K1112" s="39" t="n">
        <f aca="false">IF(F1112="BUY",J1112-I1112,I1112-J1112)</f>
        <v>0.00999999999976353</v>
      </c>
      <c r="L1112" s="38" t="n">
        <v>2630.33</v>
      </c>
      <c r="M1112" s="39" t="n">
        <f aca="false">ABS(I1112-L1112)</f>
        <v>6</v>
      </c>
      <c r="N1112" s="24" t="n">
        <f aca="false">M1112*H1112*Summary!$C$6</f>
        <v>30</v>
      </c>
      <c r="O1112" s="37" t="n">
        <v>45649.5232638889</v>
      </c>
      <c r="P1112" s="22" t="n">
        <f aca="false">ROUND((O1112-C1112)*86400,0)</f>
        <v>1029</v>
      </c>
      <c r="Q1112" s="22" t="str">
        <f aca="false">IF(P1112&lt;10,"a) &lt;10s",IF(P1112&lt;60,"b) 10-60s",IF(P1112&lt;600,"c) 1-10min","d) &gt;10min")))</f>
        <v>d) &gt;10min</v>
      </c>
      <c r="R1112" s="38" t="n">
        <v>2623.82</v>
      </c>
      <c r="S1112" s="38" t="n">
        <v>2623.9</v>
      </c>
      <c r="T1112" s="22" t="s">
        <v>189</v>
      </c>
      <c r="U1112" s="39" t="n">
        <f aca="false">IF(R1112="","",IF(F1112="BUY",R1112-S1112,S1112-R1112))</f>
        <v>0.0799999999999272</v>
      </c>
      <c r="V1112" s="39" t="n">
        <f aca="false">IF(F1112="BUY",S1112-J1112,J1112-S1112)</f>
        <v>0.420000000000073</v>
      </c>
      <c r="W1112" s="6" t="n">
        <v>2.1</v>
      </c>
      <c r="X1112" s="26" t="n">
        <f aca="false">IFERROR(W1112/N1112,0)</f>
        <v>0.07</v>
      </c>
      <c r="Y1112" s="22" t="str">
        <f aca="false">IF(W1112&gt;0,"Win",IF(W1112&lt;0,"Loss","Flat"))</f>
        <v>Win</v>
      </c>
      <c r="Z1112" s="24" t="n">
        <f aca="false">Summary!$C$5+SUM(W$2:W1112)</f>
        <v>3548.42</v>
      </c>
      <c r="AA1112" s="24" t="n">
        <f aca="false">MAX(AA1111,Z1112)</f>
        <v>5000</v>
      </c>
      <c r="AB1112" s="24" t="n">
        <f aca="false">AA1112-Z1112</f>
        <v>1451.58</v>
      </c>
      <c r="AC1112" s="23" t="n">
        <f aca="false">IFERROR(AB1112/AA1112,0)</f>
        <v>0.290316</v>
      </c>
      <c r="AD1112" s="22" t="s">
        <v>1349</v>
      </c>
    </row>
    <row r="1113" customFormat="false" ht="15" hidden="false" customHeight="false" outlineLevel="0" collapsed="false">
      <c r="A1113" s="22" t="n">
        <v>1112</v>
      </c>
      <c r="B1113" s="22" t="s">
        <v>152</v>
      </c>
      <c r="C1113" s="37" t="n">
        <v>45650.3803356482</v>
      </c>
      <c r="D1113" s="22" t="s">
        <v>203</v>
      </c>
      <c r="E1113" s="22" t="n">
        <v>9</v>
      </c>
      <c r="F1113" s="22" t="s">
        <v>181</v>
      </c>
      <c r="G1113" s="22" t="s">
        <v>235</v>
      </c>
      <c r="H1113" s="22" t="n">
        <v>0.05</v>
      </c>
      <c r="I1113" s="38" t="n">
        <v>2621.2</v>
      </c>
      <c r="J1113" s="38" t="n">
        <v>2621.25</v>
      </c>
      <c r="K1113" s="39" t="n">
        <f aca="false">IF(F1113="BUY",J1113-I1113,I1113-J1113)</f>
        <v>0.0500000000001819</v>
      </c>
      <c r="L1113" s="38" t="n">
        <v>2615.2</v>
      </c>
      <c r="M1113" s="39" t="n">
        <f aca="false">ABS(I1113-L1113)</f>
        <v>6</v>
      </c>
      <c r="N1113" s="24" t="n">
        <f aca="false">M1113*H1113*Summary!$C$6</f>
        <v>30</v>
      </c>
      <c r="O1113" s="37" t="n">
        <v>45650.4697916667</v>
      </c>
      <c r="P1113" s="22" t="n">
        <f aca="false">ROUND((O1113-C1113)*86400,0)</f>
        <v>7729</v>
      </c>
      <c r="Q1113" s="22" t="str">
        <f aca="false">IF(P1113&lt;10,"a) &lt;10s",IF(P1113&lt;60,"b) 10-60s",IF(P1113&lt;600,"c) 1-10min","d) &gt;10min")))</f>
        <v>d) &gt;10min</v>
      </c>
      <c r="R1113" s="38" t="n">
        <v>2615.2</v>
      </c>
      <c r="S1113" s="38" t="n">
        <v>2615.18</v>
      </c>
      <c r="T1113" s="22" t="s">
        <v>188</v>
      </c>
      <c r="U1113" s="39" t="n">
        <f aca="false">IF(R1113="","",IF(F1113="BUY",R1113-S1113,S1113-R1113))</f>
        <v>0.0199999999999818</v>
      </c>
      <c r="V1113" s="39" t="n">
        <f aca="false">IF(F1113="BUY",S1113-J1113,J1113-S1113)</f>
        <v>-6.07000000000016</v>
      </c>
      <c r="W1113" s="6" t="n">
        <v>-30.35</v>
      </c>
      <c r="X1113" s="26" t="n">
        <f aca="false">IFERROR(W1113/N1113,0)</f>
        <v>-1.01166666666667</v>
      </c>
      <c r="Y1113" s="22" t="str">
        <f aca="false">IF(W1113&gt;0,"Win",IF(W1113&lt;0,"Loss","Flat"))</f>
        <v>Loss</v>
      </c>
      <c r="Z1113" s="24" t="n">
        <f aca="false">Summary!$C$5+SUM(W$2:W1113)</f>
        <v>3518.07</v>
      </c>
      <c r="AA1113" s="24" t="n">
        <f aca="false">MAX(AA1112,Z1113)</f>
        <v>5000</v>
      </c>
      <c r="AB1113" s="24" t="n">
        <f aca="false">AA1113-Z1113</f>
        <v>1481.93</v>
      </c>
      <c r="AC1113" s="23" t="n">
        <f aca="false">IFERROR(AB1113/AA1113,0)</f>
        <v>0.296386</v>
      </c>
      <c r="AD1113" s="22" t="s">
        <v>1350</v>
      </c>
    </row>
    <row r="1114" customFormat="false" ht="15" hidden="false" customHeight="false" outlineLevel="0" collapsed="false">
      <c r="A1114" s="22" t="n">
        <v>1113</v>
      </c>
      <c r="B1114" s="22" t="s">
        <v>152</v>
      </c>
      <c r="C1114" s="37" t="n">
        <v>45652.1066203704</v>
      </c>
      <c r="D1114" s="22" t="s">
        <v>205</v>
      </c>
      <c r="E1114" s="22" t="n">
        <v>2</v>
      </c>
      <c r="F1114" s="22" t="s">
        <v>181</v>
      </c>
      <c r="G1114" s="22" t="s">
        <v>243</v>
      </c>
      <c r="H1114" s="22" t="n">
        <v>0.05</v>
      </c>
      <c r="I1114" s="38" t="n">
        <v>2621.21</v>
      </c>
      <c r="J1114" s="38" t="n">
        <v>2621.33</v>
      </c>
      <c r="K1114" s="39" t="n">
        <f aca="false">IF(F1114="BUY",J1114-I1114,I1114-J1114)</f>
        <v>0.119999999999891</v>
      </c>
      <c r="L1114" s="38" t="n">
        <v>2615.21</v>
      </c>
      <c r="M1114" s="39" t="n">
        <f aca="false">ABS(I1114-L1114)</f>
        <v>6</v>
      </c>
      <c r="N1114" s="24" t="n">
        <f aca="false">M1114*H1114*Summary!$C$6</f>
        <v>30</v>
      </c>
      <c r="O1114" s="37" t="n">
        <v>45652.6579166667</v>
      </c>
      <c r="P1114" s="22" t="n">
        <f aca="false">ROUND((O1114-C1114)*86400,0)</f>
        <v>47632</v>
      </c>
      <c r="Q1114" s="22" t="str">
        <f aca="false">IF(P1114&lt;10,"a) &lt;10s",IF(P1114&lt;60,"b) 10-60s",IF(P1114&lt;600,"c) 1-10min","d) &gt;10min")))</f>
        <v>d) &gt;10min</v>
      </c>
      <c r="R1114" s="38" t="n">
        <v>2621.83</v>
      </c>
      <c r="S1114" s="38" t="n">
        <v>2621.76</v>
      </c>
      <c r="T1114" s="22" t="s">
        <v>189</v>
      </c>
      <c r="U1114" s="39" t="n">
        <f aca="false">IF(R1114="","",IF(F1114="BUY",R1114-S1114,S1114-R1114))</f>
        <v>0.069999999999709</v>
      </c>
      <c r="V1114" s="39" t="n">
        <f aca="false">IF(F1114="BUY",S1114-J1114,J1114-S1114)</f>
        <v>0.430000000000291</v>
      </c>
      <c r="W1114" s="6" t="n">
        <v>2.15</v>
      </c>
      <c r="X1114" s="26" t="n">
        <f aca="false">IFERROR(W1114/N1114,0)</f>
        <v>0.0716666666666667</v>
      </c>
      <c r="Y1114" s="22" t="str">
        <f aca="false">IF(W1114&gt;0,"Win",IF(W1114&lt;0,"Loss","Flat"))</f>
        <v>Win</v>
      </c>
      <c r="Z1114" s="24" t="n">
        <f aca="false">Summary!$C$5+SUM(W$2:W1114)</f>
        <v>3520.22</v>
      </c>
      <c r="AA1114" s="24" t="n">
        <f aca="false">MAX(AA1113,Z1114)</f>
        <v>5000</v>
      </c>
      <c r="AB1114" s="24" t="n">
        <f aca="false">AA1114-Z1114</f>
        <v>1479.78</v>
      </c>
      <c r="AC1114" s="23" t="n">
        <f aca="false">IFERROR(AB1114/AA1114,0)</f>
        <v>0.295956</v>
      </c>
      <c r="AD1114" s="22" t="s">
        <v>1351</v>
      </c>
    </row>
    <row r="1115" customFormat="false" ht="15" hidden="false" customHeight="false" outlineLevel="0" collapsed="false">
      <c r="A1115" s="22" t="n">
        <v>1114</v>
      </c>
      <c r="B1115" s="22" t="s">
        <v>152</v>
      </c>
      <c r="C1115" s="37" t="n">
        <v>45653.3782407407</v>
      </c>
      <c r="D1115" s="22" t="s">
        <v>206</v>
      </c>
      <c r="E1115" s="22" t="n">
        <v>9</v>
      </c>
      <c r="F1115" s="22" t="s">
        <v>181</v>
      </c>
      <c r="G1115" s="22" t="s">
        <v>235</v>
      </c>
      <c r="H1115" s="22" t="n">
        <v>0.05</v>
      </c>
      <c r="I1115" s="38" t="n">
        <v>2636.83</v>
      </c>
      <c r="J1115" s="38" t="n">
        <v>2636.83</v>
      </c>
      <c r="K1115" s="39" t="n">
        <f aca="false">IF(F1115="BUY",J1115-I1115,I1115-J1115)</f>
        <v>0</v>
      </c>
      <c r="L1115" s="38" t="n">
        <v>2630.83</v>
      </c>
      <c r="M1115" s="39" t="n">
        <f aca="false">ABS(I1115-L1115)</f>
        <v>6</v>
      </c>
      <c r="N1115" s="24" t="n">
        <f aca="false">M1115*H1115*Summary!$C$6</f>
        <v>30</v>
      </c>
      <c r="O1115" s="37" t="n">
        <v>45653.4191898148</v>
      </c>
      <c r="P1115" s="22" t="n">
        <f aca="false">ROUND((O1115-C1115)*86400,0)</f>
        <v>3538</v>
      </c>
      <c r="Q1115" s="22" t="str">
        <f aca="false">IF(P1115&lt;10,"a) &lt;10s",IF(P1115&lt;60,"b) 10-60s",IF(P1115&lt;600,"c) 1-10min","d) &gt;10min")))</f>
        <v>d) &gt;10min</v>
      </c>
      <c r="R1115" s="38" t="n">
        <v>2630.83</v>
      </c>
      <c r="S1115" s="38" t="n">
        <v>2630.82</v>
      </c>
      <c r="T1115" s="22" t="s">
        <v>188</v>
      </c>
      <c r="U1115" s="39" t="n">
        <f aca="false">IF(R1115="","",IF(F1115="BUY",R1115-S1115,S1115-R1115))</f>
        <v>0.00999999999976353</v>
      </c>
      <c r="V1115" s="39" t="n">
        <f aca="false">IF(F1115="BUY",S1115-J1115,J1115-S1115)</f>
        <v>-6.00999999999976</v>
      </c>
      <c r="W1115" s="6" t="n">
        <v>-30.05</v>
      </c>
      <c r="X1115" s="26" t="n">
        <f aca="false">IFERROR(W1115/N1115,0)</f>
        <v>-1.00166666666667</v>
      </c>
      <c r="Y1115" s="22" t="str">
        <f aca="false">IF(W1115&gt;0,"Win",IF(W1115&lt;0,"Loss","Flat"))</f>
        <v>Loss</v>
      </c>
      <c r="Z1115" s="24" t="n">
        <f aca="false">Summary!$C$5+SUM(W$2:W1115)</f>
        <v>3490.17</v>
      </c>
      <c r="AA1115" s="24" t="n">
        <f aca="false">MAX(AA1114,Z1115)</f>
        <v>5000</v>
      </c>
      <c r="AB1115" s="24" t="n">
        <f aca="false">AA1115-Z1115</f>
        <v>1509.83</v>
      </c>
      <c r="AC1115" s="23" t="n">
        <f aca="false">IFERROR(AB1115/AA1115,0)</f>
        <v>0.301966</v>
      </c>
      <c r="AD1115" s="22" t="s">
        <v>1352</v>
      </c>
    </row>
    <row r="1116" customFormat="false" ht="15" hidden="false" customHeight="false" outlineLevel="0" collapsed="false">
      <c r="A1116" s="22" t="n">
        <v>1115</v>
      </c>
      <c r="B1116" s="22" t="s">
        <v>152</v>
      </c>
      <c r="C1116" s="37" t="n">
        <v>45653.6856597222</v>
      </c>
      <c r="D1116" s="22" t="s">
        <v>206</v>
      </c>
      <c r="E1116" s="22" t="n">
        <v>16</v>
      </c>
      <c r="F1116" s="22" t="s">
        <v>182</v>
      </c>
      <c r="G1116" s="22" t="s">
        <v>237</v>
      </c>
      <c r="H1116" s="22" t="n">
        <v>0.05</v>
      </c>
      <c r="I1116" s="38" t="n">
        <v>2614.25</v>
      </c>
      <c r="J1116" s="38" t="n">
        <v>2614.21</v>
      </c>
      <c r="K1116" s="39" t="n">
        <f aca="false">IF(F1116="BUY",J1116-I1116,I1116-J1116)</f>
        <v>0.0399999999999636</v>
      </c>
      <c r="L1116" s="38" t="n">
        <v>2620.25</v>
      </c>
      <c r="M1116" s="39" t="n">
        <f aca="false">ABS(I1116-L1116)</f>
        <v>6</v>
      </c>
      <c r="N1116" s="24" t="n">
        <f aca="false">M1116*H1116*Summary!$C$6</f>
        <v>30</v>
      </c>
      <c r="O1116" s="37" t="n">
        <v>45653.6895601852</v>
      </c>
      <c r="P1116" s="22" t="n">
        <f aca="false">ROUND((O1116-C1116)*86400,0)</f>
        <v>337</v>
      </c>
      <c r="Q1116" s="22" t="str">
        <f aca="false">IF(P1116&lt;10,"a) &lt;10s",IF(P1116&lt;60,"b) 10-60s",IF(P1116&lt;600,"c) 1-10min","d) &gt;10min")))</f>
        <v>c) 1-10min</v>
      </c>
      <c r="R1116" s="38" t="n">
        <v>2613.71</v>
      </c>
      <c r="S1116" s="38" t="n">
        <v>2613.71</v>
      </c>
      <c r="T1116" s="22" t="s">
        <v>189</v>
      </c>
      <c r="U1116" s="39" t="n">
        <f aca="false">IF(R1116="","",IF(F1116="BUY",R1116-S1116,S1116-R1116))</f>
        <v>0</v>
      </c>
      <c r="V1116" s="39" t="n">
        <f aca="false">IF(F1116="BUY",S1116-J1116,J1116-S1116)</f>
        <v>0.5</v>
      </c>
      <c r="W1116" s="6" t="n">
        <v>2.5</v>
      </c>
      <c r="X1116" s="26" t="n">
        <f aca="false">IFERROR(W1116/N1116,0)</f>
        <v>0.0833333333333333</v>
      </c>
      <c r="Y1116" s="22" t="str">
        <f aca="false">IF(W1116&gt;0,"Win",IF(W1116&lt;0,"Loss","Flat"))</f>
        <v>Win</v>
      </c>
      <c r="Z1116" s="24" t="n">
        <f aca="false">Summary!$C$5+SUM(W$2:W1116)</f>
        <v>3492.67</v>
      </c>
      <c r="AA1116" s="24" t="n">
        <f aca="false">MAX(AA1115,Z1116)</f>
        <v>5000</v>
      </c>
      <c r="AB1116" s="24" t="n">
        <f aca="false">AA1116-Z1116</f>
        <v>1507.33</v>
      </c>
      <c r="AC1116" s="23" t="n">
        <f aca="false">IFERROR(AB1116/AA1116,0)</f>
        <v>0.301466</v>
      </c>
      <c r="AD1116" s="22" t="s">
        <v>1353</v>
      </c>
    </row>
    <row r="1117" customFormat="false" ht="15" hidden="false" customHeight="false" outlineLevel="0" collapsed="false">
      <c r="A1117" s="22" t="n">
        <v>1116</v>
      </c>
      <c r="B1117" s="22" t="s">
        <v>152</v>
      </c>
      <c r="C1117" s="37" t="n">
        <v>45656.3760300926</v>
      </c>
      <c r="D1117" s="22" t="s">
        <v>202</v>
      </c>
      <c r="E1117" s="22" t="n">
        <v>9</v>
      </c>
      <c r="F1117" s="22" t="s">
        <v>182</v>
      </c>
      <c r="G1117" s="22" t="s">
        <v>241</v>
      </c>
      <c r="H1117" s="22" t="n">
        <v>0.05</v>
      </c>
      <c r="I1117" s="38" t="n">
        <v>2618.11</v>
      </c>
      <c r="J1117" s="38" t="n">
        <v>2618.08</v>
      </c>
      <c r="K1117" s="39" t="n">
        <f aca="false">IF(F1117="BUY",J1117-I1117,I1117-J1117)</f>
        <v>0.0300000000002001</v>
      </c>
      <c r="L1117" s="38" t="n">
        <v>2624.11</v>
      </c>
      <c r="M1117" s="39" t="n">
        <f aca="false">ABS(I1117-L1117)</f>
        <v>6</v>
      </c>
      <c r="N1117" s="24" t="n">
        <f aca="false">M1117*H1117*Summary!$C$6</f>
        <v>30</v>
      </c>
      <c r="O1117" s="37" t="n">
        <v>45656.4796412037</v>
      </c>
      <c r="P1117" s="22" t="n">
        <f aca="false">ROUND((O1117-C1117)*86400,0)</f>
        <v>8952</v>
      </c>
      <c r="Q1117" s="22" t="str">
        <f aca="false">IF(P1117&lt;10,"a) &lt;10s",IF(P1117&lt;60,"b) 10-60s",IF(P1117&lt;600,"c) 1-10min","d) &gt;10min")))</f>
        <v>d) &gt;10min</v>
      </c>
      <c r="R1117" s="38" t="n">
        <v>2617.58</v>
      </c>
      <c r="S1117" s="38" t="n">
        <v>2617.59</v>
      </c>
      <c r="T1117" s="22" t="s">
        <v>189</v>
      </c>
      <c r="U1117" s="39" t="n">
        <f aca="false">IF(R1117="","",IF(F1117="BUY",R1117-S1117,S1117-R1117))</f>
        <v>0.0100000000002183</v>
      </c>
      <c r="V1117" s="39" t="n">
        <f aca="false">IF(F1117="BUY",S1117-J1117,J1117-S1117)</f>
        <v>0.489999999999782</v>
      </c>
      <c r="W1117" s="6" t="n">
        <v>2.45</v>
      </c>
      <c r="X1117" s="26" t="n">
        <f aca="false">IFERROR(W1117/N1117,0)</f>
        <v>0.0816666666666667</v>
      </c>
      <c r="Y1117" s="22" t="str">
        <f aca="false">IF(W1117&gt;0,"Win",IF(W1117&lt;0,"Loss","Flat"))</f>
        <v>Win</v>
      </c>
      <c r="Z1117" s="24" t="n">
        <f aca="false">Summary!$C$5+SUM(W$2:W1117)</f>
        <v>3495.12</v>
      </c>
      <c r="AA1117" s="24" t="n">
        <f aca="false">MAX(AA1116,Z1117)</f>
        <v>5000</v>
      </c>
      <c r="AB1117" s="24" t="n">
        <f aca="false">AA1117-Z1117</f>
        <v>1504.88</v>
      </c>
      <c r="AC1117" s="23" t="n">
        <f aca="false">IFERROR(AB1117/AA1117,0)</f>
        <v>0.300976</v>
      </c>
      <c r="AD1117" s="22" t="s">
        <v>1354</v>
      </c>
    </row>
    <row r="1118" customFormat="false" ht="15" hidden="false" customHeight="false" outlineLevel="0" collapsed="false">
      <c r="A1118" s="22" t="n">
        <v>1117</v>
      </c>
      <c r="B1118" s="22" t="s">
        <v>152</v>
      </c>
      <c r="C1118" s="37" t="n">
        <v>45657.3756365741</v>
      </c>
      <c r="D1118" s="22" t="s">
        <v>203</v>
      </c>
      <c r="E1118" s="22" t="n">
        <v>9</v>
      </c>
      <c r="F1118" s="22" t="s">
        <v>181</v>
      </c>
      <c r="G1118" s="22" t="s">
        <v>235</v>
      </c>
      <c r="H1118" s="22" t="n">
        <v>0.05</v>
      </c>
      <c r="I1118" s="38" t="n">
        <v>2608.42</v>
      </c>
      <c r="J1118" s="38" t="n">
        <v>2608.42</v>
      </c>
      <c r="K1118" s="39" t="n">
        <f aca="false">IF(F1118="BUY",J1118-I1118,I1118-J1118)</f>
        <v>0</v>
      </c>
      <c r="L1118" s="38" t="n">
        <v>2602.42</v>
      </c>
      <c r="M1118" s="39" t="n">
        <f aca="false">ABS(I1118-L1118)</f>
        <v>6</v>
      </c>
      <c r="N1118" s="24" t="n">
        <f aca="false">M1118*H1118*Summary!$C$6</f>
        <v>30</v>
      </c>
      <c r="O1118" s="37" t="n">
        <v>45657.6282638889</v>
      </c>
      <c r="P1118" s="22" t="n">
        <f aca="false">ROUND((O1118-C1118)*86400,0)</f>
        <v>21827</v>
      </c>
      <c r="Q1118" s="22" t="str">
        <f aca="false">IF(P1118&lt;10,"a) &lt;10s",IF(P1118&lt;60,"b) 10-60s",IF(P1118&lt;600,"c) 1-10min","d) &gt;10min")))</f>
        <v>d) &gt;10min</v>
      </c>
      <c r="R1118" s="38" t="n">
        <v>2608.92</v>
      </c>
      <c r="S1118" s="38" t="n">
        <v>2608.92</v>
      </c>
      <c r="T1118" s="22" t="s">
        <v>189</v>
      </c>
      <c r="U1118" s="39" t="n">
        <f aca="false">IF(R1118="","",IF(F1118="BUY",R1118-S1118,S1118-R1118))</f>
        <v>0</v>
      </c>
      <c r="V1118" s="39" t="n">
        <f aca="false">IF(F1118="BUY",S1118-J1118,J1118-S1118)</f>
        <v>0.5</v>
      </c>
      <c r="W1118" s="6" t="n">
        <v>2.5</v>
      </c>
      <c r="X1118" s="26" t="n">
        <f aca="false">IFERROR(W1118/N1118,0)</f>
        <v>0.0833333333333333</v>
      </c>
      <c r="Y1118" s="22" t="str">
        <f aca="false">IF(W1118&gt;0,"Win",IF(W1118&lt;0,"Loss","Flat"))</f>
        <v>Win</v>
      </c>
      <c r="Z1118" s="24" t="n">
        <f aca="false">Summary!$C$5+SUM(W$2:W1118)</f>
        <v>3497.62</v>
      </c>
      <c r="AA1118" s="24" t="n">
        <f aca="false">MAX(AA1117,Z1118)</f>
        <v>5000</v>
      </c>
      <c r="AB1118" s="24" t="n">
        <f aca="false">AA1118-Z1118</f>
        <v>1502.38</v>
      </c>
      <c r="AC1118" s="23" t="n">
        <f aca="false">IFERROR(AB1118/AA1118,0)</f>
        <v>0.300476</v>
      </c>
      <c r="AD1118" s="22" t="s">
        <v>1355</v>
      </c>
    </row>
    <row r="1119" customFormat="false" ht="15" hidden="false" customHeight="false" outlineLevel="0" collapsed="false">
      <c r="A1119" s="22" t="n">
        <v>1118</v>
      </c>
      <c r="B1119" s="22" t="s">
        <v>153</v>
      </c>
      <c r="C1119" s="37" t="n">
        <v>45659.1136458333</v>
      </c>
      <c r="D1119" s="22" t="s">
        <v>205</v>
      </c>
      <c r="E1119" s="22" t="n">
        <v>2</v>
      </c>
      <c r="F1119" s="22" t="s">
        <v>181</v>
      </c>
      <c r="G1119" s="22" t="s">
        <v>243</v>
      </c>
      <c r="H1119" s="22" t="n">
        <v>0.05</v>
      </c>
      <c r="I1119" s="38" t="n">
        <v>2627.36</v>
      </c>
      <c r="J1119" s="38" t="n">
        <v>2627.4</v>
      </c>
      <c r="K1119" s="39" t="n">
        <f aca="false">IF(F1119="BUY",J1119-I1119,I1119-J1119)</f>
        <v>0.0399999999999636</v>
      </c>
      <c r="L1119" s="38" t="n">
        <v>2621.36</v>
      </c>
      <c r="M1119" s="39" t="n">
        <f aca="false">ABS(I1119-L1119)</f>
        <v>6</v>
      </c>
      <c r="N1119" s="24" t="n">
        <f aca="false">M1119*H1119*Summary!$C$6</f>
        <v>30</v>
      </c>
      <c r="O1119" s="37" t="n">
        <v>45659.7669097222</v>
      </c>
      <c r="P1119" s="22" t="n">
        <f aca="false">ROUND((O1119-C1119)*86400,0)</f>
        <v>56442</v>
      </c>
      <c r="Q1119" s="22" t="str">
        <f aca="false">IF(P1119&lt;10,"a) &lt;10s",IF(P1119&lt;60,"b) 10-60s",IF(P1119&lt;600,"c) 1-10min","d) &gt;10min")))</f>
        <v>d) &gt;10min</v>
      </c>
      <c r="R1119" s="38"/>
      <c r="S1119" s="38" t="n">
        <v>2657.4</v>
      </c>
      <c r="T1119" s="22" t="s">
        <v>187</v>
      </c>
      <c r="U1119" s="39" t="str">
        <f aca="false">IF(R1119="","",IF(F1119="BUY",R1119-S1119,S1119-R1119))</f>
        <v/>
      </c>
      <c r="V1119" s="39" t="n">
        <f aca="false">IF(F1119="BUY",S1119-J1119,J1119-S1119)</f>
        <v>30</v>
      </c>
      <c r="W1119" s="6" t="n">
        <v>150</v>
      </c>
      <c r="X1119" s="26" t="n">
        <f aca="false">IFERROR(W1119/N1119,0)</f>
        <v>5</v>
      </c>
      <c r="Y1119" s="22" t="str">
        <f aca="false">IF(W1119&gt;0,"Win",IF(W1119&lt;0,"Loss","Flat"))</f>
        <v>Win</v>
      </c>
      <c r="Z1119" s="24" t="n">
        <f aca="false">Summary!$C$5+SUM(W$2:W1119)</f>
        <v>3647.62</v>
      </c>
      <c r="AA1119" s="24" t="n">
        <f aca="false">MAX(AA1118,Z1119)</f>
        <v>5000</v>
      </c>
      <c r="AB1119" s="24" t="n">
        <f aca="false">AA1119-Z1119</f>
        <v>1352.38</v>
      </c>
      <c r="AC1119" s="23" t="n">
        <f aca="false">IFERROR(AB1119/AA1119,0)</f>
        <v>0.270476</v>
      </c>
      <c r="AD1119" s="22" t="s">
        <v>1356</v>
      </c>
    </row>
    <row r="1120" customFormat="false" ht="15" hidden="false" customHeight="false" outlineLevel="0" collapsed="false">
      <c r="A1120" s="22" t="n">
        <v>1119</v>
      </c>
      <c r="B1120" s="22" t="s">
        <v>153</v>
      </c>
      <c r="C1120" s="37" t="n">
        <v>45660.0856597222</v>
      </c>
      <c r="D1120" s="22" t="s">
        <v>206</v>
      </c>
      <c r="E1120" s="22" t="n">
        <v>2</v>
      </c>
      <c r="F1120" s="22" t="s">
        <v>181</v>
      </c>
      <c r="G1120" s="22" t="s">
        <v>243</v>
      </c>
      <c r="H1120" s="22" t="n">
        <v>0.06</v>
      </c>
      <c r="I1120" s="38" t="n">
        <v>2660.38</v>
      </c>
      <c r="J1120" s="38" t="n">
        <v>2660.39</v>
      </c>
      <c r="K1120" s="39" t="n">
        <f aca="false">IF(F1120="BUY",J1120-I1120,I1120-J1120)</f>
        <v>0.00999999999976353</v>
      </c>
      <c r="L1120" s="38" t="n">
        <v>2654.38</v>
      </c>
      <c r="M1120" s="39" t="n">
        <f aca="false">ABS(I1120-L1120)</f>
        <v>6</v>
      </c>
      <c r="N1120" s="24" t="n">
        <f aca="false">M1120*H1120*Summary!$C$6</f>
        <v>36</v>
      </c>
      <c r="O1120" s="37" t="n">
        <v>45660.1805555556</v>
      </c>
      <c r="P1120" s="22" t="n">
        <f aca="false">ROUND((O1120-C1120)*86400,0)</f>
        <v>8199</v>
      </c>
      <c r="Q1120" s="22" t="str">
        <f aca="false">IF(P1120&lt;10,"a) &lt;10s",IF(P1120&lt;60,"b) 10-60s",IF(P1120&lt;600,"c) 1-10min","d) &gt;10min")))</f>
        <v>d) &gt;10min</v>
      </c>
      <c r="R1120" s="38" t="n">
        <v>2660.89</v>
      </c>
      <c r="S1120" s="38" t="n">
        <v>2660.86</v>
      </c>
      <c r="T1120" s="22" t="s">
        <v>189</v>
      </c>
      <c r="U1120" s="39" t="n">
        <f aca="false">IF(R1120="","",IF(F1120="BUY",R1120-S1120,S1120-R1120))</f>
        <v>0.0299999999997453</v>
      </c>
      <c r="V1120" s="39" t="n">
        <f aca="false">IF(F1120="BUY",S1120-J1120,J1120-S1120)</f>
        <v>0.470000000000255</v>
      </c>
      <c r="W1120" s="6" t="n">
        <v>2.82</v>
      </c>
      <c r="X1120" s="26" t="n">
        <f aca="false">IFERROR(W1120/N1120,0)</f>
        <v>0.0783333333333333</v>
      </c>
      <c r="Y1120" s="22" t="str">
        <f aca="false">IF(W1120&gt;0,"Win",IF(W1120&lt;0,"Loss","Flat"))</f>
        <v>Win</v>
      </c>
      <c r="Z1120" s="24" t="n">
        <f aca="false">Summary!$C$5+SUM(W$2:W1120)</f>
        <v>3650.44</v>
      </c>
      <c r="AA1120" s="24" t="n">
        <f aca="false">MAX(AA1119,Z1120)</f>
        <v>5000</v>
      </c>
      <c r="AB1120" s="24" t="n">
        <f aca="false">AA1120-Z1120</f>
        <v>1349.56</v>
      </c>
      <c r="AC1120" s="23" t="n">
        <f aca="false">IFERROR(AB1120/AA1120,0)</f>
        <v>0.269912</v>
      </c>
      <c r="AD1120" s="22" t="s">
        <v>1357</v>
      </c>
    </row>
    <row r="1121" customFormat="false" ht="15" hidden="false" customHeight="false" outlineLevel="0" collapsed="false">
      <c r="A1121" s="22" t="n">
        <v>1120</v>
      </c>
      <c r="B1121" s="22" t="s">
        <v>153</v>
      </c>
      <c r="C1121" s="37" t="n">
        <v>45660.3806018519</v>
      </c>
      <c r="D1121" s="22" t="s">
        <v>206</v>
      </c>
      <c r="E1121" s="22" t="n">
        <v>9</v>
      </c>
      <c r="F1121" s="22" t="s">
        <v>182</v>
      </c>
      <c r="G1121" s="22" t="s">
        <v>241</v>
      </c>
      <c r="H1121" s="22" t="n">
        <v>0.06</v>
      </c>
      <c r="I1121" s="38" t="n">
        <v>2655.82</v>
      </c>
      <c r="J1121" s="38" t="n">
        <v>2655.82</v>
      </c>
      <c r="K1121" s="39" t="n">
        <f aca="false">IF(F1121="BUY",J1121-I1121,I1121-J1121)</f>
        <v>0</v>
      </c>
      <c r="L1121" s="38" t="n">
        <v>2661.82</v>
      </c>
      <c r="M1121" s="39" t="n">
        <f aca="false">ABS(I1121-L1121)</f>
        <v>6</v>
      </c>
      <c r="N1121" s="24" t="n">
        <f aca="false">M1121*H1121*Summary!$C$6</f>
        <v>36</v>
      </c>
      <c r="O1121" s="37" t="n">
        <v>45660.4042708333</v>
      </c>
      <c r="P1121" s="22" t="n">
        <f aca="false">ROUND((O1121-C1121)*86400,0)</f>
        <v>2045</v>
      </c>
      <c r="Q1121" s="22" t="str">
        <f aca="false">IF(P1121&lt;10,"a) &lt;10s",IF(P1121&lt;60,"b) 10-60s",IF(P1121&lt;600,"c) 1-10min","d) &gt;10min")))</f>
        <v>d) &gt;10min</v>
      </c>
      <c r="R1121" s="38" t="n">
        <v>2655.32</v>
      </c>
      <c r="S1121" s="38" t="n">
        <v>2655.32</v>
      </c>
      <c r="T1121" s="22" t="s">
        <v>189</v>
      </c>
      <c r="U1121" s="39" t="n">
        <f aca="false">IF(R1121="","",IF(F1121="BUY",R1121-S1121,S1121-R1121))</f>
        <v>0</v>
      </c>
      <c r="V1121" s="39" t="n">
        <f aca="false">IF(F1121="BUY",S1121-J1121,J1121-S1121)</f>
        <v>0.5</v>
      </c>
      <c r="W1121" s="6" t="n">
        <v>3</v>
      </c>
      <c r="X1121" s="26" t="n">
        <f aca="false">IFERROR(W1121/N1121,0)</f>
        <v>0.0833333333333333</v>
      </c>
      <c r="Y1121" s="22" t="str">
        <f aca="false">IF(W1121&gt;0,"Win",IF(W1121&lt;0,"Loss","Flat"))</f>
        <v>Win</v>
      </c>
      <c r="Z1121" s="24" t="n">
        <f aca="false">Summary!$C$5+SUM(W$2:W1121)</f>
        <v>3653.44</v>
      </c>
      <c r="AA1121" s="24" t="n">
        <f aca="false">MAX(AA1120,Z1121)</f>
        <v>5000</v>
      </c>
      <c r="AB1121" s="24" t="n">
        <f aca="false">AA1121-Z1121</f>
        <v>1346.56</v>
      </c>
      <c r="AC1121" s="23" t="n">
        <f aca="false">IFERROR(AB1121/AA1121,0)</f>
        <v>0.269312</v>
      </c>
      <c r="AD1121" s="22" t="s">
        <v>1358</v>
      </c>
    </row>
    <row r="1122" customFormat="false" ht="15" hidden="false" customHeight="false" outlineLevel="0" collapsed="false">
      <c r="A1122" s="22" t="n">
        <v>1121</v>
      </c>
      <c r="B1122" s="22" t="s">
        <v>153</v>
      </c>
      <c r="C1122" s="37" t="n">
        <v>45663.2619444444</v>
      </c>
      <c r="D1122" s="22" t="s">
        <v>202</v>
      </c>
      <c r="E1122" s="22" t="n">
        <v>6</v>
      </c>
      <c r="F1122" s="22" t="s">
        <v>182</v>
      </c>
      <c r="G1122" s="22" t="s">
        <v>237</v>
      </c>
      <c r="H1122" s="22" t="n">
        <v>0.06</v>
      </c>
      <c r="I1122" s="38" t="n">
        <v>2636.63</v>
      </c>
      <c r="J1122" s="38" t="n">
        <v>2636.56</v>
      </c>
      <c r="K1122" s="39" t="n">
        <f aca="false">IF(F1122="BUY",J1122-I1122,I1122-J1122)</f>
        <v>0.0700000000001637</v>
      </c>
      <c r="L1122" s="38" t="n">
        <v>2642.63</v>
      </c>
      <c r="M1122" s="39" t="n">
        <f aca="false">ABS(I1122-L1122)</f>
        <v>6</v>
      </c>
      <c r="N1122" s="24" t="n">
        <f aca="false">M1122*H1122*Summary!$C$6</f>
        <v>36</v>
      </c>
      <c r="O1122" s="37" t="n">
        <v>45663.4735069444</v>
      </c>
      <c r="P1122" s="22" t="n">
        <f aca="false">ROUND((O1122-C1122)*86400,0)</f>
        <v>18279</v>
      </c>
      <c r="Q1122" s="22" t="str">
        <f aca="false">IF(P1122&lt;10,"a) &lt;10s",IF(P1122&lt;60,"b) 10-60s",IF(P1122&lt;600,"c) 1-10min","d) &gt;10min")))</f>
        <v>d) &gt;10min</v>
      </c>
      <c r="R1122" s="38" t="n">
        <v>2636.06</v>
      </c>
      <c r="S1122" s="38" t="n">
        <v>2636.06</v>
      </c>
      <c r="T1122" s="22" t="s">
        <v>189</v>
      </c>
      <c r="U1122" s="39" t="n">
        <f aca="false">IF(R1122="","",IF(F1122="BUY",R1122-S1122,S1122-R1122))</f>
        <v>0</v>
      </c>
      <c r="V1122" s="39" t="n">
        <f aca="false">IF(F1122="BUY",S1122-J1122,J1122-S1122)</f>
        <v>0.5</v>
      </c>
      <c r="W1122" s="6" t="n">
        <v>3</v>
      </c>
      <c r="X1122" s="26" t="n">
        <f aca="false">IFERROR(W1122/N1122,0)</f>
        <v>0.0833333333333333</v>
      </c>
      <c r="Y1122" s="22" t="str">
        <f aca="false">IF(W1122&gt;0,"Win",IF(W1122&lt;0,"Loss","Flat"))</f>
        <v>Win</v>
      </c>
      <c r="Z1122" s="24" t="n">
        <f aca="false">Summary!$C$5+SUM(W$2:W1122)</f>
        <v>3656.44</v>
      </c>
      <c r="AA1122" s="24" t="n">
        <f aca="false">MAX(AA1121,Z1122)</f>
        <v>5000</v>
      </c>
      <c r="AB1122" s="24" t="n">
        <f aca="false">AA1122-Z1122</f>
        <v>1343.56</v>
      </c>
      <c r="AC1122" s="23" t="n">
        <f aca="false">IFERROR(AB1122/AA1122,0)</f>
        <v>0.268712</v>
      </c>
      <c r="AD1122" s="22" t="s">
        <v>1359</v>
      </c>
    </row>
    <row r="1123" customFormat="false" ht="15" hidden="false" customHeight="false" outlineLevel="0" collapsed="false">
      <c r="A1123" s="22" t="n">
        <v>1122</v>
      </c>
      <c r="B1123" s="22" t="s">
        <v>153</v>
      </c>
      <c r="C1123" s="37" t="n">
        <v>45663.4735300926</v>
      </c>
      <c r="D1123" s="22" t="s">
        <v>202</v>
      </c>
      <c r="E1123" s="22" t="n">
        <v>11</v>
      </c>
      <c r="F1123" s="22" t="s">
        <v>181</v>
      </c>
      <c r="G1123" s="22" t="s">
        <v>235</v>
      </c>
      <c r="H1123" s="22" t="n">
        <v>0.06</v>
      </c>
      <c r="I1123" s="38" t="n">
        <v>2636.07</v>
      </c>
      <c r="J1123" s="38" t="n">
        <v>2636.09</v>
      </c>
      <c r="K1123" s="39" t="n">
        <f aca="false">IF(F1123="BUY",J1123-I1123,I1123-J1123)</f>
        <v>0.0199999999999818</v>
      </c>
      <c r="L1123" s="38" t="n">
        <v>2630.07</v>
      </c>
      <c r="M1123" s="39" t="n">
        <f aca="false">ABS(I1123-L1123)</f>
        <v>6</v>
      </c>
      <c r="N1123" s="24" t="n">
        <f aca="false">M1123*H1123*Summary!$C$6</f>
        <v>36</v>
      </c>
      <c r="O1123" s="37" t="n">
        <v>45663.6497106482</v>
      </c>
      <c r="P1123" s="22" t="n">
        <f aca="false">ROUND((O1123-C1123)*86400,0)</f>
        <v>15222</v>
      </c>
      <c r="Q1123" s="22" t="str">
        <f aca="false">IF(P1123&lt;10,"a) &lt;10s",IF(P1123&lt;60,"b) 10-60s",IF(P1123&lt;600,"c) 1-10min","d) &gt;10min")))</f>
        <v>d) &gt;10min</v>
      </c>
      <c r="R1123" s="38" t="n">
        <v>2636.59</v>
      </c>
      <c r="S1123" s="38" t="n">
        <v>2636.59</v>
      </c>
      <c r="T1123" s="22" t="s">
        <v>189</v>
      </c>
      <c r="U1123" s="39" t="n">
        <f aca="false">IF(R1123="","",IF(F1123="BUY",R1123-S1123,S1123-R1123))</f>
        <v>0</v>
      </c>
      <c r="V1123" s="39" t="n">
        <f aca="false">IF(F1123="BUY",S1123-J1123,J1123-S1123)</f>
        <v>0.5</v>
      </c>
      <c r="W1123" s="6" t="n">
        <v>3</v>
      </c>
      <c r="X1123" s="26" t="n">
        <f aca="false">IFERROR(W1123/N1123,0)</f>
        <v>0.0833333333333333</v>
      </c>
      <c r="Y1123" s="22" t="str">
        <f aca="false">IF(W1123&gt;0,"Win",IF(W1123&lt;0,"Loss","Flat"))</f>
        <v>Win</v>
      </c>
      <c r="Z1123" s="24" t="n">
        <f aca="false">Summary!$C$5+SUM(W$2:W1123)</f>
        <v>3659.44</v>
      </c>
      <c r="AA1123" s="24" t="n">
        <f aca="false">MAX(AA1122,Z1123)</f>
        <v>5000</v>
      </c>
      <c r="AB1123" s="24" t="n">
        <f aca="false">AA1123-Z1123</f>
        <v>1340.56</v>
      </c>
      <c r="AC1123" s="23" t="n">
        <f aca="false">IFERROR(AB1123/AA1123,0)</f>
        <v>0.268112</v>
      </c>
      <c r="AD1123" s="22" t="s">
        <v>1360</v>
      </c>
    </row>
    <row r="1124" customFormat="false" ht="15" hidden="false" customHeight="false" outlineLevel="0" collapsed="false">
      <c r="A1124" s="22" t="n">
        <v>1123</v>
      </c>
      <c r="B1124" s="22" t="s">
        <v>153</v>
      </c>
      <c r="C1124" s="37" t="n">
        <v>45664.5461921296</v>
      </c>
      <c r="D1124" s="22" t="s">
        <v>203</v>
      </c>
      <c r="E1124" s="22" t="n">
        <v>13</v>
      </c>
      <c r="F1124" s="22" t="s">
        <v>181</v>
      </c>
      <c r="G1124" s="22" t="s">
        <v>235</v>
      </c>
      <c r="H1124" s="22" t="n">
        <v>0.06</v>
      </c>
      <c r="I1124" s="38" t="n">
        <v>2646.52</v>
      </c>
      <c r="J1124" s="38" t="n">
        <v>2646.54</v>
      </c>
      <c r="K1124" s="39" t="n">
        <f aca="false">IF(F1124="BUY",J1124-I1124,I1124-J1124)</f>
        <v>0.0199999999999818</v>
      </c>
      <c r="L1124" s="38" t="n">
        <v>2640.52</v>
      </c>
      <c r="M1124" s="39" t="n">
        <f aca="false">ABS(I1124-L1124)</f>
        <v>6</v>
      </c>
      <c r="N1124" s="24" t="n">
        <f aca="false">M1124*H1124*Summary!$C$6</f>
        <v>36</v>
      </c>
      <c r="O1124" s="37" t="n">
        <v>45664.710150463</v>
      </c>
      <c r="P1124" s="22" t="n">
        <f aca="false">ROUND((O1124-C1124)*86400,0)</f>
        <v>14166</v>
      </c>
      <c r="Q1124" s="22" t="str">
        <f aca="false">IF(P1124&lt;10,"a) &lt;10s",IF(P1124&lt;60,"b) 10-60s",IF(P1124&lt;600,"c) 1-10min","d) &gt;10min")))</f>
        <v>d) &gt;10min</v>
      </c>
      <c r="R1124" s="38" t="n">
        <v>2647.04</v>
      </c>
      <c r="S1124" s="38" t="n">
        <v>2646.98</v>
      </c>
      <c r="T1124" s="22" t="s">
        <v>189</v>
      </c>
      <c r="U1124" s="39" t="n">
        <f aca="false">IF(R1124="","",IF(F1124="BUY",R1124-S1124,S1124-R1124))</f>
        <v>0.0599999999999454</v>
      </c>
      <c r="V1124" s="39" t="n">
        <f aca="false">IF(F1124="BUY",S1124-J1124,J1124-S1124)</f>
        <v>0.440000000000055</v>
      </c>
      <c r="W1124" s="6" t="n">
        <v>2.64</v>
      </c>
      <c r="X1124" s="26" t="n">
        <f aca="false">IFERROR(W1124/N1124,0)</f>
        <v>0.0733333333333333</v>
      </c>
      <c r="Y1124" s="22" t="str">
        <f aca="false">IF(W1124&gt;0,"Win",IF(W1124&lt;0,"Loss","Flat"))</f>
        <v>Win</v>
      </c>
      <c r="Z1124" s="24" t="n">
        <f aca="false">Summary!$C$5+SUM(W$2:W1124)</f>
        <v>3662.08</v>
      </c>
      <c r="AA1124" s="24" t="n">
        <f aca="false">MAX(AA1123,Z1124)</f>
        <v>5000</v>
      </c>
      <c r="AB1124" s="24" t="n">
        <f aca="false">AA1124-Z1124</f>
        <v>1337.92</v>
      </c>
      <c r="AC1124" s="23" t="n">
        <f aca="false">IFERROR(AB1124/AA1124,0)</f>
        <v>0.267584</v>
      </c>
      <c r="AD1124" s="22" t="s">
        <v>1361</v>
      </c>
    </row>
    <row r="1125" customFormat="false" ht="15" hidden="false" customHeight="false" outlineLevel="0" collapsed="false">
      <c r="A1125" s="22" t="n">
        <v>1124</v>
      </c>
      <c r="B1125" s="22" t="s">
        <v>153</v>
      </c>
      <c r="C1125" s="37" t="n">
        <v>45665.3765046296</v>
      </c>
      <c r="D1125" s="22" t="s">
        <v>204</v>
      </c>
      <c r="E1125" s="22" t="n">
        <v>9</v>
      </c>
      <c r="F1125" s="22" t="s">
        <v>181</v>
      </c>
      <c r="G1125" s="22" t="s">
        <v>235</v>
      </c>
      <c r="H1125" s="22" t="n">
        <v>0.06</v>
      </c>
      <c r="I1125" s="38" t="n">
        <v>2652.85</v>
      </c>
      <c r="J1125" s="38" t="n">
        <v>2652.87</v>
      </c>
      <c r="K1125" s="39" t="n">
        <f aca="false">IF(F1125="BUY",J1125-I1125,I1125-J1125)</f>
        <v>0.0199999999999818</v>
      </c>
      <c r="L1125" s="38" t="n">
        <v>2646.85</v>
      </c>
      <c r="M1125" s="39" t="n">
        <f aca="false">ABS(I1125-L1125)</f>
        <v>6</v>
      </c>
      <c r="N1125" s="24" t="n">
        <f aca="false">M1125*H1125*Summary!$C$6</f>
        <v>36</v>
      </c>
      <c r="O1125" s="37" t="n">
        <v>45665.4675925926</v>
      </c>
      <c r="P1125" s="22" t="n">
        <f aca="false">ROUND((O1125-C1125)*86400,0)</f>
        <v>7870</v>
      </c>
      <c r="Q1125" s="22" t="str">
        <f aca="false">IF(P1125&lt;10,"a) &lt;10s",IF(P1125&lt;60,"b) 10-60s",IF(P1125&lt;600,"c) 1-10min","d) &gt;10min")))</f>
        <v>d) &gt;10min</v>
      </c>
      <c r="R1125" s="38" t="n">
        <v>2653.37</v>
      </c>
      <c r="S1125" s="38" t="n">
        <v>2653.35</v>
      </c>
      <c r="T1125" s="22" t="s">
        <v>189</v>
      </c>
      <c r="U1125" s="39" t="n">
        <f aca="false">IF(R1125="","",IF(F1125="BUY",R1125-S1125,S1125-R1125))</f>
        <v>0.0199999999999818</v>
      </c>
      <c r="V1125" s="39" t="n">
        <f aca="false">IF(F1125="BUY",S1125-J1125,J1125-S1125)</f>
        <v>0.480000000000018</v>
      </c>
      <c r="W1125" s="6" t="n">
        <v>2.88</v>
      </c>
      <c r="X1125" s="26" t="n">
        <f aca="false">IFERROR(W1125/N1125,0)</f>
        <v>0.08</v>
      </c>
      <c r="Y1125" s="22" t="str">
        <f aca="false">IF(W1125&gt;0,"Win",IF(W1125&lt;0,"Loss","Flat"))</f>
        <v>Win</v>
      </c>
      <c r="Z1125" s="24" t="n">
        <f aca="false">Summary!$C$5+SUM(W$2:W1125)</f>
        <v>3664.96</v>
      </c>
      <c r="AA1125" s="24" t="n">
        <f aca="false">MAX(AA1124,Z1125)</f>
        <v>5000</v>
      </c>
      <c r="AB1125" s="24" t="n">
        <f aca="false">AA1125-Z1125</f>
        <v>1335.04</v>
      </c>
      <c r="AC1125" s="23" t="n">
        <f aca="false">IFERROR(AB1125/AA1125,0)</f>
        <v>0.267008</v>
      </c>
      <c r="AD1125" s="22" t="s">
        <v>1362</v>
      </c>
    </row>
    <row r="1126" customFormat="false" ht="15" hidden="false" customHeight="false" outlineLevel="0" collapsed="false">
      <c r="A1126" s="22" t="n">
        <v>1125</v>
      </c>
      <c r="B1126" s="22" t="s">
        <v>153</v>
      </c>
      <c r="C1126" s="37" t="n">
        <v>45665.6692824074</v>
      </c>
      <c r="D1126" s="22" t="s">
        <v>204</v>
      </c>
      <c r="E1126" s="22" t="n">
        <v>16</v>
      </c>
      <c r="F1126" s="22" t="s">
        <v>181</v>
      </c>
      <c r="G1126" s="22" t="s">
        <v>243</v>
      </c>
      <c r="H1126" s="22" t="n">
        <v>0.06</v>
      </c>
      <c r="I1126" s="38" t="n">
        <v>2664.1</v>
      </c>
      <c r="J1126" s="38" t="n">
        <v>2664.13</v>
      </c>
      <c r="K1126" s="39" t="n">
        <f aca="false">IF(F1126="BUY",J1126-I1126,I1126-J1126)</f>
        <v>0.0300000000002001</v>
      </c>
      <c r="L1126" s="38" t="n">
        <v>2658.1</v>
      </c>
      <c r="M1126" s="39" t="n">
        <f aca="false">ABS(I1126-L1126)</f>
        <v>6</v>
      </c>
      <c r="N1126" s="24" t="n">
        <f aca="false">M1126*H1126*Summary!$C$6</f>
        <v>36</v>
      </c>
      <c r="O1126" s="37" t="n">
        <v>45665.6973958333</v>
      </c>
      <c r="P1126" s="22" t="n">
        <f aca="false">ROUND((O1126-C1126)*86400,0)</f>
        <v>2429</v>
      </c>
      <c r="Q1126" s="22" t="str">
        <f aca="false">IF(P1126&lt;10,"a) &lt;10s",IF(P1126&lt;60,"b) 10-60s",IF(P1126&lt;600,"c) 1-10min","d) &gt;10min")))</f>
        <v>d) &gt;10min</v>
      </c>
      <c r="R1126" s="38" t="n">
        <v>2664.63</v>
      </c>
      <c r="S1126" s="38" t="n">
        <v>2664.42</v>
      </c>
      <c r="T1126" s="22" t="s">
        <v>189</v>
      </c>
      <c r="U1126" s="39" t="n">
        <f aca="false">IF(R1126="","",IF(F1126="BUY",R1126-S1126,S1126-R1126))</f>
        <v>0.210000000000036</v>
      </c>
      <c r="V1126" s="39" t="n">
        <f aca="false">IF(F1126="BUY",S1126-J1126,J1126-S1126)</f>
        <v>0.289999999999964</v>
      </c>
      <c r="W1126" s="6" t="n">
        <v>1.74</v>
      </c>
      <c r="X1126" s="26" t="n">
        <f aca="false">IFERROR(W1126/N1126,0)</f>
        <v>0.0483333333333333</v>
      </c>
      <c r="Y1126" s="22" t="str">
        <f aca="false">IF(W1126&gt;0,"Win",IF(W1126&lt;0,"Loss","Flat"))</f>
        <v>Win</v>
      </c>
      <c r="Z1126" s="24" t="n">
        <f aca="false">Summary!$C$5+SUM(W$2:W1126)</f>
        <v>3666.7</v>
      </c>
      <c r="AA1126" s="24" t="n">
        <f aca="false">MAX(AA1125,Z1126)</f>
        <v>5000</v>
      </c>
      <c r="AB1126" s="24" t="n">
        <f aca="false">AA1126-Z1126</f>
        <v>1333.3</v>
      </c>
      <c r="AC1126" s="23" t="n">
        <f aca="false">IFERROR(AB1126/AA1126,0)</f>
        <v>0.26666</v>
      </c>
      <c r="AD1126" s="22" t="s">
        <v>1363</v>
      </c>
    </row>
    <row r="1127" customFormat="false" ht="15" hidden="false" customHeight="false" outlineLevel="0" collapsed="false">
      <c r="A1127" s="22" t="n">
        <v>1126</v>
      </c>
      <c r="B1127" s="22" t="s">
        <v>153</v>
      </c>
      <c r="C1127" s="37" t="n">
        <v>45666.560625</v>
      </c>
      <c r="D1127" s="22" t="s">
        <v>205</v>
      </c>
      <c r="E1127" s="22" t="n">
        <v>13</v>
      </c>
      <c r="F1127" s="22" t="s">
        <v>181</v>
      </c>
      <c r="G1127" s="22" t="s">
        <v>243</v>
      </c>
      <c r="H1127" s="22" t="n">
        <v>0.06</v>
      </c>
      <c r="I1127" s="38" t="n">
        <v>2669.84</v>
      </c>
      <c r="J1127" s="38" t="n">
        <v>2669.84</v>
      </c>
      <c r="K1127" s="39" t="n">
        <f aca="false">IF(F1127="BUY",J1127-I1127,I1127-J1127)</f>
        <v>0</v>
      </c>
      <c r="L1127" s="38" t="n">
        <v>2663.84</v>
      </c>
      <c r="M1127" s="39" t="n">
        <f aca="false">ABS(I1127-L1127)</f>
        <v>6</v>
      </c>
      <c r="N1127" s="24" t="n">
        <f aca="false">M1127*H1127*Summary!$C$6</f>
        <v>36</v>
      </c>
      <c r="O1127" s="37" t="n">
        <v>45666.5627893519</v>
      </c>
      <c r="P1127" s="22" t="n">
        <f aca="false">ROUND((O1127-C1127)*86400,0)</f>
        <v>187</v>
      </c>
      <c r="Q1127" s="22" t="str">
        <f aca="false">IF(P1127&lt;10,"a) &lt;10s",IF(P1127&lt;60,"b) 10-60s",IF(P1127&lt;600,"c) 1-10min","d) &gt;10min")))</f>
        <v>c) 1-10min</v>
      </c>
      <c r="R1127" s="38" t="n">
        <v>2670.34</v>
      </c>
      <c r="S1127" s="38" t="n">
        <v>2670.31</v>
      </c>
      <c r="T1127" s="22" t="s">
        <v>189</v>
      </c>
      <c r="U1127" s="39" t="n">
        <f aca="false">IF(R1127="","",IF(F1127="BUY",R1127-S1127,S1127-R1127))</f>
        <v>0.0300000000002001</v>
      </c>
      <c r="V1127" s="39" t="n">
        <f aca="false">IF(F1127="BUY",S1127-J1127,J1127-S1127)</f>
        <v>0.4699999999998</v>
      </c>
      <c r="W1127" s="6" t="n">
        <v>2.82</v>
      </c>
      <c r="X1127" s="26" t="n">
        <f aca="false">IFERROR(W1127/N1127,0)</f>
        <v>0.0783333333333333</v>
      </c>
      <c r="Y1127" s="22" t="str">
        <f aca="false">IF(W1127&gt;0,"Win",IF(W1127&lt;0,"Loss","Flat"))</f>
        <v>Win</v>
      </c>
      <c r="Z1127" s="24" t="n">
        <f aca="false">Summary!$C$5+SUM(W$2:W1127)</f>
        <v>3669.52</v>
      </c>
      <c r="AA1127" s="24" t="n">
        <f aca="false">MAX(AA1126,Z1127)</f>
        <v>5000</v>
      </c>
      <c r="AB1127" s="24" t="n">
        <f aca="false">AA1127-Z1127</f>
        <v>1330.48</v>
      </c>
      <c r="AC1127" s="23" t="n">
        <f aca="false">IFERROR(AB1127/AA1127,0)</f>
        <v>0.266096</v>
      </c>
      <c r="AD1127" s="22" t="s">
        <v>1364</v>
      </c>
    </row>
    <row r="1128" customFormat="false" ht="15" hidden="false" customHeight="false" outlineLevel="0" collapsed="false">
      <c r="A1128" s="22" t="n">
        <v>1127</v>
      </c>
      <c r="B1128" s="22" t="s">
        <v>153</v>
      </c>
      <c r="C1128" s="37" t="n">
        <v>45667.3654976852</v>
      </c>
      <c r="D1128" s="22" t="s">
        <v>206</v>
      </c>
      <c r="E1128" s="22" t="n">
        <v>8</v>
      </c>
      <c r="F1128" s="22" t="s">
        <v>181</v>
      </c>
      <c r="G1128" s="22" t="s">
        <v>243</v>
      </c>
      <c r="H1128" s="22" t="n">
        <v>0.06</v>
      </c>
      <c r="I1128" s="38" t="n">
        <v>2678.4</v>
      </c>
      <c r="J1128" s="38" t="n">
        <v>2678.4</v>
      </c>
      <c r="K1128" s="39" t="n">
        <f aca="false">IF(F1128="BUY",J1128-I1128,I1128-J1128)</f>
        <v>0</v>
      </c>
      <c r="L1128" s="38" t="n">
        <v>2672.4</v>
      </c>
      <c r="M1128" s="39" t="n">
        <f aca="false">ABS(I1128-L1128)</f>
        <v>6</v>
      </c>
      <c r="N1128" s="24" t="n">
        <f aca="false">M1128*H1128*Summary!$C$6</f>
        <v>36</v>
      </c>
      <c r="O1128" s="37" t="n">
        <v>45667.4798726852</v>
      </c>
      <c r="P1128" s="22" t="n">
        <f aca="false">ROUND((O1128-C1128)*86400,0)</f>
        <v>9882</v>
      </c>
      <c r="Q1128" s="22" t="str">
        <f aca="false">IF(P1128&lt;10,"a) &lt;10s",IF(P1128&lt;60,"b) 10-60s",IF(P1128&lt;600,"c) 1-10min","d) &gt;10min")))</f>
        <v>d) &gt;10min</v>
      </c>
      <c r="R1128" s="38" t="n">
        <v>2678.9</v>
      </c>
      <c r="S1128" s="38" t="n">
        <v>2678.89</v>
      </c>
      <c r="T1128" s="22" t="s">
        <v>189</v>
      </c>
      <c r="U1128" s="39" t="n">
        <f aca="false">IF(R1128="","",IF(F1128="BUY",R1128-S1128,S1128-R1128))</f>
        <v>0.0100000000002183</v>
      </c>
      <c r="V1128" s="39" t="n">
        <f aca="false">IF(F1128="BUY",S1128-J1128,J1128-S1128)</f>
        <v>0.489999999999782</v>
      </c>
      <c r="W1128" s="6" t="n">
        <v>2.94</v>
      </c>
      <c r="X1128" s="26" t="n">
        <f aca="false">IFERROR(W1128/N1128,0)</f>
        <v>0.0816666666666667</v>
      </c>
      <c r="Y1128" s="22" t="str">
        <f aca="false">IF(W1128&gt;0,"Win",IF(W1128&lt;0,"Loss","Flat"))</f>
        <v>Win</v>
      </c>
      <c r="Z1128" s="24" t="n">
        <f aca="false">Summary!$C$5+SUM(W$2:W1128)</f>
        <v>3672.46</v>
      </c>
      <c r="AA1128" s="24" t="n">
        <f aca="false">MAX(AA1127,Z1128)</f>
        <v>5000</v>
      </c>
      <c r="AB1128" s="24" t="n">
        <f aca="false">AA1128-Z1128</f>
        <v>1327.54</v>
      </c>
      <c r="AC1128" s="23" t="n">
        <f aca="false">IFERROR(AB1128/AA1128,0)</f>
        <v>0.265508</v>
      </c>
      <c r="AD1128" s="22" t="s">
        <v>1365</v>
      </c>
    </row>
    <row r="1129" customFormat="false" ht="15" hidden="false" customHeight="false" outlineLevel="0" collapsed="false">
      <c r="A1129" s="22" t="n">
        <v>1128</v>
      </c>
      <c r="B1129" s="22" t="s">
        <v>153</v>
      </c>
      <c r="C1129" s="37" t="n">
        <v>45667.6458449074</v>
      </c>
      <c r="D1129" s="22" t="s">
        <v>206</v>
      </c>
      <c r="E1129" s="22" t="n">
        <v>15</v>
      </c>
      <c r="F1129" s="22" t="s">
        <v>182</v>
      </c>
      <c r="G1129" s="22" t="s">
        <v>241</v>
      </c>
      <c r="H1129" s="22" t="n">
        <v>0.06</v>
      </c>
      <c r="I1129" s="38" t="n">
        <v>2671.39</v>
      </c>
      <c r="J1129" s="38" t="n">
        <v>2670.5</v>
      </c>
      <c r="K1129" s="39" t="n">
        <f aca="false">IF(F1129="BUY",J1129-I1129,I1129-J1129)</f>
        <v>0.889999999999873</v>
      </c>
      <c r="L1129" s="38" t="n">
        <v>2677.39</v>
      </c>
      <c r="M1129" s="39" t="n">
        <f aca="false">ABS(I1129-L1129)</f>
        <v>6</v>
      </c>
      <c r="N1129" s="24" t="n">
        <f aca="false">M1129*H1129*Summary!$C$6</f>
        <v>36</v>
      </c>
      <c r="O1129" s="37" t="n">
        <v>45667.6458796296</v>
      </c>
      <c r="P1129" s="22" t="n">
        <f aca="false">ROUND((O1129-C1129)*86400,0)</f>
        <v>3</v>
      </c>
      <c r="Q1129" s="22" t="str">
        <f aca="false">IF(P1129&lt;10,"a) &lt;10s",IF(P1129&lt;60,"b) 10-60s",IF(P1129&lt;600,"c) 1-10min","d) &gt;10min")))</f>
        <v>a) &lt;10s</v>
      </c>
      <c r="R1129" s="38" t="n">
        <v>2670</v>
      </c>
      <c r="S1129" s="38" t="n">
        <v>2672.86</v>
      </c>
      <c r="T1129" s="22" t="s">
        <v>189</v>
      </c>
      <c r="U1129" s="39" t="n">
        <f aca="false">IF(R1129="","",IF(F1129="BUY",R1129-S1129,S1129-R1129))</f>
        <v>2.86000000000013</v>
      </c>
      <c r="V1129" s="39" t="n">
        <f aca="false">IF(F1129="BUY",S1129-J1129,J1129-S1129)</f>
        <v>-2.36000000000013</v>
      </c>
      <c r="W1129" s="6" t="n">
        <v>-14.16</v>
      </c>
      <c r="X1129" s="26" t="n">
        <f aca="false">IFERROR(W1129/N1129,0)</f>
        <v>-0.393333333333333</v>
      </c>
      <c r="Y1129" s="22" t="str">
        <f aca="false">IF(W1129&gt;0,"Win",IF(W1129&lt;0,"Loss","Flat"))</f>
        <v>Loss</v>
      </c>
      <c r="Z1129" s="24" t="n">
        <f aca="false">Summary!$C$5+SUM(W$2:W1129)</f>
        <v>3658.3</v>
      </c>
      <c r="AA1129" s="24" t="n">
        <f aca="false">MAX(AA1128,Z1129)</f>
        <v>5000</v>
      </c>
      <c r="AB1129" s="24" t="n">
        <f aca="false">AA1129-Z1129</f>
        <v>1341.7</v>
      </c>
      <c r="AC1129" s="23" t="n">
        <f aca="false">IFERROR(AB1129/AA1129,0)</f>
        <v>0.26834</v>
      </c>
      <c r="AD1129" s="22" t="s">
        <v>1366</v>
      </c>
    </row>
    <row r="1130" customFormat="false" ht="15" hidden="false" customHeight="false" outlineLevel="0" collapsed="false">
      <c r="A1130" s="22" t="n">
        <v>1129</v>
      </c>
      <c r="B1130" s="22" t="s">
        <v>153</v>
      </c>
      <c r="C1130" s="37" t="n">
        <v>45670.4774768519</v>
      </c>
      <c r="D1130" s="22" t="s">
        <v>202</v>
      </c>
      <c r="E1130" s="22" t="n">
        <v>11</v>
      </c>
      <c r="F1130" s="22" t="s">
        <v>182</v>
      </c>
      <c r="G1130" s="22" t="s">
        <v>241</v>
      </c>
      <c r="H1130" s="22" t="n">
        <v>0.06</v>
      </c>
      <c r="I1130" s="38" t="n">
        <v>2683.09</v>
      </c>
      <c r="J1130" s="38" t="n">
        <v>2682.88</v>
      </c>
      <c r="K1130" s="39" t="n">
        <f aca="false">IF(F1130="BUY",J1130-I1130,I1130-J1130)</f>
        <v>0.210000000000036</v>
      </c>
      <c r="L1130" s="38" t="n">
        <v>2689.09</v>
      </c>
      <c r="M1130" s="39" t="n">
        <f aca="false">ABS(I1130-L1130)</f>
        <v>6</v>
      </c>
      <c r="N1130" s="24" t="n">
        <f aca="false">M1130*H1130*Summary!$C$6</f>
        <v>36</v>
      </c>
      <c r="O1130" s="37" t="n">
        <v>45670.5263310185</v>
      </c>
      <c r="P1130" s="22" t="n">
        <f aca="false">ROUND((O1130-C1130)*86400,0)</f>
        <v>4221</v>
      </c>
      <c r="Q1130" s="22" t="str">
        <f aca="false">IF(P1130&lt;10,"a) &lt;10s",IF(P1130&lt;60,"b) 10-60s",IF(P1130&lt;600,"c) 1-10min","d) &gt;10min")))</f>
        <v>d) &gt;10min</v>
      </c>
      <c r="R1130" s="38" t="n">
        <v>2682.38</v>
      </c>
      <c r="S1130" s="38" t="n">
        <v>2682.49</v>
      </c>
      <c r="T1130" s="22" t="s">
        <v>189</v>
      </c>
      <c r="U1130" s="39" t="n">
        <f aca="false">IF(R1130="","",IF(F1130="BUY",R1130-S1130,S1130-R1130))</f>
        <v>0.109999999999673</v>
      </c>
      <c r="V1130" s="39" t="n">
        <f aca="false">IF(F1130="BUY",S1130-J1130,J1130-S1130)</f>
        <v>0.390000000000327</v>
      </c>
      <c r="W1130" s="6" t="n">
        <v>2.34</v>
      </c>
      <c r="X1130" s="26" t="n">
        <f aca="false">IFERROR(W1130/N1130,0)</f>
        <v>0.065</v>
      </c>
      <c r="Y1130" s="22" t="str">
        <f aca="false">IF(W1130&gt;0,"Win",IF(W1130&lt;0,"Loss","Flat"))</f>
        <v>Win</v>
      </c>
      <c r="Z1130" s="24" t="n">
        <f aca="false">Summary!$C$5+SUM(W$2:W1130)</f>
        <v>3660.64</v>
      </c>
      <c r="AA1130" s="24" t="n">
        <f aca="false">MAX(AA1129,Z1130)</f>
        <v>5000</v>
      </c>
      <c r="AB1130" s="24" t="n">
        <f aca="false">AA1130-Z1130</f>
        <v>1339.36</v>
      </c>
      <c r="AC1130" s="23" t="n">
        <f aca="false">IFERROR(AB1130/AA1130,0)</f>
        <v>0.267872</v>
      </c>
      <c r="AD1130" s="22" t="s">
        <v>1367</v>
      </c>
    </row>
    <row r="1131" customFormat="false" ht="15" hidden="false" customHeight="false" outlineLevel="0" collapsed="false">
      <c r="A1131" s="22" t="n">
        <v>1130</v>
      </c>
      <c r="B1131" s="22" t="s">
        <v>153</v>
      </c>
      <c r="C1131" s="37" t="n">
        <v>45670.747974537</v>
      </c>
      <c r="D1131" s="22" t="s">
        <v>202</v>
      </c>
      <c r="E1131" s="22" t="n">
        <v>17</v>
      </c>
      <c r="F1131" s="22" t="s">
        <v>182</v>
      </c>
      <c r="G1131" s="22" t="s">
        <v>237</v>
      </c>
      <c r="H1131" s="22" t="n">
        <v>0.06</v>
      </c>
      <c r="I1131" s="38" t="n">
        <v>2663.21</v>
      </c>
      <c r="J1131" s="38" t="n">
        <v>2663.2</v>
      </c>
      <c r="K1131" s="39" t="n">
        <f aca="false">IF(F1131="BUY",J1131-I1131,I1131-J1131)</f>
        <v>0.0100000000002183</v>
      </c>
      <c r="L1131" s="38" t="n">
        <v>2669.21</v>
      </c>
      <c r="M1131" s="39" t="n">
        <f aca="false">ABS(I1131-L1131)</f>
        <v>6</v>
      </c>
      <c r="N1131" s="24" t="n">
        <f aca="false">M1131*H1131*Summary!$C$6</f>
        <v>36</v>
      </c>
      <c r="O1131" s="37" t="n">
        <v>45670.7524768519</v>
      </c>
      <c r="P1131" s="22" t="n">
        <f aca="false">ROUND((O1131-C1131)*86400,0)</f>
        <v>389</v>
      </c>
      <c r="Q1131" s="22" t="str">
        <f aca="false">IF(P1131&lt;10,"a) &lt;10s",IF(P1131&lt;60,"b) 10-60s",IF(P1131&lt;600,"c) 1-10min","d) &gt;10min")))</f>
        <v>c) 1-10min</v>
      </c>
      <c r="R1131" s="38" t="n">
        <v>2662.7</v>
      </c>
      <c r="S1131" s="38" t="n">
        <v>2662.7</v>
      </c>
      <c r="T1131" s="22" t="s">
        <v>189</v>
      </c>
      <c r="U1131" s="39" t="n">
        <f aca="false">IF(R1131="","",IF(F1131="BUY",R1131-S1131,S1131-R1131))</f>
        <v>0</v>
      </c>
      <c r="V1131" s="39" t="n">
        <f aca="false">IF(F1131="BUY",S1131-J1131,J1131-S1131)</f>
        <v>0.5</v>
      </c>
      <c r="W1131" s="6" t="n">
        <v>3</v>
      </c>
      <c r="X1131" s="26" t="n">
        <f aca="false">IFERROR(W1131/N1131,0)</f>
        <v>0.0833333333333333</v>
      </c>
      <c r="Y1131" s="22" t="str">
        <f aca="false">IF(W1131&gt;0,"Win",IF(W1131&lt;0,"Loss","Flat"))</f>
        <v>Win</v>
      </c>
      <c r="Z1131" s="24" t="n">
        <f aca="false">Summary!$C$5+SUM(W$2:W1131)</f>
        <v>3663.64</v>
      </c>
      <c r="AA1131" s="24" t="n">
        <f aca="false">MAX(AA1130,Z1131)</f>
        <v>5000</v>
      </c>
      <c r="AB1131" s="24" t="n">
        <f aca="false">AA1131-Z1131</f>
        <v>1336.36</v>
      </c>
      <c r="AC1131" s="23" t="n">
        <f aca="false">IFERROR(AB1131/AA1131,0)</f>
        <v>0.267272</v>
      </c>
      <c r="AD1131" s="22" t="s">
        <v>1368</v>
      </c>
    </row>
    <row r="1132" customFormat="false" ht="15" hidden="false" customHeight="false" outlineLevel="0" collapsed="false">
      <c r="A1132" s="22" t="n">
        <v>1131</v>
      </c>
      <c r="B1132" s="22" t="s">
        <v>153</v>
      </c>
      <c r="C1132" s="37" t="n">
        <v>45671.3974768519</v>
      </c>
      <c r="D1132" s="22" t="s">
        <v>203</v>
      </c>
      <c r="E1132" s="22" t="n">
        <v>9</v>
      </c>
      <c r="F1132" s="22" t="s">
        <v>182</v>
      </c>
      <c r="G1132" s="22" t="s">
        <v>241</v>
      </c>
      <c r="H1132" s="22" t="n">
        <v>0.06</v>
      </c>
      <c r="I1132" s="38" t="n">
        <v>2667.16</v>
      </c>
      <c r="J1132" s="38" t="n">
        <v>2667.12</v>
      </c>
      <c r="K1132" s="39" t="n">
        <f aca="false">IF(F1132="BUY",J1132-I1132,I1132-J1132)</f>
        <v>0.0399999999999636</v>
      </c>
      <c r="L1132" s="38" t="n">
        <v>2673.16</v>
      </c>
      <c r="M1132" s="39" t="n">
        <f aca="false">ABS(I1132-L1132)</f>
        <v>6</v>
      </c>
      <c r="N1132" s="24" t="n">
        <f aca="false">M1132*H1132*Summary!$C$6</f>
        <v>36</v>
      </c>
      <c r="O1132" s="37" t="n">
        <v>45671.4348842593</v>
      </c>
      <c r="P1132" s="22" t="n">
        <f aca="false">ROUND((O1132-C1132)*86400,0)</f>
        <v>3232</v>
      </c>
      <c r="Q1132" s="22" t="str">
        <f aca="false">IF(P1132&lt;10,"a) &lt;10s",IF(P1132&lt;60,"b) 10-60s",IF(P1132&lt;600,"c) 1-10min","d) &gt;10min")))</f>
        <v>d) &gt;10min</v>
      </c>
      <c r="R1132" s="38" t="n">
        <v>2673.16</v>
      </c>
      <c r="S1132" s="38" t="n">
        <v>2673.37</v>
      </c>
      <c r="T1132" s="22" t="s">
        <v>188</v>
      </c>
      <c r="U1132" s="39" t="n">
        <f aca="false">IF(R1132="","",IF(F1132="BUY",R1132-S1132,S1132-R1132))</f>
        <v>0.210000000000036</v>
      </c>
      <c r="V1132" s="39" t="n">
        <f aca="false">IF(F1132="BUY",S1132-J1132,J1132-S1132)</f>
        <v>-6.25</v>
      </c>
      <c r="W1132" s="6" t="n">
        <v>-37.5</v>
      </c>
      <c r="X1132" s="26" t="n">
        <f aca="false">IFERROR(W1132/N1132,0)</f>
        <v>-1.04166666666667</v>
      </c>
      <c r="Y1132" s="22" t="str">
        <f aca="false">IF(W1132&gt;0,"Win",IF(W1132&lt;0,"Loss","Flat"))</f>
        <v>Loss</v>
      </c>
      <c r="Z1132" s="24" t="n">
        <f aca="false">Summary!$C$5+SUM(W$2:W1132)</f>
        <v>3626.14</v>
      </c>
      <c r="AA1132" s="24" t="n">
        <f aca="false">MAX(AA1131,Z1132)</f>
        <v>5000</v>
      </c>
      <c r="AB1132" s="24" t="n">
        <f aca="false">AA1132-Z1132</f>
        <v>1373.86</v>
      </c>
      <c r="AC1132" s="23" t="n">
        <f aca="false">IFERROR(AB1132/AA1132,0)</f>
        <v>0.274772</v>
      </c>
      <c r="AD1132" s="22" t="s">
        <v>1369</v>
      </c>
    </row>
    <row r="1133" customFormat="false" ht="15" hidden="false" customHeight="false" outlineLevel="0" collapsed="false">
      <c r="A1133" s="22" t="n">
        <v>1132</v>
      </c>
      <c r="B1133" s="22" t="s">
        <v>153</v>
      </c>
      <c r="C1133" s="37" t="n">
        <v>45672.3911574074</v>
      </c>
      <c r="D1133" s="22" t="s">
        <v>204</v>
      </c>
      <c r="E1133" s="22" t="n">
        <v>9</v>
      </c>
      <c r="F1133" s="22" t="s">
        <v>181</v>
      </c>
      <c r="G1133" s="22" t="s">
        <v>235</v>
      </c>
      <c r="H1133" s="22" t="n">
        <v>0.06</v>
      </c>
      <c r="I1133" s="38" t="n">
        <v>2683.13</v>
      </c>
      <c r="J1133" s="38" t="n">
        <v>2683.13</v>
      </c>
      <c r="K1133" s="39" t="n">
        <f aca="false">IF(F1133="BUY",J1133-I1133,I1133-J1133)</f>
        <v>0</v>
      </c>
      <c r="L1133" s="38" t="n">
        <v>2677.13</v>
      </c>
      <c r="M1133" s="39" t="n">
        <f aca="false">ABS(I1133-L1133)</f>
        <v>6</v>
      </c>
      <c r="N1133" s="24" t="n">
        <f aca="false">M1133*H1133*Summary!$C$6</f>
        <v>36</v>
      </c>
      <c r="O1133" s="37" t="n">
        <v>45672.422974537</v>
      </c>
      <c r="P1133" s="22" t="n">
        <f aca="false">ROUND((O1133-C1133)*86400,0)</f>
        <v>2749</v>
      </c>
      <c r="Q1133" s="22" t="str">
        <f aca="false">IF(P1133&lt;10,"a) &lt;10s",IF(P1133&lt;60,"b) 10-60s",IF(P1133&lt;600,"c) 1-10min","d) &gt;10min")))</f>
        <v>d) &gt;10min</v>
      </c>
      <c r="R1133" s="38" t="n">
        <v>2683.63</v>
      </c>
      <c r="S1133" s="38" t="n">
        <v>2683.63</v>
      </c>
      <c r="T1133" s="22" t="s">
        <v>189</v>
      </c>
      <c r="U1133" s="39" t="n">
        <f aca="false">IF(R1133="","",IF(F1133="BUY",R1133-S1133,S1133-R1133))</f>
        <v>0</v>
      </c>
      <c r="V1133" s="39" t="n">
        <f aca="false">IF(F1133="BUY",S1133-J1133,J1133-S1133)</f>
        <v>0.5</v>
      </c>
      <c r="W1133" s="6" t="n">
        <v>3</v>
      </c>
      <c r="X1133" s="26" t="n">
        <f aca="false">IFERROR(W1133/N1133,0)</f>
        <v>0.0833333333333333</v>
      </c>
      <c r="Y1133" s="22" t="str">
        <f aca="false">IF(W1133&gt;0,"Win",IF(W1133&lt;0,"Loss","Flat"))</f>
        <v>Win</v>
      </c>
      <c r="Z1133" s="24" t="n">
        <f aca="false">Summary!$C$5+SUM(W$2:W1133)</f>
        <v>3629.14</v>
      </c>
      <c r="AA1133" s="24" t="n">
        <f aca="false">MAX(AA1132,Z1133)</f>
        <v>5000</v>
      </c>
      <c r="AB1133" s="24" t="n">
        <f aca="false">AA1133-Z1133</f>
        <v>1370.86</v>
      </c>
      <c r="AC1133" s="23" t="n">
        <f aca="false">IFERROR(AB1133/AA1133,0)</f>
        <v>0.274172</v>
      </c>
      <c r="AD1133" s="22" t="s">
        <v>1370</v>
      </c>
    </row>
    <row r="1134" customFormat="false" ht="15" hidden="false" customHeight="false" outlineLevel="0" collapsed="false">
      <c r="A1134" s="22" t="n">
        <v>1133</v>
      </c>
      <c r="B1134" s="22" t="s">
        <v>153</v>
      </c>
      <c r="C1134" s="37" t="n">
        <v>45673.383599537</v>
      </c>
      <c r="D1134" s="22" t="s">
        <v>205</v>
      </c>
      <c r="E1134" s="22" t="n">
        <v>9</v>
      </c>
      <c r="F1134" s="22" t="s">
        <v>181</v>
      </c>
      <c r="G1134" s="22" t="s">
        <v>235</v>
      </c>
      <c r="H1134" s="22" t="n">
        <v>0.06</v>
      </c>
      <c r="I1134" s="38" t="n">
        <v>2697.24</v>
      </c>
      <c r="J1134" s="38" t="n">
        <v>2697.25</v>
      </c>
      <c r="K1134" s="39" t="n">
        <f aca="false">IF(F1134="BUY",J1134-I1134,I1134-J1134)</f>
        <v>0.0100000000002183</v>
      </c>
      <c r="L1134" s="38" t="n">
        <v>2691.24</v>
      </c>
      <c r="M1134" s="39" t="n">
        <f aca="false">ABS(I1134-L1134)</f>
        <v>6</v>
      </c>
      <c r="N1134" s="24" t="n">
        <f aca="false">M1134*H1134*Summary!$C$6</f>
        <v>36</v>
      </c>
      <c r="O1134" s="37" t="n">
        <v>45673.4123842593</v>
      </c>
      <c r="P1134" s="22" t="n">
        <f aca="false">ROUND((O1134-C1134)*86400,0)</f>
        <v>2487</v>
      </c>
      <c r="Q1134" s="22" t="str">
        <f aca="false">IF(P1134&lt;10,"a) &lt;10s",IF(P1134&lt;60,"b) 10-60s",IF(P1134&lt;600,"c) 1-10min","d) &gt;10min")))</f>
        <v>d) &gt;10min</v>
      </c>
      <c r="R1134" s="38" t="n">
        <v>2697.75</v>
      </c>
      <c r="S1134" s="38" t="n">
        <v>2697.64</v>
      </c>
      <c r="T1134" s="22" t="s">
        <v>189</v>
      </c>
      <c r="U1134" s="39" t="n">
        <f aca="false">IF(R1134="","",IF(F1134="BUY",R1134-S1134,S1134-R1134))</f>
        <v>0.110000000000127</v>
      </c>
      <c r="V1134" s="39" t="n">
        <f aca="false">IF(F1134="BUY",S1134-J1134,J1134-S1134)</f>
        <v>0.389999999999873</v>
      </c>
      <c r="W1134" s="6" t="n">
        <v>2.34</v>
      </c>
      <c r="X1134" s="26" t="n">
        <f aca="false">IFERROR(W1134/N1134,0)</f>
        <v>0.065</v>
      </c>
      <c r="Y1134" s="22" t="str">
        <f aca="false">IF(W1134&gt;0,"Win",IF(W1134&lt;0,"Loss","Flat"))</f>
        <v>Win</v>
      </c>
      <c r="Z1134" s="24" t="n">
        <f aca="false">Summary!$C$5+SUM(W$2:W1134)</f>
        <v>3631.48</v>
      </c>
      <c r="AA1134" s="24" t="n">
        <f aca="false">MAX(AA1133,Z1134)</f>
        <v>5000</v>
      </c>
      <c r="AB1134" s="24" t="n">
        <f aca="false">AA1134-Z1134</f>
        <v>1368.52</v>
      </c>
      <c r="AC1134" s="23" t="n">
        <f aca="false">IFERROR(AB1134/AA1134,0)</f>
        <v>0.273704</v>
      </c>
      <c r="AD1134" s="22" t="s">
        <v>1371</v>
      </c>
    </row>
    <row r="1135" customFormat="false" ht="15" hidden="false" customHeight="false" outlineLevel="0" collapsed="false">
      <c r="A1135" s="22" t="n">
        <v>1134</v>
      </c>
      <c r="B1135" s="22" t="s">
        <v>153</v>
      </c>
      <c r="C1135" s="37" t="n">
        <v>45674.4035416667</v>
      </c>
      <c r="D1135" s="22" t="s">
        <v>206</v>
      </c>
      <c r="E1135" s="22" t="n">
        <v>9</v>
      </c>
      <c r="F1135" s="22" t="s">
        <v>182</v>
      </c>
      <c r="G1135" s="22" t="s">
        <v>241</v>
      </c>
      <c r="H1135" s="22" t="n">
        <v>0.06</v>
      </c>
      <c r="I1135" s="38" t="n">
        <v>2710.35</v>
      </c>
      <c r="J1135" s="38" t="n">
        <v>2710.35</v>
      </c>
      <c r="K1135" s="39" t="n">
        <f aca="false">IF(F1135="BUY",J1135-I1135,I1135-J1135)</f>
        <v>0</v>
      </c>
      <c r="L1135" s="38" t="n">
        <v>2716.35</v>
      </c>
      <c r="M1135" s="39" t="n">
        <f aca="false">ABS(I1135-L1135)</f>
        <v>6</v>
      </c>
      <c r="N1135" s="24" t="n">
        <f aca="false">M1135*H1135*Summary!$C$6</f>
        <v>36</v>
      </c>
      <c r="O1135" s="37" t="n">
        <v>45674.5835763889</v>
      </c>
      <c r="P1135" s="22" t="n">
        <f aca="false">ROUND((O1135-C1135)*86400,0)</f>
        <v>15555</v>
      </c>
      <c r="Q1135" s="22" t="str">
        <f aca="false">IF(P1135&lt;10,"a) &lt;10s",IF(P1135&lt;60,"b) 10-60s",IF(P1135&lt;600,"c) 1-10min","d) &gt;10min")))</f>
        <v>d) &gt;10min</v>
      </c>
      <c r="R1135" s="38" t="n">
        <v>2709.85</v>
      </c>
      <c r="S1135" s="38" t="n">
        <v>2709.88</v>
      </c>
      <c r="T1135" s="22" t="s">
        <v>189</v>
      </c>
      <c r="U1135" s="39" t="n">
        <f aca="false">IF(R1135="","",IF(F1135="BUY",R1135-S1135,S1135-R1135))</f>
        <v>0.0300000000002001</v>
      </c>
      <c r="V1135" s="39" t="n">
        <f aca="false">IF(F1135="BUY",S1135-J1135,J1135-S1135)</f>
        <v>0.4699999999998</v>
      </c>
      <c r="W1135" s="6" t="n">
        <v>2.82</v>
      </c>
      <c r="X1135" s="26" t="n">
        <f aca="false">IFERROR(W1135/N1135,0)</f>
        <v>0.0783333333333333</v>
      </c>
      <c r="Y1135" s="22" t="str">
        <f aca="false">IF(W1135&gt;0,"Win",IF(W1135&lt;0,"Loss","Flat"))</f>
        <v>Win</v>
      </c>
      <c r="Z1135" s="24" t="n">
        <f aca="false">Summary!$C$5+SUM(W$2:W1135)</f>
        <v>3634.3</v>
      </c>
      <c r="AA1135" s="24" t="n">
        <f aca="false">MAX(AA1134,Z1135)</f>
        <v>5000</v>
      </c>
      <c r="AB1135" s="24" t="n">
        <f aca="false">AA1135-Z1135</f>
        <v>1365.7</v>
      </c>
      <c r="AC1135" s="23" t="n">
        <f aca="false">IFERROR(AB1135/AA1135,0)</f>
        <v>0.27314</v>
      </c>
      <c r="AD1135" s="22" t="s">
        <v>1372</v>
      </c>
    </row>
    <row r="1136" customFormat="false" ht="15" hidden="false" customHeight="false" outlineLevel="0" collapsed="false">
      <c r="A1136" s="22" t="n">
        <v>1135</v>
      </c>
      <c r="B1136" s="22" t="s">
        <v>153</v>
      </c>
      <c r="C1136" s="37" t="n">
        <v>45677.056712963</v>
      </c>
      <c r="D1136" s="22" t="s">
        <v>202</v>
      </c>
      <c r="E1136" s="22" t="n">
        <v>1</v>
      </c>
      <c r="F1136" s="22" t="s">
        <v>182</v>
      </c>
      <c r="G1136" s="22" t="s">
        <v>237</v>
      </c>
      <c r="H1136" s="22" t="n">
        <v>0.06</v>
      </c>
      <c r="I1136" s="38" t="n">
        <v>2698.45</v>
      </c>
      <c r="J1136" s="38" t="n">
        <v>2698.43</v>
      </c>
      <c r="K1136" s="39" t="n">
        <f aca="false">IF(F1136="BUY",J1136-I1136,I1136-J1136)</f>
        <v>0.0199999999999818</v>
      </c>
      <c r="L1136" s="38" t="n">
        <v>2704.45</v>
      </c>
      <c r="M1136" s="39" t="n">
        <f aca="false">ABS(I1136-L1136)</f>
        <v>6</v>
      </c>
      <c r="N1136" s="24" t="n">
        <f aca="false">M1136*H1136*Summary!$C$6</f>
        <v>36</v>
      </c>
      <c r="O1136" s="37" t="n">
        <v>45677.0634490741</v>
      </c>
      <c r="P1136" s="22" t="n">
        <f aca="false">ROUND((O1136-C1136)*86400,0)</f>
        <v>582</v>
      </c>
      <c r="Q1136" s="22" t="str">
        <f aca="false">IF(P1136&lt;10,"a) &lt;10s",IF(P1136&lt;60,"b) 10-60s",IF(P1136&lt;600,"c) 1-10min","d) &gt;10min")))</f>
        <v>c) 1-10min</v>
      </c>
      <c r="R1136" s="38" t="n">
        <v>2697.93</v>
      </c>
      <c r="S1136" s="38" t="n">
        <v>2697.98</v>
      </c>
      <c r="T1136" s="22" t="s">
        <v>189</v>
      </c>
      <c r="U1136" s="39" t="n">
        <f aca="false">IF(R1136="","",IF(F1136="BUY",R1136-S1136,S1136-R1136))</f>
        <v>0.0500000000001819</v>
      </c>
      <c r="V1136" s="39" t="n">
        <f aca="false">IF(F1136="BUY",S1136-J1136,J1136-S1136)</f>
        <v>0.449999999999818</v>
      </c>
      <c r="W1136" s="6" t="n">
        <v>2.7</v>
      </c>
      <c r="X1136" s="26" t="n">
        <f aca="false">IFERROR(W1136/N1136,0)</f>
        <v>0.075</v>
      </c>
      <c r="Y1136" s="22" t="str">
        <f aca="false">IF(W1136&gt;0,"Win",IF(W1136&lt;0,"Loss","Flat"))</f>
        <v>Win</v>
      </c>
      <c r="Z1136" s="24" t="n">
        <f aca="false">Summary!$C$5+SUM(W$2:W1136)</f>
        <v>3637</v>
      </c>
      <c r="AA1136" s="24" t="n">
        <f aca="false">MAX(AA1135,Z1136)</f>
        <v>5000</v>
      </c>
      <c r="AB1136" s="24" t="n">
        <f aca="false">AA1136-Z1136</f>
        <v>1363</v>
      </c>
      <c r="AC1136" s="23" t="n">
        <f aca="false">IFERROR(AB1136/AA1136,0)</f>
        <v>0.2726</v>
      </c>
      <c r="AD1136" s="22" t="s">
        <v>1373</v>
      </c>
    </row>
    <row r="1137" customFormat="false" ht="15" hidden="false" customHeight="false" outlineLevel="0" collapsed="false">
      <c r="A1137" s="22" t="n">
        <v>1136</v>
      </c>
      <c r="B1137" s="22" t="s">
        <v>153</v>
      </c>
      <c r="C1137" s="37" t="n">
        <v>45677.4154861111</v>
      </c>
      <c r="D1137" s="22" t="s">
        <v>202</v>
      </c>
      <c r="E1137" s="22" t="n">
        <v>9</v>
      </c>
      <c r="F1137" s="22" t="s">
        <v>182</v>
      </c>
      <c r="G1137" s="22" t="s">
        <v>241</v>
      </c>
      <c r="H1137" s="22" t="n">
        <v>0.06</v>
      </c>
      <c r="I1137" s="38" t="n">
        <v>2703.43</v>
      </c>
      <c r="J1137" s="38" t="n">
        <v>2703.42</v>
      </c>
      <c r="K1137" s="39" t="n">
        <f aca="false">IF(F1137="BUY",J1137-I1137,I1137-J1137)</f>
        <v>0.00999999999976353</v>
      </c>
      <c r="L1137" s="38" t="n">
        <v>2709.43</v>
      </c>
      <c r="M1137" s="39" t="n">
        <f aca="false">ABS(I1137-L1137)</f>
        <v>6</v>
      </c>
      <c r="N1137" s="24" t="n">
        <f aca="false">M1137*H1137*Summary!$C$6</f>
        <v>36</v>
      </c>
      <c r="O1137" s="37" t="n">
        <v>45677.5208101852</v>
      </c>
      <c r="P1137" s="22" t="n">
        <f aca="false">ROUND((O1137-C1137)*86400,0)</f>
        <v>9100</v>
      </c>
      <c r="Q1137" s="22" t="str">
        <f aca="false">IF(P1137&lt;10,"a) &lt;10s",IF(P1137&lt;60,"b) 10-60s",IF(P1137&lt;600,"c) 1-10min","d) &gt;10min")))</f>
        <v>d) &gt;10min</v>
      </c>
      <c r="R1137" s="38" t="n">
        <v>2709.43</v>
      </c>
      <c r="S1137" s="38" t="n">
        <v>2709.66</v>
      </c>
      <c r="T1137" s="22" t="s">
        <v>188</v>
      </c>
      <c r="U1137" s="39" t="n">
        <f aca="false">IF(R1137="","",IF(F1137="BUY",R1137-S1137,S1137-R1137))</f>
        <v>0.230000000000018</v>
      </c>
      <c r="V1137" s="39" t="n">
        <f aca="false">IF(F1137="BUY",S1137-J1137,J1137-S1137)</f>
        <v>-6.23999999999978</v>
      </c>
      <c r="W1137" s="6" t="n">
        <v>-37.44</v>
      </c>
      <c r="X1137" s="26" t="n">
        <f aca="false">IFERROR(W1137/N1137,0)</f>
        <v>-1.04</v>
      </c>
      <c r="Y1137" s="22" t="str">
        <f aca="false">IF(W1137&gt;0,"Win",IF(W1137&lt;0,"Loss","Flat"))</f>
        <v>Loss</v>
      </c>
      <c r="Z1137" s="24" t="n">
        <f aca="false">Summary!$C$5+SUM(W$2:W1137)</f>
        <v>3599.56</v>
      </c>
      <c r="AA1137" s="24" t="n">
        <f aca="false">MAX(AA1136,Z1137)</f>
        <v>5000</v>
      </c>
      <c r="AB1137" s="24" t="n">
        <f aca="false">AA1137-Z1137</f>
        <v>1400.44</v>
      </c>
      <c r="AC1137" s="23" t="n">
        <f aca="false">IFERROR(AB1137/AA1137,0)</f>
        <v>0.280088</v>
      </c>
      <c r="AD1137" s="22" t="s">
        <v>1374</v>
      </c>
    </row>
    <row r="1138" customFormat="false" ht="15" hidden="false" customHeight="false" outlineLevel="0" collapsed="false">
      <c r="A1138" s="22" t="n">
        <v>1137</v>
      </c>
      <c r="B1138" s="22" t="s">
        <v>153</v>
      </c>
      <c r="C1138" s="37" t="n">
        <v>45678.1441550926</v>
      </c>
      <c r="D1138" s="22" t="s">
        <v>203</v>
      </c>
      <c r="E1138" s="22" t="n">
        <v>3</v>
      </c>
      <c r="F1138" s="22" t="s">
        <v>181</v>
      </c>
      <c r="G1138" s="22" t="s">
        <v>243</v>
      </c>
      <c r="H1138" s="22" t="n">
        <v>0.05</v>
      </c>
      <c r="I1138" s="38" t="n">
        <v>2713.66</v>
      </c>
      <c r="J1138" s="38" t="n">
        <v>2713.76</v>
      </c>
      <c r="K1138" s="39" t="n">
        <f aca="false">IF(F1138="BUY",J1138-I1138,I1138-J1138)</f>
        <v>0.100000000000364</v>
      </c>
      <c r="L1138" s="38" t="n">
        <v>2707.66</v>
      </c>
      <c r="M1138" s="39" t="n">
        <f aca="false">ABS(I1138-L1138)</f>
        <v>6</v>
      </c>
      <c r="N1138" s="24" t="n">
        <f aca="false">M1138*H1138*Summary!$C$6</f>
        <v>30</v>
      </c>
      <c r="O1138" s="37" t="n">
        <v>45678.1582986111</v>
      </c>
      <c r="P1138" s="22" t="n">
        <f aca="false">ROUND((O1138-C1138)*86400,0)</f>
        <v>1222</v>
      </c>
      <c r="Q1138" s="22" t="str">
        <f aca="false">IF(P1138&lt;10,"a) &lt;10s",IF(P1138&lt;60,"b) 10-60s",IF(P1138&lt;600,"c) 1-10min","d) &gt;10min")))</f>
        <v>d) &gt;10min</v>
      </c>
      <c r="R1138" s="38" t="n">
        <v>2714.26</v>
      </c>
      <c r="S1138" s="38" t="n">
        <v>2714.24</v>
      </c>
      <c r="T1138" s="22" t="s">
        <v>189</v>
      </c>
      <c r="U1138" s="39" t="n">
        <f aca="false">IF(R1138="","",IF(F1138="BUY",R1138-S1138,S1138-R1138))</f>
        <v>0.0200000000004366</v>
      </c>
      <c r="V1138" s="39" t="n">
        <f aca="false">IF(F1138="BUY",S1138-J1138,J1138-S1138)</f>
        <v>0.479999999999563</v>
      </c>
      <c r="W1138" s="6" t="n">
        <v>2.4</v>
      </c>
      <c r="X1138" s="26" t="n">
        <f aca="false">IFERROR(W1138/N1138,0)</f>
        <v>0.08</v>
      </c>
      <c r="Y1138" s="22" t="str">
        <f aca="false">IF(W1138&gt;0,"Win",IF(W1138&lt;0,"Loss","Flat"))</f>
        <v>Win</v>
      </c>
      <c r="Z1138" s="24" t="n">
        <f aca="false">Summary!$C$5+SUM(W$2:W1138)</f>
        <v>3601.96</v>
      </c>
      <c r="AA1138" s="24" t="n">
        <f aca="false">MAX(AA1137,Z1138)</f>
        <v>5000</v>
      </c>
      <c r="AB1138" s="24" t="n">
        <f aca="false">AA1138-Z1138</f>
        <v>1398.04</v>
      </c>
      <c r="AC1138" s="23" t="n">
        <f aca="false">IFERROR(AB1138/AA1138,0)</f>
        <v>0.279608</v>
      </c>
      <c r="AD1138" s="22" t="s">
        <v>1375</v>
      </c>
    </row>
    <row r="1139" customFormat="false" ht="15" hidden="false" customHeight="false" outlineLevel="0" collapsed="false">
      <c r="A1139" s="22" t="n">
        <v>1138</v>
      </c>
      <c r="B1139" s="22" t="s">
        <v>153</v>
      </c>
      <c r="C1139" s="37" t="n">
        <v>45678.3751851852</v>
      </c>
      <c r="D1139" s="22" t="s">
        <v>203</v>
      </c>
      <c r="E1139" s="22" t="n">
        <v>9</v>
      </c>
      <c r="F1139" s="22" t="s">
        <v>182</v>
      </c>
      <c r="G1139" s="22" t="s">
        <v>241</v>
      </c>
      <c r="H1139" s="22" t="n">
        <v>0.06</v>
      </c>
      <c r="I1139" s="38" t="n">
        <v>2723.59</v>
      </c>
      <c r="J1139" s="38" t="n">
        <v>2723.54</v>
      </c>
      <c r="K1139" s="39" t="n">
        <f aca="false">IF(F1139="BUY",J1139-I1139,I1139-J1139)</f>
        <v>0.0500000000001819</v>
      </c>
      <c r="L1139" s="38" t="n">
        <v>2729.59</v>
      </c>
      <c r="M1139" s="39" t="n">
        <f aca="false">ABS(I1139-L1139)</f>
        <v>6</v>
      </c>
      <c r="N1139" s="24" t="n">
        <f aca="false">M1139*H1139*Summary!$C$6</f>
        <v>36</v>
      </c>
      <c r="O1139" s="37" t="n">
        <v>45678.4009722222</v>
      </c>
      <c r="P1139" s="22" t="n">
        <f aca="false">ROUND((O1139-C1139)*86400,0)</f>
        <v>2228</v>
      </c>
      <c r="Q1139" s="22" t="str">
        <f aca="false">IF(P1139&lt;10,"a) &lt;10s",IF(P1139&lt;60,"b) 10-60s",IF(P1139&lt;600,"c) 1-10min","d) &gt;10min")))</f>
        <v>d) &gt;10min</v>
      </c>
      <c r="R1139" s="38" t="n">
        <v>2729.59</v>
      </c>
      <c r="S1139" s="38" t="n">
        <v>2729.78</v>
      </c>
      <c r="T1139" s="22" t="s">
        <v>188</v>
      </c>
      <c r="U1139" s="39" t="n">
        <f aca="false">IF(R1139="","",IF(F1139="BUY",R1139-S1139,S1139-R1139))</f>
        <v>0.190000000000055</v>
      </c>
      <c r="V1139" s="39" t="n">
        <f aca="false">IF(F1139="BUY",S1139-J1139,J1139-S1139)</f>
        <v>-6.24000000000024</v>
      </c>
      <c r="W1139" s="6" t="n">
        <v>-37.44</v>
      </c>
      <c r="X1139" s="26" t="n">
        <f aca="false">IFERROR(W1139/N1139,0)</f>
        <v>-1.04</v>
      </c>
      <c r="Y1139" s="22" t="str">
        <f aca="false">IF(W1139&gt;0,"Win",IF(W1139&lt;0,"Loss","Flat"))</f>
        <v>Loss</v>
      </c>
      <c r="Z1139" s="24" t="n">
        <f aca="false">Summary!$C$5+SUM(W$2:W1139)</f>
        <v>3564.52</v>
      </c>
      <c r="AA1139" s="24" t="n">
        <f aca="false">MAX(AA1138,Z1139)</f>
        <v>5000</v>
      </c>
      <c r="AB1139" s="24" t="n">
        <f aca="false">AA1139-Z1139</f>
        <v>1435.48</v>
      </c>
      <c r="AC1139" s="23" t="n">
        <f aca="false">IFERROR(AB1139/AA1139,0)</f>
        <v>0.287096</v>
      </c>
      <c r="AD1139" s="22" t="s">
        <v>1376</v>
      </c>
    </row>
    <row r="1140" customFormat="false" ht="15" hidden="false" customHeight="false" outlineLevel="0" collapsed="false">
      <c r="A1140" s="22" t="n">
        <v>1139</v>
      </c>
      <c r="B1140" s="22" t="s">
        <v>153</v>
      </c>
      <c r="C1140" s="37" t="n">
        <v>45679.1122569444</v>
      </c>
      <c r="D1140" s="22" t="s">
        <v>204</v>
      </c>
      <c r="E1140" s="22" t="n">
        <v>2</v>
      </c>
      <c r="F1140" s="22" t="s">
        <v>181</v>
      </c>
      <c r="G1140" s="22" t="s">
        <v>243</v>
      </c>
      <c r="H1140" s="22" t="n">
        <v>0.05</v>
      </c>
      <c r="I1140" s="38" t="n">
        <v>2745.85</v>
      </c>
      <c r="J1140" s="38" t="n">
        <v>2745.92</v>
      </c>
      <c r="K1140" s="39" t="n">
        <f aca="false">IF(F1140="BUY",J1140-I1140,I1140-J1140)</f>
        <v>0.0700000000001637</v>
      </c>
      <c r="L1140" s="38" t="n">
        <v>2739.85</v>
      </c>
      <c r="M1140" s="39" t="n">
        <f aca="false">ABS(I1140-L1140)</f>
        <v>6</v>
      </c>
      <c r="N1140" s="24" t="n">
        <f aca="false">M1140*H1140*Summary!$C$6</f>
        <v>30</v>
      </c>
      <c r="O1140" s="37" t="n">
        <v>45679.1974652778</v>
      </c>
      <c r="P1140" s="22" t="n">
        <f aca="false">ROUND((O1140-C1140)*86400,0)</f>
        <v>7362</v>
      </c>
      <c r="Q1140" s="22" t="str">
        <f aca="false">IF(P1140&lt;10,"a) &lt;10s",IF(P1140&lt;60,"b) 10-60s",IF(P1140&lt;600,"c) 1-10min","d) &gt;10min")))</f>
        <v>d) &gt;10min</v>
      </c>
      <c r="R1140" s="38" t="n">
        <v>2746.42</v>
      </c>
      <c r="S1140" s="38" t="n">
        <v>2746.4</v>
      </c>
      <c r="T1140" s="22" t="s">
        <v>189</v>
      </c>
      <c r="U1140" s="39" t="n">
        <f aca="false">IF(R1140="","",IF(F1140="BUY",R1140-S1140,S1140-R1140))</f>
        <v>0.0199999999999818</v>
      </c>
      <c r="V1140" s="39" t="n">
        <f aca="false">IF(F1140="BUY",S1140-J1140,J1140-S1140)</f>
        <v>0.480000000000018</v>
      </c>
      <c r="W1140" s="6" t="n">
        <v>2.4</v>
      </c>
      <c r="X1140" s="26" t="n">
        <f aca="false">IFERROR(W1140/N1140,0)</f>
        <v>0.08</v>
      </c>
      <c r="Y1140" s="22" t="str">
        <f aca="false">IF(W1140&gt;0,"Win",IF(W1140&lt;0,"Loss","Flat"))</f>
        <v>Win</v>
      </c>
      <c r="Z1140" s="24" t="n">
        <f aca="false">Summary!$C$5+SUM(W$2:W1140)</f>
        <v>3566.92</v>
      </c>
      <c r="AA1140" s="24" t="n">
        <f aca="false">MAX(AA1139,Z1140)</f>
        <v>5000</v>
      </c>
      <c r="AB1140" s="24" t="n">
        <f aca="false">AA1140-Z1140</f>
        <v>1433.08</v>
      </c>
      <c r="AC1140" s="23" t="n">
        <f aca="false">IFERROR(AB1140/AA1140,0)</f>
        <v>0.286616</v>
      </c>
      <c r="AD1140" s="22" t="s">
        <v>1377</v>
      </c>
    </row>
    <row r="1141" customFormat="false" ht="15" hidden="false" customHeight="false" outlineLevel="0" collapsed="false">
      <c r="A1141" s="22" t="n">
        <v>1140</v>
      </c>
      <c r="B1141" s="22" t="s">
        <v>153</v>
      </c>
      <c r="C1141" s="37" t="n">
        <v>45679.4728356482</v>
      </c>
      <c r="D1141" s="22" t="s">
        <v>204</v>
      </c>
      <c r="E1141" s="22" t="n">
        <v>11</v>
      </c>
      <c r="F1141" s="22" t="s">
        <v>181</v>
      </c>
      <c r="G1141" s="22" t="s">
        <v>235</v>
      </c>
      <c r="H1141" s="22" t="n">
        <v>0.05</v>
      </c>
      <c r="I1141" s="38" t="n">
        <v>2758.48</v>
      </c>
      <c r="J1141" s="38" t="n">
        <v>2758.49</v>
      </c>
      <c r="K1141" s="39" t="n">
        <f aca="false">IF(F1141="BUY",J1141-I1141,I1141-J1141)</f>
        <v>0.00999999999976353</v>
      </c>
      <c r="L1141" s="38" t="n">
        <v>2752.48</v>
      </c>
      <c r="M1141" s="39" t="n">
        <f aca="false">ABS(I1141-L1141)</f>
        <v>6</v>
      </c>
      <c r="N1141" s="24" t="n">
        <f aca="false">M1141*H1141*Summary!$C$6</f>
        <v>30</v>
      </c>
      <c r="O1141" s="37" t="n">
        <v>45679.4851967593</v>
      </c>
      <c r="P1141" s="22" t="n">
        <f aca="false">ROUND((O1141-C1141)*86400,0)</f>
        <v>1068</v>
      </c>
      <c r="Q1141" s="22" t="str">
        <f aca="false">IF(P1141&lt;10,"a) &lt;10s",IF(P1141&lt;60,"b) 10-60s",IF(P1141&lt;600,"c) 1-10min","d) &gt;10min")))</f>
        <v>d) &gt;10min</v>
      </c>
      <c r="R1141" s="38" t="n">
        <v>2758.99</v>
      </c>
      <c r="S1141" s="38" t="n">
        <v>2758.96</v>
      </c>
      <c r="T1141" s="22" t="s">
        <v>189</v>
      </c>
      <c r="U1141" s="39" t="n">
        <f aca="false">IF(R1141="","",IF(F1141="BUY",R1141-S1141,S1141-R1141))</f>
        <v>0.0299999999997453</v>
      </c>
      <c r="V1141" s="39" t="n">
        <f aca="false">IF(F1141="BUY",S1141-J1141,J1141-S1141)</f>
        <v>0.470000000000255</v>
      </c>
      <c r="W1141" s="6" t="n">
        <v>2.35</v>
      </c>
      <c r="X1141" s="26" t="n">
        <f aca="false">IFERROR(W1141/N1141,0)</f>
        <v>0.0783333333333333</v>
      </c>
      <c r="Y1141" s="22" t="str">
        <f aca="false">IF(W1141&gt;0,"Win",IF(W1141&lt;0,"Loss","Flat"))</f>
        <v>Win</v>
      </c>
      <c r="Z1141" s="24" t="n">
        <f aca="false">Summary!$C$5+SUM(W$2:W1141)</f>
        <v>3569.27</v>
      </c>
      <c r="AA1141" s="24" t="n">
        <f aca="false">MAX(AA1140,Z1141)</f>
        <v>5000</v>
      </c>
      <c r="AB1141" s="24" t="n">
        <f aca="false">AA1141-Z1141</f>
        <v>1430.73</v>
      </c>
      <c r="AC1141" s="23" t="n">
        <f aca="false">IFERROR(AB1141/AA1141,0)</f>
        <v>0.286146</v>
      </c>
      <c r="AD1141" s="22" t="s">
        <v>1378</v>
      </c>
    </row>
    <row r="1142" customFormat="false" ht="15" hidden="false" customHeight="false" outlineLevel="0" collapsed="false">
      <c r="A1142" s="22" t="n">
        <v>1141</v>
      </c>
      <c r="B1142" s="22" t="s">
        <v>153</v>
      </c>
      <c r="C1142" s="37" t="n">
        <v>45680.4724652778</v>
      </c>
      <c r="D1142" s="22" t="s">
        <v>205</v>
      </c>
      <c r="E1142" s="22" t="n">
        <v>11</v>
      </c>
      <c r="F1142" s="22" t="s">
        <v>182</v>
      </c>
      <c r="G1142" s="22" t="s">
        <v>241</v>
      </c>
      <c r="H1142" s="22" t="n">
        <v>0.05</v>
      </c>
      <c r="I1142" s="38" t="n">
        <v>2751.02</v>
      </c>
      <c r="J1142" s="38" t="n">
        <v>2751.02</v>
      </c>
      <c r="K1142" s="39" t="n">
        <f aca="false">IF(F1142="BUY",J1142-I1142,I1142-J1142)</f>
        <v>0</v>
      </c>
      <c r="L1142" s="38" t="n">
        <v>2757.02</v>
      </c>
      <c r="M1142" s="39" t="n">
        <f aca="false">ABS(I1142-L1142)</f>
        <v>6</v>
      </c>
      <c r="N1142" s="24" t="n">
        <f aca="false">M1142*H1142*Summary!$C$6</f>
        <v>30</v>
      </c>
      <c r="O1142" s="37" t="n">
        <v>45680.5331828704</v>
      </c>
      <c r="P1142" s="22" t="n">
        <f aca="false">ROUND((O1142-C1142)*86400,0)</f>
        <v>5246</v>
      </c>
      <c r="Q1142" s="22" t="str">
        <f aca="false">IF(P1142&lt;10,"a) &lt;10s",IF(P1142&lt;60,"b) 10-60s",IF(P1142&lt;600,"c) 1-10min","d) &gt;10min")))</f>
        <v>d) &gt;10min</v>
      </c>
      <c r="R1142" s="38" t="n">
        <v>2750.52</v>
      </c>
      <c r="S1142" s="38" t="n">
        <v>2750.86</v>
      </c>
      <c r="T1142" s="22" t="s">
        <v>189</v>
      </c>
      <c r="U1142" s="39" t="n">
        <f aca="false">IF(R1142="","",IF(F1142="BUY",R1142-S1142,S1142-R1142))</f>
        <v>0.340000000000146</v>
      </c>
      <c r="V1142" s="39" t="n">
        <f aca="false">IF(F1142="BUY",S1142-J1142,J1142-S1142)</f>
        <v>0.159999999999854</v>
      </c>
      <c r="W1142" s="6" t="n">
        <v>0.8</v>
      </c>
      <c r="X1142" s="26" t="n">
        <f aca="false">IFERROR(W1142/N1142,0)</f>
        <v>0.0266666666666667</v>
      </c>
      <c r="Y1142" s="22" t="str">
        <f aca="false">IF(W1142&gt;0,"Win",IF(W1142&lt;0,"Loss","Flat"))</f>
        <v>Win</v>
      </c>
      <c r="Z1142" s="24" t="n">
        <f aca="false">Summary!$C$5+SUM(W$2:W1142)</f>
        <v>3570.07</v>
      </c>
      <c r="AA1142" s="24" t="n">
        <f aca="false">MAX(AA1141,Z1142)</f>
        <v>5000</v>
      </c>
      <c r="AB1142" s="24" t="n">
        <f aca="false">AA1142-Z1142</f>
        <v>1429.93</v>
      </c>
      <c r="AC1142" s="23" t="n">
        <f aca="false">IFERROR(AB1142/AA1142,0)</f>
        <v>0.285986</v>
      </c>
      <c r="AD1142" s="22" t="s">
        <v>1379</v>
      </c>
    </row>
    <row r="1143" customFormat="false" ht="15" hidden="false" customHeight="false" outlineLevel="0" collapsed="false">
      <c r="A1143" s="22" t="n">
        <v>1142</v>
      </c>
      <c r="B1143" s="22" t="s">
        <v>153</v>
      </c>
      <c r="C1143" s="37" t="n">
        <v>45681.1072453704</v>
      </c>
      <c r="D1143" s="22" t="s">
        <v>206</v>
      </c>
      <c r="E1143" s="22" t="n">
        <v>2</v>
      </c>
      <c r="F1143" s="22" t="s">
        <v>181</v>
      </c>
      <c r="G1143" s="22" t="s">
        <v>243</v>
      </c>
      <c r="H1143" s="22" t="n">
        <v>0.05</v>
      </c>
      <c r="I1143" s="38" t="n">
        <v>2758.66</v>
      </c>
      <c r="J1143" s="38" t="n">
        <v>2758.68</v>
      </c>
      <c r="K1143" s="39" t="n">
        <f aca="false">IF(F1143="BUY",J1143-I1143,I1143-J1143)</f>
        <v>0.0199999999999818</v>
      </c>
      <c r="L1143" s="38" t="n">
        <v>2752.66</v>
      </c>
      <c r="M1143" s="39" t="n">
        <f aca="false">ABS(I1143-L1143)</f>
        <v>6</v>
      </c>
      <c r="N1143" s="24" t="n">
        <f aca="false">M1143*H1143*Summary!$C$6</f>
        <v>30</v>
      </c>
      <c r="O1143" s="37" t="n">
        <v>45681.1250115741</v>
      </c>
      <c r="P1143" s="22" t="n">
        <f aca="false">ROUND((O1143-C1143)*86400,0)</f>
        <v>1535</v>
      </c>
      <c r="Q1143" s="22" t="str">
        <f aca="false">IF(P1143&lt;10,"a) &lt;10s",IF(P1143&lt;60,"b) 10-60s",IF(P1143&lt;600,"c) 1-10min","d) &gt;10min")))</f>
        <v>d) &gt;10min</v>
      </c>
      <c r="R1143" s="38" t="n">
        <v>2759.18</v>
      </c>
      <c r="S1143" s="38" t="n">
        <v>2758.84</v>
      </c>
      <c r="T1143" s="22" t="s">
        <v>189</v>
      </c>
      <c r="U1143" s="39" t="n">
        <f aca="false">IF(R1143="","",IF(F1143="BUY",R1143-S1143,S1143-R1143))</f>
        <v>0.339999999999691</v>
      </c>
      <c r="V1143" s="39" t="n">
        <f aca="false">IF(F1143="BUY",S1143-J1143,J1143-S1143)</f>
        <v>0.160000000000309</v>
      </c>
      <c r="W1143" s="6" t="n">
        <v>0.8</v>
      </c>
      <c r="X1143" s="26" t="n">
        <f aca="false">IFERROR(W1143/N1143,0)</f>
        <v>0.0266666666666667</v>
      </c>
      <c r="Y1143" s="22" t="str">
        <f aca="false">IF(W1143&gt;0,"Win",IF(W1143&lt;0,"Loss","Flat"))</f>
        <v>Win</v>
      </c>
      <c r="Z1143" s="24" t="n">
        <f aca="false">Summary!$C$5+SUM(W$2:W1143)</f>
        <v>3570.87</v>
      </c>
      <c r="AA1143" s="24" t="n">
        <f aca="false">MAX(AA1142,Z1143)</f>
        <v>5000</v>
      </c>
      <c r="AB1143" s="24" t="n">
        <f aca="false">AA1143-Z1143</f>
        <v>1429.13</v>
      </c>
      <c r="AC1143" s="23" t="n">
        <f aca="false">IFERROR(AB1143/AA1143,0)</f>
        <v>0.285826</v>
      </c>
      <c r="AD1143" s="22" t="s">
        <v>1380</v>
      </c>
    </row>
    <row r="1144" customFormat="false" ht="15" hidden="false" customHeight="false" outlineLevel="0" collapsed="false">
      <c r="A1144" s="22" t="n">
        <v>1143</v>
      </c>
      <c r="B1144" s="22" t="s">
        <v>153</v>
      </c>
      <c r="C1144" s="37" t="n">
        <v>45681.4174884259</v>
      </c>
      <c r="D1144" s="22" t="s">
        <v>206</v>
      </c>
      <c r="E1144" s="22" t="n">
        <v>10</v>
      </c>
      <c r="F1144" s="22" t="s">
        <v>182</v>
      </c>
      <c r="G1144" s="22" t="s">
        <v>241</v>
      </c>
      <c r="H1144" s="22" t="n">
        <v>0.05</v>
      </c>
      <c r="I1144" s="38" t="n">
        <v>2771.81</v>
      </c>
      <c r="J1144" s="38" t="n">
        <v>2771.8</v>
      </c>
      <c r="K1144" s="39" t="n">
        <f aca="false">IF(F1144="BUY",J1144-I1144,I1144-J1144)</f>
        <v>0.00999999999976353</v>
      </c>
      <c r="L1144" s="38" t="n">
        <v>2777.81</v>
      </c>
      <c r="M1144" s="39" t="n">
        <f aca="false">ABS(I1144-L1144)</f>
        <v>6</v>
      </c>
      <c r="N1144" s="24" t="n">
        <f aca="false">M1144*H1144*Summary!$C$6</f>
        <v>30</v>
      </c>
      <c r="O1144" s="37" t="n">
        <v>45681.4794212963</v>
      </c>
      <c r="P1144" s="22" t="n">
        <f aca="false">ROUND((O1144-C1144)*86400,0)</f>
        <v>5351</v>
      </c>
      <c r="Q1144" s="22" t="str">
        <f aca="false">IF(P1144&lt;10,"a) &lt;10s",IF(P1144&lt;60,"b) 10-60s",IF(P1144&lt;600,"c) 1-10min","d) &gt;10min")))</f>
        <v>d) &gt;10min</v>
      </c>
      <c r="R1144" s="38" t="n">
        <v>2777.81</v>
      </c>
      <c r="S1144" s="38" t="n">
        <v>2777.9</v>
      </c>
      <c r="T1144" s="22" t="s">
        <v>188</v>
      </c>
      <c r="U1144" s="39" t="n">
        <f aca="false">IF(R1144="","",IF(F1144="BUY",R1144-S1144,S1144-R1144))</f>
        <v>0.0900000000001455</v>
      </c>
      <c r="V1144" s="39" t="n">
        <f aca="false">IF(F1144="BUY",S1144-J1144,J1144-S1144)</f>
        <v>-6.09999999999991</v>
      </c>
      <c r="W1144" s="6" t="n">
        <v>-30.5</v>
      </c>
      <c r="X1144" s="26" t="n">
        <f aca="false">IFERROR(W1144/N1144,0)</f>
        <v>-1.01666666666667</v>
      </c>
      <c r="Y1144" s="22" t="str">
        <f aca="false">IF(W1144&gt;0,"Win",IF(W1144&lt;0,"Loss","Flat"))</f>
        <v>Loss</v>
      </c>
      <c r="Z1144" s="24" t="n">
        <f aca="false">Summary!$C$5+SUM(W$2:W1144)</f>
        <v>3540.37</v>
      </c>
      <c r="AA1144" s="24" t="n">
        <f aca="false">MAX(AA1143,Z1144)</f>
        <v>5000</v>
      </c>
      <c r="AB1144" s="24" t="n">
        <f aca="false">AA1144-Z1144</f>
        <v>1459.63</v>
      </c>
      <c r="AC1144" s="23" t="n">
        <f aca="false">IFERROR(AB1144/AA1144,0)</f>
        <v>0.291926</v>
      </c>
      <c r="AD1144" s="22" t="s">
        <v>1381</v>
      </c>
    </row>
    <row r="1145" customFormat="false" ht="15" hidden="false" customHeight="false" outlineLevel="0" collapsed="false">
      <c r="A1145" s="22" t="n">
        <v>1144</v>
      </c>
      <c r="B1145" s="22" t="s">
        <v>153</v>
      </c>
      <c r="C1145" s="37" t="n">
        <v>45684.3317476852</v>
      </c>
      <c r="D1145" s="22" t="s">
        <v>202</v>
      </c>
      <c r="E1145" s="22" t="n">
        <v>7</v>
      </c>
      <c r="F1145" s="22" t="s">
        <v>182</v>
      </c>
      <c r="G1145" s="22" t="s">
        <v>237</v>
      </c>
      <c r="H1145" s="22" t="n">
        <v>0.05</v>
      </c>
      <c r="I1145" s="38" t="n">
        <v>2753.19</v>
      </c>
      <c r="J1145" s="38" t="n">
        <v>2753.17</v>
      </c>
      <c r="K1145" s="39" t="n">
        <f aca="false">IF(F1145="BUY",J1145-I1145,I1145-J1145)</f>
        <v>0.0199999999999818</v>
      </c>
      <c r="L1145" s="38" t="n">
        <v>2759.19</v>
      </c>
      <c r="M1145" s="39" t="n">
        <f aca="false">ABS(I1145-L1145)</f>
        <v>6</v>
      </c>
      <c r="N1145" s="24" t="n">
        <f aca="false">M1145*H1145*Summary!$C$6</f>
        <v>30</v>
      </c>
      <c r="O1145" s="37" t="n">
        <v>45684.3532638889</v>
      </c>
      <c r="P1145" s="22" t="n">
        <f aca="false">ROUND((O1145-C1145)*86400,0)</f>
        <v>1859</v>
      </c>
      <c r="Q1145" s="22" t="str">
        <f aca="false">IF(P1145&lt;10,"a) &lt;10s",IF(P1145&lt;60,"b) 10-60s",IF(P1145&lt;600,"c) 1-10min","d) &gt;10min")))</f>
        <v>d) &gt;10min</v>
      </c>
      <c r="R1145" s="38" t="n">
        <v>2752.67</v>
      </c>
      <c r="S1145" s="38" t="n">
        <v>2752.67</v>
      </c>
      <c r="T1145" s="22" t="s">
        <v>189</v>
      </c>
      <c r="U1145" s="39" t="n">
        <f aca="false">IF(R1145="","",IF(F1145="BUY",R1145-S1145,S1145-R1145))</f>
        <v>0</v>
      </c>
      <c r="V1145" s="39" t="n">
        <f aca="false">IF(F1145="BUY",S1145-J1145,J1145-S1145)</f>
        <v>0.5</v>
      </c>
      <c r="W1145" s="6" t="n">
        <v>2.5</v>
      </c>
      <c r="X1145" s="26" t="n">
        <f aca="false">IFERROR(W1145/N1145,0)</f>
        <v>0.0833333333333333</v>
      </c>
      <c r="Y1145" s="22" t="str">
        <f aca="false">IF(W1145&gt;0,"Win",IF(W1145&lt;0,"Loss","Flat"))</f>
        <v>Win</v>
      </c>
      <c r="Z1145" s="24" t="n">
        <f aca="false">Summary!$C$5+SUM(W$2:W1145)</f>
        <v>3542.87</v>
      </c>
      <c r="AA1145" s="24" t="n">
        <f aca="false">MAX(AA1144,Z1145)</f>
        <v>5000</v>
      </c>
      <c r="AB1145" s="24" t="n">
        <f aca="false">AA1145-Z1145</f>
        <v>1457.13</v>
      </c>
      <c r="AC1145" s="23" t="n">
        <f aca="false">IFERROR(AB1145/AA1145,0)</f>
        <v>0.291426</v>
      </c>
      <c r="AD1145" s="22" t="s">
        <v>1382</v>
      </c>
    </row>
    <row r="1146" customFormat="false" ht="15" hidden="false" customHeight="false" outlineLevel="0" collapsed="false">
      <c r="A1146" s="22" t="n">
        <v>1145</v>
      </c>
      <c r="B1146" s="22" t="s">
        <v>153</v>
      </c>
      <c r="C1146" s="37" t="n">
        <v>45684.3933333333</v>
      </c>
      <c r="D1146" s="22" t="s">
        <v>202</v>
      </c>
      <c r="E1146" s="22" t="n">
        <v>9</v>
      </c>
      <c r="F1146" s="22" t="s">
        <v>182</v>
      </c>
      <c r="G1146" s="22" t="s">
        <v>241</v>
      </c>
      <c r="H1146" s="22" t="n">
        <v>0.05</v>
      </c>
      <c r="I1146" s="38" t="n">
        <v>2750.57</v>
      </c>
      <c r="J1146" s="38" t="n">
        <v>2750.54</v>
      </c>
      <c r="K1146" s="39" t="n">
        <f aca="false">IF(F1146="BUY",J1146-I1146,I1146-J1146)</f>
        <v>0.0300000000002001</v>
      </c>
      <c r="L1146" s="38" t="n">
        <v>2756.57</v>
      </c>
      <c r="M1146" s="39" t="n">
        <f aca="false">ABS(I1146-L1146)</f>
        <v>6</v>
      </c>
      <c r="N1146" s="24" t="n">
        <f aca="false">M1146*H1146*Summary!$C$6</f>
        <v>30</v>
      </c>
      <c r="O1146" s="37" t="n">
        <v>45684.3971064815</v>
      </c>
      <c r="P1146" s="22" t="n">
        <f aca="false">ROUND((O1146-C1146)*86400,0)</f>
        <v>326</v>
      </c>
      <c r="Q1146" s="22" t="str">
        <f aca="false">IF(P1146&lt;10,"a) &lt;10s",IF(P1146&lt;60,"b) 10-60s",IF(P1146&lt;600,"c) 1-10min","d) &gt;10min")))</f>
        <v>c) 1-10min</v>
      </c>
      <c r="R1146" s="38" t="n">
        <v>2750.04</v>
      </c>
      <c r="S1146" s="38" t="n">
        <v>2750.08</v>
      </c>
      <c r="T1146" s="22" t="s">
        <v>189</v>
      </c>
      <c r="U1146" s="39" t="n">
        <f aca="false">IF(R1146="","",IF(F1146="BUY",R1146-S1146,S1146-R1146))</f>
        <v>0.0399999999999636</v>
      </c>
      <c r="V1146" s="39" t="n">
        <f aca="false">IF(F1146="BUY",S1146-J1146,J1146-S1146)</f>
        <v>0.460000000000036</v>
      </c>
      <c r="W1146" s="6" t="n">
        <v>2.3</v>
      </c>
      <c r="X1146" s="26" t="n">
        <f aca="false">IFERROR(W1146/N1146,0)</f>
        <v>0.0766666666666667</v>
      </c>
      <c r="Y1146" s="22" t="str">
        <f aca="false">IF(W1146&gt;0,"Win",IF(W1146&lt;0,"Loss","Flat"))</f>
        <v>Win</v>
      </c>
      <c r="Z1146" s="24" t="n">
        <f aca="false">Summary!$C$5+SUM(W$2:W1146)</f>
        <v>3545.17</v>
      </c>
      <c r="AA1146" s="24" t="n">
        <f aca="false">MAX(AA1145,Z1146)</f>
        <v>5000</v>
      </c>
      <c r="AB1146" s="24" t="n">
        <f aca="false">AA1146-Z1146</f>
        <v>1454.83</v>
      </c>
      <c r="AC1146" s="23" t="n">
        <f aca="false">IFERROR(AB1146/AA1146,0)</f>
        <v>0.290966</v>
      </c>
      <c r="AD1146" s="22" t="s">
        <v>1383</v>
      </c>
    </row>
    <row r="1147" customFormat="false" ht="15" hidden="false" customHeight="false" outlineLevel="0" collapsed="false">
      <c r="A1147" s="22" t="n">
        <v>1146</v>
      </c>
      <c r="B1147" s="22" t="s">
        <v>153</v>
      </c>
      <c r="C1147" s="37" t="n">
        <v>45685.4122453704</v>
      </c>
      <c r="D1147" s="22" t="s">
        <v>203</v>
      </c>
      <c r="E1147" s="22" t="n">
        <v>9</v>
      </c>
      <c r="F1147" s="22" t="s">
        <v>182</v>
      </c>
      <c r="G1147" s="22" t="s">
        <v>241</v>
      </c>
      <c r="H1147" s="22" t="n">
        <v>0.05</v>
      </c>
      <c r="I1147" s="38" t="n">
        <v>2738.91</v>
      </c>
      <c r="J1147" s="38" t="n">
        <v>2738.91</v>
      </c>
      <c r="K1147" s="39" t="n">
        <f aca="false">IF(F1147="BUY",J1147-I1147,I1147-J1147)</f>
        <v>0</v>
      </c>
      <c r="L1147" s="38" t="n">
        <v>2744.91</v>
      </c>
      <c r="M1147" s="39" t="n">
        <f aca="false">ABS(I1147-L1147)</f>
        <v>6</v>
      </c>
      <c r="N1147" s="24" t="n">
        <f aca="false">M1147*H1147*Summary!$C$6</f>
        <v>30</v>
      </c>
      <c r="O1147" s="37" t="n">
        <v>45685.4477314815</v>
      </c>
      <c r="P1147" s="22" t="n">
        <f aca="false">ROUND((O1147-C1147)*86400,0)</f>
        <v>3066</v>
      </c>
      <c r="Q1147" s="22" t="str">
        <f aca="false">IF(P1147&lt;10,"a) &lt;10s",IF(P1147&lt;60,"b) 10-60s",IF(P1147&lt;600,"c) 1-10min","d) &gt;10min")))</f>
        <v>d) &gt;10min</v>
      </c>
      <c r="R1147" s="38" t="n">
        <v>2738.41</v>
      </c>
      <c r="S1147" s="38" t="n">
        <v>2738.55</v>
      </c>
      <c r="T1147" s="22" t="s">
        <v>189</v>
      </c>
      <c r="U1147" s="39" t="n">
        <f aca="false">IF(R1147="","",IF(F1147="BUY",R1147-S1147,S1147-R1147))</f>
        <v>0.140000000000327</v>
      </c>
      <c r="V1147" s="39" t="n">
        <f aca="false">IF(F1147="BUY",S1147-J1147,J1147-S1147)</f>
        <v>0.359999999999673</v>
      </c>
      <c r="W1147" s="6" t="n">
        <v>1.8</v>
      </c>
      <c r="X1147" s="26" t="n">
        <f aca="false">IFERROR(W1147/N1147,0)</f>
        <v>0.06</v>
      </c>
      <c r="Y1147" s="22" t="str">
        <f aca="false">IF(W1147&gt;0,"Win",IF(W1147&lt;0,"Loss","Flat"))</f>
        <v>Win</v>
      </c>
      <c r="Z1147" s="24" t="n">
        <f aca="false">Summary!$C$5+SUM(W$2:W1147)</f>
        <v>3546.97</v>
      </c>
      <c r="AA1147" s="24" t="n">
        <f aca="false">MAX(AA1146,Z1147)</f>
        <v>5000</v>
      </c>
      <c r="AB1147" s="24" t="n">
        <f aca="false">AA1147-Z1147</f>
        <v>1453.03</v>
      </c>
      <c r="AC1147" s="23" t="n">
        <f aca="false">IFERROR(AB1147/AA1147,0)</f>
        <v>0.290606</v>
      </c>
      <c r="AD1147" s="22" t="s">
        <v>1384</v>
      </c>
    </row>
    <row r="1148" customFormat="false" ht="15" hidden="false" customHeight="false" outlineLevel="0" collapsed="false">
      <c r="A1148" s="22" t="n">
        <v>1147</v>
      </c>
      <c r="B1148" s="22" t="s">
        <v>153</v>
      </c>
      <c r="C1148" s="37" t="n">
        <v>45686.1142708333</v>
      </c>
      <c r="D1148" s="22" t="s">
        <v>204</v>
      </c>
      <c r="E1148" s="22" t="n">
        <v>2</v>
      </c>
      <c r="F1148" s="22" t="s">
        <v>181</v>
      </c>
      <c r="G1148" s="22" t="s">
        <v>243</v>
      </c>
      <c r="H1148" s="22" t="n">
        <v>0.05</v>
      </c>
      <c r="I1148" s="38" t="n">
        <v>2764.88</v>
      </c>
      <c r="J1148" s="38" t="n">
        <v>2764.9</v>
      </c>
      <c r="K1148" s="39" t="n">
        <f aca="false">IF(F1148="BUY",J1148-I1148,I1148-J1148)</f>
        <v>0.0199999999999818</v>
      </c>
      <c r="L1148" s="38" t="n">
        <v>2758.88</v>
      </c>
      <c r="M1148" s="39" t="n">
        <f aca="false">ABS(I1148-L1148)</f>
        <v>6</v>
      </c>
      <c r="N1148" s="24" t="n">
        <f aca="false">M1148*H1148*Summary!$C$6</f>
        <v>30</v>
      </c>
      <c r="O1148" s="37" t="n">
        <v>45686.3750115741</v>
      </c>
      <c r="P1148" s="22" t="n">
        <f aca="false">ROUND((O1148-C1148)*86400,0)</f>
        <v>22528</v>
      </c>
      <c r="Q1148" s="22" t="str">
        <f aca="false">IF(P1148&lt;10,"a) &lt;10s",IF(P1148&lt;60,"b) 10-60s",IF(P1148&lt;600,"c) 1-10min","d) &gt;10min")))</f>
        <v>d) &gt;10min</v>
      </c>
      <c r="R1148" s="38" t="n">
        <v>2758.88</v>
      </c>
      <c r="S1148" s="38" t="n">
        <v>2758.87</v>
      </c>
      <c r="T1148" s="22" t="s">
        <v>188</v>
      </c>
      <c r="U1148" s="39" t="n">
        <f aca="false">IF(R1148="","",IF(F1148="BUY",R1148-S1148,S1148-R1148))</f>
        <v>0.0100000000002183</v>
      </c>
      <c r="V1148" s="39" t="n">
        <f aca="false">IF(F1148="BUY",S1148-J1148,J1148-S1148)</f>
        <v>-6.0300000000002</v>
      </c>
      <c r="W1148" s="6" t="n">
        <v>-30.15</v>
      </c>
      <c r="X1148" s="26" t="n">
        <f aca="false">IFERROR(W1148/N1148,0)</f>
        <v>-1.005</v>
      </c>
      <c r="Y1148" s="22" t="str">
        <f aca="false">IF(W1148&gt;0,"Win",IF(W1148&lt;0,"Loss","Flat"))</f>
        <v>Loss</v>
      </c>
      <c r="Z1148" s="24" t="n">
        <f aca="false">Summary!$C$5+SUM(W$2:W1148)</f>
        <v>3516.82</v>
      </c>
      <c r="AA1148" s="24" t="n">
        <f aca="false">MAX(AA1147,Z1148)</f>
        <v>5000</v>
      </c>
      <c r="AB1148" s="24" t="n">
        <f aca="false">AA1148-Z1148</f>
        <v>1483.18</v>
      </c>
      <c r="AC1148" s="23" t="n">
        <f aca="false">IFERROR(AB1148/AA1148,0)</f>
        <v>0.296636</v>
      </c>
      <c r="AD1148" s="22" t="s">
        <v>1385</v>
      </c>
    </row>
    <row r="1149" customFormat="false" ht="15" hidden="false" customHeight="false" outlineLevel="0" collapsed="false">
      <c r="A1149" s="22" t="n">
        <v>1148</v>
      </c>
      <c r="B1149" s="22" t="s">
        <v>153</v>
      </c>
      <c r="C1149" s="37" t="n">
        <v>45686.4247916667</v>
      </c>
      <c r="D1149" s="22" t="s">
        <v>204</v>
      </c>
      <c r="E1149" s="22" t="n">
        <v>10</v>
      </c>
      <c r="F1149" s="22" t="s">
        <v>181</v>
      </c>
      <c r="G1149" s="22" t="s">
        <v>235</v>
      </c>
      <c r="H1149" s="22" t="n">
        <v>0.05</v>
      </c>
      <c r="I1149" s="38" t="n">
        <v>2762.92</v>
      </c>
      <c r="J1149" s="38" t="n">
        <v>2762.93</v>
      </c>
      <c r="K1149" s="39" t="n">
        <f aca="false">IF(F1149="BUY",J1149-I1149,I1149-J1149)</f>
        <v>0.00999999999976353</v>
      </c>
      <c r="L1149" s="38" t="n">
        <v>2756.92</v>
      </c>
      <c r="M1149" s="39" t="n">
        <f aca="false">ABS(I1149-L1149)</f>
        <v>6</v>
      </c>
      <c r="N1149" s="24" t="n">
        <f aca="false">M1149*H1149*Summary!$C$6</f>
        <v>30</v>
      </c>
      <c r="O1149" s="37" t="n">
        <v>45686.4453472222</v>
      </c>
      <c r="P1149" s="22" t="n">
        <f aca="false">ROUND((O1149-C1149)*86400,0)</f>
        <v>1776</v>
      </c>
      <c r="Q1149" s="22" t="str">
        <f aca="false">IF(P1149&lt;10,"a) &lt;10s",IF(P1149&lt;60,"b) 10-60s",IF(P1149&lt;600,"c) 1-10min","d) &gt;10min")))</f>
        <v>d) &gt;10min</v>
      </c>
      <c r="R1149" s="38" t="n">
        <v>2763.43</v>
      </c>
      <c r="S1149" s="38" t="n">
        <v>2763.41</v>
      </c>
      <c r="T1149" s="22" t="s">
        <v>189</v>
      </c>
      <c r="U1149" s="39" t="n">
        <f aca="false">IF(R1149="","",IF(F1149="BUY",R1149-S1149,S1149-R1149))</f>
        <v>0.0199999999999818</v>
      </c>
      <c r="V1149" s="39" t="n">
        <f aca="false">IF(F1149="BUY",S1149-J1149,J1149-S1149)</f>
        <v>0.480000000000018</v>
      </c>
      <c r="W1149" s="6" t="n">
        <v>2.4</v>
      </c>
      <c r="X1149" s="26" t="n">
        <f aca="false">IFERROR(W1149/N1149,0)</f>
        <v>0.08</v>
      </c>
      <c r="Y1149" s="22" t="str">
        <f aca="false">IF(W1149&gt;0,"Win",IF(W1149&lt;0,"Loss","Flat"))</f>
        <v>Win</v>
      </c>
      <c r="Z1149" s="24" t="n">
        <f aca="false">Summary!$C$5+SUM(W$2:W1149)</f>
        <v>3519.22</v>
      </c>
      <c r="AA1149" s="24" t="n">
        <f aca="false">MAX(AA1148,Z1149)</f>
        <v>5000</v>
      </c>
      <c r="AB1149" s="24" t="n">
        <f aca="false">AA1149-Z1149</f>
        <v>1480.78</v>
      </c>
      <c r="AC1149" s="23" t="n">
        <f aca="false">IFERROR(AB1149/AA1149,0)</f>
        <v>0.296156</v>
      </c>
      <c r="AD1149" s="22" t="s">
        <v>1386</v>
      </c>
    </row>
    <row r="1150" customFormat="false" ht="15" hidden="false" customHeight="false" outlineLevel="0" collapsed="false">
      <c r="A1150" s="22" t="n">
        <v>1149</v>
      </c>
      <c r="B1150" s="22" t="s">
        <v>153</v>
      </c>
      <c r="C1150" s="37" t="n">
        <v>45687.3736458333</v>
      </c>
      <c r="D1150" s="22" t="s">
        <v>205</v>
      </c>
      <c r="E1150" s="22" t="n">
        <v>8</v>
      </c>
      <c r="F1150" s="22" t="s">
        <v>181</v>
      </c>
      <c r="G1150" s="22" t="s">
        <v>243</v>
      </c>
      <c r="H1150" s="22" t="n">
        <v>0.05</v>
      </c>
      <c r="I1150" s="38" t="n">
        <v>2765.99</v>
      </c>
      <c r="J1150" s="38" t="n">
        <v>2766.53</v>
      </c>
      <c r="K1150" s="39" t="n">
        <f aca="false">IF(F1150="BUY",J1150-I1150,I1150-J1150)</f>
        <v>0.540000000000418</v>
      </c>
      <c r="L1150" s="38" t="n">
        <v>2759.99</v>
      </c>
      <c r="M1150" s="39" t="n">
        <f aca="false">ABS(I1150-L1150)</f>
        <v>6</v>
      </c>
      <c r="N1150" s="24" t="n">
        <f aca="false">M1150*H1150*Summary!$C$6</f>
        <v>30</v>
      </c>
      <c r="O1150" s="37" t="n">
        <v>45687.7473148148</v>
      </c>
      <c r="P1150" s="22" t="n">
        <f aca="false">ROUND((O1150-C1150)*86400,0)</f>
        <v>32285</v>
      </c>
      <c r="Q1150" s="22" t="str">
        <f aca="false">IF(P1150&lt;10,"a) &lt;10s",IF(P1150&lt;60,"b) 10-60s",IF(P1150&lt;600,"c) 1-10min","d) &gt;10min")))</f>
        <v>d) &gt;10min</v>
      </c>
      <c r="R1150" s="38"/>
      <c r="S1150" s="38" t="n">
        <v>2796.01</v>
      </c>
      <c r="T1150" s="22" t="s">
        <v>187</v>
      </c>
      <c r="U1150" s="39" t="str">
        <f aca="false">IF(R1150="","",IF(F1150="BUY",R1150-S1150,S1150-R1150))</f>
        <v/>
      </c>
      <c r="V1150" s="39" t="n">
        <f aca="false">IF(F1150="BUY",S1150-J1150,J1150-S1150)</f>
        <v>29.48</v>
      </c>
      <c r="W1150" s="6" t="n">
        <v>147.4</v>
      </c>
      <c r="X1150" s="26" t="n">
        <f aca="false">IFERROR(W1150/N1150,0)</f>
        <v>4.91333333333333</v>
      </c>
      <c r="Y1150" s="22" t="str">
        <f aca="false">IF(W1150&gt;0,"Win",IF(W1150&lt;0,"Loss","Flat"))</f>
        <v>Win</v>
      </c>
      <c r="Z1150" s="24" t="n">
        <f aca="false">Summary!$C$5+SUM(W$2:W1150)</f>
        <v>3666.62</v>
      </c>
      <c r="AA1150" s="24" t="n">
        <f aca="false">MAX(AA1149,Z1150)</f>
        <v>5000</v>
      </c>
      <c r="AB1150" s="24" t="n">
        <f aca="false">AA1150-Z1150</f>
        <v>1333.38</v>
      </c>
      <c r="AC1150" s="23" t="n">
        <f aca="false">IFERROR(AB1150/AA1150,0)</f>
        <v>0.266676</v>
      </c>
      <c r="AD1150" s="22" t="s">
        <v>1387</v>
      </c>
    </row>
    <row r="1151" customFormat="false" ht="15" hidden="false" customHeight="false" outlineLevel="0" collapsed="false">
      <c r="A1151" s="22" t="n">
        <v>1150</v>
      </c>
      <c r="B1151" s="22" t="s">
        <v>153</v>
      </c>
      <c r="C1151" s="37" t="n">
        <v>45688.0869560185</v>
      </c>
      <c r="D1151" s="22" t="s">
        <v>206</v>
      </c>
      <c r="E1151" s="22" t="n">
        <v>2</v>
      </c>
      <c r="F1151" s="22" t="s">
        <v>181</v>
      </c>
      <c r="G1151" s="22" t="s">
        <v>243</v>
      </c>
      <c r="H1151" s="22" t="n">
        <v>0.06</v>
      </c>
      <c r="I1151" s="38" t="n">
        <v>2798.31</v>
      </c>
      <c r="J1151" s="38" t="n">
        <v>2798.32</v>
      </c>
      <c r="K1151" s="39" t="n">
        <f aca="false">IF(F1151="BUY",J1151-I1151,I1151-J1151)</f>
        <v>0.0100000000002183</v>
      </c>
      <c r="L1151" s="38" t="n">
        <v>2792.31</v>
      </c>
      <c r="M1151" s="39" t="n">
        <f aca="false">ABS(I1151-L1151)</f>
        <v>6</v>
      </c>
      <c r="N1151" s="24" t="n">
        <f aca="false">M1151*H1151*Summary!$C$6</f>
        <v>36</v>
      </c>
      <c r="O1151" s="37" t="n">
        <v>45688.3732523148</v>
      </c>
      <c r="P1151" s="22" t="n">
        <f aca="false">ROUND((O1151-C1151)*86400,0)</f>
        <v>24736</v>
      </c>
      <c r="Q1151" s="22" t="str">
        <f aca="false">IF(P1151&lt;10,"a) &lt;10s",IF(P1151&lt;60,"b) 10-60s",IF(P1151&lt;600,"c) 1-10min","d) &gt;10min")))</f>
        <v>d) &gt;10min</v>
      </c>
      <c r="R1151" s="38" t="n">
        <v>2792.31</v>
      </c>
      <c r="S1151" s="38" t="n">
        <v>2792.31</v>
      </c>
      <c r="T1151" s="22" t="s">
        <v>188</v>
      </c>
      <c r="U1151" s="39" t="n">
        <f aca="false">IF(R1151="","",IF(F1151="BUY",R1151-S1151,S1151-R1151))</f>
        <v>0</v>
      </c>
      <c r="V1151" s="39" t="n">
        <f aca="false">IF(F1151="BUY",S1151-J1151,J1151-S1151)</f>
        <v>-6.01000000000022</v>
      </c>
      <c r="W1151" s="6" t="n">
        <v>-36.06</v>
      </c>
      <c r="X1151" s="26" t="n">
        <f aca="false">IFERROR(W1151/N1151,0)</f>
        <v>-1.00166666666667</v>
      </c>
      <c r="Y1151" s="22" t="str">
        <f aca="false">IF(W1151&gt;0,"Win",IF(W1151&lt;0,"Loss","Flat"))</f>
        <v>Loss</v>
      </c>
      <c r="Z1151" s="24" t="n">
        <f aca="false">Summary!$C$5+SUM(W$2:W1151)</f>
        <v>3630.56</v>
      </c>
      <c r="AA1151" s="24" t="n">
        <f aca="false">MAX(AA1150,Z1151)</f>
        <v>5000</v>
      </c>
      <c r="AB1151" s="24" t="n">
        <f aca="false">AA1151-Z1151</f>
        <v>1369.44</v>
      </c>
      <c r="AC1151" s="23" t="n">
        <f aca="false">IFERROR(AB1151/AA1151,0)</f>
        <v>0.273888</v>
      </c>
      <c r="AD1151" s="22" t="s">
        <v>1388</v>
      </c>
    </row>
    <row r="1152" customFormat="false" ht="15" hidden="false" customHeight="false" outlineLevel="0" collapsed="false">
      <c r="A1152" s="22" t="n">
        <v>1151</v>
      </c>
      <c r="B1152" s="22" t="s">
        <v>153</v>
      </c>
      <c r="C1152" s="37" t="n">
        <v>45688.3850347222</v>
      </c>
      <c r="D1152" s="22" t="s">
        <v>206</v>
      </c>
      <c r="E1152" s="22" t="n">
        <v>9</v>
      </c>
      <c r="F1152" s="22" t="s">
        <v>181</v>
      </c>
      <c r="G1152" s="22" t="s">
        <v>235</v>
      </c>
      <c r="H1152" s="22" t="n">
        <v>0.06</v>
      </c>
      <c r="I1152" s="38" t="n">
        <v>2796.3</v>
      </c>
      <c r="J1152" s="38" t="n">
        <v>2796.31</v>
      </c>
      <c r="K1152" s="39" t="n">
        <f aca="false">IF(F1152="BUY",J1152-I1152,I1152-J1152)</f>
        <v>0.00999999999976353</v>
      </c>
      <c r="L1152" s="38" t="n">
        <v>2790.3</v>
      </c>
      <c r="M1152" s="39" t="n">
        <f aca="false">ABS(I1152-L1152)</f>
        <v>6</v>
      </c>
      <c r="N1152" s="24" t="n">
        <f aca="false">M1152*H1152*Summary!$C$6</f>
        <v>36</v>
      </c>
      <c r="O1152" s="37" t="n">
        <v>45688.4187962963</v>
      </c>
      <c r="P1152" s="22" t="n">
        <f aca="false">ROUND((O1152-C1152)*86400,0)</f>
        <v>2917</v>
      </c>
      <c r="Q1152" s="22" t="str">
        <f aca="false">IF(P1152&lt;10,"a) &lt;10s",IF(P1152&lt;60,"b) 10-60s",IF(P1152&lt;600,"c) 1-10min","d) &gt;10min")))</f>
        <v>d) &gt;10min</v>
      </c>
      <c r="R1152" s="38" t="n">
        <v>2796.81</v>
      </c>
      <c r="S1152" s="38" t="n">
        <v>2796.77</v>
      </c>
      <c r="T1152" s="22" t="s">
        <v>189</v>
      </c>
      <c r="U1152" s="39" t="n">
        <f aca="false">IF(R1152="","",IF(F1152="BUY",R1152-S1152,S1152-R1152))</f>
        <v>0.0399999999999636</v>
      </c>
      <c r="V1152" s="39" t="n">
        <f aca="false">IF(F1152="BUY",S1152-J1152,J1152-S1152)</f>
        <v>0.460000000000036</v>
      </c>
      <c r="W1152" s="6" t="n">
        <v>2.76</v>
      </c>
      <c r="X1152" s="26" t="n">
        <f aca="false">IFERROR(W1152/N1152,0)</f>
        <v>0.0766666666666667</v>
      </c>
      <c r="Y1152" s="22" t="str">
        <f aca="false">IF(W1152&gt;0,"Win",IF(W1152&lt;0,"Loss","Flat"))</f>
        <v>Win</v>
      </c>
      <c r="Z1152" s="24" t="n">
        <f aca="false">Summary!$C$5+SUM(W$2:W1152)</f>
        <v>3633.32</v>
      </c>
      <c r="AA1152" s="24" t="n">
        <f aca="false">MAX(AA1151,Z1152)</f>
        <v>5000</v>
      </c>
      <c r="AB1152" s="24" t="n">
        <f aca="false">AA1152-Z1152</f>
        <v>1366.68</v>
      </c>
      <c r="AC1152" s="23" t="n">
        <f aca="false">IFERROR(AB1152/AA1152,0)</f>
        <v>0.273336</v>
      </c>
      <c r="AD1152" s="22" t="s">
        <v>1389</v>
      </c>
    </row>
    <row r="1153" customFormat="false" ht="15" hidden="false" customHeight="false" outlineLevel="0" collapsed="false">
      <c r="A1153" s="22" t="n">
        <v>1152</v>
      </c>
      <c r="B1153" s="22" t="s">
        <v>154</v>
      </c>
      <c r="C1153" s="37" t="n">
        <v>45691.0569907407</v>
      </c>
      <c r="D1153" s="22" t="s">
        <v>202</v>
      </c>
      <c r="E1153" s="22" t="n">
        <v>1</v>
      </c>
      <c r="F1153" s="22" t="s">
        <v>182</v>
      </c>
      <c r="G1153" s="22" t="s">
        <v>237</v>
      </c>
      <c r="H1153" s="22" t="n">
        <v>0.06</v>
      </c>
      <c r="I1153" s="38" t="n">
        <v>2790.9</v>
      </c>
      <c r="J1153" s="38" t="n">
        <v>2790.48</v>
      </c>
      <c r="K1153" s="39" t="n">
        <f aca="false">IF(F1153="BUY",J1153-I1153,I1153-J1153)</f>
        <v>0.420000000000073</v>
      </c>
      <c r="L1153" s="38" t="n">
        <v>2796.9</v>
      </c>
      <c r="M1153" s="39" t="n">
        <f aca="false">ABS(I1153-L1153)</f>
        <v>6</v>
      </c>
      <c r="N1153" s="24" t="n">
        <f aca="false">M1153*H1153*Summary!$C$6</f>
        <v>36</v>
      </c>
      <c r="O1153" s="37" t="n">
        <v>45691.0572685185</v>
      </c>
      <c r="P1153" s="22" t="n">
        <f aca="false">ROUND((O1153-C1153)*86400,0)</f>
        <v>24</v>
      </c>
      <c r="Q1153" s="22" t="str">
        <f aca="false">IF(P1153&lt;10,"a) &lt;10s",IF(P1153&lt;60,"b) 10-60s",IF(P1153&lt;600,"c) 1-10min","d) &gt;10min")))</f>
        <v>b) 10-60s</v>
      </c>
      <c r="R1153" s="38" t="n">
        <v>2796.9</v>
      </c>
      <c r="S1153" s="38" t="n">
        <v>2797.15</v>
      </c>
      <c r="T1153" s="22" t="s">
        <v>188</v>
      </c>
      <c r="U1153" s="39" t="n">
        <f aca="false">IF(R1153="","",IF(F1153="BUY",R1153-S1153,S1153-R1153))</f>
        <v>0.25</v>
      </c>
      <c r="V1153" s="39" t="n">
        <f aca="false">IF(F1153="BUY",S1153-J1153,J1153-S1153)</f>
        <v>-6.67000000000007</v>
      </c>
      <c r="W1153" s="6" t="n">
        <v>-40.02</v>
      </c>
      <c r="X1153" s="26" t="n">
        <f aca="false">IFERROR(W1153/N1153,0)</f>
        <v>-1.11166666666667</v>
      </c>
      <c r="Y1153" s="22" t="str">
        <f aca="false">IF(W1153&gt;0,"Win",IF(W1153&lt;0,"Loss","Flat"))</f>
        <v>Loss</v>
      </c>
      <c r="Z1153" s="24" t="n">
        <f aca="false">Summary!$C$5+SUM(W$2:W1153)</f>
        <v>3593.3</v>
      </c>
      <c r="AA1153" s="24" t="n">
        <f aca="false">MAX(AA1152,Z1153)</f>
        <v>5000</v>
      </c>
      <c r="AB1153" s="24" t="n">
        <f aca="false">AA1153-Z1153</f>
        <v>1406.7</v>
      </c>
      <c r="AC1153" s="23" t="n">
        <f aca="false">IFERROR(AB1153/AA1153,0)</f>
        <v>0.28134</v>
      </c>
      <c r="AD1153" s="22" t="s">
        <v>1390</v>
      </c>
    </row>
    <row r="1154" customFormat="false" ht="15" hidden="false" customHeight="false" outlineLevel="0" collapsed="false">
      <c r="A1154" s="22" t="n">
        <v>1153</v>
      </c>
      <c r="B1154" s="22" t="s">
        <v>154</v>
      </c>
      <c r="C1154" s="37" t="n">
        <v>45691.3763194445</v>
      </c>
      <c r="D1154" s="22" t="s">
        <v>202</v>
      </c>
      <c r="E1154" s="22" t="n">
        <v>9</v>
      </c>
      <c r="F1154" s="22" t="s">
        <v>181</v>
      </c>
      <c r="G1154" s="22" t="s">
        <v>235</v>
      </c>
      <c r="H1154" s="22" t="n">
        <v>0.05</v>
      </c>
      <c r="I1154" s="38" t="n">
        <v>2787.95</v>
      </c>
      <c r="J1154" s="38" t="n">
        <v>2788.06</v>
      </c>
      <c r="K1154" s="39" t="n">
        <f aca="false">IF(F1154="BUY",J1154-I1154,I1154-J1154)</f>
        <v>0.110000000000127</v>
      </c>
      <c r="L1154" s="38" t="n">
        <v>2781.95</v>
      </c>
      <c r="M1154" s="39" t="n">
        <f aca="false">ABS(I1154-L1154)</f>
        <v>6</v>
      </c>
      <c r="N1154" s="24" t="n">
        <f aca="false">M1154*H1154*Summary!$C$6</f>
        <v>30</v>
      </c>
      <c r="O1154" s="37" t="n">
        <v>45691.4171412037</v>
      </c>
      <c r="P1154" s="22" t="n">
        <f aca="false">ROUND((O1154-C1154)*86400,0)</f>
        <v>3527</v>
      </c>
      <c r="Q1154" s="22" t="str">
        <f aca="false">IF(P1154&lt;10,"a) &lt;10s",IF(P1154&lt;60,"b) 10-60s",IF(P1154&lt;600,"c) 1-10min","d) &gt;10min")))</f>
        <v>d) &gt;10min</v>
      </c>
      <c r="R1154" s="38" t="n">
        <v>2788.56</v>
      </c>
      <c r="S1154" s="38" t="n">
        <v>2788.55</v>
      </c>
      <c r="T1154" s="22" t="s">
        <v>189</v>
      </c>
      <c r="U1154" s="39" t="n">
        <f aca="false">IF(R1154="","",IF(F1154="BUY",R1154-S1154,S1154-R1154))</f>
        <v>0.00999999999976353</v>
      </c>
      <c r="V1154" s="39" t="n">
        <f aca="false">IF(F1154="BUY",S1154-J1154,J1154-S1154)</f>
        <v>0.490000000000236</v>
      </c>
      <c r="W1154" s="6" t="n">
        <v>2.45</v>
      </c>
      <c r="X1154" s="26" t="n">
        <f aca="false">IFERROR(W1154/N1154,0)</f>
        <v>0.0816666666666667</v>
      </c>
      <c r="Y1154" s="22" t="str">
        <f aca="false">IF(W1154&gt;0,"Win",IF(W1154&lt;0,"Loss","Flat"))</f>
        <v>Win</v>
      </c>
      <c r="Z1154" s="24" t="n">
        <f aca="false">Summary!$C$5+SUM(W$2:W1154)</f>
        <v>3595.75</v>
      </c>
      <c r="AA1154" s="24" t="n">
        <f aca="false">MAX(AA1153,Z1154)</f>
        <v>5000</v>
      </c>
      <c r="AB1154" s="24" t="n">
        <f aca="false">AA1154-Z1154</f>
        <v>1404.25</v>
      </c>
      <c r="AC1154" s="23" t="n">
        <f aca="false">IFERROR(AB1154/AA1154,0)</f>
        <v>0.28085</v>
      </c>
      <c r="AD1154" s="22" t="s">
        <v>1391</v>
      </c>
    </row>
    <row r="1155" customFormat="false" ht="15" hidden="false" customHeight="false" outlineLevel="0" collapsed="false">
      <c r="A1155" s="22" t="n">
        <v>1154</v>
      </c>
      <c r="B1155" s="22" t="s">
        <v>154</v>
      </c>
      <c r="C1155" s="37" t="n">
        <v>45692.3912731482</v>
      </c>
      <c r="D1155" s="22" t="s">
        <v>203</v>
      </c>
      <c r="E1155" s="22" t="n">
        <v>9</v>
      </c>
      <c r="F1155" s="22" t="s">
        <v>182</v>
      </c>
      <c r="G1155" s="22" t="s">
        <v>241</v>
      </c>
      <c r="H1155" s="22" t="n">
        <v>0.05</v>
      </c>
      <c r="I1155" s="38" t="n">
        <v>2810.65</v>
      </c>
      <c r="J1155" s="38" t="n">
        <v>2810.43</v>
      </c>
      <c r="K1155" s="39" t="n">
        <f aca="false">IF(F1155="BUY",J1155-I1155,I1155-J1155)</f>
        <v>0.220000000000255</v>
      </c>
      <c r="L1155" s="38" t="n">
        <v>2816.65</v>
      </c>
      <c r="M1155" s="39" t="n">
        <f aca="false">ABS(I1155-L1155)</f>
        <v>6</v>
      </c>
      <c r="N1155" s="24" t="n">
        <f aca="false">M1155*H1155*Summary!$C$6</f>
        <v>30</v>
      </c>
      <c r="O1155" s="37" t="n">
        <v>45692.3978703704</v>
      </c>
      <c r="P1155" s="22" t="n">
        <f aca="false">ROUND((O1155-C1155)*86400,0)</f>
        <v>570</v>
      </c>
      <c r="Q1155" s="22" t="str">
        <f aca="false">IF(P1155&lt;10,"a) &lt;10s",IF(P1155&lt;60,"b) 10-60s",IF(P1155&lt;600,"c) 1-10min","d) &gt;10min")))</f>
        <v>c) 1-10min</v>
      </c>
      <c r="R1155" s="38" t="n">
        <v>2809.93</v>
      </c>
      <c r="S1155" s="38" t="n">
        <v>2809.96</v>
      </c>
      <c r="T1155" s="22" t="s">
        <v>189</v>
      </c>
      <c r="U1155" s="39" t="n">
        <f aca="false">IF(R1155="","",IF(F1155="BUY",R1155-S1155,S1155-R1155))</f>
        <v>0.0300000000002001</v>
      </c>
      <c r="V1155" s="39" t="n">
        <f aca="false">IF(F1155="BUY",S1155-J1155,J1155-S1155)</f>
        <v>0.4699999999998</v>
      </c>
      <c r="W1155" s="6" t="n">
        <v>2.35</v>
      </c>
      <c r="X1155" s="26" t="n">
        <f aca="false">IFERROR(W1155/N1155,0)</f>
        <v>0.0783333333333333</v>
      </c>
      <c r="Y1155" s="22" t="str">
        <f aca="false">IF(W1155&gt;0,"Win",IF(W1155&lt;0,"Loss","Flat"))</f>
        <v>Win</v>
      </c>
      <c r="Z1155" s="24" t="n">
        <f aca="false">Summary!$C$5+SUM(W$2:W1155)</f>
        <v>3598.1</v>
      </c>
      <c r="AA1155" s="24" t="n">
        <f aca="false">MAX(AA1154,Z1155)</f>
        <v>5000</v>
      </c>
      <c r="AB1155" s="24" t="n">
        <f aca="false">AA1155-Z1155</f>
        <v>1401.9</v>
      </c>
      <c r="AC1155" s="23" t="n">
        <f aca="false">IFERROR(AB1155/AA1155,0)</f>
        <v>0.28038</v>
      </c>
      <c r="AD1155" s="22" t="s">
        <v>1392</v>
      </c>
    </row>
    <row r="1156" customFormat="false" ht="15" hidden="false" customHeight="false" outlineLevel="0" collapsed="false">
      <c r="A1156" s="22" t="n">
        <v>1155</v>
      </c>
      <c r="B1156" s="22" t="s">
        <v>154</v>
      </c>
      <c r="C1156" s="37" t="n">
        <v>45692.6400231482</v>
      </c>
      <c r="D1156" s="22" t="s">
        <v>203</v>
      </c>
      <c r="E1156" s="22" t="n">
        <v>15</v>
      </c>
      <c r="F1156" s="22" t="s">
        <v>181</v>
      </c>
      <c r="G1156" s="22" t="s">
        <v>243</v>
      </c>
      <c r="H1156" s="22" t="n">
        <v>0.05</v>
      </c>
      <c r="I1156" s="38" t="n">
        <v>2830.31</v>
      </c>
      <c r="J1156" s="38" t="n">
        <v>2830.32</v>
      </c>
      <c r="K1156" s="39" t="n">
        <f aca="false">IF(F1156="BUY",J1156-I1156,I1156-J1156)</f>
        <v>0.0100000000002183</v>
      </c>
      <c r="L1156" s="38" t="n">
        <v>2824.31</v>
      </c>
      <c r="M1156" s="39" t="n">
        <f aca="false">ABS(I1156-L1156)</f>
        <v>6</v>
      </c>
      <c r="N1156" s="24" t="n">
        <f aca="false">M1156*H1156*Summary!$C$6</f>
        <v>30</v>
      </c>
      <c r="O1156" s="37" t="n">
        <v>45692.6613078704</v>
      </c>
      <c r="P1156" s="22" t="n">
        <f aca="false">ROUND((O1156-C1156)*86400,0)</f>
        <v>1839</v>
      </c>
      <c r="Q1156" s="22" t="str">
        <f aca="false">IF(P1156&lt;10,"a) &lt;10s",IF(P1156&lt;60,"b) 10-60s",IF(P1156&lt;600,"c) 1-10min","d) &gt;10min")))</f>
        <v>d) &gt;10min</v>
      </c>
      <c r="R1156" s="38" t="n">
        <v>2830.82</v>
      </c>
      <c r="S1156" s="38" t="n">
        <v>2830.74</v>
      </c>
      <c r="T1156" s="22" t="s">
        <v>189</v>
      </c>
      <c r="U1156" s="39" t="n">
        <f aca="false">IF(R1156="","",IF(F1156="BUY",R1156-S1156,S1156-R1156))</f>
        <v>0.080000000000382</v>
      </c>
      <c r="V1156" s="39" t="n">
        <f aca="false">IF(F1156="BUY",S1156-J1156,J1156-S1156)</f>
        <v>0.419999999999618</v>
      </c>
      <c r="W1156" s="6" t="n">
        <v>2.1</v>
      </c>
      <c r="X1156" s="26" t="n">
        <f aca="false">IFERROR(W1156/N1156,0)</f>
        <v>0.07</v>
      </c>
      <c r="Y1156" s="22" t="str">
        <f aca="false">IF(W1156&gt;0,"Win",IF(W1156&lt;0,"Loss","Flat"))</f>
        <v>Win</v>
      </c>
      <c r="Z1156" s="24" t="n">
        <f aca="false">Summary!$C$5+SUM(W$2:W1156)</f>
        <v>3600.2</v>
      </c>
      <c r="AA1156" s="24" t="n">
        <f aca="false">MAX(AA1155,Z1156)</f>
        <v>5000</v>
      </c>
      <c r="AB1156" s="24" t="n">
        <f aca="false">AA1156-Z1156</f>
        <v>1399.8</v>
      </c>
      <c r="AC1156" s="23" t="n">
        <f aca="false">IFERROR(AB1156/AA1156,0)</f>
        <v>0.27996</v>
      </c>
      <c r="AD1156" s="22" t="s">
        <v>1393</v>
      </c>
    </row>
    <row r="1157" customFormat="false" ht="15" hidden="false" customHeight="false" outlineLevel="0" collapsed="false">
      <c r="A1157" s="22" t="n">
        <v>1156</v>
      </c>
      <c r="B1157" s="22" t="s">
        <v>154</v>
      </c>
      <c r="C1157" s="37" t="n">
        <v>45693.1050578704</v>
      </c>
      <c r="D1157" s="22" t="s">
        <v>204</v>
      </c>
      <c r="E1157" s="22" t="n">
        <v>2</v>
      </c>
      <c r="F1157" s="22" t="s">
        <v>181</v>
      </c>
      <c r="G1157" s="22" t="s">
        <v>243</v>
      </c>
      <c r="H1157" s="22" t="n">
        <v>0.06</v>
      </c>
      <c r="I1157" s="38" t="n">
        <v>2845.34</v>
      </c>
      <c r="J1157" s="38" t="n">
        <v>2845.37</v>
      </c>
      <c r="K1157" s="39" t="n">
        <f aca="false">IF(F1157="BUY",J1157-I1157,I1157-J1157)</f>
        <v>0.0299999999997453</v>
      </c>
      <c r="L1157" s="38" t="n">
        <v>2839.34</v>
      </c>
      <c r="M1157" s="39" t="n">
        <f aca="false">ABS(I1157-L1157)</f>
        <v>6</v>
      </c>
      <c r="N1157" s="24" t="n">
        <f aca="false">M1157*H1157*Summary!$C$6</f>
        <v>36</v>
      </c>
      <c r="O1157" s="37" t="n">
        <v>45693.1094212963</v>
      </c>
      <c r="P1157" s="22" t="n">
        <f aca="false">ROUND((O1157-C1157)*86400,0)</f>
        <v>377</v>
      </c>
      <c r="Q1157" s="22" t="str">
        <f aca="false">IF(P1157&lt;10,"a) &lt;10s",IF(P1157&lt;60,"b) 10-60s",IF(P1157&lt;600,"c) 1-10min","d) &gt;10min")))</f>
        <v>c) 1-10min</v>
      </c>
      <c r="R1157" s="38" t="n">
        <v>2845.87</v>
      </c>
      <c r="S1157" s="38" t="n">
        <v>2845.87</v>
      </c>
      <c r="T1157" s="22" t="s">
        <v>189</v>
      </c>
      <c r="U1157" s="39" t="n">
        <f aca="false">IF(R1157="","",IF(F1157="BUY",R1157-S1157,S1157-R1157))</f>
        <v>0</v>
      </c>
      <c r="V1157" s="39" t="n">
        <f aca="false">IF(F1157="BUY",S1157-J1157,J1157-S1157)</f>
        <v>0.5</v>
      </c>
      <c r="W1157" s="6" t="n">
        <v>3</v>
      </c>
      <c r="X1157" s="26" t="n">
        <f aca="false">IFERROR(W1157/N1157,0)</f>
        <v>0.0833333333333333</v>
      </c>
      <c r="Y1157" s="22" t="str">
        <f aca="false">IF(W1157&gt;0,"Win",IF(W1157&lt;0,"Loss","Flat"))</f>
        <v>Win</v>
      </c>
      <c r="Z1157" s="24" t="n">
        <f aca="false">Summary!$C$5+SUM(W$2:W1157)</f>
        <v>3603.2</v>
      </c>
      <c r="AA1157" s="24" t="n">
        <f aca="false">MAX(AA1156,Z1157)</f>
        <v>5000</v>
      </c>
      <c r="AB1157" s="24" t="n">
        <f aca="false">AA1157-Z1157</f>
        <v>1396.8</v>
      </c>
      <c r="AC1157" s="23" t="n">
        <f aca="false">IFERROR(AB1157/AA1157,0)</f>
        <v>0.27936</v>
      </c>
      <c r="AD1157" s="22" t="s">
        <v>1394</v>
      </c>
    </row>
    <row r="1158" customFormat="false" ht="15" hidden="false" customHeight="false" outlineLevel="0" collapsed="false">
      <c r="A1158" s="22" t="n">
        <v>1157</v>
      </c>
      <c r="B1158" s="22" t="s">
        <v>154</v>
      </c>
      <c r="C1158" s="37" t="n">
        <v>45693.4140277778</v>
      </c>
      <c r="D1158" s="22" t="s">
        <v>204</v>
      </c>
      <c r="E1158" s="22" t="n">
        <v>9</v>
      </c>
      <c r="F1158" s="22" t="s">
        <v>181</v>
      </c>
      <c r="G1158" s="22" t="s">
        <v>235</v>
      </c>
      <c r="H1158" s="22" t="n">
        <v>0.06</v>
      </c>
      <c r="I1158" s="38" t="n">
        <v>2861.69</v>
      </c>
      <c r="J1158" s="38" t="n">
        <v>2861.69</v>
      </c>
      <c r="K1158" s="39" t="n">
        <f aca="false">IF(F1158="BUY",J1158-I1158,I1158-J1158)</f>
        <v>0</v>
      </c>
      <c r="L1158" s="38" t="n">
        <v>2855.69</v>
      </c>
      <c r="M1158" s="39" t="n">
        <f aca="false">ABS(I1158-L1158)</f>
        <v>6</v>
      </c>
      <c r="N1158" s="24" t="n">
        <f aca="false">M1158*H1158*Summary!$C$6</f>
        <v>36</v>
      </c>
      <c r="O1158" s="37" t="n">
        <v>45693.6486574074</v>
      </c>
      <c r="P1158" s="22" t="n">
        <f aca="false">ROUND((O1158-C1158)*86400,0)</f>
        <v>20272</v>
      </c>
      <c r="Q1158" s="22" t="str">
        <f aca="false">IF(P1158&lt;10,"a) &lt;10s",IF(P1158&lt;60,"b) 10-60s",IF(P1158&lt;600,"c) 1-10min","d) &gt;10min")))</f>
        <v>d) &gt;10min</v>
      </c>
      <c r="R1158" s="38" t="n">
        <v>2862.19</v>
      </c>
      <c r="S1158" s="38" t="n">
        <v>2862.18</v>
      </c>
      <c r="T1158" s="22" t="s">
        <v>189</v>
      </c>
      <c r="U1158" s="39" t="n">
        <f aca="false">IF(R1158="","",IF(F1158="BUY",R1158-S1158,S1158-R1158))</f>
        <v>0.0100000000002183</v>
      </c>
      <c r="V1158" s="39" t="n">
        <f aca="false">IF(F1158="BUY",S1158-J1158,J1158-S1158)</f>
        <v>0.489999999999782</v>
      </c>
      <c r="W1158" s="6" t="n">
        <v>2.94</v>
      </c>
      <c r="X1158" s="26" t="n">
        <f aca="false">IFERROR(W1158/N1158,0)</f>
        <v>0.0816666666666667</v>
      </c>
      <c r="Y1158" s="22" t="str">
        <f aca="false">IF(W1158&gt;0,"Win",IF(W1158&lt;0,"Loss","Flat"))</f>
        <v>Win</v>
      </c>
      <c r="Z1158" s="24" t="n">
        <f aca="false">Summary!$C$5+SUM(W$2:W1158)</f>
        <v>3606.14</v>
      </c>
      <c r="AA1158" s="24" t="n">
        <f aca="false">MAX(AA1157,Z1158)</f>
        <v>5000</v>
      </c>
      <c r="AB1158" s="24" t="n">
        <f aca="false">AA1158-Z1158</f>
        <v>1393.86</v>
      </c>
      <c r="AC1158" s="23" t="n">
        <f aca="false">IFERROR(AB1158/AA1158,0)</f>
        <v>0.278772</v>
      </c>
      <c r="AD1158" s="22" t="s">
        <v>1395</v>
      </c>
    </row>
    <row r="1159" customFormat="false" ht="15" hidden="false" customHeight="false" outlineLevel="0" collapsed="false">
      <c r="A1159" s="22" t="n">
        <v>1158</v>
      </c>
      <c r="B1159" s="22" t="s">
        <v>154</v>
      </c>
      <c r="C1159" s="37" t="n">
        <v>45694.3750231482</v>
      </c>
      <c r="D1159" s="22" t="s">
        <v>205</v>
      </c>
      <c r="E1159" s="22" t="n">
        <v>9</v>
      </c>
      <c r="F1159" s="22" t="s">
        <v>182</v>
      </c>
      <c r="G1159" s="22" t="s">
        <v>241</v>
      </c>
      <c r="H1159" s="22" t="n">
        <v>0.06</v>
      </c>
      <c r="I1159" s="38" t="n">
        <v>2858.36</v>
      </c>
      <c r="J1159" s="38" t="n">
        <v>2858.16</v>
      </c>
      <c r="K1159" s="39" t="n">
        <f aca="false">IF(F1159="BUY",J1159-I1159,I1159-J1159)</f>
        <v>0.200000000000273</v>
      </c>
      <c r="L1159" s="38" t="n">
        <v>2864.36</v>
      </c>
      <c r="M1159" s="39" t="n">
        <f aca="false">ABS(I1159-L1159)</f>
        <v>6</v>
      </c>
      <c r="N1159" s="24" t="n">
        <f aca="false">M1159*H1159*Summary!$C$6</f>
        <v>36</v>
      </c>
      <c r="O1159" s="37" t="n">
        <v>45694.4079976852</v>
      </c>
      <c r="P1159" s="22" t="n">
        <f aca="false">ROUND((O1159-C1159)*86400,0)</f>
        <v>2849</v>
      </c>
      <c r="Q1159" s="22" t="str">
        <f aca="false">IF(P1159&lt;10,"a) &lt;10s",IF(P1159&lt;60,"b) 10-60s",IF(P1159&lt;600,"c) 1-10min","d) &gt;10min")))</f>
        <v>d) &gt;10min</v>
      </c>
      <c r="R1159" s="38" t="n">
        <v>2857.66</v>
      </c>
      <c r="S1159" s="38" t="n">
        <v>2857.79</v>
      </c>
      <c r="T1159" s="22" t="s">
        <v>189</v>
      </c>
      <c r="U1159" s="39" t="n">
        <f aca="false">IF(R1159="","",IF(F1159="BUY",R1159-S1159,S1159-R1159))</f>
        <v>0.130000000000109</v>
      </c>
      <c r="V1159" s="39" t="n">
        <f aca="false">IF(F1159="BUY",S1159-J1159,J1159-S1159)</f>
        <v>0.369999999999891</v>
      </c>
      <c r="W1159" s="6" t="n">
        <v>2.22</v>
      </c>
      <c r="X1159" s="26" t="n">
        <f aca="false">IFERROR(W1159/N1159,0)</f>
        <v>0.0616666666666667</v>
      </c>
      <c r="Y1159" s="22" t="str">
        <f aca="false">IF(W1159&gt;0,"Win",IF(W1159&lt;0,"Loss","Flat"))</f>
        <v>Win</v>
      </c>
      <c r="Z1159" s="24" t="n">
        <f aca="false">Summary!$C$5+SUM(W$2:W1159)</f>
        <v>3608.36</v>
      </c>
      <c r="AA1159" s="24" t="n">
        <f aca="false">MAX(AA1158,Z1159)</f>
        <v>5000</v>
      </c>
      <c r="AB1159" s="24" t="n">
        <f aca="false">AA1159-Z1159</f>
        <v>1391.64</v>
      </c>
      <c r="AC1159" s="23" t="n">
        <f aca="false">IFERROR(AB1159/AA1159,0)</f>
        <v>0.278328</v>
      </c>
      <c r="AD1159" s="22" t="s">
        <v>1396</v>
      </c>
    </row>
    <row r="1160" customFormat="false" ht="15" hidden="false" customHeight="false" outlineLevel="0" collapsed="false">
      <c r="A1160" s="22" t="n">
        <v>1159</v>
      </c>
      <c r="B1160" s="22" t="s">
        <v>154</v>
      </c>
      <c r="C1160" s="37" t="n">
        <v>45694.7086226852</v>
      </c>
      <c r="D1160" s="22" t="s">
        <v>205</v>
      </c>
      <c r="E1160" s="22" t="n">
        <v>17</v>
      </c>
      <c r="F1160" s="22" t="s">
        <v>182</v>
      </c>
      <c r="G1160" s="22" t="s">
        <v>237</v>
      </c>
      <c r="H1160" s="22" t="n">
        <v>0.06</v>
      </c>
      <c r="I1160" s="38" t="n">
        <v>2839.34</v>
      </c>
      <c r="J1160" s="38" t="n">
        <v>2839.22</v>
      </c>
      <c r="K1160" s="39" t="n">
        <f aca="false">IF(F1160="BUY",J1160-I1160,I1160-J1160)</f>
        <v>0.120000000000346</v>
      </c>
      <c r="L1160" s="38" t="n">
        <v>2845.34</v>
      </c>
      <c r="M1160" s="39" t="n">
        <f aca="false">ABS(I1160-L1160)</f>
        <v>6</v>
      </c>
      <c r="N1160" s="24" t="n">
        <f aca="false">M1160*H1160*Summary!$C$6</f>
        <v>36</v>
      </c>
      <c r="O1160" s="37" t="n">
        <v>45694.7152777778</v>
      </c>
      <c r="P1160" s="22" t="n">
        <f aca="false">ROUND((O1160-C1160)*86400,0)</f>
        <v>575</v>
      </c>
      <c r="Q1160" s="22" t="str">
        <f aca="false">IF(P1160&lt;10,"a) &lt;10s",IF(P1160&lt;60,"b) 10-60s",IF(P1160&lt;600,"c) 1-10min","d) &gt;10min")))</f>
        <v>c) 1-10min</v>
      </c>
      <c r="R1160" s="38" t="n">
        <v>2838.72</v>
      </c>
      <c r="S1160" s="38" t="n">
        <v>2838.83</v>
      </c>
      <c r="T1160" s="22" t="s">
        <v>189</v>
      </c>
      <c r="U1160" s="39" t="n">
        <f aca="false">IF(R1160="","",IF(F1160="BUY",R1160-S1160,S1160-R1160))</f>
        <v>0.110000000000127</v>
      </c>
      <c r="V1160" s="39" t="n">
        <f aca="false">IF(F1160="BUY",S1160-J1160,J1160-S1160)</f>
        <v>0.389999999999873</v>
      </c>
      <c r="W1160" s="6" t="n">
        <v>2.34</v>
      </c>
      <c r="X1160" s="26" t="n">
        <f aca="false">IFERROR(W1160/N1160,0)</f>
        <v>0.065</v>
      </c>
      <c r="Y1160" s="22" t="str">
        <f aca="false">IF(W1160&gt;0,"Win",IF(W1160&lt;0,"Loss","Flat"))</f>
        <v>Win</v>
      </c>
      <c r="Z1160" s="24" t="n">
        <f aca="false">Summary!$C$5+SUM(W$2:W1160)</f>
        <v>3610.7</v>
      </c>
      <c r="AA1160" s="24" t="n">
        <f aca="false">MAX(AA1159,Z1160)</f>
        <v>5000</v>
      </c>
      <c r="AB1160" s="24" t="n">
        <f aca="false">AA1160-Z1160</f>
        <v>1389.3</v>
      </c>
      <c r="AC1160" s="23" t="n">
        <f aca="false">IFERROR(AB1160/AA1160,0)</f>
        <v>0.27786</v>
      </c>
      <c r="AD1160" s="22" t="s">
        <v>1397</v>
      </c>
    </row>
    <row r="1161" customFormat="false" ht="15" hidden="false" customHeight="false" outlineLevel="0" collapsed="false">
      <c r="A1161" s="22" t="n">
        <v>1160</v>
      </c>
      <c r="B1161" s="22" t="s">
        <v>154</v>
      </c>
      <c r="C1161" s="37" t="n">
        <v>45695.4300810185</v>
      </c>
      <c r="D1161" s="22" t="s">
        <v>206</v>
      </c>
      <c r="E1161" s="22" t="n">
        <v>10</v>
      </c>
      <c r="F1161" s="22" t="s">
        <v>181</v>
      </c>
      <c r="G1161" s="22" t="s">
        <v>235</v>
      </c>
      <c r="H1161" s="22" t="n">
        <v>0.06</v>
      </c>
      <c r="I1161" s="38" t="n">
        <v>2866.95</v>
      </c>
      <c r="J1161" s="38" t="n">
        <v>2866.95</v>
      </c>
      <c r="K1161" s="39" t="n">
        <f aca="false">IF(F1161="BUY",J1161-I1161,I1161-J1161)</f>
        <v>0</v>
      </c>
      <c r="L1161" s="38" t="n">
        <v>2860.95</v>
      </c>
      <c r="M1161" s="39" t="n">
        <f aca="false">ABS(I1161-L1161)</f>
        <v>6</v>
      </c>
      <c r="N1161" s="24" t="n">
        <f aca="false">M1161*H1161*Summary!$C$6</f>
        <v>36</v>
      </c>
      <c r="O1161" s="37" t="n">
        <v>45695.4622453704</v>
      </c>
      <c r="P1161" s="22" t="n">
        <f aca="false">ROUND((O1161-C1161)*86400,0)</f>
        <v>2779</v>
      </c>
      <c r="Q1161" s="22" t="str">
        <f aca="false">IF(P1161&lt;10,"a) &lt;10s",IF(P1161&lt;60,"b) 10-60s",IF(P1161&lt;600,"c) 1-10min","d) &gt;10min")))</f>
        <v>d) &gt;10min</v>
      </c>
      <c r="R1161" s="38" t="n">
        <v>2867.45</v>
      </c>
      <c r="S1161" s="38" t="n">
        <v>2867.32</v>
      </c>
      <c r="T1161" s="22" t="s">
        <v>189</v>
      </c>
      <c r="U1161" s="39" t="n">
        <f aca="false">IF(R1161="","",IF(F1161="BUY",R1161-S1161,S1161-R1161))</f>
        <v>0.129999999999654</v>
      </c>
      <c r="V1161" s="39" t="n">
        <f aca="false">IF(F1161="BUY",S1161-J1161,J1161-S1161)</f>
        <v>0.370000000000346</v>
      </c>
      <c r="W1161" s="6" t="n">
        <v>2.22</v>
      </c>
      <c r="X1161" s="26" t="n">
        <f aca="false">IFERROR(W1161/N1161,0)</f>
        <v>0.0616666666666667</v>
      </c>
      <c r="Y1161" s="22" t="str">
        <f aca="false">IF(W1161&gt;0,"Win",IF(W1161&lt;0,"Loss","Flat"))</f>
        <v>Win</v>
      </c>
      <c r="Z1161" s="24" t="n">
        <f aca="false">Summary!$C$5+SUM(W$2:W1161)</f>
        <v>3612.92</v>
      </c>
      <c r="AA1161" s="24" t="n">
        <f aca="false">MAX(AA1160,Z1161)</f>
        <v>5000</v>
      </c>
      <c r="AB1161" s="24" t="n">
        <f aca="false">AA1161-Z1161</f>
        <v>1387.08</v>
      </c>
      <c r="AC1161" s="23" t="n">
        <f aca="false">IFERROR(AB1161/AA1161,0)</f>
        <v>0.277416</v>
      </c>
      <c r="AD1161" s="22" t="s">
        <v>1398</v>
      </c>
    </row>
    <row r="1162" customFormat="false" ht="15" hidden="false" customHeight="false" outlineLevel="0" collapsed="false">
      <c r="A1162" s="22" t="n">
        <v>1161</v>
      </c>
      <c r="B1162" s="22" t="s">
        <v>154</v>
      </c>
      <c r="C1162" s="37" t="n">
        <v>45695.6459953704</v>
      </c>
      <c r="D1162" s="22" t="s">
        <v>206</v>
      </c>
      <c r="E1162" s="22" t="n">
        <v>15</v>
      </c>
      <c r="F1162" s="22" t="s">
        <v>181</v>
      </c>
      <c r="G1162" s="22" t="s">
        <v>243</v>
      </c>
      <c r="H1162" s="22" t="n">
        <v>0.06</v>
      </c>
      <c r="I1162" s="38" t="n">
        <v>2873.09</v>
      </c>
      <c r="J1162" s="38" t="n">
        <v>2873.19</v>
      </c>
      <c r="K1162" s="39" t="n">
        <f aca="false">IF(F1162="BUY",J1162-I1162,I1162-J1162)</f>
        <v>0.0999999999999091</v>
      </c>
      <c r="L1162" s="38" t="n">
        <v>2867.09</v>
      </c>
      <c r="M1162" s="39" t="n">
        <f aca="false">ABS(I1162-L1162)</f>
        <v>6</v>
      </c>
      <c r="N1162" s="24" t="n">
        <f aca="false">M1162*H1162*Summary!$C$6</f>
        <v>36</v>
      </c>
      <c r="O1162" s="37" t="n">
        <v>45695.6460185185</v>
      </c>
      <c r="P1162" s="22" t="n">
        <f aca="false">ROUND((O1162-C1162)*86400,0)</f>
        <v>2</v>
      </c>
      <c r="Q1162" s="22" t="str">
        <f aca="false">IF(P1162&lt;10,"a) &lt;10s",IF(P1162&lt;60,"b) 10-60s",IF(P1162&lt;600,"c) 1-10min","d) &gt;10min")))</f>
        <v>a) &lt;10s</v>
      </c>
      <c r="R1162" s="38" t="n">
        <v>2867.09</v>
      </c>
      <c r="S1162" s="38" t="n">
        <v>2866.8</v>
      </c>
      <c r="T1162" s="22" t="s">
        <v>188</v>
      </c>
      <c r="U1162" s="39" t="n">
        <f aca="false">IF(R1162="","",IF(F1162="BUY",R1162-S1162,S1162-R1162))</f>
        <v>0.289999999999964</v>
      </c>
      <c r="V1162" s="39" t="n">
        <f aca="false">IF(F1162="BUY",S1162-J1162,J1162-S1162)</f>
        <v>-6.38999999999987</v>
      </c>
      <c r="W1162" s="6" t="n">
        <v>-38.34</v>
      </c>
      <c r="X1162" s="26" t="n">
        <f aca="false">IFERROR(W1162/N1162,0)</f>
        <v>-1.065</v>
      </c>
      <c r="Y1162" s="22" t="str">
        <f aca="false">IF(W1162&gt;0,"Win",IF(W1162&lt;0,"Loss","Flat"))</f>
        <v>Loss</v>
      </c>
      <c r="Z1162" s="24" t="n">
        <f aca="false">Summary!$C$5+SUM(W$2:W1162)</f>
        <v>3574.58</v>
      </c>
      <c r="AA1162" s="24" t="n">
        <f aca="false">MAX(AA1161,Z1162)</f>
        <v>5000</v>
      </c>
      <c r="AB1162" s="24" t="n">
        <f aca="false">AA1162-Z1162</f>
        <v>1425.42</v>
      </c>
      <c r="AC1162" s="23" t="n">
        <f aca="false">IFERROR(AB1162/AA1162,0)</f>
        <v>0.285084</v>
      </c>
      <c r="AD1162" s="22" t="s">
        <v>1399</v>
      </c>
    </row>
    <row r="1163" customFormat="false" ht="15" hidden="false" customHeight="false" outlineLevel="0" collapsed="false">
      <c r="A1163" s="22" t="n">
        <v>1162</v>
      </c>
      <c r="B1163" s="22" t="s">
        <v>154</v>
      </c>
      <c r="C1163" s="37" t="n">
        <v>45698.3657175926</v>
      </c>
      <c r="D1163" s="22" t="s">
        <v>202</v>
      </c>
      <c r="E1163" s="22" t="n">
        <v>8</v>
      </c>
      <c r="F1163" s="22" t="s">
        <v>181</v>
      </c>
      <c r="G1163" s="22" t="s">
        <v>243</v>
      </c>
      <c r="H1163" s="22" t="n">
        <v>0.05</v>
      </c>
      <c r="I1163" s="38" t="n">
        <v>2886.61</v>
      </c>
      <c r="J1163" s="38" t="n">
        <v>2886.62</v>
      </c>
      <c r="K1163" s="39" t="n">
        <f aca="false">IF(F1163="BUY",J1163-I1163,I1163-J1163)</f>
        <v>0.00999999999976353</v>
      </c>
      <c r="L1163" s="38" t="n">
        <v>2880.61</v>
      </c>
      <c r="M1163" s="39" t="n">
        <f aca="false">ABS(I1163-L1163)</f>
        <v>6</v>
      </c>
      <c r="N1163" s="24" t="n">
        <f aca="false">M1163*H1163*Summary!$C$6</f>
        <v>30</v>
      </c>
      <c r="O1163" s="37" t="n">
        <v>45698.3704861111</v>
      </c>
      <c r="P1163" s="22" t="n">
        <f aca="false">ROUND((O1163-C1163)*86400,0)</f>
        <v>412</v>
      </c>
      <c r="Q1163" s="22" t="str">
        <f aca="false">IF(P1163&lt;10,"a) &lt;10s",IF(P1163&lt;60,"b) 10-60s",IF(P1163&lt;600,"c) 1-10min","d) &gt;10min")))</f>
        <v>c) 1-10min</v>
      </c>
      <c r="R1163" s="38" t="n">
        <v>2887.12</v>
      </c>
      <c r="S1163" s="38" t="n">
        <v>2887.02</v>
      </c>
      <c r="T1163" s="22" t="s">
        <v>189</v>
      </c>
      <c r="U1163" s="39" t="n">
        <f aca="false">IF(R1163="","",IF(F1163="BUY",R1163-S1163,S1163-R1163))</f>
        <v>0.0999999999999091</v>
      </c>
      <c r="V1163" s="39" t="n">
        <f aca="false">IF(F1163="BUY",S1163-J1163,J1163-S1163)</f>
        <v>0.400000000000091</v>
      </c>
      <c r="W1163" s="6" t="n">
        <v>2</v>
      </c>
      <c r="X1163" s="26" t="n">
        <f aca="false">IFERROR(W1163/N1163,0)</f>
        <v>0.0666666666666667</v>
      </c>
      <c r="Y1163" s="22" t="str">
        <f aca="false">IF(W1163&gt;0,"Win",IF(W1163&lt;0,"Loss","Flat"))</f>
        <v>Win</v>
      </c>
      <c r="Z1163" s="24" t="n">
        <f aca="false">Summary!$C$5+SUM(W$2:W1163)</f>
        <v>3576.58</v>
      </c>
      <c r="AA1163" s="24" t="n">
        <f aca="false">MAX(AA1162,Z1163)</f>
        <v>5000</v>
      </c>
      <c r="AB1163" s="24" t="n">
        <f aca="false">AA1163-Z1163</f>
        <v>1423.42</v>
      </c>
      <c r="AC1163" s="23" t="n">
        <f aca="false">IFERROR(AB1163/AA1163,0)</f>
        <v>0.284684</v>
      </c>
      <c r="AD1163" s="22" t="s">
        <v>1400</v>
      </c>
    </row>
    <row r="1164" customFormat="false" ht="15" hidden="false" customHeight="false" outlineLevel="0" collapsed="false">
      <c r="A1164" s="22" t="n">
        <v>1163</v>
      </c>
      <c r="B1164" s="22" t="s">
        <v>154</v>
      </c>
      <c r="C1164" s="37" t="n">
        <v>45698.3937731482</v>
      </c>
      <c r="D1164" s="22" t="s">
        <v>202</v>
      </c>
      <c r="E1164" s="22" t="n">
        <v>9</v>
      </c>
      <c r="F1164" s="22" t="s">
        <v>181</v>
      </c>
      <c r="G1164" s="22" t="s">
        <v>235</v>
      </c>
      <c r="H1164" s="22" t="n">
        <v>0.05</v>
      </c>
      <c r="I1164" s="38" t="n">
        <v>2892.13</v>
      </c>
      <c r="J1164" s="38" t="n">
        <v>2892.21</v>
      </c>
      <c r="K1164" s="39" t="n">
        <f aca="false">IF(F1164="BUY",J1164-I1164,I1164-J1164)</f>
        <v>0.0799999999999272</v>
      </c>
      <c r="L1164" s="38" t="n">
        <v>2886.13</v>
      </c>
      <c r="M1164" s="39" t="n">
        <f aca="false">ABS(I1164-L1164)</f>
        <v>6</v>
      </c>
      <c r="N1164" s="24" t="n">
        <f aca="false">M1164*H1164*Summary!$C$6</f>
        <v>30</v>
      </c>
      <c r="O1164" s="37" t="n">
        <v>45698.4049189815</v>
      </c>
      <c r="P1164" s="22" t="n">
        <f aca="false">ROUND((O1164-C1164)*86400,0)</f>
        <v>963</v>
      </c>
      <c r="Q1164" s="22" t="str">
        <f aca="false">IF(P1164&lt;10,"a) &lt;10s",IF(P1164&lt;60,"b) 10-60s",IF(P1164&lt;600,"c) 1-10min","d) &gt;10min")))</f>
        <v>d) &gt;10min</v>
      </c>
      <c r="R1164" s="38" t="n">
        <v>2892.71</v>
      </c>
      <c r="S1164" s="38" t="n">
        <v>2892.7</v>
      </c>
      <c r="T1164" s="22" t="s">
        <v>189</v>
      </c>
      <c r="U1164" s="39" t="n">
        <f aca="false">IF(R1164="","",IF(F1164="BUY",R1164-S1164,S1164-R1164))</f>
        <v>0.0100000000002183</v>
      </c>
      <c r="V1164" s="39" t="n">
        <f aca="false">IF(F1164="BUY",S1164-J1164,J1164-S1164)</f>
        <v>0.489999999999782</v>
      </c>
      <c r="W1164" s="6" t="n">
        <v>2.45</v>
      </c>
      <c r="X1164" s="26" t="n">
        <f aca="false">IFERROR(W1164/N1164,0)</f>
        <v>0.0816666666666667</v>
      </c>
      <c r="Y1164" s="22" t="str">
        <f aca="false">IF(W1164&gt;0,"Win",IF(W1164&lt;0,"Loss","Flat"))</f>
        <v>Win</v>
      </c>
      <c r="Z1164" s="24" t="n">
        <f aca="false">Summary!$C$5+SUM(W$2:W1164)</f>
        <v>3579.03</v>
      </c>
      <c r="AA1164" s="24" t="n">
        <f aca="false">MAX(AA1163,Z1164)</f>
        <v>5000</v>
      </c>
      <c r="AB1164" s="24" t="n">
        <f aca="false">AA1164-Z1164</f>
        <v>1420.97</v>
      </c>
      <c r="AC1164" s="23" t="n">
        <f aca="false">IFERROR(AB1164/AA1164,0)</f>
        <v>0.284194</v>
      </c>
      <c r="AD1164" s="22" t="s">
        <v>1401</v>
      </c>
    </row>
    <row r="1165" customFormat="false" ht="15" hidden="false" customHeight="false" outlineLevel="0" collapsed="false">
      <c r="A1165" s="22" t="n">
        <v>1164</v>
      </c>
      <c r="B1165" s="22" t="s">
        <v>154</v>
      </c>
      <c r="C1165" s="37" t="n">
        <v>45699.3761805556</v>
      </c>
      <c r="D1165" s="22" t="s">
        <v>203</v>
      </c>
      <c r="E1165" s="22" t="n">
        <v>9</v>
      </c>
      <c r="F1165" s="22" t="s">
        <v>182</v>
      </c>
      <c r="G1165" s="22" t="s">
        <v>241</v>
      </c>
      <c r="H1165" s="22" t="n">
        <v>0.05</v>
      </c>
      <c r="I1165" s="38" t="n">
        <v>2915.13</v>
      </c>
      <c r="J1165" s="38" t="n">
        <v>2914.9</v>
      </c>
      <c r="K1165" s="39" t="n">
        <f aca="false">IF(F1165="BUY",J1165-I1165,I1165-J1165)</f>
        <v>0.230000000000018</v>
      </c>
      <c r="L1165" s="38" t="n">
        <v>2921.13</v>
      </c>
      <c r="M1165" s="39" t="n">
        <f aca="false">ABS(I1165-L1165)</f>
        <v>6</v>
      </c>
      <c r="N1165" s="24" t="n">
        <f aca="false">M1165*H1165*Summary!$C$6</f>
        <v>30</v>
      </c>
      <c r="O1165" s="37" t="n">
        <v>45699.3787731482</v>
      </c>
      <c r="P1165" s="22" t="n">
        <f aca="false">ROUND((O1165-C1165)*86400,0)</f>
        <v>224</v>
      </c>
      <c r="Q1165" s="22" t="str">
        <f aca="false">IF(P1165&lt;10,"a) &lt;10s",IF(P1165&lt;60,"b) 10-60s",IF(P1165&lt;600,"c) 1-10min","d) &gt;10min")))</f>
        <v>c) 1-10min</v>
      </c>
      <c r="R1165" s="38" t="n">
        <v>2914.4</v>
      </c>
      <c r="S1165" s="38" t="n">
        <v>2914.42</v>
      </c>
      <c r="T1165" s="22" t="s">
        <v>189</v>
      </c>
      <c r="U1165" s="39" t="n">
        <f aca="false">IF(R1165="","",IF(F1165="BUY",R1165-S1165,S1165-R1165))</f>
        <v>0.0199999999999818</v>
      </c>
      <c r="V1165" s="39" t="n">
        <f aca="false">IF(F1165="BUY",S1165-J1165,J1165-S1165)</f>
        <v>0.480000000000018</v>
      </c>
      <c r="W1165" s="6" t="n">
        <v>2.4</v>
      </c>
      <c r="X1165" s="26" t="n">
        <f aca="false">IFERROR(W1165/N1165,0)</f>
        <v>0.08</v>
      </c>
      <c r="Y1165" s="22" t="str">
        <f aca="false">IF(W1165&gt;0,"Win",IF(W1165&lt;0,"Loss","Flat"))</f>
        <v>Win</v>
      </c>
      <c r="Z1165" s="24" t="n">
        <f aca="false">Summary!$C$5+SUM(W$2:W1165)</f>
        <v>3581.43</v>
      </c>
      <c r="AA1165" s="24" t="n">
        <f aca="false">MAX(AA1164,Z1165)</f>
        <v>5000</v>
      </c>
      <c r="AB1165" s="24" t="n">
        <f aca="false">AA1165-Z1165</f>
        <v>1418.57</v>
      </c>
      <c r="AC1165" s="23" t="n">
        <f aca="false">IFERROR(AB1165/AA1165,0)</f>
        <v>0.283714</v>
      </c>
      <c r="AD1165" s="22" t="s">
        <v>1402</v>
      </c>
    </row>
    <row r="1166" customFormat="false" ht="15" hidden="false" customHeight="false" outlineLevel="0" collapsed="false">
      <c r="A1166" s="22" t="n">
        <v>1165</v>
      </c>
      <c r="B1166" s="22" t="s">
        <v>154</v>
      </c>
      <c r="C1166" s="37" t="n">
        <v>45700.3794097222</v>
      </c>
      <c r="D1166" s="22" t="s">
        <v>204</v>
      </c>
      <c r="E1166" s="22" t="n">
        <v>9</v>
      </c>
      <c r="F1166" s="22" t="s">
        <v>181</v>
      </c>
      <c r="G1166" s="22" t="s">
        <v>235</v>
      </c>
      <c r="H1166" s="22" t="n">
        <v>0.05</v>
      </c>
      <c r="I1166" s="38" t="n">
        <v>2894.4</v>
      </c>
      <c r="J1166" s="38" t="n">
        <v>2894.42</v>
      </c>
      <c r="K1166" s="39" t="n">
        <f aca="false">IF(F1166="BUY",J1166-I1166,I1166-J1166)</f>
        <v>0.0199999999999818</v>
      </c>
      <c r="L1166" s="38" t="n">
        <v>2888.4</v>
      </c>
      <c r="M1166" s="39" t="n">
        <f aca="false">ABS(I1166-L1166)</f>
        <v>6</v>
      </c>
      <c r="N1166" s="24" t="n">
        <f aca="false">M1166*H1166*Summary!$C$6</f>
        <v>30</v>
      </c>
      <c r="O1166" s="37" t="n">
        <v>45700.425775463</v>
      </c>
      <c r="P1166" s="22" t="n">
        <f aca="false">ROUND((O1166-C1166)*86400,0)</f>
        <v>4006</v>
      </c>
      <c r="Q1166" s="22" t="str">
        <f aca="false">IF(P1166&lt;10,"a) &lt;10s",IF(P1166&lt;60,"b) 10-60s",IF(P1166&lt;600,"c) 1-10min","d) &gt;10min")))</f>
        <v>d) &gt;10min</v>
      </c>
      <c r="R1166" s="38" t="n">
        <v>2888.4</v>
      </c>
      <c r="S1166" s="38" t="n">
        <v>2888.4</v>
      </c>
      <c r="T1166" s="22" t="s">
        <v>188</v>
      </c>
      <c r="U1166" s="39" t="n">
        <f aca="false">IF(R1166="","",IF(F1166="BUY",R1166-S1166,S1166-R1166))</f>
        <v>0</v>
      </c>
      <c r="V1166" s="39" t="n">
        <f aca="false">IF(F1166="BUY",S1166-J1166,J1166-S1166)</f>
        <v>-6.01999999999998</v>
      </c>
      <c r="W1166" s="6" t="n">
        <v>-30.1</v>
      </c>
      <c r="X1166" s="26" t="n">
        <f aca="false">IFERROR(W1166/N1166,0)</f>
        <v>-1.00333333333333</v>
      </c>
      <c r="Y1166" s="22" t="str">
        <f aca="false">IF(W1166&gt;0,"Win",IF(W1166&lt;0,"Loss","Flat"))</f>
        <v>Loss</v>
      </c>
      <c r="Z1166" s="24" t="n">
        <f aca="false">Summary!$C$5+SUM(W$2:W1166)</f>
        <v>3551.33</v>
      </c>
      <c r="AA1166" s="24" t="n">
        <f aca="false">MAX(AA1165,Z1166)</f>
        <v>5000</v>
      </c>
      <c r="AB1166" s="24" t="n">
        <f aca="false">AA1166-Z1166</f>
        <v>1448.67</v>
      </c>
      <c r="AC1166" s="23" t="n">
        <f aca="false">IFERROR(AB1166/AA1166,0)</f>
        <v>0.289734</v>
      </c>
      <c r="AD1166" s="22" t="s">
        <v>1403</v>
      </c>
    </row>
    <row r="1167" customFormat="false" ht="15" hidden="false" customHeight="false" outlineLevel="0" collapsed="false">
      <c r="A1167" s="22" t="n">
        <v>1166</v>
      </c>
      <c r="B1167" s="22" t="s">
        <v>154</v>
      </c>
      <c r="C1167" s="37" t="n">
        <v>45700.5300462963</v>
      </c>
      <c r="D1167" s="22" t="s">
        <v>204</v>
      </c>
      <c r="E1167" s="22" t="n">
        <v>12</v>
      </c>
      <c r="F1167" s="22" t="s">
        <v>182</v>
      </c>
      <c r="G1167" s="22" t="s">
        <v>237</v>
      </c>
      <c r="H1167" s="22" t="n">
        <v>0.05</v>
      </c>
      <c r="I1167" s="38" t="n">
        <v>2881.64</v>
      </c>
      <c r="J1167" s="38" t="n">
        <v>2881.58</v>
      </c>
      <c r="K1167" s="39" t="n">
        <f aca="false">IF(F1167="BUY",J1167-I1167,I1167-J1167)</f>
        <v>0.0599999999999454</v>
      </c>
      <c r="L1167" s="38" t="n">
        <v>2887.64</v>
      </c>
      <c r="M1167" s="39" t="n">
        <f aca="false">ABS(I1167-L1167)</f>
        <v>6</v>
      </c>
      <c r="N1167" s="24" t="n">
        <f aca="false">M1167*H1167*Summary!$C$6</f>
        <v>30</v>
      </c>
      <c r="O1167" s="37" t="n">
        <v>45700.5845949074</v>
      </c>
      <c r="P1167" s="22" t="n">
        <f aca="false">ROUND((O1167-C1167)*86400,0)</f>
        <v>4713</v>
      </c>
      <c r="Q1167" s="22" t="str">
        <f aca="false">IF(P1167&lt;10,"a) &lt;10s",IF(P1167&lt;60,"b) 10-60s",IF(P1167&lt;600,"c) 1-10min","d) &gt;10min")))</f>
        <v>d) &gt;10min</v>
      </c>
      <c r="R1167" s="38" t="n">
        <v>2881.08</v>
      </c>
      <c r="S1167" s="38" t="n">
        <v>2881.12</v>
      </c>
      <c r="T1167" s="22" t="s">
        <v>189</v>
      </c>
      <c r="U1167" s="39" t="n">
        <f aca="false">IF(R1167="","",IF(F1167="BUY",R1167-S1167,S1167-R1167))</f>
        <v>0.0399999999999636</v>
      </c>
      <c r="V1167" s="39" t="n">
        <f aca="false">IF(F1167="BUY",S1167-J1167,J1167-S1167)</f>
        <v>0.460000000000036</v>
      </c>
      <c r="W1167" s="6" t="n">
        <v>2.3</v>
      </c>
      <c r="X1167" s="26" t="n">
        <f aca="false">IFERROR(W1167/N1167,0)</f>
        <v>0.0766666666666667</v>
      </c>
      <c r="Y1167" s="22" t="str">
        <f aca="false">IF(W1167&gt;0,"Win",IF(W1167&lt;0,"Loss","Flat"))</f>
        <v>Win</v>
      </c>
      <c r="Z1167" s="24" t="n">
        <f aca="false">Summary!$C$5+SUM(W$2:W1167)</f>
        <v>3553.63</v>
      </c>
      <c r="AA1167" s="24" t="n">
        <f aca="false">MAX(AA1166,Z1167)</f>
        <v>5000</v>
      </c>
      <c r="AB1167" s="24" t="n">
        <f aca="false">AA1167-Z1167</f>
        <v>1446.37</v>
      </c>
      <c r="AC1167" s="23" t="n">
        <f aca="false">IFERROR(AB1167/AA1167,0)</f>
        <v>0.289274</v>
      </c>
      <c r="AD1167" s="22" t="s">
        <v>1404</v>
      </c>
    </row>
    <row r="1168" customFormat="false" ht="15" hidden="false" customHeight="false" outlineLevel="0" collapsed="false">
      <c r="A1168" s="22" t="n">
        <v>1167</v>
      </c>
      <c r="B1168" s="22" t="s">
        <v>154</v>
      </c>
      <c r="C1168" s="37" t="n">
        <v>45701.1136805556</v>
      </c>
      <c r="D1168" s="22" t="s">
        <v>205</v>
      </c>
      <c r="E1168" s="22" t="n">
        <v>2</v>
      </c>
      <c r="F1168" s="22" t="s">
        <v>181</v>
      </c>
      <c r="G1168" s="22" t="s">
        <v>243</v>
      </c>
      <c r="H1168" s="22" t="n">
        <v>0.05</v>
      </c>
      <c r="I1168" s="38" t="n">
        <v>2909.04</v>
      </c>
      <c r="J1168" s="38" t="n">
        <v>2909.04</v>
      </c>
      <c r="K1168" s="39" t="n">
        <f aca="false">IF(F1168="BUY",J1168-I1168,I1168-J1168)</f>
        <v>0</v>
      </c>
      <c r="L1168" s="38" t="n">
        <v>2903.04</v>
      </c>
      <c r="M1168" s="39" t="n">
        <f aca="false">ABS(I1168-L1168)</f>
        <v>6</v>
      </c>
      <c r="N1168" s="24" t="n">
        <f aca="false">M1168*H1168*Summary!$C$6</f>
        <v>30</v>
      </c>
      <c r="O1168" s="37" t="n">
        <v>45701.1390509259</v>
      </c>
      <c r="P1168" s="22" t="n">
        <f aca="false">ROUND((O1168-C1168)*86400,0)</f>
        <v>2192</v>
      </c>
      <c r="Q1168" s="22" t="str">
        <f aca="false">IF(P1168&lt;10,"a) &lt;10s",IF(P1168&lt;60,"b) 10-60s",IF(P1168&lt;600,"c) 1-10min","d) &gt;10min")))</f>
        <v>d) &gt;10min</v>
      </c>
      <c r="R1168" s="38" t="n">
        <v>2903.04</v>
      </c>
      <c r="S1168" s="38" t="n">
        <v>2902.97</v>
      </c>
      <c r="T1168" s="22" t="s">
        <v>188</v>
      </c>
      <c r="U1168" s="39" t="n">
        <f aca="false">IF(R1168="","",IF(F1168="BUY",R1168-S1168,S1168-R1168))</f>
        <v>0.0700000000001637</v>
      </c>
      <c r="V1168" s="39" t="n">
        <f aca="false">IF(F1168="BUY",S1168-J1168,J1168-S1168)</f>
        <v>-6.07000000000016</v>
      </c>
      <c r="W1168" s="6" t="n">
        <v>-30.35</v>
      </c>
      <c r="X1168" s="26" t="n">
        <f aca="false">IFERROR(W1168/N1168,0)</f>
        <v>-1.01166666666667</v>
      </c>
      <c r="Y1168" s="22" t="str">
        <f aca="false">IF(W1168&gt;0,"Win",IF(W1168&lt;0,"Loss","Flat"))</f>
        <v>Loss</v>
      </c>
      <c r="Z1168" s="24" t="n">
        <f aca="false">Summary!$C$5+SUM(W$2:W1168)</f>
        <v>3523.28</v>
      </c>
      <c r="AA1168" s="24" t="n">
        <f aca="false">MAX(AA1167,Z1168)</f>
        <v>5000</v>
      </c>
      <c r="AB1168" s="24" t="n">
        <f aca="false">AA1168-Z1168</f>
        <v>1476.72</v>
      </c>
      <c r="AC1168" s="23" t="n">
        <f aca="false">IFERROR(AB1168/AA1168,0)</f>
        <v>0.295344</v>
      </c>
      <c r="AD1168" s="22" t="s">
        <v>1405</v>
      </c>
    </row>
    <row r="1169" customFormat="false" ht="15" hidden="false" customHeight="false" outlineLevel="0" collapsed="false">
      <c r="A1169" s="22" t="n">
        <v>1168</v>
      </c>
      <c r="B1169" s="22" t="s">
        <v>154</v>
      </c>
      <c r="C1169" s="37" t="n">
        <v>45701.4259722222</v>
      </c>
      <c r="D1169" s="22" t="s">
        <v>205</v>
      </c>
      <c r="E1169" s="22" t="n">
        <v>10</v>
      </c>
      <c r="F1169" s="22" t="s">
        <v>182</v>
      </c>
      <c r="G1169" s="22" t="s">
        <v>241</v>
      </c>
      <c r="H1169" s="22" t="n">
        <v>0.05</v>
      </c>
      <c r="I1169" s="38" t="n">
        <v>2912.35</v>
      </c>
      <c r="J1169" s="38" t="n">
        <v>2912.3</v>
      </c>
      <c r="K1169" s="39" t="n">
        <f aca="false">IF(F1169="BUY",J1169-I1169,I1169-J1169)</f>
        <v>0.0499999999997272</v>
      </c>
      <c r="L1169" s="38" t="n">
        <v>2918.35</v>
      </c>
      <c r="M1169" s="39" t="n">
        <f aca="false">ABS(I1169-L1169)</f>
        <v>6</v>
      </c>
      <c r="N1169" s="24" t="n">
        <f aca="false">M1169*H1169*Summary!$C$6</f>
        <v>30</v>
      </c>
      <c r="O1169" s="37" t="n">
        <v>45701.4478240741</v>
      </c>
      <c r="P1169" s="22" t="n">
        <f aca="false">ROUND((O1169-C1169)*86400,0)</f>
        <v>1888</v>
      </c>
      <c r="Q1169" s="22" t="str">
        <f aca="false">IF(P1169&lt;10,"a) &lt;10s",IF(P1169&lt;60,"b) 10-60s",IF(P1169&lt;600,"c) 1-10min","d) &gt;10min")))</f>
        <v>d) &gt;10min</v>
      </c>
      <c r="R1169" s="38" t="n">
        <v>2911.8</v>
      </c>
      <c r="S1169" s="38" t="n">
        <v>2911.8</v>
      </c>
      <c r="T1169" s="22" t="s">
        <v>189</v>
      </c>
      <c r="U1169" s="39" t="n">
        <f aca="false">IF(R1169="","",IF(F1169="BUY",R1169-S1169,S1169-R1169))</f>
        <v>0</v>
      </c>
      <c r="V1169" s="39" t="n">
        <f aca="false">IF(F1169="BUY",S1169-J1169,J1169-S1169)</f>
        <v>0.5</v>
      </c>
      <c r="W1169" s="6" t="n">
        <v>2.5</v>
      </c>
      <c r="X1169" s="26" t="n">
        <f aca="false">IFERROR(W1169/N1169,0)</f>
        <v>0.0833333333333333</v>
      </c>
      <c r="Y1169" s="22" t="str">
        <f aca="false">IF(W1169&gt;0,"Win",IF(W1169&lt;0,"Loss","Flat"))</f>
        <v>Win</v>
      </c>
      <c r="Z1169" s="24" t="n">
        <f aca="false">Summary!$C$5+SUM(W$2:W1169)</f>
        <v>3525.78</v>
      </c>
      <c r="AA1169" s="24" t="n">
        <f aca="false">MAX(AA1168,Z1169)</f>
        <v>5000</v>
      </c>
      <c r="AB1169" s="24" t="n">
        <f aca="false">AA1169-Z1169</f>
        <v>1474.22</v>
      </c>
      <c r="AC1169" s="23" t="n">
        <f aca="false">IFERROR(AB1169/AA1169,0)</f>
        <v>0.294844</v>
      </c>
      <c r="AD1169" s="22" t="s">
        <v>1406</v>
      </c>
    </row>
    <row r="1170" customFormat="false" ht="15" hidden="false" customHeight="false" outlineLevel="0" collapsed="false">
      <c r="A1170" s="22" t="n">
        <v>1169</v>
      </c>
      <c r="B1170" s="22" t="s">
        <v>154</v>
      </c>
      <c r="C1170" s="37" t="n">
        <v>45702.0560416667</v>
      </c>
      <c r="D1170" s="22" t="s">
        <v>206</v>
      </c>
      <c r="E1170" s="22" t="n">
        <v>1</v>
      </c>
      <c r="F1170" s="22" t="s">
        <v>181</v>
      </c>
      <c r="G1170" s="22" t="s">
        <v>243</v>
      </c>
      <c r="H1170" s="22" t="n">
        <v>0.05</v>
      </c>
      <c r="I1170" s="38" t="n">
        <v>2929.4</v>
      </c>
      <c r="J1170" s="38" t="n">
        <v>2929.45</v>
      </c>
      <c r="K1170" s="39" t="n">
        <f aca="false">IF(F1170="BUY",J1170-I1170,I1170-J1170)</f>
        <v>0.0499999999997272</v>
      </c>
      <c r="L1170" s="38" t="n">
        <v>2923.4</v>
      </c>
      <c r="M1170" s="39" t="n">
        <f aca="false">ABS(I1170-L1170)</f>
        <v>6</v>
      </c>
      <c r="N1170" s="24" t="n">
        <f aca="false">M1170*H1170*Summary!$C$6</f>
        <v>30</v>
      </c>
      <c r="O1170" s="37" t="n">
        <v>45702.0870949074</v>
      </c>
      <c r="P1170" s="22" t="n">
        <f aca="false">ROUND((O1170-C1170)*86400,0)</f>
        <v>2683</v>
      </c>
      <c r="Q1170" s="22" t="str">
        <f aca="false">IF(P1170&lt;10,"a) &lt;10s",IF(P1170&lt;60,"b) 10-60s",IF(P1170&lt;600,"c) 1-10min","d) &gt;10min")))</f>
        <v>d) &gt;10min</v>
      </c>
      <c r="R1170" s="38" t="n">
        <v>2929.95</v>
      </c>
      <c r="S1170" s="38" t="n">
        <v>2929.94</v>
      </c>
      <c r="T1170" s="22" t="s">
        <v>189</v>
      </c>
      <c r="U1170" s="39" t="n">
        <f aca="false">IF(R1170="","",IF(F1170="BUY",R1170-S1170,S1170-R1170))</f>
        <v>0.00999999999976353</v>
      </c>
      <c r="V1170" s="39" t="n">
        <f aca="false">IF(F1170="BUY",S1170-J1170,J1170-S1170)</f>
        <v>0.490000000000236</v>
      </c>
      <c r="W1170" s="6" t="n">
        <v>2.45</v>
      </c>
      <c r="X1170" s="26" t="n">
        <f aca="false">IFERROR(W1170/N1170,0)</f>
        <v>0.0816666666666667</v>
      </c>
      <c r="Y1170" s="22" t="str">
        <f aca="false">IF(W1170&gt;0,"Win",IF(W1170&lt;0,"Loss","Flat"))</f>
        <v>Win</v>
      </c>
      <c r="Z1170" s="24" t="n">
        <f aca="false">Summary!$C$5+SUM(W$2:W1170)</f>
        <v>3528.23</v>
      </c>
      <c r="AA1170" s="24" t="n">
        <f aca="false">MAX(AA1169,Z1170)</f>
        <v>5000</v>
      </c>
      <c r="AB1170" s="24" t="n">
        <f aca="false">AA1170-Z1170</f>
        <v>1471.77</v>
      </c>
      <c r="AC1170" s="23" t="n">
        <f aca="false">IFERROR(AB1170/AA1170,0)</f>
        <v>0.294354</v>
      </c>
      <c r="AD1170" s="22" t="s">
        <v>1407</v>
      </c>
    </row>
    <row r="1171" customFormat="false" ht="15" hidden="false" customHeight="false" outlineLevel="0" collapsed="false">
      <c r="A1171" s="22" t="n">
        <v>1170</v>
      </c>
      <c r="B1171" s="22" t="s">
        <v>154</v>
      </c>
      <c r="C1171" s="37" t="n">
        <v>45702.4276041667</v>
      </c>
      <c r="D1171" s="22" t="s">
        <v>206</v>
      </c>
      <c r="E1171" s="22" t="n">
        <v>10</v>
      </c>
      <c r="F1171" s="22" t="s">
        <v>181</v>
      </c>
      <c r="G1171" s="22" t="s">
        <v>235</v>
      </c>
      <c r="H1171" s="22" t="n">
        <v>0.05</v>
      </c>
      <c r="I1171" s="38" t="n">
        <v>2936.64</v>
      </c>
      <c r="J1171" s="38" t="n">
        <v>2936.87</v>
      </c>
      <c r="K1171" s="39" t="n">
        <f aca="false">IF(F1171="BUY",J1171-I1171,I1171-J1171)</f>
        <v>0.230000000000018</v>
      </c>
      <c r="L1171" s="38" t="n">
        <v>2930.64</v>
      </c>
      <c r="M1171" s="39" t="n">
        <f aca="false">ABS(I1171-L1171)</f>
        <v>6</v>
      </c>
      <c r="N1171" s="24" t="n">
        <f aca="false">M1171*H1171*Summary!$C$6</f>
        <v>30</v>
      </c>
      <c r="O1171" s="37" t="n">
        <v>45702.5296990741</v>
      </c>
      <c r="P1171" s="22" t="n">
        <f aca="false">ROUND((O1171-C1171)*86400,0)</f>
        <v>8821</v>
      </c>
      <c r="Q1171" s="22" t="str">
        <f aca="false">IF(P1171&lt;10,"a) &lt;10s",IF(P1171&lt;60,"b) 10-60s",IF(P1171&lt;600,"c) 1-10min","d) &gt;10min")))</f>
        <v>d) &gt;10min</v>
      </c>
      <c r="R1171" s="38" t="n">
        <v>2937.37</v>
      </c>
      <c r="S1171" s="38" t="n">
        <v>2937.34</v>
      </c>
      <c r="T1171" s="22" t="s">
        <v>189</v>
      </c>
      <c r="U1171" s="39" t="n">
        <f aca="false">IF(R1171="","",IF(F1171="BUY",R1171-S1171,S1171-R1171))</f>
        <v>0.0299999999997453</v>
      </c>
      <c r="V1171" s="39" t="n">
        <f aca="false">IF(F1171="BUY",S1171-J1171,J1171-S1171)</f>
        <v>0.470000000000255</v>
      </c>
      <c r="W1171" s="6" t="n">
        <v>2.35</v>
      </c>
      <c r="X1171" s="26" t="n">
        <f aca="false">IFERROR(W1171/N1171,0)</f>
        <v>0.0783333333333333</v>
      </c>
      <c r="Y1171" s="22" t="str">
        <f aca="false">IF(W1171&gt;0,"Win",IF(W1171&lt;0,"Loss","Flat"))</f>
        <v>Win</v>
      </c>
      <c r="Z1171" s="24" t="n">
        <f aca="false">Summary!$C$5+SUM(W$2:W1171)</f>
        <v>3530.58</v>
      </c>
      <c r="AA1171" s="24" t="n">
        <f aca="false">MAX(AA1170,Z1171)</f>
        <v>5000</v>
      </c>
      <c r="AB1171" s="24" t="n">
        <f aca="false">AA1171-Z1171</f>
        <v>1469.42</v>
      </c>
      <c r="AC1171" s="23" t="n">
        <f aca="false">IFERROR(AB1171/AA1171,0)</f>
        <v>0.293884</v>
      </c>
      <c r="AD1171" s="22" t="s">
        <v>1408</v>
      </c>
    </row>
    <row r="1172" customFormat="false" ht="15" hidden="false" customHeight="false" outlineLevel="0" collapsed="false">
      <c r="A1172" s="22" t="n">
        <v>1171</v>
      </c>
      <c r="B1172" s="22" t="s">
        <v>154</v>
      </c>
      <c r="C1172" s="37" t="n">
        <v>45705.4706481482</v>
      </c>
      <c r="D1172" s="22" t="s">
        <v>202</v>
      </c>
      <c r="E1172" s="22" t="n">
        <v>11</v>
      </c>
      <c r="F1172" s="22" t="s">
        <v>181</v>
      </c>
      <c r="G1172" s="22" t="s">
        <v>235</v>
      </c>
      <c r="H1172" s="22" t="n">
        <v>0.05</v>
      </c>
      <c r="I1172" s="38" t="n">
        <v>2905.08</v>
      </c>
      <c r="J1172" s="38" t="n">
        <v>2905.19</v>
      </c>
      <c r="K1172" s="39" t="n">
        <f aca="false">IF(F1172="BUY",J1172-I1172,I1172-J1172)</f>
        <v>0.110000000000127</v>
      </c>
      <c r="L1172" s="38" t="n">
        <v>2899.08</v>
      </c>
      <c r="M1172" s="39" t="n">
        <f aca="false">ABS(I1172-L1172)</f>
        <v>6</v>
      </c>
      <c r="N1172" s="24" t="n">
        <f aca="false">M1172*H1172*Summary!$C$6</f>
        <v>30</v>
      </c>
      <c r="O1172" s="37" t="n">
        <v>45705.5181018519</v>
      </c>
      <c r="P1172" s="22" t="n">
        <f aca="false">ROUND((O1172-C1172)*86400,0)</f>
        <v>4100</v>
      </c>
      <c r="Q1172" s="22" t="str">
        <f aca="false">IF(P1172&lt;10,"a) &lt;10s",IF(P1172&lt;60,"b) 10-60s",IF(P1172&lt;600,"c) 1-10min","d) &gt;10min")))</f>
        <v>d) &gt;10min</v>
      </c>
      <c r="R1172" s="38" t="n">
        <v>2899.08</v>
      </c>
      <c r="S1172" s="38" t="n">
        <v>2899</v>
      </c>
      <c r="T1172" s="22" t="s">
        <v>188</v>
      </c>
      <c r="U1172" s="39" t="n">
        <f aca="false">IF(R1172="","",IF(F1172="BUY",R1172-S1172,S1172-R1172))</f>
        <v>0.0799999999999272</v>
      </c>
      <c r="V1172" s="39" t="n">
        <f aca="false">IF(F1172="BUY",S1172-J1172,J1172-S1172)</f>
        <v>-6.19000000000006</v>
      </c>
      <c r="W1172" s="6" t="n">
        <v>-30.95</v>
      </c>
      <c r="X1172" s="26" t="n">
        <f aca="false">IFERROR(W1172/N1172,0)</f>
        <v>-1.03166666666667</v>
      </c>
      <c r="Y1172" s="22" t="str">
        <f aca="false">IF(W1172&gt;0,"Win",IF(W1172&lt;0,"Loss","Flat"))</f>
        <v>Loss</v>
      </c>
      <c r="Z1172" s="24" t="n">
        <f aca="false">Summary!$C$5+SUM(W$2:W1172)</f>
        <v>3499.63</v>
      </c>
      <c r="AA1172" s="24" t="n">
        <f aca="false">MAX(AA1171,Z1172)</f>
        <v>5000</v>
      </c>
      <c r="AB1172" s="24" t="n">
        <f aca="false">AA1172-Z1172</f>
        <v>1500.37</v>
      </c>
      <c r="AC1172" s="23" t="n">
        <f aca="false">IFERROR(AB1172/AA1172,0)</f>
        <v>0.300074</v>
      </c>
      <c r="AD1172" s="22" t="s">
        <v>1409</v>
      </c>
    </row>
    <row r="1173" customFormat="false" ht="15" hidden="false" customHeight="false" outlineLevel="0" collapsed="false">
      <c r="A1173" s="22" t="n">
        <v>1172</v>
      </c>
      <c r="B1173" s="22" t="s">
        <v>154</v>
      </c>
      <c r="C1173" s="37" t="n">
        <v>45706.2101967593</v>
      </c>
      <c r="D1173" s="22" t="s">
        <v>203</v>
      </c>
      <c r="E1173" s="22" t="n">
        <v>5</v>
      </c>
      <c r="F1173" s="22" t="s">
        <v>181</v>
      </c>
      <c r="G1173" s="22" t="s">
        <v>243</v>
      </c>
      <c r="H1173" s="22" t="n">
        <v>0.05</v>
      </c>
      <c r="I1173" s="38" t="n">
        <v>2906.22</v>
      </c>
      <c r="J1173" s="38" t="n">
        <v>2906.39</v>
      </c>
      <c r="K1173" s="39" t="n">
        <f aca="false">IF(F1173="BUY",J1173-I1173,I1173-J1173)</f>
        <v>0.170000000000073</v>
      </c>
      <c r="L1173" s="38" t="n">
        <v>2900.22</v>
      </c>
      <c r="M1173" s="39" t="n">
        <f aca="false">ABS(I1173-L1173)</f>
        <v>6</v>
      </c>
      <c r="N1173" s="24" t="n">
        <f aca="false">M1173*H1173*Summary!$C$6</f>
        <v>30</v>
      </c>
      <c r="O1173" s="37" t="n">
        <v>45706.2445833333</v>
      </c>
      <c r="P1173" s="22" t="n">
        <f aca="false">ROUND((O1173-C1173)*86400,0)</f>
        <v>2971</v>
      </c>
      <c r="Q1173" s="22" t="str">
        <f aca="false">IF(P1173&lt;10,"a) &lt;10s",IF(P1173&lt;60,"b) 10-60s",IF(P1173&lt;600,"c) 1-10min","d) &gt;10min")))</f>
        <v>d) &gt;10min</v>
      </c>
      <c r="R1173" s="38" t="n">
        <v>2906.89</v>
      </c>
      <c r="S1173" s="38" t="n">
        <v>2906.88</v>
      </c>
      <c r="T1173" s="22" t="s">
        <v>189</v>
      </c>
      <c r="U1173" s="39" t="n">
        <f aca="false">IF(R1173="","",IF(F1173="BUY",R1173-S1173,S1173-R1173))</f>
        <v>0.00999999999976353</v>
      </c>
      <c r="V1173" s="39" t="n">
        <f aca="false">IF(F1173="BUY",S1173-J1173,J1173-S1173)</f>
        <v>0.490000000000236</v>
      </c>
      <c r="W1173" s="6" t="n">
        <v>2.45</v>
      </c>
      <c r="X1173" s="26" t="n">
        <f aca="false">IFERROR(W1173/N1173,0)</f>
        <v>0.0816666666666667</v>
      </c>
      <c r="Y1173" s="22" t="str">
        <f aca="false">IF(W1173&gt;0,"Win",IF(W1173&lt;0,"Loss","Flat"))</f>
        <v>Win</v>
      </c>
      <c r="Z1173" s="24" t="n">
        <f aca="false">Summary!$C$5+SUM(W$2:W1173)</f>
        <v>3502.08</v>
      </c>
      <c r="AA1173" s="24" t="n">
        <f aca="false">MAX(AA1172,Z1173)</f>
        <v>5000</v>
      </c>
      <c r="AB1173" s="24" t="n">
        <f aca="false">AA1173-Z1173</f>
        <v>1497.92</v>
      </c>
      <c r="AC1173" s="23" t="n">
        <f aca="false">IFERROR(AB1173/AA1173,0)</f>
        <v>0.299584</v>
      </c>
      <c r="AD1173" s="22" t="s">
        <v>1410</v>
      </c>
    </row>
    <row r="1174" customFormat="false" ht="15" hidden="false" customHeight="false" outlineLevel="0" collapsed="false">
      <c r="A1174" s="22" t="n">
        <v>1173</v>
      </c>
      <c r="B1174" s="22" t="s">
        <v>154</v>
      </c>
      <c r="C1174" s="37" t="n">
        <v>45706.4075462963</v>
      </c>
      <c r="D1174" s="22" t="s">
        <v>203</v>
      </c>
      <c r="E1174" s="22" t="n">
        <v>9</v>
      </c>
      <c r="F1174" s="22" t="s">
        <v>182</v>
      </c>
      <c r="G1174" s="22" t="s">
        <v>241</v>
      </c>
      <c r="H1174" s="22" t="n">
        <v>0.05</v>
      </c>
      <c r="I1174" s="38" t="n">
        <v>2909.59</v>
      </c>
      <c r="J1174" s="38" t="n">
        <v>2909.58</v>
      </c>
      <c r="K1174" s="39" t="n">
        <f aca="false">IF(F1174="BUY",J1174-I1174,I1174-J1174)</f>
        <v>0.0100000000002183</v>
      </c>
      <c r="L1174" s="38" t="n">
        <v>2915.59</v>
      </c>
      <c r="M1174" s="39" t="n">
        <f aca="false">ABS(I1174-L1174)</f>
        <v>6</v>
      </c>
      <c r="N1174" s="24" t="n">
        <f aca="false">M1174*H1174*Summary!$C$6</f>
        <v>30</v>
      </c>
      <c r="O1174" s="37" t="n">
        <v>45706.5338194444</v>
      </c>
      <c r="P1174" s="22" t="n">
        <f aca="false">ROUND((O1174-C1174)*86400,0)</f>
        <v>10910</v>
      </c>
      <c r="Q1174" s="22" t="str">
        <f aca="false">IF(P1174&lt;10,"a) &lt;10s",IF(P1174&lt;60,"b) 10-60s",IF(P1174&lt;600,"c) 1-10min","d) &gt;10min")))</f>
        <v>d) &gt;10min</v>
      </c>
      <c r="R1174" s="38" t="n">
        <v>2909.08</v>
      </c>
      <c r="S1174" s="38" t="n">
        <v>2909.12</v>
      </c>
      <c r="T1174" s="22" t="s">
        <v>189</v>
      </c>
      <c r="U1174" s="39" t="n">
        <f aca="false">IF(R1174="","",IF(F1174="BUY",R1174-S1174,S1174-R1174))</f>
        <v>0.0399999999999636</v>
      </c>
      <c r="V1174" s="39" t="n">
        <f aca="false">IF(F1174="BUY",S1174-J1174,J1174-S1174)</f>
        <v>0.460000000000036</v>
      </c>
      <c r="W1174" s="6" t="n">
        <v>2.3</v>
      </c>
      <c r="X1174" s="26" t="n">
        <f aca="false">IFERROR(W1174/N1174,0)</f>
        <v>0.0766666666666667</v>
      </c>
      <c r="Y1174" s="22" t="str">
        <f aca="false">IF(W1174&gt;0,"Win",IF(W1174&lt;0,"Loss","Flat"))</f>
        <v>Win</v>
      </c>
      <c r="Z1174" s="24" t="n">
        <f aca="false">Summary!$C$5+SUM(W$2:W1174)</f>
        <v>3504.38</v>
      </c>
      <c r="AA1174" s="24" t="n">
        <f aca="false">MAX(AA1173,Z1174)</f>
        <v>5000</v>
      </c>
      <c r="AB1174" s="24" t="n">
        <f aca="false">AA1174-Z1174</f>
        <v>1495.62</v>
      </c>
      <c r="AC1174" s="23" t="n">
        <f aca="false">IFERROR(AB1174/AA1174,0)</f>
        <v>0.299124</v>
      </c>
      <c r="AD1174" s="22" t="s">
        <v>1411</v>
      </c>
    </row>
    <row r="1175" customFormat="false" ht="15" hidden="false" customHeight="false" outlineLevel="0" collapsed="false">
      <c r="A1175" s="22" t="n">
        <v>1174</v>
      </c>
      <c r="B1175" s="22" t="s">
        <v>154</v>
      </c>
      <c r="C1175" s="37" t="n">
        <v>45707.1571643519</v>
      </c>
      <c r="D1175" s="22" t="s">
        <v>204</v>
      </c>
      <c r="E1175" s="22" t="n">
        <v>3</v>
      </c>
      <c r="F1175" s="22" t="s">
        <v>181</v>
      </c>
      <c r="G1175" s="22" t="s">
        <v>243</v>
      </c>
      <c r="H1175" s="22" t="n">
        <v>0.05</v>
      </c>
      <c r="I1175" s="38" t="n">
        <v>2936.83</v>
      </c>
      <c r="J1175" s="38" t="n">
        <v>2936.83</v>
      </c>
      <c r="K1175" s="39" t="n">
        <f aca="false">IF(F1175="BUY",J1175-I1175,I1175-J1175)</f>
        <v>0</v>
      </c>
      <c r="L1175" s="38" t="n">
        <v>2930.83</v>
      </c>
      <c r="M1175" s="39" t="n">
        <f aca="false">ABS(I1175-L1175)</f>
        <v>6</v>
      </c>
      <c r="N1175" s="24" t="n">
        <f aca="false">M1175*H1175*Summary!$C$6</f>
        <v>30</v>
      </c>
      <c r="O1175" s="37" t="n">
        <v>45707.1682986111</v>
      </c>
      <c r="P1175" s="22" t="n">
        <f aca="false">ROUND((O1175-C1175)*86400,0)</f>
        <v>962</v>
      </c>
      <c r="Q1175" s="22" t="str">
        <f aca="false">IF(P1175&lt;10,"a) &lt;10s",IF(P1175&lt;60,"b) 10-60s",IF(P1175&lt;600,"c) 1-10min","d) &gt;10min")))</f>
        <v>d) &gt;10min</v>
      </c>
      <c r="R1175" s="38" t="n">
        <v>2937.33</v>
      </c>
      <c r="S1175" s="38" t="n">
        <v>2937.26</v>
      </c>
      <c r="T1175" s="22" t="s">
        <v>189</v>
      </c>
      <c r="U1175" s="39" t="n">
        <f aca="false">IF(R1175="","",IF(F1175="BUY",R1175-S1175,S1175-R1175))</f>
        <v>0.069999999999709</v>
      </c>
      <c r="V1175" s="39" t="n">
        <f aca="false">IF(F1175="BUY",S1175-J1175,J1175-S1175)</f>
        <v>0.430000000000291</v>
      </c>
      <c r="W1175" s="6" t="n">
        <v>2.15</v>
      </c>
      <c r="X1175" s="26" t="n">
        <f aca="false">IFERROR(W1175/N1175,0)</f>
        <v>0.0716666666666667</v>
      </c>
      <c r="Y1175" s="22" t="str">
        <f aca="false">IF(W1175&gt;0,"Win",IF(W1175&lt;0,"Loss","Flat"))</f>
        <v>Win</v>
      </c>
      <c r="Z1175" s="24" t="n">
        <f aca="false">Summary!$C$5+SUM(W$2:W1175)</f>
        <v>3506.53</v>
      </c>
      <c r="AA1175" s="24" t="n">
        <f aca="false">MAX(AA1174,Z1175)</f>
        <v>5000</v>
      </c>
      <c r="AB1175" s="24" t="n">
        <f aca="false">AA1175-Z1175</f>
        <v>1493.47</v>
      </c>
      <c r="AC1175" s="23" t="n">
        <f aca="false">IFERROR(AB1175/AA1175,0)</f>
        <v>0.298694</v>
      </c>
      <c r="AD1175" s="22" t="s">
        <v>1412</v>
      </c>
    </row>
    <row r="1176" customFormat="false" ht="15" hidden="false" customHeight="false" outlineLevel="0" collapsed="false">
      <c r="A1176" s="22" t="n">
        <v>1175</v>
      </c>
      <c r="B1176" s="22" t="s">
        <v>154</v>
      </c>
      <c r="C1176" s="37" t="n">
        <v>45707.3855902778</v>
      </c>
      <c r="D1176" s="22" t="s">
        <v>204</v>
      </c>
      <c r="E1176" s="22" t="n">
        <v>9</v>
      </c>
      <c r="F1176" s="22" t="s">
        <v>181</v>
      </c>
      <c r="G1176" s="22" t="s">
        <v>235</v>
      </c>
      <c r="H1176" s="22" t="n">
        <v>0.05</v>
      </c>
      <c r="I1176" s="38" t="n">
        <v>2935.66</v>
      </c>
      <c r="J1176" s="38" t="n">
        <v>2935.66</v>
      </c>
      <c r="K1176" s="39" t="n">
        <f aca="false">IF(F1176="BUY",J1176-I1176,I1176-J1176)</f>
        <v>0</v>
      </c>
      <c r="L1176" s="38" t="n">
        <v>2929.66</v>
      </c>
      <c r="M1176" s="39" t="n">
        <f aca="false">ABS(I1176-L1176)</f>
        <v>6</v>
      </c>
      <c r="N1176" s="24" t="n">
        <f aca="false">M1176*H1176*Summary!$C$6</f>
        <v>30</v>
      </c>
      <c r="O1176" s="37" t="n">
        <v>45707.5803703704</v>
      </c>
      <c r="P1176" s="22" t="n">
        <f aca="false">ROUND((O1176-C1176)*86400,0)</f>
        <v>16829</v>
      </c>
      <c r="Q1176" s="22" t="str">
        <f aca="false">IF(P1176&lt;10,"a) &lt;10s",IF(P1176&lt;60,"b) 10-60s",IF(P1176&lt;600,"c) 1-10min","d) &gt;10min")))</f>
        <v>d) &gt;10min</v>
      </c>
      <c r="R1176" s="38" t="n">
        <v>2936.16</v>
      </c>
      <c r="S1176" s="38" t="n">
        <v>2936.16</v>
      </c>
      <c r="T1176" s="22" t="s">
        <v>189</v>
      </c>
      <c r="U1176" s="39" t="n">
        <f aca="false">IF(R1176="","",IF(F1176="BUY",R1176-S1176,S1176-R1176))</f>
        <v>0</v>
      </c>
      <c r="V1176" s="39" t="n">
        <f aca="false">IF(F1176="BUY",S1176-J1176,J1176-S1176)</f>
        <v>0.5</v>
      </c>
      <c r="W1176" s="6" t="n">
        <v>2.5</v>
      </c>
      <c r="X1176" s="26" t="n">
        <f aca="false">IFERROR(W1176/N1176,0)</f>
        <v>0.0833333333333333</v>
      </c>
      <c r="Y1176" s="22" t="str">
        <f aca="false">IF(W1176&gt;0,"Win",IF(W1176&lt;0,"Loss","Flat"))</f>
        <v>Win</v>
      </c>
      <c r="Z1176" s="24" t="n">
        <f aca="false">Summary!$C$5+SUM(W$2:W1176)</f>
        <v>3509.03</v>
      </c>
      <c r="AA1176" s="24" t="n">
        <f aca="false">MAX(AA1175,Z1176)</f>
        <v>5000</v>
      </c>
      <c r="AB1176" s="24" t="n">
        <f aca="false">AA1176-Z1176</f>
        <v>1490.97</v>
      </c>
      <c r="AC1176" s="23" t="n">
        <f aca="false">IFERROR(AB1176/AA1176,0)</f>
        <v>0.298194</v>
      </c>
      <c r="AD1176" s="22" t="s">
        <v>1413</v>
      </c>
    </row>
    <row r="1177" customFormat="false" ht="15" hidden="false" customHeight="false" outlineLevel="0" collapsed="false">
      <c r="A1177" s="22" t="n">
        <v>1176</v>
      </c>
      <c r="B1177" s="22" t="s">
        <v>154</v>
      </c>
      <c r="C1177" s="37" t="n">
        <v>45708.3327314815</v>
      </c>
      <c r="D1177" s="22" t="s">
        <v>205</v>
      </c>
      <c r="E1177" s="22" t="n">
        <v>7</v>
      </c>
      <c r="F1177" s="22" t="s">
        <v>181</v>
      </c>
      <c r="G1177" s="22" t="s">
        <v>243</v>
      </c>
      <c r="H1177" s="22" t="n">
        <v>0.05</v>
      </c>
      <c r="I1177" s="38" t="n">
        <v>2946.87</v>
      </c>
      <c r="J1177" s="38" t="n">
        <v>2947.03</v>
      </c>
      <c r="K1177" s="39" t="n">
        <f aca="false">IF(F1177="BUY",J1177-I1177,I1177-J1177)</f>
        <v>0.160000000000309</v>
      </c>
      <c r="L1177" s="38" t="n">
        <v>2940.87</v>
      </c>
      <c r="M1177" s="39" t="n">
        <f aca="false">ABS(I1177-L1177)</f>
        <v>6</v>
      </c>
      <c r="N1177" s="24" t="n">
        <f aca="false">M1177*H1177*Summary!$C$6</f>
        <v>30</v>
      </c>
      <c r="O1177" s="37" t="n">
        <v>45708.4063310185</v>
      </c>
      <c r="P1177" s="22" t="n">
        <f aca="false">ROUND((O1177-C1177)*86400,0)</f>
        <v>6359</v>
      </c>
      <c r="Q1177" s="22" t="str">
        <f aca="false">IF(P1177&lt;10,"a) &lt;10s",IF(P1177&lt;60,"b) 10-60s",IF(P1177&lt;600,"c) 1-10min","d) &gt;10min")))</f>
        <v>d) &gt;10min</v>
      </c>
      <c r="R1177" s="38" t="n">
        <v>2947.53</v>
      </c>
      <c r="S1177" s="38" t="n">
        <v>2947.51</v>
      </c>
      <c r="T1177" s="22" t="s">
        <v>189</v>
      </c>
      <c r="U1177" s="39" t="n">
        <f aca="false">IF(R1177="","",IF(F1177="BUY",R1177-S1177,S1177-R1177))</f>
        <v>0.0199999999999818</v>
      </c>
      <c r="V1177" s="39" t="n">
        <f aca="false">IF(F1177="BUY",S1177-J1177,J1177-S1177)</f>
        <v>0.480000000000018</v>
      </c>
      <c r="W1177" s="6" t="n">
        <v>2.4</v>
      </c>
      <c r="X1177" s="26" t="n">
        <f aca="false">IFERROR(W1177/N1177,0)</f>
        <v>0.08</v>
      </c>
      <c r="Y1177" s="22" t="str">
        <f aca="false">IF(W1177&gt;0,"Win",IF(W1177&lt;0,"Loss","Flat"))</f>
        <v>Win</v>
      </c>
      <c r="Z1177" s="24" t="n">
        <f aca="false">Summary!$C$5+SUM(W$2:W1177)</f>
        <v>3511.43</v>
      </c>
      <c r="AA1177" s="24" t="n">
        <f aca="false">MAX(AA1176,Z1177)</f>
        <v>5000</v>
      </c>
      <c r="AB1177" s="24" t="n">
        <f aca="false">AA1177-Z1177</f>
        <v>1488.57</v>
      </c>
      <c r="AC1177" s="23" t="n">
        <f aca="false">IFERROR(AB1177/AA1177,0)</f>
        <v>0.297714</v>
      </c>
      <c r="AD1177" s="22" t="s">
        <v>1414</v>
      </c>
    </row>
    <row r="1178" customFormat="false" ht="15" hidden="false" customHeight="false" outlineLevel="0" collapsed="false">
      <c r="A1178" s="22" t="n">
        <v>1177</v>
      </c>
      <c r="B1178" s="22" t="s">
        <v>154</v>
      </c>
      <c r="C1178" s="37" t="n">
        <v>45708.6004282407</v>
      </c>
      <c r="D1178" s="22" t="s">
        <v>205</v>
      </c>
      <c r="E1178" s="22" t="n">
        <v>14</v>
      </c>
      <c r="F1178" s="22" t="s">
        <v>182</v>
      </c>
      <c r="G1178" s="22" t="s">
        <v>241</v>
      </c>
      <c r="H1178" s="22" t="n">
        <v>0.05</v>
      </c>
      <c r="I1178" s="38" t="n">
        <v>2939.13</v>
      </c>
      <c r="J1178" s="38" t="n">
        <v>2939.07</v>
      </c>
      <c r="K1178" s="39" t="n">
        <f aca="false">IF(F1178="BUY",J1178-I1178,I1178-J1178)</f>
        <v>0.0599999999999454</v>
      </c>
      <c r="L1178" s="38" t="n">
        <v>2945.13</v>
      </c>
      <c r="M1178" s="39" t="n">
        <f aca="false">ABS(I1178-L1178)</f>
        <v>6</v>
      </c>
      <c r="N1178" s="24" t="n">
        <f aca="false">M1178*H1178*Summary!$C$6</f>
        <v>30</v>
      </c>
      <c r="O1178" s="37" t="n">
        <v>45708.6147800926</v>
      </c>
      <c r="P1178" s="22" t="n">
        <f aca="false">ROUND((O1178-C1178)*86400,0)</f>
        <v>1240</v>
      </c>
      <c r="Q1178" s="22" t="str">
        <f aca="false">IF(P1178&lt;10,"a) &lt;10s",IF(P1178&lt;60,"b) 10-60s",IF(P1178&lt;600,"c) 1-10min","d) &gt;10min")))</f>
        <v>d) &gt;10min</v>
      </c>
      <c r="R1178" s="38" t="n">
        <v>2945.13</v>
      </c>
      <c r="S1178" s="38" t="n">
        <v>2945.19</v>
      </c>
      <c r="T1178" s="22" t="s">
        <v>188</v>
      </c>
      <c r="U1178" s="39" t="n">
        <f aca="false">IF(R1178="","",IF(F1178="BUY",R1178-S1178,S1178-R1178))</f>
        <v>0.0599999999999454</v>
      </c>
      <c r="V1178" s="39" t="n">
        <f aca="false">IF(F1178="BUY",S1178-J1178,J1178-S1178)</f>
        <v>-6.11999999999989</v>
      </c>
      <c r="W1178" s="6" t="n">
        <v>-30.6</v>
      </c>
      <c r="X1178" s="26" t="n">
        <f aca="false">IFERROR(W1178/N1178,0)</f>
        <v>-1.02</v>
      </c>
      <c r="Y1178" s="22" t="str">
        <f aca="false">IF(W1178&gt;0,"Win",IF(W1178&lt;0,"Loss","Flat"))</f>
        <v>Loss</v>
      </c>
      <c r="Z1178" s="24" t="n">
        <f aca="false">Summary!$C$5+SUM(W$2:W1178)</f>
        <v>3480.83</v>
      </c>
      <c r="AA1178" s="24" t="n">
        <f aca="false">MAX(AA1177,Z1178)</f>
        <v>5000</v>
      </c>
      <c r="AB1178" s="24" t="n">
        <f aca="false">AA1178-Z1178</f>
        <v>1519.17</v>
      </c>
      <c r="AC1178" s="23" t="n">
        <f aca="false">IFERROR(AB1178/AA1178,0)</f>
        <v>0.303834</v>
      </c>
      <c r="AD1178" s="22" t="s">
        <v>1415</v>
      </c>
    </row>
    <row r="1179" customFormat="false" ht="15" hidden="false" customHeight="false" outlineLevel="0" collapsed="false">
      <c r="A1179" s="22" t="n">
        <v>1178</v>
      </c>
      <c r="B1179" s="22" t="s">
        <v>154</v>
      </c>
      <c r="C1179" s="37" t="n">
        <v>45709.4253125</v>
      </c>
      <c r="D1179" s="22" t="s">
        <v>206</v>
      </c>
      <c r="E1179" s="22" t="n">
        <v>10</v>
      </c>
      <c r="F1179" s="22" t="s">
        <v>182</v>
      </c>
      <c r="G1179" s="22" t="s">
        <v>237</v>
      </c>
      <c r="H1179" s="22" t="n">
        <v>0.05</v>
      </c>
      <c r="I1179" s="38" t="n">
        <v>2923.95</v>
      </c>
      <c r="J1179" s="38" t="n">
        <v>2923.94</v>
      </c>
      <c r="K1179" s="39" t="n">
        <f aca="false">IF(F1179="BUY",J1179-I1179,I1179-J1179)</f>
        <v>0.00999999999976353</v>
      </c>
      <c r="L1179" s="38" t="n">
        <v>2929.95</v>
      </c>
      <c r="M1179" s="39" t="n">
        <f aca="false">ABS(I1179-L1179)</f>
        <v>6</v>
      </c>
      <c r="N1179" s="24" t="n">
        <f aca="false">M1179*H1179*Summary!$C$6</f>
        <v>30</v>
      </c>
      <c r="O1179" s="37" t="n">
        <v>45709.4463888889</v>
      </c>
      <c r="P1179" s="22" t="n">
        <f aca="false">ROUND((O1179-C1179)*86400,0)</f>
        <v>1821</v>
      </c>
      <c r="Q1179" s="22" t="str">
        <f aca="false">IF(P1179&lt;10,"a) &lt;10s",IF(P1179&lt;60,"b) 10-60s",IF(P1179&lt;600,"c) 1-10min","d) &gt;10min")))</f>
        <v>d) &gt;10min</v>
      </c>
      <c r="R1179" s="38" t="n">
        <v>2923.44</v>
      </c>
      <c r="S1179" s="38" t="n">
        <v>2923.45</v>
      </c>
      <c r="T1179" s="22" t="s">
        <v>189</v>
      </c>
      <c r="U1179" s="39" t="n">
        <f aca="false">IF(R1179="","",IF(F1179="BUY",R1179-S1179,S1179-R1179))</f>
        <v>0.00999999999976353</v>
      </c>
      <c r="V1179" s="39" t="n">
        <f aca="false">IF(F1179="BUY",S1179-J1179,J1179-S1179)</f>
        <v>0.490000000000236</v>
      </c>
      <c r="W1179" s="6" t="n">
        <v>2.45</v>
      </c>
      <c r="X1179" s="26" t="n">
        <f aca="false">IFERROR(W1179/N1179,0)</f>
        <v>0.0816666666666667</v>
      </c>
      <c r="Y1179" s="22" t="str">
        <f aca="false">IF(W1179&gt;0,"Win",IF(W1179&lt;0,"Loss","Flat"))</f>
        <v>Win</v>
      </c>
      <c r="Z1179" s="24" t="n">
        <f aca="false">Summary!$C$5+SUM(W$2:W1179)</f>
        <v>3483.28</v>
      </c>
      <c r="AA1179" s="24" t="n">
        <f aca="false">MAX(AA1178,Z1179)</f>
        <v>5000</v>
      </c>
      <c r="AB1179" s="24" t="n">
        <f aca="false">AA1179-Z1179</f>
        <v>1516.72</v>
      </c>
      <c r="AC1179" s="23" t="n">
        <f aca="false">IFERROR(AB1179/AA1179,0)</f>
        <v>0.303344</v>
      </c>
      <c r="AD1179" s="22" t="s">
        <v>1416</v>
      </c>
    </row>
    <row r="1180" customFormat="false" ht="15" hidden="false" customHeight="false" outlineLevel="0" collapsed="false">
      <c r="A1180" s="22" t="n">
        <v>1179</v>
      </c>
      <c r="B1180" s="22" t="s">
        <v>154</v>
      </c>
      <c r="C1180" s="37" t="n">
        <v>45709.4253125</v>
      </c>
      <c r="D1180" s="22" t="s">
        <v>206</v>
      </c>
      <c r="E1180" s="22" t="n">
        <v>10</v>
      </c>
      <c r="F1180" s="22" t="s">
        <v>182</v>
      </c>
      <c r="G1180" s="22" t="s">
        <v>241</v>
      </c>
      <c r="H1180" s="22" t="n">
        <v>0.05</v>
      </c>
      <c r="I1180" s="38" t="n">
        <v>2923.96</v>
      </c>
      <c r="J1180" s="38" t="n">
        <v>2923.94</v>
      </c>
      <c r="K1180" s="39" t="n">
        <f aca="false">IF(F1180="BUY",J1180-I1180,I1180-J1180)</f>
        <v>0.0199999999999818</v>
      </c>
      <c r="L1180" s="38" t="n">
        <v>2929.96</v>
      </c>
      <c r="M1180" s="39" t="n">
        <f aca="false">ABS(I1180-L1180)</f>
        <v>6</v>
      </c>
      <c r="N1180" s="24" t="n">
        <f aca="false">M1180*H1180*Summary!$C$6</f>
        <v>30</v>
      </c>
      <c r="O1180" s="37" t="n">
        <v>45709.4463888889</v>
      </c>
      <c r="P1180" s="22" t="n">
        <f aca="false">ROUND((O1180-C1180)*86400,0)</f>
        <v>1821</v>
      </c>
      <c r="Q1180" s="22" t="str">
        <f aca="false">IF(P1180&lt;10,"a) &lt;10s",IF(P1180&lt;60,"b) 10-60s",IF(P1180&lt;600,"c) 1-10min","d) &gt;10min")))</f>
        <v>d) &gt;10min</v>
      </c>
      <c r="R1180" s="38" t="n">
        <v>2923.44</v>
      </c>
      <c r="S1180" s="38" t="n">
        <v>2923.45</v>
      </c>
      <c r="T1180" s="22" t="s">
        <v>189</v>
      </c>
      <c r="U1180" s="39" t="n">
        <f aca="false">IF(R1180="","",IF(F1180="BUY",R1180-S1180,S1180-R1180))</f>
        <v>0.00999999999976353</v>
      </c>
      <c r="V1180" s="39" t="n">
        <f aca="false">IF(F1180="BUY",S1180-J1180,J1180-S1180)</f>
        <v>0.490000000000236</v>
      </c>
      <c r="W1180" s="6" t="n">
        <v>2.45</v>
      </c>
      <c r="X1180" s="26" t="n">
        <f aca="false">IFERROR(W1180/N1180,0)</f>
        <v>0.0816666666666667</v>
      </c>
      <c r="Y1180" s="22" t="str">
        <f aca="false">IF(W1180&gt;0,"Win",IF(W1180&lt;0,"Loss","Flat"))</f>
        <v>Win</v>
      </c>
      <c r="Z1180" s="24" t="n">
        <f aca="false">Summary!$C$5+SUM(W$2:W1180)</f>
        <v>3485.73</v>
      </c>
      <c r="AA1180" s="24" t="n">
        <f aca="false">MAX(AA1179,Z1180)</f>
        <v>5000</v>
      </c>
      <c r="AB1180" s="24" t="n">
        <f aca="false">AA1180-Z1180</f>
        <v>1514.27</v>
      </c>
      <c r="AC1180" s="23" t="n">
        <f aca="false">IFERROR(AB1180/AA1180,0)</f>
        <v>0.302854</v>
      </c>
      <c r="AD1180" s="22" t="s">
        <v>1417</v>
      </c>
    </row>
    <row r="1181" customFormat="false" ht="15" hidden="false" customHeight="false" outlineLevel="0" collapsed="false">
      <c r="A1181" s="22" t="n">
        <v>1180</v>
      </c>
      <c r="B1181" s="22" t="s">
        <v>154</v>
      </c>
      <c r="C1181" s="37" t="n">
        <v>45712.3979398148</v>
      </c>
      <c r="D1181" s="22" t="s">
        <v>202</v>
      </c>
      <c r="E1181" s="22" t="n">
        <v>9</v>
      </c>
      <c r="F1181" s="22" t="s">
        <v>181</v>
      </c>
      <c r="G1181" s="22" t="s">
        <v>235</v>
      </c>
      <c r="H1181" s="22" t="n">
        <v>0.05</v>
      </c>
      <c r="I1181" s="38" t="n">
        <v>2941.86</v>
      </c>
      <c r="J1181" s="38" t="n">
        <v>2941.86</v>
      </c>
      <c r="K1181" s="39" t="n">
        <f aca="false">IF(F1181="BUY",J1181-I1181,I1181-J1181)</f>
        <v>0</v>
      </c>
      <c r="L1181" s="38" t="n">
        <v>2935.86</v>
      </c>
      <c r="M1181" s="39" t="n">
        <f aca="false">ABS(I1181-L1181)</f>
        <v>6</v>
      </c>
      <c r="N1181" s="24" t="n">
        <f aca="false">M1181*H1181*Summary!$C$6</f>
        <v>30</v>
      </c>
      <c r="O1181" s="37" t="n">
        <v>45712.4131712963</v>
      </c>
      <c r="P1181" s="22" t="n">
        <f aca="false">ROUND((O1181-C1181)*86400,0)</f>
        <v>1316</v>
      </c>
      <c r="Q1181" s="22" t="str">
        <f aca="false">IF(P1181&lt;10,"a) &lt;10s",IF(P1181&lt;60,"b) 10-60s",IF(P1181&lt;600,"c) 1-10min","d) &gt;10min")))</f>
        <v>d) &gt;10min</v>
      </c>
      <c r="R1181" s="38" t="n">
        <v>2942.36</v>
      </c>
      <c r="S1181" s="38" t="n">
        <v>2942.36</v>
      </c>
      <c r="T1181" s="22" t="s">
        <v>189</v>
      </c>
      <c r="U1181" s="39" t="n">
        <f aca="false">IF(R1181="","",IF(F1181="BUY",R1181-S1181,S1181-R1181))</f>
        <v>0</v>
      </c>
      <c r="V1181" s="39" t="n">
        <f aca="false">IF(F1181="BUY",S1181-J1181,J1181-S1181)</f>
        <v>0.5</v>
      </c>
      <c r="W1181" s="6" t="n">
        <v>2.5</v>
      </c>
      <c r="X1181" s="26" t="n">
        <f aca="false">IFERROR(W1181/N1181,0)</f>
        <v>0.0833333333333333</v>
      </c>
      <c r="Y1181" s="22" t="str">
        <f aca="false">IF(W1181&gt;0,"Win",IF(W1181&lt;0,"Loss","Flat"))</f>
        <v>Win</v>
      </c>
      <c r="Z1181" s="24" t="n">
        <f aca="false">Summary!$C$5+SUM(W$2:W1181)</f>
        <v>3488.23</v>
      </c>
      <c r="AA1181" s="24" t="n">
        <f aca="false">MAX(AA1180,Z1181)</f>
        <v>5000</v>
      </c>
      <c r="AB1181" s="24" t="n">
        <f aca="false">AA1181-Z1181</f>
        <v>1511.77</v>
      </c>
      <c r="AC1181" s="23" t="n">
        <f aca="false">IFERROR(AB1181/AA1181,0)</f>
        <v>0.302354</v>
      </c>
      <c r="AD1181" s="22" t="s">
        <v>1418</v>
      </c>
    </row>
    <row r="1182" customFormat="false" ht="15" hidden="false" customHeight="false" outlineLevel="0" collapsed="false">
      <c r="A1182" s="22" t="n">
        <v>1181</v>
      </c>
      <c r="B1182" s="22" t="s">
        <v>154</v>
      </c>
      <c r="C1182" s="37" t="n">
        <v>45712.584837963</v>
      </c>
      <c r="D1182" s="22" t="s">
        <v>202</v>
      </c>
      <c r="E1182" s="22" t="n">
        <v>14</v>
      </c>
      <c r="F1182" s="22" t="s">
        <v>181</v>
      </c>
      <c r="G1182" s="22" t="s">
        <v>243</v>
      </c>
      <c r="H1182" s="22" t="n">
        <v>0.05</v>
      </c>
      <c r="I1182" s="38" t="n">
        <v>2949.55</v>
      </c>
      <c r="J1182" s="38" t="n">
        <v>2950.56</v>
      </c>
      <c r="K1182" s="39" t="n">
        <f aca="false">IF(F1182="BUY",J1182-I1182,I1182-J1182)</f>
        <v>1.00999999999976</v>
      </c>
      <c r="L1182" s="38" t="n">
        <v>2943.55</v>
      </c>
      <c r="M1182" s="39" t="n">
        <f aca="false">ABS(I1182-L1182)</f>
        <v>6</v>
      </c>
      <c r="N1182" s="24" t="n">
        <f aca="false">M1182*H1182*Summary!$C$6</f>
        <v>30</v>
      </c>
      <c r="O1182" s="37" t="n">
        <v>45712.6764930556</v>
      </c>
      <c r="P1182" s="22" t="n">
        <f aca="false">ROUND((O1182-C1182)*86400,0)</f>
        <v>7919</v>
      </c>
      <c r="Q1182" s="22" t="str">
        <f aca="false">IF(P1182&lt;10,"a) &lt;10s",IF(P1182&lt;60,"b) 10-60s",IF(P1182&lt;600,"c) 1-10min","d) &gt;10min")))</f>
        <v>d) &gt;10min</v>
      </c>
      <c r="R1182" s="38" t="n">
        <v>2951.06</v>
      </c>
      <c r="S1182" s="38" t="n">
        <v>2950.87</v>
      </c>
      <c r="T1182" s="22" t="s">
        <v>189</v>
      </c>
      <c r="U1182" s="39" t="n">
        <f aca="false">IF(R1182="","",IF(F1182="BUY",R1182-S1182,S1182-R1182))</f>
        <v>0.190000000000055</v>
      </c>
      <c r="V1182" s="39" t="n">
        <f aca="false">IF(F1182="BUY",S1182-J1182,J1182-S1182)</f>
        <v>0.309999999999945</v>
      </c>
      <c r="W1182" s="6" t="n">
        <v>1.55</v>
      </c>
      <c r="X1182" s="26" t="n">
        <f aca="false">IFERROR(W1182/N1182,0)</f>
        <v>0.0516666666666667</v>
      </c>
      <c r="Y1182" s="22" t="str">
        <f aca="false">IF(W1182&gt;0,"Win",IF(W1182&lt;0,"Loss","Flat"))</f>
        <v>Win</v>
      </c>
      <c r="Z1182" s="24" t="n">
        <f aca="false">Summary!$C$5+SUM(W$2:W1182)</f>
        <v>3489.78</v>
      </c>
      <c r="AA1182" s="24" t="n">
        <f aca="false">MAX(AA1181,Z1182)</f>
        <v>5000</v>
      </c>
      <c r="AB1182" s="24" t="n">
        <f aca="false">AA1182-Z1182</f>
        <v>1510.22</v>
      </c>
      <c r="AC1182" s="23" t="n">
        <f aca="false">IFERROR(AB1182/AA1182,0)</f>
        <v>0.302044</v>
      </c>
      <c r="AD1182" s="22" t="s">
        <v>1419</v>
      </c>
    </row>
    <row r="1183" customFormat="false" ht="15" hidden="false" customHeight="false" outlineLevel="0" collapsed="false">
      <c r="A1183" s="22" t="n">
        <v>1182</v>
      </c>
      <c r="B1183" s="22" t="s">
        <v>154</v>
      </c>
      <c r="C1183" s="37" t="n">
        <v>45713.4075</v>
      </c>
      <c r="D1183" s="22" t="s">
        <v>203</v>
      </c>
      <c r="E1183" s="22" t="n">
        <v>9</v>
      </c>
      <c r="F1183" s="22" t="s">
        <v>182</v>
      </c>
      <c r="G1183" s="22" t="s">
        <v>241</v>
      </c>
      <c r="H1183" s="22" t="n">
        <v>0.05</v>
      </c>
      <c r="I1183" s="38" t="n">
        <v>2933.31</v>
      </c>
      <c r="J1183" s="38" t="n">
        <v>2933.29</v>
      </c>
      <c r="K1183" s="39" t="n">
        <f aca="false">IF(F1183="BUY",J1183-I1183,I1183-J1183)</f>
        <v>0.0199999999999818</v>
      </c>
      <c r="L1183" s="38" t="n">
        <v>2939.31</v>
      </c>
      <c r="M1183" s="39" t="n">
        <f aca="false">ABS(I1183-L1183)</f>
        <v>6</v>
      </c>
      <c r="N1183" s="24" t="n">
        <f aca="false">M1183*H1183*Summary!$C$6</f>
        <v>30</v>
      </c>
      <c r="O1183" s="37" t="n">
        <v>45713.412650463</v>
      </c>
      <c r="P1183" s="22" t="n">
        <f aca="false">ROUND((O1183-C1183)*86400,0)</f>
        <v>445</v>
      </c>
      <c r="Q1183" s="22" t="str">
        <f aca="false">IF(P1183&lt;10,"a) &lt;10s",IF(P1183&lt;60,"b) 10-60s",IF(P1183&lt;600,"c) 1-10min","d) &gt;10min")))</f>
        <v>c) 1-10min</v>
      </c>
      <c r="R1183" s="38" t="n">
        <v>2932.79</v>
      </c>
      <c r="S1183" s="38" t="n">
        <v>2932.94</v>
      </c>
      <c r="T1183" s="22" t="s">
        <v>189</v>
      </c>
      <c r="U1183" s="39" t="n">
        <f aca="false">IF(R1183="","",IF(F1183="BUY",R1183-S1183,S1183-R1183))</f>
        <v>0.150000000000091</v>
      </c>
      <c r="V1183" s="39" t="n">
        <f aca="false">IF(F1183="BUY",S1183-J1183,J1183-S1183)</f>
        <v>0.349999999999909</v>
      </c>
      <c r="W1183" s="6" t="n">
        <v>1.75</v>
      </c>
      <c r="X1183" s="26" t="n">
        <f aca="false">IFERROR(W1183/N1183,0)</f>
        <v>0.0583333333333333</v>
      </c>
      <c r="Y1183" s="22" t="str">
        <f aca="false">IF(W1183&gt;0,"Win",IF(W1183&lt;0,"Loss","Flat"))</f>
        <v>Win</v>
      </c>
      <c r="Z1183" s="24" t="n">
        <f aca="false">Summary!$C$5+SUM(W$2:W1183)</f>
        <v>3491.53</v>
      </c>
      <c r="AA1183" s="24" t="n">
        <f aca="false">MAX(AA1182,Z1183)</f>
        <v>5000</v>
      </c>
      <c r="AB1183" s="24" t="n">
        <f aca="false">AA1183-Z1183</f>
        <v>1508.47</v>
      </c>
      <c r="AC1183" s="23" t="n">
        <f aca="false">IFERROR(AB1183/AA1183,0)</f>
        <v>0.301694</v>
      </c>
      <c r="AD1183" s="22" t="s">
        <v>1420</v>
      </c>
    </row>
    <row r="1184" customFormat="false" ht="15" hidden="false" customHeight="false" outlineLevel="0" collapsed="false">
      <c r="A1184" s="22" t="n">
        <v>1183</v>
      </c>
      <c r="B1184" s="22" t="s">
        <v>154</v>
      </c>
      <c r="C1184" s="37" t="n">
        <v>45713.7206944445</v>
      </c>
      <c r="D1184" s="22" t="s">
        <v>203</v>
      </c>
      <c r="E1184" s="22" t="n">
        <v>17</v>
      </c>
      <c r="F1184" s="22" t="s">
        <v>182</v>
      </c>
      <c r="G1184" s="22" t="s">
        <v>237</v>
      </c>
      <c r="H1184" s="22" t="n">
        <v>0.05</v>
      </c>
      <c r="I1184" s="38" t="n">
        <v>2921.06</v>
      </c>
      <c r="J1184" s="38" t="n">
        <v>2921.06</v>
      </c>
      <c r="K1184" s="39" t="n">
        <f aca="false">IF(F1184="BUY",J1184-I1184,I1184-J1184)</f>
        <v>0</v>
      </c>
      <c r="L1184" s="38" t="n">
        <v>2927.06</v>
      </c>
      <c r="M1184" s="39" t="n">
        <f aca="false">ABS(I1184-L1184)</f>
        <v>6</v>
      </c>
      <c r="N1184" s="24" t="n">
        <f aca="false">M1184*H1184*Summary!$C$6</f>
        <v>30</v>
      </c>
      <c r="O1184" s="37" t="n">
        <v>45713.7561574074</v>
      </c>
      <c r="P1184" s="22" t="n">
        <f aca="false">ROUND((O1184-C1184)*86400,0)</f>
        <v>3064</v>
      </c>
      <c r="Q1184" s="22" t="str">
        <f aca="false">IF(P1184&lt;10,"a) &lt;10s",IF(P1184&lt;60,"b) 10-60s",IF(P1184&lt;600,"c) 1-10min","d) &gt;10min")))</f>
        <v>d) &gt;10min</v>
      </c>
      <c r="R1184" s="38"/>
      <c r="S1184" s="38" t="n">
        <v>2891.05</v>
      </c>
      <c r="T1184" s="22" t="s">
        <v>187</v>
      </c>
      <c r="U1184" s="39" t="str">
        <f aca="false">IF(R1184="","",IF(F1184="BUY",R1184-S1184,S1184-R1184))</f>
        <v/>
      </c>
      <c r="V1184" s="39" t="n">
        <f aca="false">IF(F1184="BUY",S1184-J1184,J1184-S1184)</f>
        <v>30.0099999999998</v>
      </c>
      <c r="W1184" s="6" t="n">
        <v>150.05</v>
      </c>
      <c r="X1184" s="26" t="n">
        <f aca="false">IFERROR(W1184/N1184,0)</f>
        <v>5.00166666666667</v>
      </c>
      <c r="Y1184" s="22" t="str">
        <f aca="false">IF(W1184&gt;0,"Win",IF(W1184&lt;0,"Loss","Flat"))</f>
        <v>Win</v>
      </c>
      <c r="Z1184" s="24" t="n">
        <f aca="false">Summary!$C$5+SUM(W$2:W1184)</f>
        <v>3641.58</v>
      </c>
      <c r="AA1184" s="24" t="n">
        <f aca="false">MAX(AA1183,Z1184)</f>
        <v>5000</v>
      </c>
      <c r="AB1184" s="24" t="n">
        <f aca="false">AA1184-Z1184</f>
        <v>1358.42</v>
      </c>
      <c r="AC1184" s="23" t="n">
        <f aca="false">IFERROR(AB1184/AA1184,0)</f>
        <v>0.271684</v>
      </c>
      <c r="AD1184" s="22" t="s">
        <v>1421</v>
      </c>
    </row>
    <row r="1185" customFormat="false" ht="15" hidden="false" customHeight="false" outlineLevel="0" collapsed="false">
      <c r="A1185" s="22" t="n">
        <v>1184</v>
      </c>
      <c r="B1185" s="22" t="s">
        <v>154</v>
      </c>
      <c r="C1185" s="37" t="n">
        <v>45714.375</v>
      </c>
      <c r="D1185" s="22" t="s">
        <v>204</v>
      </c>
      <c r="E1185" s="22" t="n">
        <v>9</v>
      </c>
      <c r="F1185" s="22" t="s">
        <v>182</v>
      </c>
      <c r="G1185" s="22" t="s">
        <v>241</v>
      </c>
      <c r="H1185" s="22" t="n">
        <v>0.06</v>
      </c>
      <c r="I1185" s="38" t="n">
        <v>2906.45</v>
      </c>
      <c r="J1185" s="38" t="n">
        <v>2906.35</v>
      </c>
      <c r="K1185" s="39" t="n">
        <f aca="false">IF(F1185="BUY",J1185-I1185,I1185-J1185)</f>
        <v>0.0999999999999091</v>
      </c>
      <c r="L1185" s="38" t="n">
        <v>2912.45</v>
      </c>
      <c r="M1185" s="39" t="n">
        <f aca="false">ABS(I1185-L1185)</f>
        <v>6</v>
      </c>
      <c r="N1185" s="24" t="n">
        <f aca="false">M1185*H1185*Summary!$C$6</f>
        <v>36</v>
      </c>
      <c r="O1185" s="37" t="n">
        <v>45714.3830208333</v>
      </c>
      <c r="P1185" s="22" t="n">
        <f aca="false">ROUND((O1185-C1185)*86400,0)</f>
        <v>693</v>
      </c>
      <c r="Q1185" s="22" t="str">
        <f aca="false">IF(P1185&lt;10,"a) &lt;10s",IF(P1185&lt;60,"b) 10-60s",IF(P1185&lt;600,"c) 1-10min","d) &gt;10min")))</f>
        <v>d) &gt;10min</v>
      </c>
      <c r="R1185" s="38" t="n">
        <v>2912.45</v>
      </c>
      <c r="S1185" s="38" t="n">
        <v>2912.61</v>
      </c>
      <c r="T1185" s="22" t="s">
        <v>188</v>
      </c>
      <c r="U1185" s="39" t="n">
        <f aca="false">IF(R1185="","",IF(F1185="BUY",R1185-S1185,S1185-R1185))</f>
        <v>0.160000000000309</v>
      </c>
      <c r="V1185" s="39" t="n">
        <f aca="false">IF(F1185="BUY",S1185-J1185,J1185-S1185)</f>
        <v>-6.26000000000022</v>
      </c>
      <c r="W1185" s="6" t="n">
        <v>-37.56</v>
      </c>
      <c r="X1185" s="26" t="n">
        <f aca="false">IFERROR(W1185/N1185,0)</f>
        <v>-1.04333333333333</v>
      </c>
      <c r="Y1185" s="22" t="str">
        <f aca="false">IF(W1185&gt;0,"Win",IF(W1185&lt;0,"Loss","Flat"))</f>
        <v>Loss</v>
      </c>
      <c r="Z1185" s="24" t="n">
        <f aca="false">Summary!$C$5+SUM(W$2:W1185)</f>
        <v>3604.02</v>
      </c>
      <c r="AA1185" s="24" t="n">
        <f aca="false">MAX(AA1184,Z1185)</f>
        <v>5000</v>
      </c>
      <c r="AB1185" s="24" t="n">
        <f aca="false">AA1185-Z1185</f>
        <v>1395.98</v>
      </c>
      <c r="AC1185" s="23" t="n">
        <f aca="false">IFERROR(AB1185/AA1185,0)</f>
        <v>0.279196</v>
      </c>
      <c r="AD1185" s="22" t="s">
        <v>1422</v>
      </c>
    </row>
    <row r="1186" customFormat="false" ht="15" hidden="false" customHeight="false" outlineLevel="0" collapsed="false">
      <c r="A1186" s="22" t="n">
        <v>1185</v>
      </c>
      <c r="B1186" s="22" t="s">
        <v>154</v>
      </c>
      <c r="C1186" s="37" t="n">
        <v>45715.3060648148</v>
      </c>
      <c r="D1186" s="22" t="s">
        <v>205</v>
      </c>
      <c r="E1186" s="22" t="n">
        <v>7</v>
      </c>
      <c r="F1186" s="22" t="s">
        <v>182</v>
      </c>
      <c r="G1186" s="22" t="s">
        <v>237</v>
      </c>
      <c r="H1186" s="22" t="n">
        <v>0.06</v>
      </c>
      <c r="I1186" s="38" t="n">
        <v>2890.59</v>
      </c>
      <c r="J1186" s="38" t="n">
        <v>2890.52</v>
      </c>
      <c r="K1186" s="39" t="n">
        <f aca="false">IF(F1186="BUY",J1186-I1186,I1186-J1186)</f>
        <v>0.0700000000001637</v>
      </c>
      <c r="L1186" s="38" t="n">
        <v>2896.59</v>
      </c>
      <c r="M1186" s="39" t="n">
        <f aca="false">ABS(I1186-L1186)</f>
        <v>6</v>
      </c>
      <c r="N1186" s="24" t="n">
        <f aca="false">M1186*H1186*Summary!$C$6</f>
        <v>36</v>
      </c>
      <c r="O1186" s="37" t="n">
        <v>45715.3475347222</v>
      </c>
      <c r="P1186" s="22" t="n">
        <f aca="false">ROUND((O1186-C1186)*86400,0)</f>
        <v>3583</v>
      </c>
      <c r="Q1186" s="22" t="str">
        <f aca="false">IF(P1186&lt;10,"a) &lt;10s",IF(P1186&lt;60,"b) 10-60s",IF(P1186&lt;600,"c) 1-10min","d) &gt;10min")))</f>
        <v>d) &gt;10min</v>
      </c>
      <c r="R1186" s="38" t="n">
        <v>2896.59</v>
      </c>
      <c r="S1186" s="38" t="n">
        <v>2896.64</v>
      </c>
      <c r="T1186" s="22" t="s">
        <v>188</v>
      </c>
      <c r="U1186" s="39" t="n">
        <f aca="false">IF(R1186="","",IF(F1186="BUY",R1186-S1186,S1186-R1186))</f>
        <v>0.0499999999997272</v>
      </c>
      <c r="V1186" s="39" t="n">
        <f aca="false">IF(F1186="BUY",S1186-J1186,J1186-S1186)</f>
        <v>-6.11999999999989</v>
      </c>
      <c r="W1186" s="6" t="n">
        <v>-36.72</v>
      </c>
      <c r="X1186" s="26" t="n">
        <f aca="false">IFERROR(W1186/N1186,0)</f>
        <v>-1.02</v>
      </c>
      <c r="Y1186" s="22" t="str">
        <f aca="false">IF(W1186&gt;0,"Win",IF(W1186&lt;0,"Loss","Flat"))</f>
        <v>Loss</v>
      </c>
      <c r="Z1186" s="24" t="n">
        <f aca="false">Summary!$C$5+SUM(W$2:W1186)</f>
        <v>3567.3</v>
      </c>
      <c r="AA1186" s="24" t="n">
        <f aca="false">MAX(AA1185,Z1186)</f>
        <v>5000</v>
      </c>
      <c r="AB1186" s="24" t="n">
        <f aca="false">AA1186-Z1186</f>
        <v>1432.7</v>
      </c>
      <c r="AC1186" s="23" t="n">
        <f aca="false">IFERROR(AB1186/AA1186,0)</f>
        <v>0.28654</v>
      </c>
      <c r="AD1186" s="22" t="s">
        <v>1423</v>
      </c>
    </row>
    <row r="1187" customFormat="false" ht="15" hidden="false" customHeight="false" outlineLevel="0" collapsed="false">
      <c r="A1187" s="22" t="n">
        <v>1186</v>
      </c>
      <c r="B1187" s="22" t="s">
        <v>154</v>
      </c>
      <c r="C1187" s="37" t="n">
        <v>45715.4057407407</v>
      </c>
      <c r="D1187" s="22" t="s">
        <v>205</v>
      </c>
      <c r="E1187" s="22" t="n">
        <v>9</v>
      </c>
      <c r="F1187" s="22" t="s">
        <v>182</v>
      </c>
      <c r="G1187" s="22" t="s">
        <v>241</v>
      </c>
      <c r="H1187" s="22" t="n">
        <v>0.05</v>
      </c>
      <c r="I1187" s="38" t="n">
        <v>2888.3</v>
      </c>
      <c r="J1187" s="38" t="n">
        <v>2888.25</v>
      </c>
      <c r="K1187" s="39" t="n">
        <f aca="false">IF(F1187="BUY",J1187-I1187,I1187-J1187)</f>
        <v>0.0500000000001819</v>
      </c>
      <c r="L1187" s="38" t="n">
        <v>2894.3</v>
      </c>
      <c r="M1187" s="39" t="n">
        <f aca="false">ABS(I1187-L1187)</f>
        <v>6</v>
      </c>
      <c r="N1187" s="24" t="n">
        <f aca="false">M1187*H1187*Summary!$C$6</f>
        <v>30</v>
      </c>
      <c r="O1187" s="37" t="n">
        <v>45715.4095138889</v>
      </c>
      <c r="P1187" s="22" t="n">
        <f aca="false">ROUND((O1187-C1187)*86400,0)</f>
        <v>326</v>
      </c>
      <c r="Q1187" s="22" t="str">
        <f aca="false">IF(P1187&lt;10,"a) &lt;10s",IF(P1187&lt;60,"b) 10-60s",IF(P1187&lt;600,"c) 1-10min","d) &gt;10min")))</f>
        <v>c) 1-10min</v>
      </c>
      <c r="R1187" s="38" t="n">
        <v>2894.3</v>
      </c>
      <c r="S1187" s="38" t="n">
        <v>2894.31</v>
      </c>
      <c r="T1187" s="22" t="s">
        <v>188</v>
      </c>
      <c r="U1187" s="39" t="n">
        <f aca="false">IF(R1187="","",IF(F1187="BUY",R1187-S1187,S1187-R1187))</f>
        <v>0.00999999999976353</v>
      </c>
      <c r="V1187" s="39" t="n">
        <f aca="false">IF(F1187="BUY",S1187-J1187,J1187-S1187)</f>
        <v>-6.05999999999995</v>
      </c>
      <c r="W1187" s="6" t="n">
        <v>-30.3</v>
      </c>
      <c r="X1187" s="26" t="n">
        <f aca="false">IFERROR(W1187/N1187,0)</f>
        <v>-1.01</v>
      </c>
      <c r="Y1187" s="22" t="str">
        <f aca="false">IF(W1187&gt;0,"Win",IF(W1187&lt;0,"Loss","Flat"))</f>
        <v>Loss</v>
      </c>
      <c r="Z1187" s="24" t="n">
        <f aca="false">Summary!$C$5+SUM(W$2:W1187)</f>
        <v>3537</v>
      </c>
      <c r="AA1187" s="24" t="n">
        <f aca="false">MAX(AA1186,Z1187)</f>
        <v>5000</v>
      </c>
      <c r="AB1187" s="24" t="n">
        <f aca="false">AA1187-Z1187</f>
        <v>1463</v>
      </c>
      <c r="AC1187" s="23" t="n">
        <f aca="false">IFERROR(AB1187/AA1187,0)</f>
        <v>0.2926</v>
      </c>
      <c r="AD1187" s="22" t="s">
        <v>1424</v>
      </c>
    </row>
    <row r="1188" customFormat="false" ht="15" hidden="false" customHeight="false" outlineLevel="0" collapsed="false">
      <c r="A1188" s="22" t="n">
        <v>1187</v>
      </c>
      <c r="B1188" s="22" t="s">
        <v>154</v>
      </c>
      <c r="C1188" s="37" t="n">
        <v>45716.2349421296</v>
      </c>
      <c r="D1188" s="22" t="s">
        <v>206</v>
      </c>
      <c r="E1188" s="22" t="n">
        <v>5</v>
      </c>
      <c r="F1188" s="22" t="s">
        <v>182</v>
      </c>
      <c r="G1188" s="22" t="s">
        <v>237</v>
      </c>
      <c r="H1188" s="22" t="n">
        <v>0.05</v>
      </c>
      <c r="I1188" s="38" t="n">
        <v>2867.57</v>
      </c>
      <c r="J1188" s="38" t="n">
        <v>2867.53</v>
      </c>
      <c r="K1188" s="39" t="n">
        <f aca="false">IF(F1188="BUY",J1188-I1188,I1188-J1188)</f>
        <v>0.0399999999999636</v>
      </c>
      <c r="L1188" s="38" t="n">
        <v>2873.57</v>
      </c>
      <c r="M1188" s="39" t="n">
        <f aca="false">ABS(I1188-L1188)</f>
        <v>6</v>
      </c>
      <c r="N1188" s="24" t="n">
        <f aca="false">M1188*H1188*Summary!$C$6</f>
        <v>30</v>
      </c>
      <c r="O1188" s="37" t="n">
        <v>45716.2432175926</v>
      </c>
      <c r="P1188" s="22" t="n">
        <f aca="false">ROUND((O1188-C1188)*86400,0)</f>
        <v>715</v>
      </c>
      <c r="Q1188" s="22" t="str">
        <f aca="false">IF(P1188&lt;10,"a) &lt;10s",IF(P1188&lt;60,"b) 10-60s",IF(P1188&lt;600,"c) 1-10min","d) &gt;10min")))</f>
        <v>d) &gt;10min</v>
      </c>
      <c r="R1188" s="38" t="n">
        <v>2867.03</v>
      </c>
      <c r="S1188" s="38" t="n">
        <v>2867.08</v>
      </c>
      <c r="T1188" s="22" t="s">
        <v>189</v>
      </c>
      <c r="U1188" s="39" t="n">
        <f aca="false">IF(R1188="","",IF(F1188="BUY",R1188-S1188,S1188-R1188))</f>
        <v>0.0499999999997272</v>
      </c>
      <c r="V1188" s="39" t="n">
        <f aca="false">IF(F1188="BUY",S1188-J1188,J1188-S1188)</f>
        <v>0.450000000000273</v>
      </c>
      <c r="W1188" s="6" t="n">
        <v>2.25</v>
      </c>
      <c r="X1188" s="26" t="n">
        <f aca="false">IFERROR(W1188/N1188,0)</f>
        <v>0.075</v>
      </c>
      <c r="Y1188" s="22" t="str">
        <f aca="false">IF(W1188&gt;0,"Win",IF(W1188&lt;0,"Loss","Flat"))</f>
        <v>Win</v>
      </c>
      <c r="Z1188" s="24" t="n">
        <f aca="false">Summary!$C$5+SUM(W$2:W1188)</f>
        <v>3539.25</v>
      </c>
      <c r="AA1188" s="24" t="n">
        <f aca="false">MAX(AA1187,Z1188)</f>
        <v>5000</v>
      </c>
      <c r="AB1188" s="24" t="n">
        <f aca="false">AA1188-Z1188</f>
        <v>1460.75</v>
      </c>
      <c r="AC1188" s="23" t="n">
        <f aca="false">IFERROR(AB1188/AA1188,0)</f>
        <v>0.29215</v>
      </c>
      <c r="AD1188" s="22" t="s">
        <v>1425</v>
      </c>
    </row>
    <row r="1189" customFormat="false" ht="15" hidden="false" customHeight="false" outlineLevel="0" collapsed="false">
      <c r="A1189" s="22" t="n">
        <v>1188</v>
      </c>
      <c r="B1189" s="22" t="s">
        <v>154</v>
      </c>
      <c r="C1189" s="37" t="n">
        <v>45716.3883912037</v>
      </c>
      <c r="D1189" s="22" t="s">
        <v>206</v>
      </c>
      <c r="E1189" s="22" t="n">
        <v>9</v>
      </c>
      <c r="F1189" s="22" t="s">
        <v>182</v>
      </c>
      <c r="G1189" s="22" t="s">
        <v>241</v>
      </c>
      <c r="H1189" s="22" t="n">
        <v>0.05</v>
      </c>
      <c r="I1189" s="38" t="n">
        <v>2861.61</v>
      </c>
      <c r="J1189" s="38" t="n">
        <v>2861.36</v>
      </c>
      <c r="K1189" s="39" t="n">
        <f aca="false">IF(F1189="BUY",J1189-I1189,I1189-J1189)</f>
        <v>0.25</v>
      </c>
      <c r="L1189" s="38" t="n">
        <v>2867.61</v>
      </c>
      <c r="M1189" s="39" t="n">
        <f aca="false">ABS(I1189-L1189)</f>
        <v>6</v>
      </c>
      <c r="N1189" s="24" t="n">
        <f aca="false">M1189*H1189*Summary!$C$6</f>
        <v>30</v>
      </c>
      <c r="O1189" s="37" t="n">
        <v>45716.3965277778</v>
      </c>
      <c r="P1189" s="22" t="n">
        <f aca="false">ROUND((O1189-C1189)*86400,0)</f>
        <v>703</v>
      </c>
      <c r="Q1189" s="22" t="str">
        <f aca="false">IF(P1189&lt;10,"a) &lt;10s",IF(P1189&lt;60,"b) 10-60s",IF(P1189&lt;600,"c) 1-10min","d) &gt;10min")))</f>
        <v>d) &gt;10min</v>
      </c>
      <c r="R1189" s="38" t="n">
        <v>2860.86</v>
      </c>
      <c r="S1189" s="38" t="n">
        <v>2860.94</v>
      </c>
      <c r="T1189" s="22" t="s">
        <v>189</v>
      </c>
      <c r="U1189" s="39" t="n">
        <f aca="false">IF(R1189="","",IF(F1189="BUY",R1189-S1189,S1189-R1189))</f>
        <v>0.0799999999999272</v>
      </c>
      <c r="V1189" s="39" t="n">
        <f aca="false">IF(F1189="BUY",S1189-J1189,J1189-S1189)</f>
        <v>0.420000000000073</v>
      </c>
      <c r="W1189" s="6" t="n">
        <v>2.1</v>
      </c>
      <c r="X1189" s="26" t="n">
        <f aca="false">IFERROR(W1189/N1189,0)</f>
        <v>0.07</v>
      </c>
      <c r="Y1189" s="22" t="str">
        <f aca="false">IF(W1189&gt;0,"Win",IF(W1189&lt;0,"Loss","Flat"))</f>
        <v>Win</v>
      </c>
      <c r="Z1189" s="24" t="n">
        <f aca="false">Summary!$C$5+SUM(W$2:W1189)</f>
        <v>3541.35</v>
      </c>
      <c r="AA1189" s="24" t="n">
        <f aca="false">MAX(AA1188,Z1189)</f>
        <v>5000</v>
      </c>
      <c r="AB1189" s="24" t="n">
        <f aca="false">AA1189-Z1189</f>
        <v>1458.65</v>
      </c>
      <c r="AC1189" s="23" t="n">
        <f aca="false">IFERROR(AB1189/AA1189,0)</f>
        <v>0.29173</v>
      </c>
      <c r="AD1189" s="22" t="s">
        <v>1426</v>
      </c>
    </row>
    <row r="1190" customFormat="false" ht="15" hidden="false" customHeight="false" outlineLevel="0" collapsed="false">
      <c r="A1190" s="22" t="n">
        <v>1189</v>
      </c>
      <c r="B1190" s="22" t="s">
        <v>155</v>
      </c>
      <c r="C1190" s="37" t="n">
        <v>45719.3870833333</v>
      </c>
      <c r="D1190" s="22" t="s">
        <v>202</v>
      </c>
      <c r="E1190" s="22" t="n">
        <v>9</v>
      </c>
      <c r="F1190" s="22" t="s">
        <v>182</v>
      </c>
      <c r="G1190" s="22" t="s">
        <v>241</v>
      </c>
      <c r="H1190" s="22" t="n">
        <v>0.05</v>
      </c>
      <c r="I1190" s="38" t="n">
        <v>2861.26</v>
      </c>
      <c r="J1190" s="38" t="n">
        <v>2861.23</v>
      </c>
      <c r="K1190" s="39" t="n">
        <f aca="false">IF(F1190="BUY",J1190-I1190,I1190-J1190)</f>
        <v>0.0300000000002001</v>
      </c>
      <c r="L1190" s="38" t="n">
        <v>2867.26</v>
      </c>
      <c r="M1190" s="39" t="n">
        <f aca="false">ABS(I1190-L1190)</f>
        <v>6</v>
      </c>
      <c r="N1190" s="24" t="n">
        <f aca="false">M1190*H1190*Summary!$C$6</f>
        <v>30</v>
      </c>
      <c r="O1190" s="37" t="n">
        <v>45719.4367824074</v>
      </c>
      <c r="P1190" s="22" t="n">
        <f aca="false">ROUND((O1190-C1190)*86400,0)</f>
        <v>4294</v>
      </c>
      <c r="Q1190" s="22" t="str">
        <f aca="false">IF(P1190&lt;10,"a) &lt;10s",IF(P1190&lt;60,"b) 10-60s",IF(P1190&lt;600,"c) 1-10min","d) &gt;10min")))</f>
        <v>d) &gt;10min</v>
      </c>
      <c r="R1190" s="38" t="n">
        <v>2860.73</v>
      </c>
      <c r="S1190" s="38" t="n">
        <v>2860.73</v>
      </c>
      <c r="T1190" s="22" t="s">
        <v>189</v>
      </c>
      <c r="U1190" s="39" t="n">
        <f aca="false">IF(R1190="","",IF(F1190="BUY",R1190-S1190,S1190-R1190))</f>
        <v>0</v>
      </c>
      <c r="V1190" s="39" t="n">
        <f aca="false">IF(F1190="BUY",S1190-J1190,J1190-S1190)</f>
        <v>0.5</v>
      </c>
      <c r="W1190" s="6" t="n">
        <v>2.5</v>
      </c>
      <c r="X1190" s="26" t="n">
        <f aca="false">IFERROR(W1190/N1190,0)</f>
        <v>0.0833333333333333</v>
      </c>
      <c r="Y1190" s="22" t="str">
        <f aca="false">IF(W1190&gt;0,"Win",IF(W1190&lt;0,"Loss","Flat"))</f>
        <v>Win</v>
      </c>
      <c r="Z1190" s="24" t="n">
        <f aca="false">Summary!$C$5+SUM(W$2:W1190)</f>
        <v>3543.85</v>
      </c>
      <c r="AA1190" s="24" t="n">
        <f aca="false">MAX(AA1189,Z1190)</f>
        <v>5000</v>
      </c>
      <c r="AB1190" s="24" t="n">
        <f aca="false">AA1190-Z1190</f>
        <v>1456.15</v>
      </c>
      <c r="AC1190" s="23" t="n">
        <f aca="false">IFERROR(AB1190/AA1190,0)</f>
        <v>0.29123</v>
      </c>
      <c r="AD1190" s="22" t="s">
        <v>1427</v>
      </c>
    </row>
    <row r="1191" customFormat="false" ht="15" hidden="false" customHeight="false" outlineLevel="0" collapsed="false">
      <c r="A1191" s="22" t="n">
        <v>1190</v>
      </c>
      <c r="B1191" s="22" t="s">
        <v>155</v>
      </c>
      <c r="C1191" s="37" t="n">
        <v>45719.7231597222</v>
      </c>
      <c r="D1191" s="22" t="s">
        <v>202</v>
      </c>
      <c r="E1191" s="22" t="n">
        <v>17</v>
      </c>
      <c r="F1191" s="22" t="s">
        <v>181</v>
      </c>
      <c r="G1191" s="22" t="s">
        <v>243</v>
      </c>
      <c r="H1191" s="22" t="n">
        <v>0.05</v>
      </c>
      <c r="I1191" s="38" t="n">
        <v>2884.93</v>
      </c>
      <c r="J1191" s="38" t="n">
        <v>2884.93</v>
      </c>
      <c r="K1191" s="39" t="n">
        <f aca="false">IF(F1191="BUY",J1191-I1191,I1191-J1191)</f>
        <v>0</v>
      </c>
      <c r="L1191" s="38" t="n">
        <v>2878.93</v>
      </c>
      <c r="M1191" s="39" t="n">
        <f aca="false">ABS(I1191-L1191)</f>
        <v>6</v>
      </c>
      <c r="N1191" s="24" t="n">
        <f aca="false">M1191*H1191*Summary!$C$6</f>
        <v>30</v>
      </c>
      <c r="O1191" s="37" t="n">
        <v>45719.726712963</v>
      </c>
      <c r="P1191" s="22" t="n">
        <f aca="false">ROUND((O1191-C1191)*86400,0)</f>
        <v>307</v>
      </c>
      <c r="Q1191" s="22" t="str">
        <f aca="false">IF(P1191&lt;10,"a) &lt;10s",IF(P1191&lt;60,"b) 10-60s",IF(P1191&lt;600,"c) 1-10min","d) &gt;10min")))</f>
        <v>c) 1-10min</v>
      </c>
      <c r="R1191" s="38" t="n">
        <v>2885.43</v>
      </c>
      <c r="S1191" s="38" t="n">
        <v>2885.36</v>
      </c>
      <c r="T1191" s="22" t="s">
        <v>189</v>
      </c>
      <c r="U1191" s="39" t="n">
        <f aca="false">IF(R1191="","",IF(F1191="BUY",R1191-S1191,S1191-R1191))</f>
        <v>0.069999999999709</v>
      </c>
      <c r="V1191" s="39" t="n">
        <f aca="false">IF(F1191="BUY",S1191-J1191,J1191-S1191)</f>
        <v>0.430000000000291</v>
      </c>
      <c r="W1191" s="6" t="n">
        <v>2.15</v>
      </c>
      <c r="X1191" s="26" t="n">
        <f aca="false">IFERROR(W1191/N1191,0)</f>
        <v>0.0716666666666667</v>
      </c>
      <c r="Y1191" s="22" t="str">
        <f aca="false">IF(W1191&gt;0,"Win",IF(W1191&lt;0,"Loss","Flat"))</f>
        <v>Win</v>
      </c>
      <c r="Z1191" s="24" t="n">
        <f aca="false">Summary!$C$5+SUM(W$2:W1191)</f>
        <v>3546</v>
      </c>
      <c r="AA1191" s="24" t="n">
        <f aca="false">MAX(AA1190,Z1191)</f>
        <v>5000</v>
      </c>
      <c r="AB1191" s="24" t="n">
        <f aca="false">AA1191-Z1191</f>
        <v>1454</v>
      </c>
      <c r="AC1191" s="23" t="n">
        <f aca="false">IFERROR(AB1191/AA1191,0)</f>
        <v>0.2908</v>
      </c>
      <c r="AD1191" s="22" t="s">
        <v>1428</v>
      </c>
    </row>
    <row r="1192" customFormat="false" ht="15" hidden="false" customHeight="false" outlineLevel="0" collapsed="false">
      <c r="A1192" s="22" t="n">
        <v>1191</v>
      </c>
      <c r="B1192" s="22" t="s">
        <v>155</v>
      </c>
      <c r="C1192" s="37" t="n">
        <v>45720.3899305556</v>
      </c>
      <c r="D1192" s="22" t="s">
        <v>203</v>
      </c>
      <c r="E1192" s="22" t="n">
        <v>9</v>
      </c>
      <c r="F1192" s="22" t="s">
        <v>181</v>
      </c>
      <c r="G1192" s="22" t="s">
        <v>235</v>
      </c>
      <c r="H1192" s="22" t="n">
        <v>0.05</v>
      </c>
      <c r="I1192" s="38" t="n">
        <v>2894.23</v>
      </c>
      <c r="J1192" s="38" t="n">
        <v>2894.33</v>
      </c>
      <c r="K1192" s="39" t="n">
        <f aca="false">IF(F1192="BUY",J1192-I1192,I1192-J1192)</f>
        <v>0.0999999999999091</v>
      </c>
      <c r="L1192" s="38" t="n">
        <v>2888.23</v>
      </c>
      <c r="M1192" s="39" t="n">
        <f aca="false">ABS(I1192-L1192)</f>
        <v>6</v>
      </c>
      <c r="N1192" s="24" t="n">
        <f aca="false">M1192*H1192*Summary!$C$6</f>
        <v>30</v>
      </c>
      <c r="O1192" s="37" t="n">
        <v>45720.6211458333</v>
      </c>
      <c r="P1192" s="22" t="n">
        <f aca="false">ROUND((O1192-C1192)*86400,0)</f>
        <v>19977</v>
      </c>
      <c r="Q1192" s="22" t="str">
        <f aca="false">IF(P1192&lt;10,"a) &lt;10s",IF(P1192&lt;60,"b) 10-60s",IF(P1192&lt;600,"c) 1-10min","d) &gt;10min")))</f>
        <v>d) &gt;10min</v>
      </c>
      <c r="R1192" s="38"/>
      <c r="S1192" s="38" t="n">
        <v>2924.35</v>
      </c>
      <c r="T1192" s="22" t="s">
        <v>187</v>
      </c>
      <c r="U1192" s="39" t="str">
        <f aca="false">IF(R1192="","",IF(F1192="BUY",R1192-S1192,S1192-R1192))</f>
        <v/>
      </c>
      <c r="V1192" s="39" t="n">
        <f aca="false">IF(F1192="BUY",S1192-J1192,J1192-S1192)</f>
        <v>30.02</v>
      </c>
      <c r="W1192" s="6" t="n">
        <v>150.1</v>
      </c>
      <c r="X1192" s="26" t="n">
        <f aca="false">IFERROR(W1192/N1192,0)</f>
        <v>5.00333333333333</v>
      </c>
      <c r="Y1192" s="22" t="str">
        <f aca="false">IF(W1192&gt;0,"Win",IF(W1192&lt;0,"Loss","Flat"))</f>
        <v>Win</v>
      </c>
      <c r="Z1192" s="24" t="n">
        <f aca="false">Summary!$C$5+SUM(W$2:W1192)</f>
        <v>3696.1</v>
      </c>
      <c r="AA1192" s="24" t="n">
        <f aca="false">MAX(AA1191,Z1192)</f>
        <v>5000</v>
      </c>
      <c r="AB1192" s="24" t="n">
        <f aca="false">AA1192-Z1192</f>
        <v>1303.9</v>
      </c>
      <c r="AC1192" s="23" t="n">
        <f aca="false">IFERROR(AB1192/AA1192,0)</f>
        <v>0.26078</v>
      </c>
      <c r="AD1192" s="22" t="s">
        <v>1429</v>
      </c>
    </row>
    <row r="1193" customFormat="false" ht="15" hidden="false" customHeight="false" outlineLevel="0" collapsed="false">
      <c r="A1193" s="22" t="n">
        <v>1192</v>
      </c>
      <c r="B1193" s="22" t="s">
        <v>155</v>
      </c>
      <c r="C1193" s="37" t="n">
        <v>45721.4263425926</v>
      </c>
      <c r="D1193" s="22" t="s">
        <v>204</v>
      </c>
      <c r="E1193" s="22" t="n">
        <v>10</v>
      </c>
      <c r="F1193" s="22" t="s">
        <v>181</v>
      </c>
      <c r="G1193" s="22" t="s">
        <v>235</v>
      </c>
      <c r="H1193" s="22" t="n">
        <v>0.06</v>
      </c>
      <c r="I1193" s="38" t="n">
        <v>2921.51</v>
      </c>
      <c r="J1193" s="38" t="n">
        <v>2921.57</v>
      </c>
      <c r="K1193" s="39" t="n">
        <f aca="false">IF(F1193="BUY",J1193-I1193,I1193-J1193)</f>
        <v>0.0599999999999454</v>
      </c>
      <c r="L1193" s="38" t="n">
        <v>2915.51</v>
      </c>
      <c r="M1193" s="39" t="n">
        <f aca="false">ABS(I1193-L1193)</f>
        <v>6</v>
      </c>
      <c r="N1193" s="24" t="n">
        <f aca="false">M1193*H1193*Summary!$C$6</f>
        <v>36</v>
      </c>
      <c r="O1193" s="37" t="n">
        <v>45721.4761805556</v>
      </c>
      <c r="P1193" s="22" t="n">
        <f aca="false">ROUND((O1193-C1193)*86400,0)</f>
        <v>4306</v>
      </c>
      <c r="Q1193" s="22" t="str">
        <f aca="false">IF(P1193&lt;10,"a) &lt;10s",IF(P1193&lt;60,"b) 10-60s",IF(P1193&lt;600,"c) 1-10min","d) &gt;10min")))</f>
        <v>d) &gt;10min</v>
      </c>
      <c r="R1193" s="38" t="n">
        <v>2915.51</v>
      </c>
      <c r="S1193" s="38" t="n">
        <v>2915.49</v>
      </c>
      <c r="T1193" s="22" t="s">
        <v>188</v>
      </c>
      <c r="U1193" s="39" t="n">
        <f aca="false">IF(R1193="","",IF(F1193="BUY",R1193-S1193,S1193-R1193))</f>
        <v>0.0200000000004366</v>
      </c>
      <c r="V1193" s="39" t="n">
        <f aca="false">IF(F1193="BUY",S1193-J1193,J1193-S1193)</f>
        <v>-6.08000000000038</v>
      </c>
      <c r="W1193" s="6" t="n">
        <v>-36.48</v>
      </c>
      <c r="X1193" s="26" t="n">
        <f aca="false">IFERROR(W1193/N1193,0)</f>
        <v>-1.01333333333333</v>
      </c>
      <c r="Y1193" s="22" t="str">
        <f aca="false">IF(W1193&gt;0,"Win",IF(W1193&lt;0,"Loss","Flat"))</f>
        <v>Loss</v>
      </c>
      <c r="Z1193" s="24" t="n">
        <f aca="false">Summary!$C$5+SUM(W$2:W1193)</f>
        <v>3659.62</v>
      </c>
      <c r="AA1193" s="24" t="n">
        <f aca="false">MAX(AA1192,Z1193)</f>
        <v>5000</v>
      </c>
      <c r="AB1193" s="24" t="n">
        <f aca="false">AA1193-Z1193</f>
        <v>1340.38</v>
      </c>
      <c r="AC1193" s="23" t="n">
        <f aca="false">IFERROR(AB1193/AA1193,0)</f>
        <v>0.268076</v>
      </c>
      <c r="AD1193" s="22" t="s">
        <v>1430</v>
      </c>
    </row>
    <row r="1194" customFormat="false" ht="15" hidden="false" customHeight="false" outlineLevel="0" collapsed="false">
      <c r="A1194" s="22" t="n">
        <v>1193</v>
      </c>
      <c r="B1194" s="22" t="s">
        <v>155</v>
      </c>
      <c r="C1194" s="37" t="n">
        <v>45721.7643402778</v>
      </c>
      <c r="D1194" s="22" t="s">
        <v>204</v>
      </c>
      <c r="E1194" s="22" t="n">
        <v>18</v>
      </c>
      <c r="F1194" s="22" t="s">
        <v>181</v>
      </c>
      <c r="G1194" s="22" t="s">
        <v>243</v>
      </c>
      <c r="H1194" s="22" t="n">
        <v>0.06</v>
      </c>
      <c r="I1194" s="38" t="n">
        <v>2927.72</v>
      </c>
      <c r="J1194" s="38" t="n">
        <v>2927.73</v>
      </c>
      <c r="K1194" s="39" t="n">
        <f aca="false">IF(F1194="BUY",J1194-I1194,I1194-J1194)</f>
        <v>0.0100000000002183</v>
      </c>
      <c r="L1194" s="38" t="n">
        <v>2921.72</v>
      </c>
      <c r="M1194" s="39" t="n">
        <f aca="false">ABS(I1194-L1194)</f>
        <v>6</v>
      </c>
      <c r="N1194" s="24" t="n">
        <f aca="false">M1194*H1194*Summary!$C$6</f>
        <v>36</v>
      </c>
      <c r="O1194" s="37" t="n">
        <v>45721.7806134259</v>
      </c>
      <c r="P1194" s="22" t="n">
        <f aca="false">ROUND((O1194-C1194)*86400,0)</f>
        <v>1406</v>
      </c>
      <c r="Q1194" s="22" t="str">
        <f aca="false">IF(P1194&lt;10,"a) &lt;10s",IF(P1194&lt;60,"b) 10-60s",IF(P1194&lt;600,"c) 1-10min","d) &gt;10min")))</f>
        <v>d) &gt;10min</v>
      </c>
      <c r="R1194" s="38" t="n">
        <v>2928.23</v>
      </c>
      <c r="S1194" s="38" t="n">
        <v>2928.19</v>
      </c>
      <c r="T1194" s="22" t="s">
        <v>189</v>
      </c>
      <c r="U1194" s="39" t="n">
        <f aca="false">IF(R1194="","",IF(F1194="BUY",R1194-S1194,S1194-R1194))</f>
        <v>0.0399999999999636</v>
      </c>
      <c r="V1194" s="39" t="n">
        <f aca="false">IF(F1194="BUY",S1194-J1194,J1194-S1194)</f>
        <v>0.460000000000036</v>
      </c>
      <c r="W1194" s="6" t="n">
        <v>2.76</v>
      </c>
      <c r="X1194" s="26" t="n">
        <f aca="false">IFERROR(W1194/N1194,0)</f>
        <v>0.0766666666666667</v>
      </c>
      <c r="Y1194" s="22" t="str">
        <f aca="false">IF(W1194&gt;0,"Win",IF(W1194&lt;0,"Loss","Flat"))</f>
        <v>Win</v>
      </c>
      <c r="Z1194" s="24" t="n">
        <f aca="false">Summary!$C$5+SUM(W$2:W1194)</f>
        <v>3662.38</v>
      </c>
      <c r="AA1194" s="24" t="n">
        <f aca="false">MAX(AA1193,Z1194)</f>
        <v>5000</v>
      </c>
      <c r="AB1194" s="24" t="n">
        <f aca="false">AA1194-Z1194</f>
        <v>1337.62</v>
      </c>
      <c r="AC1194" s="23" t="n">
        <f aca="false">IFERROR(AB1194/AA1194,0)</f>
        <v>0.267524</v>
      </c>
      <c r="AD1194" s="22" t="s">
        <v>1431</v>
      </c>
    </row>
    <row r="1195" customFormat="false" ht="15" hidden="false" customHeight="false" outlineLevel="0" collapsed="false">
      <c r="A1195" s="22" t="n">
        <v>1194</v>
      </c>
      <c r="B1195" s="22" t="s">
        <v>155</v>
      </c>
      <c r="C1195" s="37" t="n">
        <v>45722.3984722222</v>
      </c>
      <c r="D1195" s="22" t="s">
        <v>205</v>
      </c>
      <c r="E1195" s="22" t="n">
        <v>9</v>
      </c>
      <c r="F1195" s="22" t="s">
        <v>182</v>
      </c>
      <c r="G1195" s="22" t="s">
        <v>241</v>
      </c>
      <c r="H1195" s="22" t="n">
        <v>0.06</v>
      </c>
      <c r="I1195" s="38" t="n">
        <v>2914.39</v>
      </c>
      <c r="J1195" s="38" t="n">
        <v>2914.23</v>
      </c>
      <c r="K1195" s="39" t="n">
        <f aca="false">IF(F1195="BUY",J1195-I1195,I1195-J1195)</f>
        <v>0.159999999999854</v>
      </c>
      <c r="L1195" s="38" t="n">
        <v>2920.39</v>
      </c>
      <c r="M1195" s="39" t="n">
        <f aca="false">ABS(I1195-L1195)</f>
        <v>6</v>
      </c>
      <c r="N1195" s="24" t="n">
        <f aca="false">M1195*H1195*Summary!$C$6</f>
        <v>36</v>
      </c>
      <c r="O1195" s="37" t="n">
        <v>45722.4009606482</v>
      </c>
      <c r="P1195" s="22" t="n">
        <f aca="false">ROUND((O1195-C1195)*86400,0)</f>
        <v>215</v>
      </c>
      <c r="Q1195" s="22" t="str">
        <f aca="false">IF(P1195&lt;10,"a) &lt;10s",IF(P1195&lt;60,"b) 10-60s",IF(P1195&lt;600,"c) 1-10min","d) &gt;10min")))</f>
        <v>c) 1-10min</v>
      </c>
      <c r="R1195" s="38" t="n">
        <v>2913.73</v>
      </c>
      <c r="S1195" s="38" t="n">
        <v>2913.75</v>
      </c>
      <c r="T1195" s="22" t="s">
        <v>189</v>
      </c>
      <c r="U1195" s="39" t="n">
        <f aca="false">IF(R1195="","",IF(F1195="BUY",R1195-S1195,S1195-R1195))</f>
        <v>0.0199999999999818</v>
      </c>
      <c r="V1195" s="39" t="n">
        <f aca="false">IF(F1195="BUY",S1195-J1195,J1195-S1195)</f>
        <v>0.480000000000018</v>
      </c>
      <c r="W1195" s="6" t="n">
        <v>2.88</v>
      </c>
      <c r="X1195" s="26" t="n">
        <f aca="false">IFERROR(W1195/N1195,0)</f>
        <v>0.08</v>
      </c>
      <c r="Y1195" s="22" t="str">
        <f aca="false">IF(W1195&gt;0,"Win",IF(W1195&lt;0,"Loss","Flat"))</f>
        <v>Win</v>
      </c>
      <c r="Z1195" s="24" t="n">
        <f aca="false">Summary!$C$5+SUM(W$2:W1195)</f>
        <v>3665.26</v>
      </c>
      <c r="AA1195" s="24" t="n">
        <f aca="false">MAX(AA1194,Z1195)</f>
        <v>5000</v>
      </c>
      <c r="AB1195" s="24" t="n">
        <f aca="false">AA1195-Z1195</f>
        <v>1334.74</v>
      </c>
      <c r="AC1195" s="23" t="n">
        <f aca="false">IFERROR(AB1195/AA1195,0)</f>
        <v>0.266948</v>
      </c>
      <c r="AD1195" s="22" t="s">
        <v>1432</v>
      </c>
    </row>
    <row r="1196" customFormat="false" ht="15" hidden="false" customHeight="false" outlineLevel="0" collapsed="false">
      <c r="A1196" s="22" t="n">
        <v>1195</v>
      </c>
      <c r="B1196" s="22" t="s">
        <v>155</v>
      </c>
      <c r="C1196" s="37" t="n">
        <v>45722.4962847222</v>
      </c>
      <c r="D1196" s="22" t="s">
        <v>205</v>
      </c>
      <c r="E1196" s="22" t="n">
        <v>11</v>
      </c>
      <c r="F1196" s="22" t="s">
        <v>182</v>
      </c>
      <c r="G1196" s="22" t="s">
        <v>237</v>
      </c>
      <c r="H1196" s="22" t="n">
        <v>0.06</v>
      </c>
      <c r="I1196" s="38" t="n">
        <v>2894.15</v>
      </c>
      <c r="J1196" s="38" t="n">
        <v>2894.15</v>
      </c>
      <c r="K1196" s="39" t="n">
        <f aca="false">IF(F1196="BUY",J1196-I1196,I1196-J1196)</f>
        <v>0</v>
      </c>
      <c r="L1196" s="38" t="n">
        <v>2900.15</v>
      </c>
      <c r="M1196" s="39" t="n">
        <f aca="false">ABS(I1196-L1196)</f>
        <v>6</v>
      </c>
      <c r="N1196" s="24" t="n">
        <f aca="false">M1196*H1196*Summary!$C$6</f>
        <v>36</v>
      </c>
      <c r="O1196" s="37" t="n">
        <v>45722.4984259259</v>
      </c>
      <c r="P1196" s="22" t="n">
        <f aca="false">ROUND((O1196-C1196)*86400,0)</f>
        <v>185</v>
      </c>
      <c r="Q1196" s="22" t="str">
        <f aca="false">IF(P1196&lt;10,"a) &lt;10s",IF(P1196&lt;60,"b) 10-60s",IF(P1196&lt;600,"c) 1-10min","d) &gt;10min")))</f>
        <v>c) 1-10min</v>
      </c>
      <c r="R1196" s="38" t="n">
        <v>2893.65</v>
      </c>
      <c r="S1196" s="38" t="n">
        <v>2893.83</v>
      </c>
      <c r="T1196" s="22" t="s">
        <v>189</v>
      </c>
      <c r="U1196" s="39" t="n">
        <f aca="false">IF(R1196="","",IF(F1196="BUY",R1196-S1196,S1196-R1196))</f>
        <v>0.179999999999836</v>
      </c>
      <c r="V1196" s="39" t="n">
        <f aca="false">IF(F1196="BUY",S1196-J1196,J1196-S1196)</f>
        <v>0.320000000000164</v>
      </c>
      <c r="W1196" s="6" t="n">
        <v>1.92</v>
      </c>
      <c r="X1196" s="26" t="n">
        <f aca="false">IFERROR(W1196/N1196,0)</f>
        <v>0.0533333333333333</v>
      </c>
      <c r="Y1196" s="22" t="str">
        <f aca="false">IF(W1196&gt;0,"Win",IF(W1196&lt;0,"Loss","Flat"))</f>
        <v>Win</v>
      </c>
      <c r="Z1196" s="24" t="n">
        <f aca="false">Summary!$C$5+SUM(W$2:W1196)</f>
        <v>3667.18</v>
      </c>
      <c r="AA1196" s="24" t="n">
        <f aca="false">MAX(AA1195,Z1196)</f>
        <v>5000</v>
      </c>
      <c r="AB1196" s="24" t="n">
        <f aca="false">AA1196-Z1196</f>
        <v>1332.82</v>
      </c>
      <c r="AC1196" s="23" t="n">
        <f aca="false">IFERROR(AB1196/AA1196,0)</f>
        <v>0.266564</v>
      </c>
      <c r="AD1196" s="22" t="s">
        <v>1433</v>
      </c>
    </row>
    <row r="1197" customFormat="false" ht="15" hidden="false" customHeight="false" outlineLevel="0" collapsed="false">
      <c r="A1197" s="22" t="n">
        <v>1196</v>
      </c>
      <c r="B1197" s="22" t="s">
        <v>155</v>
      </c>
      <c r="C1197" s="37" t="n">
        <v>45723.3780902778</v>
      </c>
      <c r="D1197" s="22" t="s">
        <v>206</v>
      </c>
      <c r="E1197" s="22" t="n">
        <v>9</v>
      </c>
      <c r="F1197" s="22" t="s">
        <v>181</v>
      </c>
      <c r="G1197" s="22" t="s">
        <v>235</v>
      </c>
      <c r="H1197" s="22" t="n">
        <v>0.06</v>
      </c>
      <c r="I1197" s="38" t="n">
        <v>2914.69</v>
      </c>
      <c r="J1197" s="38" t="n">
        <v>2914.69</v>
      </c>
      <c r="K1197" s="39" t="n">
        <f aca="false">IF(F1197="BUY",J1197-I1197,I1197-J1197)</f>
        <v>0</v>
      </c>
      <c r="L1197" s="38" t="n">
        <v>2908.69</v>
      </c>
      <c r="M1197" s="39" t="n">
        <f aca="false">ABS(I1197-L1197)</f>
        <v>6</v>
      </c>
      <c r="N1197" s="24" t="n">
        <f aca="false">M1197*H1197*Summary!$C$6</f>
        <v>36</v>
      </c>
      <c r="O1197" s="37" t="n">
        <v>45723.4265277778</v>
      </c>
      <c r="P1197" s="22" t="n">
        <f aca="false">ROUND((O1197-C1197)*86400,0)</f>
        <v>4185</v>
      </c>
      <c r="Q1197" s="22" t="str">
        <f aca="false">IF(P1197&lt;10,"a) &lt;10s",IF(P1197&lt;60,"b) 10-60s",IF(P1197&lt;600,"c) 1-10min","d) &gt;10min")))</f>
        <v>d) &gt;10min</v>
      </c>
      <c r="R1197" s="38" t="n">
        <v>2915.19</v>
      </c>
      <c r="S1197" s="38" t="n">
        <v>2915.14</v>
      </c>
      <c r="T1197" s="22" t="s">
        <v>189</v>
      </c>
      <c r="U1197" s="39" t="n">
        <f aca="false">IF(R1197="","",IF(F1197="BUY",R1197-S1197,S1197-R1197))</f>
        <v>0.0500000000001819</v>
      </c>
      <c r="V1197" s="39" t="n">
        <f aca="false">IF(F1197="BUY",S1197-J1197,J1197-S1197)</f>
        <v>0.449999999999818</v>
      </c>
      <c r="W1197" s="6" t="n">
        <v>2.7</v>
      </c>
      <c r="X1197" s="26" t="n">
        <f aca="false">IFERROR(W1197/N1197,0)</f>
        <v>0.075</v>
      </c>
      <c r="Y1197" s="22" t="str">
        <f aca="false">IF(W1197&gt;0,"Win",IF(W1197&lt;0,"Loss","Flat"))</f>
        <v>Win</v>
      </c>
      <c r="Z1197" s="24" t="n">
        <f aca="false">Summary!$C$5+SUM(W$2:W1197)</f>
        <v>3669.88</v>
      </c>
      <c r="AA1197" s="24" t="n">
        <f aca="false">MAX(AA1196,Z1197)</f>
        <v>5000</v>
      </c>
      <c r="AB1197" s="24" t="n">
        <f aca="false">AA1197-Z1197</f>
        <v>1330.12</v>
      </c>
      <c r="AC1197" s="23" t="n">
        <f aca="false">IFERROR(AB1197/AA1197,0)</f>
        <v>0.266024</v>
      </c>
      <c r="AD1197" s="22" t="s">
        <v>1434</v>
      </c>
    </row>
    <row r="1198" customFormat="false" ht="15" hidden="false" customHeight="false" outlineLevel="0" collapsed="false">
      <c r="A1198" s="22" t="n">
        <v>1197</v>
      </c>
      <c r="B1198" s="22" t="s">
        <v>155</v>
      </c>
      <c r="C1198" s="37" t="n">
        <v>45723.6507291667</v>
      </c>
      <c r="D1198" s="22" t="s">
        <v>206</v>
      </c>
      <c r="E1198" s="22" t="n">
        <v>15</v>
      </c>
      <c r="F1198" s="22" t="s">
        <v>181</v>
      </c>
      <c r="G1198" s="22" t="s">
        <v>243</v>
      </c>
      <c r="H1198" s="22" t="n">
        <v>0.06</v>
      </c>
      <c r="I1198" s="38" t="n">
        <v>2926.43</v>
      </c>
      <c r="J1198" s="38" t="n">
        <v>2926.44</v>
      </c>
      <c r="K1198" s="39" t="n">
        <f aca="false">IF(F1198="BUY",J1198-I1198,I1198-J1198)</f>
        <v>0.0100000000002183</v>
      </c>
      <c r="L1198" s="38" t="n">
        <v>2920.43</v>
      </c>
      <c r="M1198" s="39" t="n">
        <f aca="false">ABS(I1198-L1198)</f>
        <v>6</v>
      </c>
      <c r="N1198" s="24" t="n">
        <f aca="false">M1198*H1198*Summary!$C$6</f>
        <v>36</v>
      </c>
      <c r="O1198" s="37" t="n">
        <v>45723.6515509259</v>
      </c>
      <c r="P1198" s="22" t="n">
        <f aca="false">ROUND((O1198-C1198)*86400,0)</f>
        <v>71</v>
      </c>
      <c r="Q1198" s="22" t="str">
        <f aca="false">IF(P1198&lt;10,"a) &lt;10s",IF(P1198&lt;60,"b) 10-60s",IF(P1198&lt;600,"c) 1-10min","d) &gt;10min")))</f>
        <v>c) 1-10min</v>
      </c>
      <c r="R1198" s="38" t="n">
        <v>2920.43</v>
      </c>
      <c r="S1198" s="38" t="n">
        <v>2920.42</v>
      </c>
      <c r="T1198" s="22" t="s">
        <v>188</v>
      </c>
      <c r="U1198" s="39" t="n">
        <f aca="false">IF(R1198="","",IF(F1198="BUY",R1198-S1198,S1198-R1198))</f>
        <v>0.00999999999976353</v>
      </c>
      <c r="V1198" s="39" t="n">
        <f aca="false">IF(F1198="BUY",S1198-J1198,J1198-S1198)</f>
        <v>-6.01999999999998</v>
      </c>
      <c r="W1198" s="6" t="n">
        <v>-36.12</v>
      </c>
      <c r="X1198" s="26" t="n">
        <f aca="false">IFERROR(W1198/N1198,0)</f>
        <v>-1.00333333333333</v>
      </c>
      <c r="Y1198" s="22" t="str">
        <f aca="false">IF(W1198&gt;0,"Win",IF(W1198&lt;0,"Loss","Flat"))</f>
        <v>Loss</v>
      </c>
      <c r="Z1198" s="24" t="n">
        <f aca="false">Summary!$C$5+SUM(W$2:W1198)</f>
        <v>3633.76</v>
      </c>
      <c r="AA1198" s="24" t="n">
        <f aca="false">MAX(AA1197,Z1198)</f>
        <v>5000</v>
      </c>
      <c r="AB1198" s="24" t="n">
        <f aca="false">AA1198-Z1198</f>
        <v>1366.24</v>
      </c>
      <c r="AC1198" s="23" t="n">
        <f aca="false">IFERROR(AB1198/AA1198,0)</f>
        <v>0.273248</v>
      </c>
      <c r="AD1198" s="22" t="s">
        <v>1435</v>
      </c>
    </row>
    <row r="1199" customFormat="false" ht="15" hidden="false" customHeight="false" outlineLevel="0" collapsed="false">
      <c r="A1199" s="22" t="n">
        <v>1198</v>
      </c>
      <c r="B1199" s="22" t="s">
        <v>155</v>
      </c>
      <c r="C1199" s="37" t="n">
        <v>45726.3807060185</v>
      </c>
      <c r="D1199" s="22" t="s">
        <v>202</v>
      </c>
      <c r="E1199" s="22" t="n">
        <v>9</v>
      </c>
      <c r="F1199" s="22" t="s">
        <v>181</v>
      </c>
      <c r="G1199" s="22" t="s">
        <v>235</v>
      </c>
      <c r="H1199" s="22" t="n">
        <v>0.06</v>
      </c>
      <c r="I1199" s="38" t="n">
        <v>2912.49</v>
      </c>
      <c r="J1199" s="38" t="n">
        <v>2912.53</v>
      </c>
      <c r="K1199" s="39" t="n">
        <f aca="false">IF(F1199="BUY",J1199-I1199,I1199-J1199)</f>
        <v>0.0400000000004184</v>
      </c>
      <c r="L1199" s="38" t="n">
        <v>2906.49</v>
      </c>
      <c r="M1199" s="39" t="n">
        <f aca="false">ABS(I1199-L1199)</f>
        <v>6</v>
      </c>
      <c r="N1199" s="24" t="n">
        <f aca="false">M1199*H1199*Summary!$C$6</f>
        <v>36</v>
      </c>
      <c r="O1199" s="37" t="n">
        <v>45726.4259027778</v>
      </c>
      <c r="P1199" s="22" t="n">
        <f aca="false">ROUND((O1199-C1199)*86400,0)</f>
        <v>3905</v>
      </c>
      <c r="Q1199" s="22" t="str">
        <f aca="false">IF(P1199&lt;10,"a) &lt;10s",IF(P1199&lt;60,"b) 10-60s",IF(P1199&lt;600,"c) 1-10min","d) &gt;10min")))</f>
        <v>d) &gt;10min</v>
      </c>
      <c r="R1199" s="38" t="n">
        <v>2913.03</v>
      </c>
      <c r="S1199" s="38" t="n">
        <v>2913.02</v>
      </c>
      <c r="T1199" s="22" t="s">
        <v>189</v>
      </c>
      <c r="U1199" s="39" t="n">
        <f aca="false">IF(R1199="","",IF(F1199="BUY",R1199-S1199,S1199-R1199))</f>
        <v>0.0100000000002183</v>
      </c>
      <c r="V1199" s="39" t="n">
        <f aca="false">IF(F1199="BUY",S1199-J1199,J1199-S1199)</f>
        <v>0.489999999999782</v>
      </c>
      <c r="W1199" s="6" t="n">
        <v>2.94</v>
      </c>
      <c r="X1199" s="26" t="n">
        <f aca="false">IFERROR(W1199/N1199,0)</f>
        <v>0.0816666666666667</v>
      </c>
      <c r="Y1199" s="22" t="str">
        <f aca="false">IF(W1199&gt;0,"Win",IF(W1199&lt;0,"Loss","Flat"))</f>
        <v>Win</v>
      </c>
      <c r="Z1199" s="24" t="n">
        <f aca="false">Summary!$C$5+SUM(W$2:W1199)</f>
        <v>3636.7</v>
      </c>
      <c r="AA1199" s="24" t="n">
        <f aca="false">MAX(AA1198,Z1199)</f>
        <v>5000</v>
      </c>
      <c r="AB1199" s="24" t="n">
        <f aca="false">AA1199-Z1199</f>
        <v>1363.3</v>
      </c>
      <c r="AC1199" s="23" t="n">
        <f aca="false">IFERROR(AB1199/AA1199,0)</f>
        <v>0.27266</v>
      </c>
      <c r="AD1199" s="22" t="s">
        <v>1436</v>
      </c>
    </row>
    <row r="1200" customFormat="false" ht="15" hidden="false" customHeight="false" outlineLevel="0" collapsed="false">
      <c r="A1200" s="22" t="n">
        <v>1199</v>
      </c>
      <c r="B1200" s="22" t="s">
        <v>155</v>
      </c>
      <c r="C1200" s="37" t="n">
        <v>45726.6113425926</v>
      </c>
      <c r="D1200" s="22" t="s">
        <v>202</v>
      </c>
      <c r="E1200" s="22" t="n">
        <v>14</v>
      </c>
      <c r="F1200" s="22" t="s">
        <v>182</v>
      </c>
      <c r="G1200" s="22" t="s">
        <v>237</v>
      </c>
      <c r="H1200" s="22" t="n">
        <v>0.06</v>
      </c>
      <c r="I1200" s="38" t="n">
        <v>2895.7</v>
      </c>
      <c r="J1200" s="38" t="n">
        <v>2895.56</v>
      </c>
      <c r="K1200" s="39" t="n">
        <f aca="false">IF(F1200="BUY",J1200-I1200,I1200-J1200)</f>
        <v>0.139999999999873</v>
      </c>
      <c r="L1200" s="38" t="n">
        <v>2901.7</v>
      </c>
      <c r="M1200" s="39" t="n">
        <f aca="false">ABS(I1200-L1200)</f>
        <v>6</v>
      </c>
      <c r="N1200" s="24" t="n">
        <f aca="false">M1200*H1200*Summary!$C$6</f>
        <v>36</v>
      </c>
      <c r="O1200" s="37" t="n">
        <v>45726.6192476852</v>
      </c>
      <c r="P1200" s="22" t="n">
        <f aca="false">ROUND((O1200-C1200)*86400,0)</f>
        <v>683</v>
      </c>
      <c r="Q1200" s="22" t="str">
        <f aca="false">IF(P1200&lt;10,"a) &lt;10s",IF(P1200&lt;60,"b) 10-60s",IF(P1200&lt;600,"c) 1-10min","d) &gt;10min")))</f>
        <v>d) &gt;10min</v>
      </c>
      <c r="R1200" s="38" t="n">
        <v>2901.7</v>
      </c>
      <c r="S1200" s="38" t="n">
        <v>2901.86</v>
      </c>
      <c r="T1200" s="22" t="s">
        <v>188</v>
      </c>
      <c r="U1200" s="39" t="n">
        <f aca="false">IF(R1200="","",IF(F1200="BUY",R1200-S1200,S1200-R1200))</f>
        <v>0.160000000000309</v>
      </c>
      <c r="V1200" s="39" t="n">
        <f aca="false">IF(F1200="BUY",S1200-J1200,J1200-S1200)</f>
        <v>-6.30000000000018</v>
      </c>
      <c r="W1200" s="6" t="n">
        <v>-37.8</v>
      </c>
      <c r="X1200" s="26" t="n">
        <f aca="false">IFERROR(W1200/N1200,0)</f>
        <v>-1.05</v>
      </c>
      <c r="Y1200" s="22" t="str">
        <f aca="false">IF(W1200&gt;0,"Win",IF(W1200&lt;0,"Loss","Flat"))</f>
        <v>Loss</v>
      </c>
      <c r="Z1200" s="24" t="n">
        <f aca="false">Summary!$C$5+SUM(W$2:W1200)</f>
        <v>3598.9</v>
      </c>
      <c r="AA1200" s="24" t="n">
        <f aca="false">MAX(AA1199,Z1200)</f>
        <v>5000</v>
      </c>
      <c r="AB1200" s="24" t="n">
        <f aca="false">AA1200-Z1200</f>
        <v>1401.1</v>
      </c>
      <c r="AC1200" s="23" t="n">
        <f aca="false">IFERROR(AB1200/AA1200,0)</f>
        <v>0.28022</v>
      </c>
      <c r="AD1200" s="22" t="s">
        <v>1437</v>
      </c>
    </row>
    <row r="1201" customFormat="false" ht="15" hidden="false" customHeight="false" outlineLevel="0" collapsed="false">
      <c r="A1201" s="22" t="n">
        <v>1200</v>
      </c>
      <c r="B1201" s="22" t="s">
        <v>155</v>
      </c>
      <c r="C1201" s="37" t="n">
        <v>45727.1698032407</v>
      </c>
      <c r="D1201" s="22" t="s">
        <v>203</v>
      </c>
      <c r="E1201" s="22" t="n">
        <v>4</v>
      </c>
      <c r="F1201" s="22" t="s">
        <v>182</v>
      </c>
      <c r="G1201" s="22" t="s">
        <v>237</v>
      </c>
      <c r="H1201" s="22" t="n">
        <v>0.05</v>
      </c>
      <c r="I1201" s="38" t="n">
        <v>2879.94</v>
      </c>
      <c r="J1201" s="38" t="n">
        <v>2879.94</v>
      </c>
      <c r="K1201" s="39" t="n">
        <f aca="false">IF(F1201="BUY",J1201-I1201,I1201-J1201)</f>
        <v>0</v>
      </c>
      <c r="L1201" s="38" t="n">
        <v>2885.94</v>
      </c>
      <c r="M1201" s="39" t="n">
        <f aca="false">ABS(I1201-L1201)</f>
        <v>6</v>
      </c>
      <c r="N1201" s="24" t="n">
        <f aca="false">M1201*H1201*Summary!$C$6</f>
        <v>30</v>
      </c>
      <c r="O1201" s="37" t="n">
        <v>45727.1702777778</v>
      </c>
      <c r="P1201" s="22" t="n">
        <f aca="false">ROUND((O1201-C1201)*86400,0)</f>
        <v>41</v>
      </c>
      <c r="Q1201" s="22" t="str">
        <f aca="false">IF(P1201&lt;10,"a) &lt;10s",IF(P1201&lt;60,"b) 10-60s",IF(P1201&lt;600,"c) 1-10min","d) &gt;10min")))</f>
        <v>b) 10-60s</v>
      </c>
      <c r="R1201" s="38" t="n">
        <v>2885.94</v>
      </c>
      <c r="S1201" s="38" t="n">
        <v>2885.95</v>
      </c>
      <c r="T1201" s="22" t="s">
        <v>188</v>
      </c>
      <c r="U1201" s="39" t="n">
        <f aca="false">IF(R1201="","",IF(F1201="BUY",R1201-S1201,S1201-R1201))</f>
        <v>0.00999999999976353</v>
      </c>
      <c r="V1201" s="39" t="n">
        <f aca="false">IF(F1201="BUY",S1201-J1201,J1201-S1201)</f>
        <v>-6.00999999999976</v>
      </c>
      <c r="W1201" s="6" t="n">
        <v>-30.05</v>
      </c>
      <c r="X1201" s="26" t="n">
        <f aca="false">IFERROR(W1201/N1201,0)</f>
        <v>-1.00166666666667</v>
      </c>
      <c r="Y1201" s="22" t="str">
        <f aca="false">IF(W1201&gt;0,"Win",IF(W1201&lt;0,"Loss","Flat"))</f>
        <v>Loss</v>
      </c>
      <c r="Z1201" s="24" t="n">
        <f aca="false">Summary!$C$5+SUM(W$2:W1201)</f>
        <v>3568.85</v>
      </c>
      <c r="AA1201" s="24" t="n">
        <f aca="false">MAX(AA1200,Z1201)</f>
        <v>5000</v>
      </c>
      <c r="AB1201" s="24" t="n">
        <f aca="false">AA1201-Z1201</f>
        <v>1431.15</v>
      </c>
      <c r="AC1201" s="23" t="n">
        <f aca="false">IFERROR(AB1201/AA1201,0)</f>
        <v>0.28623</v>
      </c>
      <c r="AD1201" s="22" t="s">
        <v>1438</v>
      </c>
    </row>
    <row r="1202" customFormat="false" ht="15" hidden="false" customHeight="false" outlineLevel="0" collapsed="false">
      <c r="A1202" s="22" t="n">
        <v>1201</v>
      </c>
      <c r="B1202" s="22" t="s">
        <v>155</v>
      </c>
      <c r="C1202" s="37" t="n">
        <v>45727.3978356482</v>
      </c>
      <c r="D1202" s="22" t="s">
        <v>203</v>
      </c>
      <c r="E1202" s="22" t="n">
        <v>9</v>
      </c>
      <c r="F1202" s="22" t="s">
        <v>181</v>
      </c>
      <c r="G1202" s="22" t="s">
        <v>235</v>
      </c>
      <c r="H1202" s="22" t="n">
        <v>0.05</v>
      </c>
      <c r="I1202" s="38" t="n">
        <v>2898.92</v>
      </c>
      <c r="J1202" s="38" t="n">
        <v>2898.93</v>
      </c>
      <c r="K1202" s="39" t="n">
        <f aca="false">IF(F1202="BUY",J1202-I1202,I1202-J1202)</f>
        <v>0.00999999999976353</v>
      </c>
      <c r="L1202" s="38" t="n">
        <v>2892.92</v>
      </c>
      <c r="M1202" s="39" t="n">
        <f aca="false">ABS(I1202-L1202)</f>
        <v>6</v>
      </c>
      <c r="N1202" s="24" t="n">
        <f aca="false">M1202*H1202*Summary!$C$6</f>
        <v>30</v>
      </c>
      <c r="O1202" s="37" t="n">
        <v>45727.3997800926</v>
      </c>
      <c r="P1202" s="22" t="n">
        <f aca="false">ROUND((O1202-C1202)*86400,0)</f>
        <v>168</v>
      </c>
      <c r="Q1202" s="22" t="str">
        <f aca="false">IF(P1202&lt;10,"a) &lt;10s",IF(P1202&lt;60,"b) 10-60s",IF(P1202&lt;600,"c) 1-10min","d) &gt;10min")))</f>
        <v>c) 1-10min</v>
      </c>
      <c r="R1202" s="38" t="n">
        <v>2899.43</v>
      </c>
      <c r="S1202" s="38" t="n">
        <v>2899.41</v>
      </c>
      <c r="T1202" s="22" t="s">
        <v>189</v>
      </c>
      <c r="U1202" s="39" t="n">
        <f aca="false">IF(R1202="","",IF(F1202="BUY",R1202-S1202,S1202-R1202))</f>
        <v>0.0199999999999818</v>
      </c>
      <c r="V1202" s="39" t="n">
        <f aca="false">IF(F1202="BUY",S1202-J1202,J1202-S1202)</f>
        <v>0.480000000000018</v>
      </c>
      <c r="W1202" s="6" t="n">
        <v>2.4</v>
      </c>
      <c r="X1202" s="26" t="n">
        <f aca="false">IFERROR(W1202/N1202,0)</f>
        <v>0.08</v>
      </c>
      <c r="Y1202" s="22" t="str">
        <f aca="false">IF(W1202&gt;0,"Win",IF(W1202&lt;0,"Loss","Flat"))</f>
        <v>Win</v>
      </c>
      <c r="Z1202" s="24" t="n">
        <f aca="false">Summary!$C$5+SUM(W$2:W1202)</f>
        <v>3571.25</v>
      </c>
      <c r="AA1202" s="24" t="n">
        <f aca="false">MAX(AA1201,Z1202)</f>
        <v>5000</v>
      </c>
      <c r="AB1202" s="24" t="n">
        <f aca="false">AA1202-Z1202</f>
        <v>1428.75</v>
      </c>
      <c r="AC1202" s="23" t="n">
        <f aca="false">IFERROR(AB1202/AA1202,0)</f>
        <v>0.28575</v>
      </c>
      <c r="AD1202" s="22" t="s">
        <v>1439</v>
      </c>
    </row>
    <row r="1203" customFormat="false" ht="15" hidden="false" customHeight="false" outlineLevel="0" collapsed="false">
      <c r="A1203" s="22" t="n">
        <v>1202</v>
      </c>
      <c r="B1203" s="22" t="s">
        <v>155</v>
      </c>
      <c r="C1203" s="37" t="n">
        <v>45728.4083680556</v>
      </c>
      <c r="D1203" s="22" t="s">
        <v>204</v>
      </c>
      <c r="E1203" s="22" t="n">
        <v>9</v>
      </c>
      <c r="F1203" s="22" t="s">
        <v>182</v>
      </c>
      <c r="G1203" s="22" t="s">
        <v>241</v>
      </c>
      <c r="H1203" s="22" t="n">
        <v>0.05</v>
      </c>
      <c r="I1203" s="38" t="n">
        <v>2911.9</v>
      </c>
      <c r="J1203" s="38" t="n">
        <v>2911.9</v>
      </c>
      <c r="K1203" s="39" t="n">
        <f aca="false">IF(F1203="BUY",J1203-I1203,I1203-J1203)</f>
        <v>0</v>
      </c>
      <c r="L1203" s="38" t="n">
        <v>2917.9</v>
      </c>
      <c r="M1203" s="39" t="n">
        <f aca="false">ABS(I1203-L1203)</f>
        <v>6</v>
      </c>
      <c r="N1203" s="24" t="n">
        <f aca="false">M1203*H1203*Summary!$C$6</f>
        <v>30</v>
      </c>
      <c r="O1203" s="37" t="n">
        <v>45728.4330555556</v>
      </c>
      <c r="P1203" s="22" t="n">
        <f aca="false">ROUND((O1203-C1203)*86400,0)</f>
        <v>2133</v>
      </c>
      <c r="Q1203" s="22" t="str">
        <f aca="false">IF(P1203&lt;10,"a) &lt;10s",IF(P1203&lt;60,"b) 10-60s",IF(P1203&lt;600,"c) 1-10min","d) &gt;10min")))</f>
        <v>d) &gt;10min</v>
      </c>
      <c r="R1203" s="38" t="n">
        <v>2911.4</v>
      </c>
      <c r="S1203" s="38" t="n">
        <v>2911.4</v>
      </c>
      <c r="T1203" s="22" t="s">
        <v>189</v>
      </c>
      <c r="U1203" s="39" t="n">
        <f aca="false">IF(R1203="","",IF(F1203="BUY",R1203-S1203,S1203-R1203))</f>
        <v>0</v>
      </c>
      <c r="V1203" s="39" t="n">
        <f aca="false">IF(F1203="BUY",S1203-J1203,J1203-S1203)</f>
        <v>0.5</v>
      </c>
      <c r="W1203" s="6" t="n">
        <v>2.5</v>
      </c>
      <c r="X1203" s="26" t="n">
        <f aca="false">IFERROR(W1203/N1203,0)</f>
        <v>0.0833333333333333</v>
      </c>
      <c r="Y1203" s="22" t="str">
        <f aca="false">IF(W1203&gt;0,"Win",IF(W1203&lt;0,"Loss","Flat"))</f>
        <v>Win</v>
      </c>
      <c r="Z1203" s="24" t="n">
        <f aca="false">Summary!$C$5+SUM(W$2:W1203)</f>
        <v>3573.75</v>
      </c>
      <c r="AA1203" s="24" t="n">
        <f aca="false">MAX(AA1202,Z1203)</f>
        <v>5000</v>
      </c>
      <c r="AB1203" s="24" t="n">
        <f aca="false">AA1203-Z1203</f>
        <v>1426.25</v>
      </c>
      <c r="AC1203" s="23" t="n">
        <f aca="false">IFERROR(AB1203/AA1203,0)</f>
        <v>0.28525</v>
      </c>
      <c r="AD1203" s="22" t="s">
        <v>1440</v>
      </c>
    </row>
    <row r="1204" customFormat="false" ht="15" hidden="false" customHeight="false" outlineLevel="0" collapsed="false">
      <c r="A1204" s="22" t="n">
        <v>1203</v>
      </c>
      <c r="B1204" s="22" t="s">
        <v>155</v>
      </c>
      <c r="C1204" s="37" t="n">
        <v>45728.4989351852</v>
      </c>
      <c r="D1204" s="22" t="s">
        <v>204</v>
      </c>
      <c r="E1204" s="22" t="n">
        <v>11</v>
      </c>
      <c r="F1204" s="22" t="s">
        <v>181</v>
      </c>
      <c r="G1204" s="22" t="s">
        <v>243</v>
      </c>
      <c r="H1204" s="22" t="n">
        <v>0.05</v>
      </c>
      <c r="I1204" s="38" t="n">
        <v>2922.05</v>
      </c>
      <c r="J1204" s="38" t="n">
        <v>2922.08</v>
      </c>
      <c r="K1204" s="39" t="n">
        <f aca="false">IF(F1204="BUY",J1204-I1204,I1204-J1204)</f>
        <v>0.0299999999997453</v>
      </c>
      <c r="L1204" s="38" t="n">
        <v>2916.05</v>
      </c>
      <c r="M1204" s="39" t="n">
        <f aca="false">ABS(I1204-L1204)</f>
        <v>6</v>
      </c>
      <c r="N1204" s="24" t="n">
        <f aca="false">M1204*H1204*Summary!$C$6</f>
        <v>30</v>
      </c>
      <c r="O1204" s="37" t="n">
        <v>45728.501724537</v>
      </c>
      <c r="P1204" s="22" t="n">
        <f aca="false">ROUND((O1204-C1204)*86400,0)</f>
        <v>241</v>
      </c>
      <c r="Q1204" s="22" t="str">
        <f aca="false">IF(P1204&lt;10,"a) &lt;10s",IF(P1204&lt;60,"b) 10-60s",IF(P1204&lt;600,"c) 1-10min","d) &gt;10min")))</f>
        <v>c) 1-10min</v>
      </c>
      <c r="R1204" s="38" t="n">
        <v>2922.58</v>
      </c>
      <c r="S1204" s="38" t="n">
        <v>2922.57</v>
      </c>
      <c r="T1204" s="22" t="s">
        <v>189</v>
      </c>
      <c r="U1204" s="39" t="n">
        <f aca="false">IF(R1204="","",IF(F1204="BUY",R1204-S1204,S1204-R1204))</f>
        <v>0.00999999999976353</v>
      </c>
      <c r="V1204" s="39" t="n">
        <f aca="false">IF(F1204="BUY",S1204-J1204,J1204-S1204)</f>
        <v>0.490000000000236</v>
      </c>
      <c r="W1204" s="6" t="n">
        <v>2.45</v>
      </c>
      <c r="X1204" s="26" t="n">
        <f aca="false">IFERROR(W1204/N1204,0)</f>
        <v>0.0816666666666667</v>
      </c>
      <c r="Y1204" s="22" t="str">
        <f aca="false">IF(W1204&gt;0,"Win",IF(W1204&lt;0,"Loss","Flat"))</f>
        <v>Win</v>
      </c>
      <c r="Z1204" s="24" t="n">
        <f aca="false">Summary!$C$5+SUM(W$2:W1204)</f>
        <v>3576.2</v>
      </c>
      <c r="AA1204" s="24" t="n">
        <f aca="false">MAX(AA1203,Z1204)</f>
        <v>5000</v>
      </c>
      <c r="AB1204" s="24" t="n">
        <f aca="false">AA1204-Z1204</f>
        <v>1423.8</v>
      </c>
      <c r="AC1204" s="23" t="n">
        <f aca="false">IFERROR(AB1204/AA1204,0)</f>
        <v>0.28476</v>
      </c>
      <c r="AD1204" s="22" t="s">
        <v>1441</v>
      </c>
    </row>
    <row r="1205" customFormat="false" ht="15" hidden="false" customHeight="false" outlineLevel="0" collapsed="false">
      <c r="A1205" s="22" t="n">
        <v>1204</v>
      </c>
      <c r="B1205" s="22" t="s">
        <v>155</v>
      </c>
      <c r="C1205" s="37" t="n">
        <v>45729.167337963</v>
      </c>
      <c r="D1205" s="22" t="s">
        <v>205</v>
      </c>
      <c r="E1205" s="22" t="n">
        <v>4</v>
      </c>
      <c r="F1205" s="22" t="s">
        <v>181</v>
      </c>
      <c r="G1205" s="22" t="s">
        <v>243</v>
      </c>
      <c r="H1205" s="22" t="n">
        <v>0.05</v>
      </c>
      <c r="I1205" s="38" t="n">
        <v>2940.35</v>
      </c>
      <c r="J1205" s="38" t="n">
        <v>2940.37</v>
      </c>
      <c r="K1205" s="39" t="n">
        <f aca="false">IF(F1205="BUY",J1205-I1205,I1205-J1205)</f>
        <v>0.0199999999999818</v>
      </c>
      <c r="L1205" s="38" t="n">
        <v>2934.35</v>
      </c>
      <c r="M1205" s="39" t="n">
        <f aca="false">ABS(I1205-L1205)</f>
        <v>6</v>
      </c>
      <c r="N1205" s="24" t="n">
        <f aca="false">M1205*H1205*Summary!$C$6</f>
        <v>30</v>
      </c>
      <c r="O1205" s="37" t="n">
        <v>45729.3530787037</v>
      </c>
      <c r="P1205" s="22" t="n">
        <f aca="false">ROUND((O1205-C1205)*86400,0)</f>
        <v>16048</v>
      </c>
      <c r="Q1205" s="22" t="str">
        <f aca="false">IF(P1205&lt;10,"a) &lt;10s",IF(P1205&lt;60,"b) 10-60s",IF(P1205&lt;600,"c) 1-10min","d) &gt;10min")))</f>
        <v>d) &gt;10min</v>
      </c>
      <c r="R1205" s="38" t="n">
        <v>2940.87</v>
      </c>
      <c r="S1205" s="38" t="n">
        <v>2940.78</v>
      </c>
      <c r="T1205" s="22" t="s">
        <v>189</v>
      </c>
      <c r="U1205" s="39" t="n">
        <f aca="false">IF(R1205="","",IF(F1205="BUY",R1205-S1205,S1205-R1205))</f>
        <v>0.0899999999996908</v>
      </c>
      <c r="V1205" s="39" t="n">
        <f aca="false">IF(F1205="BUY",S1205-J1205,J1205-S1205)</f>
        <v>0.410000000000309</v>
      </c>
      <c r="W1205" s="6" t="n">
        <v>2.05</v>
      </c>
      <c r="X1205" s="26" t="n">
        <f aca="false">IFERROR(W1205/N1205,0)</f>
        <v>0.0683333333333333</v>
      </c>
      <c r="Y1205" s="22" t="str">
        <f aca="false">IF(W1205&gt;0,"Win",IF(W1205&lt;0,"Loss","Flat"))</f>
        <v>Win</v>
      </c>
      <c r="Z1205" s="24" t="n">
        <f aca="false">Summary!$C$5+SUM(W$2:W1205)</f>
        <v>3578.25</v>
      </c>
      <c r="AA1205" s="24" t="n">
        <f aca="false">MAX(AA1204,Z1205)</f>
        <v>5000</v>
      </c>
      <c r="AB1205" s="24" t="n">
        <f aca="false">AA1205-Z1205</f>
        <v>1421.75</v>
      </c>
      <c r="AC1205" s="23" t="n">
        <f aca="false">IFERROR(AB1205/AA1205,0)</f>
        <v>0.28435</v>
      </c>
      <c r="AD1205" s="22" t="s">
        <v>1442</v>
      </c>
    </row>
    <row r="1206" customFormat="false" ht="15" hidden="false" customHeight="false" outlineLevel="0" collapsed="false">
      <c r="A1206" s="22" t="n">
        <v>1205</v>
      </c>
      <c r="B1206" s="22" t="s">
        <v>155</v>
      </c>
      <c r="C1206" s="37" t="n">
        <v>45729.3792708333</v>
      </c>
      <c r="D1206" s="22" t="s">
        <v>205</v>
      </c>
      <c r="E1206" s="22" t="n">
        <v>9</v>
      </c>
      <c r="F1206" s="22" t="s">
        <v>182</v>
      </c>
      <c r="G1206" s="22" t="s">
        <v>241</v>
      </c>
      <c r="H1206" s="22" t="n">
        <v>0.05</v>
      </c>
      <c r="I1206" s="38" t="n">
        <v>2938.01</v>
      </c>
      <c r="J1206" s="38" t="n">
        <v>2938.01</v>
      </c>
      <c r="K1206" s="39" t="n">
        <f aca="false">IF(F1206="BUY",J1206-I1206,I1206-J1206)</f>
        <v>0</v>
      </c>
      <c r="L1206" s="38" t="n">
        <v>2944.01</v>
      </c>
      <c r="M1206" s="39" t="n">
        <f aca="false">ABS(I1206-L1206)</f>
        <v>6</v>
      </c>
      <c r="N1206" s="24" t="n">
        <f aca="false">M1206*H1206*Summary!$C$6</f>
        <v>30</v>
      </c>
      <c r="O1206" s="37" t="n">
        <v>45729.3824652778</v>
      </c>
      <c r="P1206" s="22" t="n">
        <f aca="false">ROUND((O1206-C1206)*86400,0)</f>
        <v>276</v>
      </c>
      <c r="Q1206" s="22" t="str">
        <f aca="false">IF(P1206&lt;10,"a) &lt;10s",IF(P1206&lt;60,"b) 10-60s",IF(P1206&lt;600,"c) 1-10min","d) &gt;10min")))</f>
        <v>c) 1-10min</v>
      </c>
      <c r="R1206" s="38" t="n">
        <v>2937.51</v>
      </c>
      <c r="S1206" s="38" t="n">
        <v>2937.53</v>
      </c>
      <c r="T1206" s="22" t="s">
        <v>189</v>
      </c>
      <c r="U1206" s="39" t="n">
        <f aca="false">IF(R1206="","",IF(F1206="BUY",R1206-S1206,S1206-R1206))</f>
        <v>0.0199999999999818</v>
      </c>
      <c r="V1206" s="39" t="n">
        <f aca="false">IF(F1206="BUY",S1206-J1206,J1206-S1206)</f>
        <v>0.480000000000018</v>
      </c>
      <c r="W1206" s="6" t="n">
        <v>2.4</v>
      </c>
      <c r="X1206" s="26" t="n">
        <f aca="false">IFERROR(W1206/N1206,0)</f>
        <v>0.08</v>
      </c>
      <c r="Y1206" s="22" t="str">
        <f aca="false">IF(W1206&gt;0,"Win",IF(W1206&lt;0,"Loss","Flat"))</f>
        <v>Win</v>
      </c>
      <c r="Z1206" s="24" t="n">
        <f aca="false">Summary!$C$5+SUM(W$2:W1206)</f>
        <v>3580.65</v>
      </c>
      <c r="AA1206" s="24" t="n">
        <f aca="false">MAX(AA1205,Z1206)</f>
        <v>5000</v>
      </c>
      <c r="AB1206" s="24" t="n">
        <f aca="false">AA1206-Z1206</f>
        <v>1419.35</v>
      </c>
      <c r="AC1206" s="23" t="n">
        <f aca="false">IFERROR(AB1206/AA1206,0)</f>
        <v>0.28387</v>
      </c>
      <c r="AD1206" s="22" t="s">
        <v>1443</v>
      </c>
    </row>
    <row r="1207" customFormat="false" ht="15" hidden="false" customHeight="false" outlineLevel="0" collapsed="false">
      <c r="A1207" s="22" t="n">
        <v>1206</v>
      </c>
      <c r="B1207" s="22" t="s">
        <v>155</v>
      </c>
      <c r="C1207" s="37" t="n">
        <v>45730.0690162037</v>
      </c>
      <c r="D1207" s="22" t="s">
        <v>206</v>
      </c>
      <c r="E1207" s="22" t="n">
        <v>1</v>
      </c>
      <c r="F1207" s="22" t="s">
        <v>181</v>
      </c>
      <c r="G1207" s="22" t="s">
        <v>243</v>
      </c>
      <c r="H1207" s="22" t="n">
        <v>0.05</v>
      </c>
      <c r="I1207" s="38" t="n">
        <v>2989.17</v>
      </c>
      <c r="J1207" s="38" t="n">
        <v>2989.24</v>
      </c>
      <c r="K1207" s="39" t="n">
        <f aca="false">IF(F1207="BUY",J1207-I1207,I1207-J1207)</f>
        <v>0.069999999999709</v>
      </c>
      <c r="L1207" s="38" t="n">
        <v>2983.17</v>
      </c>
      <c r="M1207" s="39" t="n">
        <f aca="false">ABS(I1207-L1207)</f>
        <v>6</v>
      </c>
      <c r="N1207" s="24" t="n">
        <f aca="false">M1207*H1207*Summary!$C$6</f>
        <v>30</v>
      </c>
      <c r="O1207" s="37" t="n">
        <v>45730.1876388889</v>
      </c>
      <c r="P1207" s="22" t="n">
        <f aca="false">ROUND((O1207-C1207)*86400,0)</f>
        <v>10249</v>
      </c>
      <c r="Q1207" s="22" t="str">
        <f aca="false">IF(P1207&lt;10,"a) &lt;10s",IF(P1207&lt;60,"b) 10-60s",IF(P1207&lt;600,"c) 1-10min","d) &gt;10min")))</f>
        <v>d) &gt;10min</v>
      </c>
      <c r="R1207" s="38" t="n">
        <v>2983.17</v>
      </c>
      <c r="S1207" s="38" t="n">
        <v>2983.11</v>
      </c>
      <c r="T1207" s="22" t="s">
        <v>188</v>
      </c>
      <c r="U1207" s="39" t="n">
        <f aca="false">IF(R1207="","",IF(F1207="BUY",R1207-S1207,S1207-R1207))</f>
        <v>0.0599999999999454</v>
      </c>
      <c r="V1207" s="39" t="n">
        <f aca="false">IF(F1207="BUY",S1207-J1207,J1207-S1207)</f>
        <v>-6.12999999999965</v>
      </c>
      <c r="W1207" s="6" t="n">
        <v>-30.65</v>
      </c>
      <c r="X1207" s="26" t="n">
        <f aca="false">IFERROR(W1207/N1207,0)</f>
        <v>-1.02166666666667</v>
      </c>
      <c r="Y1207" s="22" t="str">
        <f aca="false">IF(W1207&gt;0,"Win",IF(W1207&lt;0,"Loss","Flat"))</f>
        <v>Loss</v>
      </c>
      <c r="Z1207" s="24" t="n">
        <f aca="false">Summary!$C$5+SUM(W$2:W1207)</f>
        <v>3550</v>
      </c>
      <c r="AA1207" s="24" t="n">
        <f aca="false">MAX(AA1206,Z1207)</f>
        <v>5000</v>
      </c>
      <c r="AB1207" s="24" t="n">
        <f aca="false">AA1207-Z1207</f>
        <v>1450</v>
      </c>
      <c r="AC1207" s="23" t="n">
        <f aca="false">IFERROR(AB1207/AA1207,0)</f>
        <v>0.29</v>
      </c>
      <c r="AD1207" s="22" t="s">
        <v>1444</v>
      </c>
    </row>
    <row r="1208" customFormat="false" ht="15" hidden="false" customHeight="false" outlineLevel="0" collapsed="false">
      <c r="A1208" s="22" t="n">
        <v>1207</v>
      </c>
      <c r="B1208" s="22" t="s">
        <v>155</v>
      </c>
      <c r="C1208" s="37" t="n">
        <v>45730.3889351852</v>
      </c>
      <c r="D1208" s="22" t="s">
        <v>206</v>
      </c>
      <c r="E1208" s="22" t="n">
        <v>9</v>
      </c>
      <c r="F1208" s="22" t="s">
        <v>182</v>
      </c>
      <c r="G1208" s="22" t="s">
        <v>241</v>
      </c>
      <c r="H1208" s="22" t="n">
        <v>0.05</v>
      </c>
      <c r="I1208" s="38" t="n">
        <v>2981.61</v>
      </c>
      <c r="J1208" s="38" t="n">
        <v>2981.57</v>
      </c>
      <c r="K1208" s="39" t="n">
        <f aca="false">IF(F1208="BUY",J1208-I1208,I1208-J1208)</f>
        <v>0.0399999999999636</v>
      </c>
      <c r="L1208" s="38" t="n">
        <v>2987.61</v>
      </c>
      <c r="M1208" s="39" t="n">
        <f aca="false">ABS(I1208-L1208)</f>
        <v>6</v>
      </c>
      <c r="N1208" s="24" t="n">
        <f aca="false">M1208*H1208*Summary!$C$6</f>
        <v>30</v>
      </c>
      <c r="O1208" s="37" t="n">
        <v>45730.4077662037</v>
      </c>
      <c r="P1208" s="22" t="n">
        <f aca="false">ROUND((O1208-C1208)*86400,0)</f>
        <v>1627</v>
      </c>
      <c r="Q1208" s="22" t="str">
        <f aca="false">IF(P1208&lt;10,"a) &lt;10s",IF(P1208&lt;60,"b) 10-60s",IF(P1208&lt;600,"c) 1-10min","d) &gt;10min")))</f>
        <v>d) &gt;10min</v>
      </c>
      <c r="R1208" s="38" t="n">
        <v>2987.61</v>
      </c>
      <c r="S1208" s="38" t="n">
        <v>2987.64</v>
      </c>
      <c r="T1208" s="22" t="s">
        <v>188</v>
      </c>
      <c r="U1208" s="39" t="n">
        <f aca="false">IF(R1208="","",IF(F1208="BUY",R1208-S1208,S1208-R1208))</f>
        <v>0.0299999999997453</v>
      </c>
      <c r="V1208" s="39" t="n">
        <f aca="false">IF(F1208="BUY",S1208-J1208,J1208-S1208)</f>
        <v>-6.06999999999971</v>
      </c>
      <c r="W1208" s="6" t="n">
        <v>-30.35</v>
      </c>
      <c r="X1208" s="26" t="n">
        <f aca="false">IFERROR(W1208/N1208,0)</f>
        <v>-1.01166666666667</v>
      </c>
      <c r="Y1208" s="22" t="str">
        <f aca="false">IF(W1208&gt;0,"Win",IF(W1208&lt;0,"Loss","Flat"))</f>
        <v>Loss</v>
      </c>
      <c r="Z1208" s="24" t="n">
        <f aca="false">Summary!$C$5+SUM(W$2:W1208)</f>
        <v>3519.65</v>
      </c>
      <c r="AA1208" s="24" t="n">
        <f aca="false">MAX(AA1207,Z1208)</f>
        <v>5000</v>
      </c>
      <c r="AB1208" s="24" t="n">
        <f aca="false">AA1208-Z1208</f>
        <v>1480.35</v>
      </c>
      <c r="AC1208" s="23" t="n">
        <f aca="false">IFERROR(AB1208/AA1208,0)</f>
        <v>0.29607</v>
      </c>
      <c r="AD1208" s="22" t="s">
        <v>1445</v>
      </c>
    </row>
    <row r="1209" customFormat="false" ht="15" hidden="false" customHeight="false" outlineLevel="0" collapsed="false">
      <c r="A1209" s="22" t="n">
        <v>1208</v>
      </c>
      <c r="B1209" s="22" t="s">
        <v>155</v>
      </c>
      <c r="C1209" s="37" t="n">
        <v>45733.3882175926</v>
      </c>
      <c r="D1209" s="22" t="s">
        <v>202</v>
      </c>
      <c r="E1209" s="22" t="n">
        <v>9</v>
      </c>
      <c r="F1209" s="22" t="s">
        <v>181</v>
      </c>
      <c r="G1209" s="22" t="s">
        <v>235</v>
      </c>
      <c r="H1209" s="22" t="n">
        <v>0.05</v>
      </c>
      <c r="I1209" s="38" t="n">
        <v>2987.84</v>
      </c>
      <c r="J1209" s="38" t="n">
        <v>2987.85</v>
      </c>
      <c r="K1209" s="39" t="n">
        <f aca="false">IF(F1209="BUY",J1209-I1209,I1209-J1209)</f>
        <v>0.00999999999976353</v>
      </c>
      <c r="L1209" s="38" t="n">
        <v>2981.84</v>
      </c>
      <c r="M1209" s="39" t="n">
        <f aca="false">ABS(I1209-L1209)</f>
        <v>6</v>
      </c>
      <c r="N1209" s="24" t="n">
        <f aca="false">M1209*H1209*Summary!$C$6</f>
        <v>30</v>
      </c>
      <c r="O1209" s="37" t="n">
        <v>45733.3978819445</v>
      </c>
      <c r="P1209" s="22" t="n">
        <f aca="false">ROUND((O1209-C1209)*86400,0)</f>
        <v>835</v>
      </c>
      <c r="Q1209" s="22" t="str">
        <f aca="false">IF(P1209&lt;10,"a) &lt;10s",IF(P1209&lt;60,"b) 10-60s",IF(P1209&lt;600,"c) 1-10min","d) &gt;10min")))</f>
        <v>d) &gt;10min</v>
      </c>
      <c r="R1209" s="38" t="n">
        <v>2988.35</v>
      </c>
      <c r="S1209" s="38" t="n">
        <v>2988.32</v>
      </c>
      <c r="T1209" s="22" t="s">
        <v>189</v>
      </c>
      <c r="U1209" s="39" t="n">
        <f aca="false">IF(R1209="","",IF(F1209="BUY",R1209-S1209,S1209-R1209))</f>
        <v>0.0299999999997453</v>
      </c>
      <c r="V1209" s="39" t="n">
        <f aca="false">IF(F1209="BUY",S1209-J1209,J1209-S1209)</f>
        <v>0.470000000000255</v>
      </c>
      <c r="W1209" s="6" t="n">
        <v>2.35</v>
      </c>
      <c r="X1209" s="26" t="n">
        <f aca="false">IFERROR(W1209/N1209,0)</f>
        <v>0.0783333333333333</v>
      </c>
      <c r="Y1209" s="22" t="str">
        <f aca="false">IF(W1209&gt;0,"Win",IF(W1209&lt;0,"Loss","Flat"))</f>
        <v>Win</v>
      </c>
      <c r="Z1209" s="24" t="n">
        <f aca="false">Summary!$C$5+SUM(W$2:W1209)</f>
        <v>3522</v>
      </c>
      <c r="AA1209" s="24" t="n">
        <f aca="false">MAX(AA1208,Z1209)</f>
        <v>5000</v>
      </c>
      <c r="AB1209" s="24" t="n">
        <f aca="false">AA1209-Z1209</f>
        <v>1478</v>
      </c>
      <c r="AC1209" s="23" t="n">
        <f aca="false">IFERROR(AB1209/AA1209,0)</f>
        <v>0.2956</v>
      </c>
      <c r="AD1209" s="22" t="s">
        <v>1446</v>
      </c>
    </row>
    <row r="1210" customFormat="false" ht="15" hidden="false" customHeight="false" outlineLevel="0" collapsed="false">
      <c r="A1210" s="22" t="n">
        <v>1209</v>
      </c>
      <c r="B1210" s="22" t="s">
        <v>155</v>
      </c>
      <c r="C1210" s="37" t="n">
        <v>45734.0954976852</v>
      </c>
      <c r="D1210" s="22" t="s">
        <v>203</v>
      </c>
      <c r="E1210" s="22" t="n">
        <v>2</v>
      </c>
      <c r="F1210" s="22" t="s">
        <v>181</v>
      </c>
      <c r="G1210" s="22" t="s">
        <v>243</v>
      </c>
      <c r="H1210" s="22" t="n">
        <v>0.05</v>
      </c>
      <c r="I1210" s="38" t="n">
        <v>3001.76</v>
      </c>
      <c r="J1210" s="38" t="n">
        <v>3001.78</v>
      </c>
      <c r="K1210" s="39" t="n">
        <f aca="false">IF(F1210="BUY",J1210-I1210,I1210-J1210)</f>
        <v>0.0199999999999818</v>
      </c>
      <c r="L1210" s="38" t="n">
        <v>2995.76</v>
      </c>
      <c r="M1210" s="39" t="n">
        <f aca="false">ABS(I1210-L1210)</f>
        <v>6</v>
      </c>
      <c r="N1210" s="24" t="n">
        <f aca="false">M1210*H1210*Summary!$C$6</f>
        <v>30</v>
      </c>
      <c r="O1210" s="37" t="n">
        <v>45734.1927083333</v>
      </c>
      <c r="P1210" s="22" t="n">
        <f aca="false">ROUND((O1210-C1210)*86400,0)</f>
        <v>8399</v>
      </c>
      <c r="Q1210" s="22" t="str">
        <f aca="false">IF(P1210&lt;10,"a) &lt;10s",IF(P1210&lt;60,"b) 10-60s",IF(P1210&lt;600,"c) 1-10min","d) &gt;10min")))</f>
        <v>d) &gt;10min</v>
      </c>
      <c r="R1210" s="38" t="n">
        <v>3002.28</v>
      </c>
      <c r="S1210" s="38" t="n">
        <v>3002.25</v>
      </c>
      <c r="T1210" s="22" t="s">
        <v>189</v>
      </c>
      <c r="U1210" s="39" t="n">
        <f aca="false">IF(R1210="","",IF(F1210="BUY",R1210-S1210,S1210-R1210))</f>
        <v>0.0300000000002001</v>
      </c>
      <c r="V1210" s="39" t="n">
        <f aca="false">IF(F1210="BUY",S1210-J1210,J1210-S1210)</f>
        <v>0.4699999999998</v>
      </c>
      <c r="W1210" s="6" t="n">
        <v>2.35</v>
      </c>
      <c r="X1210" s="26" t="n">
        <f aca="false">IFERROR(W1210/N1210,0)</f>
        <v>0.0783333333333333</v>
      </c>
      <c r="Y1210" s="22" t="str">
        <f aca="false">IF(W1210&gt;0,"Win",IF(W1210&lt;0,"Loss","Flat"))</f>
        <v>Win</v>
      </c>
      <c r="Z1210" s="24" t="n">
        <f aca="false">Summary!$C$5+SUM(W$2:W1210)</f>
        <v>3524.35</v>
      </c>
      <c r="AA1210" s="24" t="n">
        <f aca="false">MAX(AA1209,Z1210)</f>
        <v>5000</v>
      </c>
      <c r="AB1210" s="24" t="n">
        <f aca="false">AA1210-Z1210</f>
        <v>1475.65</v>
      </c>
      <c r="AC1210" s="23" t="n">
        <f aca="false">IFERROR(AB1210/AA1210,0)</f>
        <v>0.29513</v>
      </c>
      <c r="AD1210" s="22" t="s">
        <v>1447</v>
      </c>
    </row>
    <row r="1211" customFormat="false" ht="15" hidden="false" customHeight="false" outlineLevel="0" collapsed="false">
      <c r="A1211" s="22" t="n">
        <v>1210</v>
      </c>
      <c r="B1211" s="22" t="s">
        <v>155</v>
      </c>
      <c r="C1211" s="37" t="n">
        <v>45734.3798726852</v>
      </c>
      <c r="D1211" s="22" t="s">
        <v>203</v>
      </c>
      <c r="E1211" s="22" t="n">
        <v>9</v>
      </c>
      <c r="F1211" s="22" t="s">
        <v>181</v>
      </c>
      <c r="G1211" s="22" t="s">
        <v>235</v>
      </c>
      <c r="H1211" s="22" t="n">
        <v>0.05</v>
      </c>
      <c r="I1211" s="38" t="n">
        <v>3016.98</v>
      </c>
      <c r="J1211" s="38" t="n">
        <v>3017.02</v>
      </c>
      <c r="K1211" s="39" t="n">
        <f aca="false">IF(F1211="BUY",J1211-I1211,I1211-J1211)</f>
        <v>0.0399999999999636</v>
      </c>
      <c r="L1211" s="38" t="n">
        <v>3010.98</v>
      </c>
      <c r="M1211" s="39" t="n">
        <f aca="false">ABS(I1211-L1211)</f>
        <v>6</v>
      </c>
      <c r="N1211" s="24" t="n">
        <f aca="false">M1211*H1211*Summary!$C$6</f>
        <v>30</v>
      </c>
      <c r="O1211" s="37" t="n">
        <v>45734.3920486111</v>
      </c>
      <c r="P1211" s="22" t="n">
        <f aca="false">ROUND((O1211-C1211)*86400,0)</f>
        <v>1052</v>
      </c>
      <c r="Q1211" s="22" t="str">
        <f aca="false">IF(P1211&lt;10,"a) &lt;10s",IF(P1211&lt;60,"b) 10-60s",IF(P1211&lt;600,"c) 1-10min","d) &gt;10min")))</f>
        <v>d) &gt;10min</v>
      </c>
      <c r="R1211" s="38" t="n">
        <v>3010.98</v>
      </c>
      <c r="S1211" s="38" t="n">
        <v>3010.91</v>
      </c>
      <c r="T1211" s="22" t="s">
        <v>188</v>
      </c>
      <c r="U1211" s="39" t="n">
        <f aca="false">IF(R1211="","",IF(F1211="BUY",R1211-S1211,S1211-R1211))</f>
        <v>0.0700000000001637</v>
      </c>
      <c r="V1211" s="39" t="n">
        <f aca="false">IF(F1211="BUY",S1211-J1211,J1211-S1211)</f>
        <v>-6.11000000000013</v>
      </c>
      <c r="W1211" s="6" t="n">
        <v>-30.55</v>
      </c>
      <c r="X1211" s="26" t="n">
        <f aca="false">IFERROR(W1211/N1211,0)</f>
        <v>-1.01833333333333</v>
      </c>
      <c r="Y1211" s="22" t="str">
        <f aca="false">IF(W1211&gt;0,"Win",IF(W1211&lt;0,"Loss","Flat"))</f>
        <v>Loss</v>
      </c>
      <c r="Z1211" s="24" t="n">
        <f aca="false">Summary!$C$5+SUM(W$2:W1211)</f>
        <v>3493.8</v>
      </c>
      <c r="AA1211" s="24" t="n">
        <f aca="false">MAX(AA1210,Z1211)</f>
        <v>5000</v>
      </c>
      <c r="AB1211" s="24" t="n">
        <f aca="false">AA1211-Z1211</f>
        <v>1506.2</v>
      </c>
      <c r="AC1211" s="23" t="n">
        <f aca="false">IFERROR(AB1211/AA1211,0)</f>
        <v>0.30124</v>
      </c>
      <c r="AD1211" s="22" t="s">
        <v>1448</v>
      </c>
    </row>
    <row r="1212" customFormat="false" ht="15" hidden="false" customHeight="false" outlineLevel="0" collapsed="false">
      <c r="A1212" s="22" t="n">
        <v>1211</v>
      </c>
      <c r="B1212" s="22" t="s">
        <v>155</v>
      </c>
      <c r="C1212" s="37" t="n">
        <v>45735.2877546296</v>
      </c>
      <c r="D1212" s="22" t="s">
        <v>204</v>
      </c>
      <c r="E1212" s="22" t="n">
        <v>6</v>
      </c>
      <c r="F1212" s="22" t="s">
        <v>181</v>
      </c>
      <c r="G1212" s="22" t="s">
        <v>243</v>
      </c>
      <c r="H1212" s="22" t="n">
        <v>0.05</v>
      </c>
      <c r="I1212" s="38" t="n">
        <v>3038.06</v>
      </c>
      <c r="J1212" s="38" t="n">
        <v>3038.06</v>
      </c>
      <c r="K1212" s="39" t="n">
        <f aca="false">IF(F1212="BUY",J1212-I1212,I1212-J1212)</f>
        <v>0</v>
      </c>
      <c r="L1212" s="38" t="n">
        <v>3032.06</v>
      </c>
      <c r="M1212" s="39" t="n">
        <f aca="false">ABS(I1212-L1212)</f>
        <v>6</v>
      </c>
      <c r="N1212" s="24" t="n">
        <f aca="false">M1212*H1212*Summary!$C$6</f>
        <v>30</v>
      </c>
      <c r="O1212" s="37" t="n">
        <v>45735.3840856482</v>
      </c>
      <c r="P1212" s="22" t="n">
        <f aca="false">ROUND((O1212-C1212)*86400,0)</f>
        <v>8323</v>
      </c>
      <c r="Q1212" s="22" t="str">
        <f aca="false">IF(P1212&lt;10,"a) &lt;10s",IF(P1212&lt;60,"b) 10-60s",IF(P1212&lt;600,"c) 1-10min","d) &gt;10min")))</f>
        <v>d) &gt;10min</v>
      </c>
      <c r="R1212" s="38" t="n">
        <v>3038.56</v>
      </c>
      <c r="S1212" s="38" t="n">
        <v>3038.56</v>
      </c>
      <c r="T1212" s="22" t="s">
        <v>189</v>
      </c>
      <c r="U1212" s="39" t="n">
        <f aca="false">IF(R1212="","",IF(F1212="BUY",R1212-S1212,S1212-R1212))</f>
        <v>0</v>
      </c>
      <c r="V1212" s="39" t="n">
        <f aca="false">IF(F1212="BUY",S1212-J1212,J1212-S1212)</f>
        <v>0.5</v>
      </c>
      <c r="W1212" s="6" t="n">
        <v>2.5</v>
      </c>
      <c r="X1212" s="26" t="n">
        <f aca="false">IFERROR(W1212/N1212,0)</f>
        <v>0.0833333333333333</v>
      </c>
      <c r="Y1212" s="22" t="str">
        <f aca="false">IF(W1212&gt;0,"Win",IF(W1212&lt;0,"Loss","Flat"))</f>
        <v>Win</v>
      </c>
      <c r="Z1212" s="24" t="n">
        <f aca="false">Summary!$C$5+SUM(W$2:W1212)</f>
        <v>3496.3</v>
      </c>
      <c r="AA1212" s="24" t="n">
        <f aca="false">MAX(AA1211,Z1212)</f>
        <v>5000</v>
      </c>
      <c r="AB1212" s="24" t="n">
        <f aca="false">AA1212-Z1212</f>
        <v>1503.7</v>
      </c>
      <c r="AC1212" s="23" t="n">
        <f aca="false">IFERROR(AB1212/AA1212,0)</f>
        <v>0.30074</v>
      </c>
      <c r="AD1212" s="22" t="s">
        <v>1449</v>
      </c>
    </row>
    <row r="1213" customFormat="false" ht="15" hidden="false" customHeight="false" outlineLevel="0" collapsed="false">
      <c r="A1213" s="22" t="n">
        <v>1212</v>
      </c>
      <c r="B1213" s="22" t="s">
        <v>155</v>
      </c>
      <c r="C1213" s="37" t="n">
        <v>45735.4644097222</v>
      </c>
      <c r="D1213" s="22" t="s">
        <v>204</v>
      </c>
      <c r="E1213" s="22" t="n">
        <v>11</v>
      </c>
      <c r="F1213" s="22" t="s">
        <v>182</v>
      </c>
      <c r="G1213" s="22" t="s">
        <v>241</v>
      </c>
      <c r="H1213" s="22" t="n">
        <v>0.05</v>
      </c>
      <c r="I1213" s="38" t="n">
        <v>3033.99</v>
      </c>
      <c r="J1213" s="38" t="n">
        <v>3033.92</v>
      </c>
      <c r="K1213" s="39" t="n">
        <f aca="false">IF(F1213="BUY",J1213-I1213,I1213-J1213)</f>
        <v>0.069999999999709</v>
      </c>
      <c r="L1213" s="38" t="n">
        <v>3039.99</v>
      </c>
      <c r="M1213" s="39" t="n">
        <f aca="false">ABS(I1213-L1213)</f>
        <v>6</v>
      </c>
      <c r="N1213" s="24" t="n">
        <f aca="false">M1213*H1213*Summary!$C$6</f>
        <v>30</v>
      </c>
      <c r="O1213" s="37" t="n">
        <v>45735.466412037</v>
      </c>
      <c r="P1213" s="22" t="n">
        <f aca="false">ROUND((O1213-C1213)*86400,0)</f>
        <v>173</v>
      </c>
      <c r="Q1213" s="22" t="str">
        <f aca="false">IF(P1213&lt;10,"a) &lt;10s",IF(P1213&lt;60,"b) 10-60s",IF(P1213&lt;600,"c) 1-10min","d) &gt;10min")))</f>
        <v>c) 1-10min</v>
      </c>
      <c r="R1213" s="38" t="n">
        <v>3033.42</v>
      </c>
      <c r="S1213" s="38" t="n">
        <v>3033.44</v>
      </c>
      <c r="T1213" s="22" t="s">
        <v>189</v>
      </c>
      <c r="U1213" s="39" t="n">
        <f aca="false">IF(R1213="","",IF(F1213="BUY",R1213-S1213,S1213-R1213))</f>
        <v>0.0199999999999818</v>
      </c>
      <c r="V1213" s="39" t="n">
        <f aca="false">IF(F1213="BUY",S1213-J1213,J1213-S1213)</f>
        <v>0.480000000000018</v>
      </c>
      <c r="W1213" s="6" t="n">
        <v>2.4</v>
      </c>
      <c r="X1213" s="26" t="n">
        <f aca="false">IFERROR(W1213/N1213,0)</f>
        <v>0.08</v>
      </c>
      <c r="Y1213" s="22" t="str">
        <f aca="false">IF(W1213&gt;0,"Win",IF(W1213&lt;0,"Loss","Flat"))</f>
        <v>Win</v>
      </c>
      <c r="Z1213" s="24" t="n">
        <f aca="false">Summary!$C$5+SUM(W$2:W1213)</f>
        <v>3498.7</v>
      </c>
      <c r="AA1213" s="24" t="n">
        <f aca="false">MAX(AA1212,Z1213)</f>
        <v>5000</v>
      </c>
      <c r="AB1213" s="24" t="n">
        <f aca="false">AA1213-Z1213</f>
        <v>1501.3</v>
      </c>
      <c r="AC1213" s="23" t="n">
        <f aca="false">IFERROR(AB1213/AA1213,0)</f>
        <v>0.30026</v>
      </c>
      <c r="AD1213" s="22" t="s">
        <v>1450</v>
      </c>
    </row>
    <row r="1214" customFormat="false" ht="15" hidden="false" customHeight="false" outlineLevel="0" collapsed="false">
      <c r="A1214" s="22" t="n">
        <v>1213</v>
      </c>
      <c r="B1214" s="22" t="s">
        <v>155</v>
      </c>
      <c r="C1214" s="37" t="n">
        <v>45736.1265740741</v>
      </c>
      <c r="D1214" s="22" t="s">
        <v>205</v>
      </c>
      <c r="E1214" s="22" t="n">
        <v>3</v>
      </c>
      <c r="F1214" s="22" t="s">
        <v>181</v>
      </c>
      <c r="G1214" s="22" t="s">
        <v>243</v>
      </c>
      <c r="H1214" s="22" t="n">
        <v>0.05</v>
      </c>
      <c r="I1214" s="38" t="n">
        <v>3051.76</v>
      </c>
      <c r="J1214" s="38" t="n">
        <v>3051.87</v>
      </c>
      <c r="K1214" s="39" t="n">
        <f aca="false">IF(F1214="BUY",J1214-I1214,I1214-J1214)</f>
        <v>0.109999999999673</v>
      </c>
      <c r="L1214" s="38" t="n">
        <v>3045.76</v>
      </c>
      <c r="M1214" s="39" t="n">
        <f aca="false">ABS(I1214-L1214)</f>
        <v>6</v>
      </c>
      <c r="N1214" s="24" t="n">
        <f aca="false">M1214*H1214*Summary!$C$6</f>
        <v>30</v>
      </c>
      <c r="O1214" s="37" t="n">
        <v>45736.1343865741</v>
      </c>
      <c r="P1214" s="22" t="n">
        <f aca="false">ROUND((O1214-C1214)*86400,0)</f>
        <v>675</v>
      </c>
      <c r="Q1214" s="22" t="str">
        <f aca="false">IF(P1214&lt;10,"a) &lt;10s",IF(P1214&lt;60,"b) 10-60s",IF(P1214&lt;600,"c) 1-10min","d) &gt;10min")))</f>
        <v>d) &gt;10min</v>
      </c>
      <c r="R1214" s="38" t="n">
        <v>3052.37</v>
      </c>
      <c r="S1214" s="38" t="n">
        <v>3052.37</v>
      </c>
      <c r="T1214" s="22" t="s">
        <v>189</v>
      </c>
      <c r="U1214" s="39" t="n">
        <f aca="false">IF(R1214="","",IF(F1214="BUY",R1214-S1214,S1214-R1214))</f>
        <v>0</v>
      </c>
      <c r="V1214" s="39" t="n">
        <f aca="false">IF(F1214="BUY",S1214-J1214,J1214-S1214)</f>
        <v>0.5</v>
      </c>
      <c r="W1214" s="6" t="n">
        <v>2.5</v>
      </c>
      <c r="X1214" s="26" t="n">
        <f aca="false">IFERROR(W1214/N1214,0)</f>
        <v>0.0833333333333333</v>
      </c>
      <c r="Y1214" s="22" t="str">
        <f aca="false">IF(W1214&gt;0,"Win",IF(W1214&lt;0,"Loss","Flat"))</f>
        <v>Win</v>
      </c>
      <c r="Z1214" s="24" t="n">
        <f aca="false">Summary!$C$5+SUM(W$2:W1214)</f>
        <v>3501.2</v>
      </c>
      <c r="AA1214" s="24" t="n">
        <f aca="false">MAX(AA1213,Z1214)</f>
        <v>5000</v>
      </c>
      <c r="AB1214" s="24" t="n">
        <f aca="false">AA1214-Z1214</f>
        <v>1498.8</v>
      </c>
      <c r="AC1214" s="23" t="n">
        <f aca="false">IFERROR(AB1214/AA1214,0)</f>
        <v>0.29976</v>
      </c>
      <c r="AD1214" s="22" t="s">
        <v>1451</v>
      </c>
    </row>
    <row r="1215" customFormat="false" ht="15" hidden="false" customHeight="false" outlineLevel="0" collapsed="false">
      <c r="A1215" s="22" t="n">
        <v>1214</v>
      </c>
      <c r="B1215" s="22" t="s">
        <v>155</v>
      </c>
      <c r="C1215" s="37" t="n">
        <v>45736.4313194445</v>
      </c>
      <c r="D1215" s="22" t="s">
        <v>205</v>
      </c>
      <c r="E1215" s="22" t="n">
        <v>10</v>
      </c>
      <c r="F1215" s="22" t="s">
        <v>182</v>
      </c>
      <c r="G1215" s="22" t="s">
        <v>241</v>
      </c>
      <c r="H1215" s="22" t="n">
        <v>0.05</v>
      </c>
      <c r="I1215" s="38" t="n">
        <v>3044.67</v>
      </c>
      <c r="J1215" s="38" t="n">
        <v>3044.53</v>
      </c>
      <c r="K1215" s="39" t="n">
        <f aca="false">IF(F1215="BUY",J1215-I1215,I1215-J1215)</f>
        <v>0.139999999999873</v>
      </c>
      <c r="L1215" s="38" t="n">
        <v>3050.67</v>
      </c>
      <c r="M1215" s="39" t="n">
        <f aca="false">ABS(I1215-L1215)</f>
        <v>6</v>
      </c>
      <c r="N1215" s="24" t="n">
        <f aca="false">M1215*H1215*Summary!$C$6</f>
        <v>30</v>
      </c>
      <c r="O1215" s="37" t="n">
        <v>45736.4591087963</v>
      </c>
      <c r="P1215" s="22" t="n">
        <f aca="false">ROUND((O1215-C1215)*86400,0)</f>
        <v>2401</v>
      </c>
      <c r="Q1215" s="22" t="str">
        <f aca="false">IF(P1215&lt;10,"a) &lt;10s",IF(P1215&lt;60,"b) 10-60s",IF(P1215&lt;600,"c) 1-10min","d) &gt;10min")))</f>
        <v>d) &gt;10min</v>
      </c>
      <c r="R1215" s="38" t="n">
        <v>3044.03</v>
      </c>
      <c r="S1215" s="38" t="n">
        <v>3044.06</v>
      </c>
      <c r="T1215" s="22" t="s">
        <v>189</v>
      </c>
      <c r="U1215" s="39" t="n">
        <f aca="false">IF(R1215="","",IF(F1215="BUY",R1215-S1215,S1215-R1215))</f>
        <v>0.0299999999997453</v>
      </c>
      <c r="V1215" s="39" t="n">
        <f aca="false">IF(F1215="BUY",S1215-J1215,J1215-S1215)</f>
        <v>0.470000000000255</v>
      </c>
      <c r="W1215" s="6" t="n">
        <v>2.35</v>
      </c>
      <c r="X1215" s="26" t="n">
        <f aca="false">IFERROR(W1215/N1215,0)</f>
        <v>0.0783333333333333</v>
      </c>
      <c r="Y1215" s="22" t="str">
        <f aca="false">IF(W1215&gt;0,"Win",IF(W1215&lt;0,"Loss","Flat"))</f>
        <v>Win</v>
      </c>
      <c r="Z1215" s="24" t="n">
        <f aca="false">Summary!$C$5+SUM(W$2:W1215)</f>
        <v>3503.55</v>
      </c>
      <c r="AA1215" s="24" t="n">
        <f aca="false">MAX(AA1214,Z1215)</f>
        <v>5000</v>
      </c>
      <c r="AB1215" s="24" t="n">
        <f aca="false">AA1215-Z1215</f>
        <v>1496.45</v>
      </c>
      <c r="AC1215" s="23" t="n">
        <f aca="false">IFERROR(AB1215/AA1215,0)</f>
        <v>0.29929</v>
      </c>
      <c r="AD1215" s="22" t="s">
        <v>1452</v>
      </c>
    </row>
    <row r="1216" customFormat="false" ht="15" hidden="false" customHeight="false" outlineLevel="0" collapsed="false">
      <c r="A1216" s="22" t="n">
        <v>1215</v>
      </c>
      <c r="B1216" s="22" t="s">
        <v>155</v>
      </c>
      <c r="C1216" s="37" t="n">
        <v>45737.3625347222</v>
      </c>
      <c r="D1216" s="22" t="s">
        <v>206</v>
      </c>
      <c r="E1216" s="22" t="n">
        <v>8</v>
      </c>
      <c r="F1216" s="22" t="s">
        <v>182</v>
      </c>
      <c r="G1216" s="22" t="s">
        <v>237</v>
      </c>
      <c r="H1216" s="22" t="n">
        <v>0.05</v>
      </c>
      <c r="I1216" s="38" t="n">
        <v>3025.43</v>
      </c>
      <c r="J1216" s="38" t="n">
        <v>3024.87</v>
      </c>
      <c r="K1216" s="39" t="n">
        <f aca="false">IF(F1216="BUY",J1216-I1216,I1216-J1216)</f>
        <v>0.559999999999945</v>
      </c>
      <c r="L1216" s="38" t="n">
        <v>3031.43</v>
      </c>
      <c r="M1216" s="39" t="n">
        <f aca="false">ABS(I1216-L1216)</f>
        <v>6</v>
      </c>
      <c r="N1216" s="24" t="n">
        <f aca="false">M1216*H1216*Summary!$C$6</f>
        <v>30</v>
      </c>
      <c r="O1216" s="37" t="n">
        <v>45737.3636574074</v>
      </c>
      <c r="P1216" s="22" t="n">
        <f aca="false">ROUND((O1216-C1216)*86400,0)</f>
        <v>97</v>
      </c>
      <c r="Q1216" s="22" t="str">
        <f aca="false">IF(P1216&lt;10,"a) &lt;10s",IF(P1216&lt;60,"b) 10-60s",IF(P1216&lt;600,"c) 1-10min","d) &gt;10min")))</f>
        <v>c) 1-10min</v>
      </c>
      <c r="R1216" s="38" t="n">
        <v>3024.37</v>
      </c>
      <c r="S1216" s="38" t="n">
        <v>3024.4</v>
      </c>
      <c r="T1216" s="22" t="s">
        <v>189</v>
      </c>
      <c r="U1216" s="39" t="n">
        <f aca="false">IF(R1216="","",IF(F1216="BUY",R1216-S1216,S1216-R1216))</f>
        <v>0.0300000000002001</v>
      </c>
      <c r="V1216" s="39" t="n">
        <f aca="false">IF(F1216="BUY",S1216-J1216,J1216-S1216)</f>
        <v>0.4699999999998</v>
      </c>
      <c r="W1216" s="6" t="n">
        <v>2.35</v>
      </c>
      <c r="X1216" s="26" t="n">
        <f aca="false">IFERROR(W1216/N1216,0)</f>
        <v>0.0783333333333333</v>
      </c>
      <c r="Y1216" s="22" t="str">
        <f aca="false">IF(W1216&gt;0,"Win",IF(W1216&lt;0,"Loss","Flat"))</f>
        <v>Win</v>
      </c>
      <c r="Z1216" s="24" t="n">
        <f aca="false">Summary!$C$5+SUM(W$2:W1216)</f>
        <v>3505.9</v>
      </c>
      <c r="AA1216" s="24" t="n">
        <f aca="false">MAX(AA1215,Z1216)</f>
        <v>5000</v>
      </c>
      <c r="AB1216" s="24" t="n">
        <f aca="false">AA1216-Z1216</f>
        <v>1494.1</v>
      </c>
      <c r="AC1216" s="23" t="n">
        <f aca="false">IFERROR(AB1216/AA1216,0)</f>
        <v>0.29882</v>
      </c>
      <c r="AD1216" s="22" t="s">
        <v>1453</v>
      </c>
    </row>
    <row r="1217" customFormat="false" ht="15" hidden="false" customHeight="false" outlineLevel="0" collapsed="false">
      <c r="A1217" s="22" t="n">
        <v>1216</v>
      </c>
      <c r="B1217" s="22" t="s">
        <v>155</v>
      </c>
      <c r="C1217" s="37" t="n">
        <v>45737.3816898148</v>
      </c>
      <c r="D1217" s="22" t="s">
        <v>206</v>
      </c>
      <c r="E1217" s="22" t="n">
        <v>9</v>
      </c>
      <c r="F1217" s="22" t="s">
        <v>181</v>
      </c>
      <c r="G1217" s="22" t="s">
        <v>235</v>
      </c>
      <c r="H1217" s="22" t="n">
        <v>0.05</v>
      </c>
      <c r="I1217" s="38" t="n">
        <v>3031.85</v>
      </c>
      <c r="J1217" s="38" t="n">
        <v>3031.85</v>
      </c>
      <c r="K1217" s="39" t="n">
        <f aca="false">IF(F1217="BUY",J1217-I1217,I1217-J1217)</f>
        <v>0</v>
      </c>
      <c r="L1217" s="38" t="n">
        <v>3025.85</v>
      </c>
      <c r="M1217" s="39" t="n">
        <f aca="false">ABS(I1217-L1217)</f>
        <v>6</v>
      </c>
      <c r="N1217" s="24" t="n">
        <f aca="false">M1217*H1217*Summary!$C$6</f>
        <v>30</v>
      </c>
      <c r="O1217" s="37" t="n">
        <v>45737.4658449074</v>
      </c>
      <c r="P1217" s="22" t="n">
        <f aca="false">ROUND((O1217-C1217)*86400,0)</f>
        <v>7271</v>
      </c>
      <c r="Q1217" s="22" t="str">
        <f aca="false">IF(P1217&lt;10,"a) &lt;10s",IF(P1217&lt;60,"b) 10-60s",IF(P1217&lt;600,"c) 1-10min","d) &gt;10min")))</f>
        <v>d) &gt;10min</v>
      </c>
      <c r="R1217" s="38" t="n">
        <v>3032.35</v>
      </c>
      <c r="S1217" s="38" t="n">
        <v>3032.35</v>
      </c>
      <c r="T1217" s="22" t="s">
        <v>189</v>
      </c>
      <c r="U1217" s="39" t="n">
        <f aca="false">IF(R1217="","",IF(F1217="BUY",R1217-S1217,S1217-R1217))</f>
        <v>0</v>
      </c>
      <c r="V1217" s="39" t="n">
        <f aca="false">IF(F1217="BUY",S1217-J1217,J1217-S1217)</f>
        <v>0.5</v>
      </c>
      <c r="W1217" s="6" t="n">
        <v>2.5</v>
      </c>
      <c r="X1217" s="26" t="n">
        <f aca="false">IFERROR(W1217/N1217,0)</f>
        <v>0.0833333333333333</v>
      </c>
      <c r="Y1217" s="22" t="str">
        <f aca="false">IF(W1217&gt;0,"Win",IF(W1217&lt;0,"Loss","Flat"))</f>
        <v>Win</v>
      </c>
      <c r="Z1217" s="24" t="n">
        <f aca="false">Summary!$C$5+SUM(W$2:W1217)</f>
        <v>3508.4</v>
      </c>
      <c r="AA1217" s="24" t="n">
        <f aca="false">MAX(AA1216,Z1217)</f>
        <v>5000</v>
      </c>
      <c r="AB1217" s="24" t="n">
        <f aca="false">AA1217-Z1217</f>
        <v>1491.6</v>
      </c>
      <c r="AC1217" s="23" t="n">
        <f aca="false">IFERROR(AB1217/AA1217,0)</f>
        <v>0.29832</v>
      </c>
      <c r="AD1217" s="22" t="s">
        <v>1454</v>
      </c>
    </row>
    <row r="1218" customFormat="false" ht="15" hidden="false" customHeight="false" outlineLevel="0" collapsed="false">
      <c r="A1218" s="22" t="n">
        <v>1217</v>
      </c>
      <c r="B1218" s="22" t="s">
        <v>155</v>
      </c>
      <c r="C1218" s="37" t="n">
        <v>45740.3791203704</v>
      </c>
      <c r="D1218" s="22" t="s">
        <v>202</v>
      </c>
      <c r="E1218" s="22" t="n">
        <v>9</v>
      </c>
      <c r="F1218" s="22" t="s">
        <v>181</v>
      </c>
      <c r="G1218" s="22" t="s">
        <v>235</v>
      </c>
      <c r="H1218" s="22" t="n">
        <v>0.05</v>
      </c>
      <c r="I1218" s="38" t="n">
        <v>3023.01</v>
      </c>
      <c r="J1218" s="38" t="n">
        <v>3023.02</v>
      </c>
      <c r="K1218" s="39" t="n">
        <f aca="false">IF(F1218="BUY",J1218-I1218,I1218-J1218)</f>
        <v>0.00999999999976353</v>
      </c>
      <c r="L1218" s="38" t="n">
        <v>3017.01</v>
      </c>
      <c r="M1218" s="39" t="n">
        <f aca="false">ABS(I1218-L1218)</f>
        <v>6</v>
      </c>
      <c r="N1218" s="24" t="n">
        <f aca="false">M1218*H1218*Summary!$C$6</f>
        <v>30</v>
      </c>
      <c r="O1218" s="37" t="n">
        <v>45740.4384143519</v>
      </c>
      <c r="P1218" s="22" t="n">
        <f aca="false">ROUND((O1218-C1218)*86400,0)</f>
        <v>5123</v>
      </c>
      <c r="Q1218" s="22" t="str">
        <f aca="false">IF(P1218&lt;10,"a) &lt;10s",IF(P1218&lt;60,"b) 10-60s",IF(P1218&lt;600,"c) 1-10min","d) &gt;10min")))</f>
        <v>d) &gt;10min</v>
      </c>
      <c r="R1218" s="38" t="n">
        <v>3023.52</v>
      </c>
      <c r="S1218" s="38" t="n">
        <v>3023.52</v>
      </c>
      <c r="T1218" s="22" t="s">
        <v>189</v>
      </c>
      <c r="U1218" s="39" t="n">
        <f aca="false">IF(R1218="","",IF(F1218="BUY",R1218-S1218,S1218-R1218))</f>
        <v>0</v>
      </c>
      <c r="V1218" s="39" t="n">
        <f aca="false">IF(F1218="BUY",S1218-J1218,J1218-S1218)</f>
        <v>0.5</v>
      </c>
      <c r="W1218" s="6" t="n">
        <v>2.5</v>
      </c>
      <c r="X1218" s="26" t="n">
        <f aca="false">IFERROR(W1218/N1218,0)</f>
        <v>0.0833333333333333</v>
      </c>
      <c r="Y1218" s="22" t="str">
        <f aca="false">IF(W1218&gt;0,"Win",IF(W1218&lt;0,"Loss","Flat"))</f>
        <v>Win</v>
      </c>
      <c r="Z1218" s="24" t="n">
        <f aca="false">Summary!$C$5+SUM(W$2:W1218)</f>
        <v>3510.9</v>
      </c>
      <c r="AA1218" s="24" t="n">
        <f aca="false">MAX(AA1217,Z1218)</f>
        <v>5000</v>
      </c>
      <c r="AB1218" s="24" t="n">
        <f aca="false">AA1218-Z1218</f>
        <v>1489.1</v>
      </c>
      <c r="AC1218" s="23" t="n">
        <f aca="false">IFERROR(AB1218/AA1218,0)</f>
        <v>0.29782</v>
      </c>
      <c r="AD1218" s="22" t="s">
        <v>1455</v>
      </c>
    </row>
    <row r="1219" customFormat="false" ht="15" hidden="false" customHeight="false" outlineLevel="0" collapsed="false">
      <c r="A1219" s="22" t="n">
        <v>1218</v>
      </c>
      <c r="B1219" s="22" t="s">
        <v>155</v>
      </c>
      <c r="C1219" s="37" t="n">
        <v>45741.4319675926</v>
      </c>
      <c r="D1219" s="22" t="s">
        <v>203</v>
      </c>
      <c r="E1219" s="22" t="n">
        <v>10</v>
      </c>
      <c r="F1219" s="22" t="s">
        <v>182</v>
      </c>
      <c r="G1219" s="22" t="s">
        <v>241</v>
      </c>
      <c r="H1219" s="22" t="n">
        <v>0.05</v>
      </c>
      <c r="I1219" s="38" t="n">
        <v>3014.08</v>
      </c>
      <c r="J1219" s="38" t="n">
        <v>3014.07</v>
      </c>
      <c r="K1219" s="39" t="n">
        <f aca="false">IF(F1219="BUY",J1219-I1219,I1219-J1219)</f>
        <v>0.00999999999976353</v>
      </c>
      <c r="L1219" s="38" t="n">
        <v>3020.08</v>
      </c>
      <c r="M1219" s="39" t="n">
        <f aca="false">ABS(I1219-L1219)</f>
        <v>6</v>
      </c>
      <c r="N1219" s="24" t="n">
        <f aca="false">M1219*H1219*Summary!$C$6</f>
        <v>30</v>
      </c>
      <c r="O1219" s="37" t="n">
        <v>45741.4662731482</v>
      </c>
      <c r="P1219" s="22" t="n">
        <f aca="false">ROUND((O1219-C1219)*86400,0)</f>
        <v>2964</v>
      </c>
      <c r="Q1219" s="22" t="str">
        <f aca="false">IF(P1219&lt;10,"a) &lt;10s",IF(P1219&lt;60,"b) 10-60s",IF(P1219&lt;600,"c) 1-10min","d) &gt;10min")))</f>
        <v>d) &gt;10min</v>
      </c>
      <c r="R1219" s="38" t="n">
        <v>3013.57</v>
      </c>
      <c r="S1219" s="38" t="n">
        <v>3013.6</v>
      </c>
      <c r="T1219" s="22" t="s">
        <v>189</v>
      </c>
      <c r="U1219" s="39" t="n">
        <f aca="false">IF(R1219="","",IF(F1219="BUY",R1219-S1219,S1219-R1219))</f>
        <v>0.0299999999997453</v>
      </c>
      <c r="V1219" s="39" t="n">
        <f aca="false">IF(F1219="BUY",S1219-J1219,J1219-S1219)</f>
        <v>0.470000000000255</v>
      </c>
      <c r="W1219" s="6" t="n">
        <v>2.35</v>
      </c>
      <c r="X1219" s="26" t="n">
        <f aca="false">IFERROR(W1219/N1219,0)</f>
        <v>0.0783333333333333</v>
      </c>
      <c r="Y1219" s="22" t="str">
        <f aca="false">IF(W1219&gt;0,"Win",IF(W1219&lt;0,"Loss","Flat"))</f>
        <v>Win</v>
      </c>
      <c r="Z1219" s="24" t="n">
        <f aca="false">Summary!$C$5+SUM(W$2:W1219)</f>
        <v>3513.25</v>
      </c>
      <c r="AA1219" s="24" t="n">
        <f aca="false">MAX(AA1218,Z1219)</f>
        <v>5000</v>
      </c>
      <c r="AB1219" s="24" t="n">
        <f aca="false">AA1219-Z1219</f>
        <v>1486.75</v>
      </c>
      <c r="AC1219" s="23" t="n">
        <f aca="false">IFERROR(AB1219/AA1219,0)</f>
        <v>0.29735</v>
      </c>
      <c r="AD1219" s="22" t="s">
        <v>1456</v>
      </c>
    </row>
    <row r="1220" customFormat="false" ht="15" hidden="false" customHeight="false" outlineLevel="0" collapsed="false">
      <c r="A1220" s="22" t="n">
        <v>1219</v>
      </c>
      <c r="B1220" s="22" t="s">
        <v>155</v>
      </c>
      <c r="C1220" s="37" t="n">
        <v>45741.7108217593</v>
      </c>
      <c r="D1220" s="22" t="s">
        <v>203</v>
      </c>
      <c r="E1220" s="22" t="n">
        <v>17</v>
      </c>
      <c r="F1220" s="22" t="s">
        <v>181</v>
      </c>
      <c r="G1220" s="22" t="s">
        <v>243</v>
      </c>
      <c r="H1220" s="22" t="n">
        <v>0.05</v>
      </c>
      <c r="I1220" s="38" t="n">
        <v>3033.14</v>
      </c>
      <c r="J1220" s="38" t="n">
        <v>3034.4</v>
      </c>
      <c r="K1220" s="39" t="n">
        <f aca="false">IF(F1220="BUY",J1220-I1220,I1220-J1220)</f>
        <v>1.26000000000022</v>
      </c>
      <c r="L1220" s="38" t="n">
        <v>3027.14</v>
      </c>
      <c r="M1220" s="39" t="n">
        <f aca="false">ABS(I1220-L1220)</f>
        <v>6</v>
      </c>
      <c r="N1220" s="24" t="n">
        <f aca="false">M1220*H1220*Summary!$C$6</f>
        <v>30</v>
      </c>
      <c r="O1220" s="37" t="n">
        <v>45741.729212963</v>
      </c>
      <c r="P1220" s="22" t="n">
        <f aca="false">ROUND((O1220-C1220)*86400,0)</f>
        <v>1589</v>
      </c>
      <c r="Q1220" s="22" t="str">
        <f aca="false">IF(P1220&lt;10,"a) &lt;10s",IF(P1220&lt;60,"b) 10-60s",IF(P1220&lt;600,"c) 1-10min","d) &gt;10min")))</f>
        <v>d) &gt;10min</v>
      </c>
      <c r="R1220" s="38" t="n">
        <v>3027.14</v>
      </c>
      <c r="S1220" s="38" t="n">
        <v>3027.07</v>
      </c>
      <c r="T1220" s="22" t="s">
        <v>188</v>
      </c>
      <c r="U1220" s="39" t="n">
        <f aca="false">IF(R1220="","",IF(F1220="BUY",R1220-S1220,S1220-R1220))</f>
        <v>0.069999999999709</v>
      </c>
      <c r="V1220" s="39" t="n">
        <f aca="false">IF(F1220="BUY",S1220-J1220,J1220-S1220)</f>
        <v>-7.32999999999993</v>
      </c>
      <c r="W1220" s="6" t="n">
        <v>-36.65</v>
      </c>
      <c r="X1220" s="26" t="n">
        <f aca="false">IFERROR(W1220/N1220,0)</f>
        <v>-1.22166666666667</v>
      </c>
      <c r="Y1220" s="22" t="str">
        <f aca="false">IF(W1220&gt;0,"Win",IF(W1220&lt;0,"Loss","Flat"))</f>
        <v>Loss</v>
      </c>
      <c r="Z1220" s="24" t="n">
        <f aca="false">Summary!$C$5+SUM(W$2:W1220)</f>
        <v>3476.6</v>
      </c>
      <c r="AA1220" s="24" t="n">
        <f aca="false">MAX(AA1219,Z1220)</f>
        <v>5000</v>
      </c>
      <c r="AB1220" s="24" t="n">
        <f aca="false">AA1220-Z1220</f>
        <v>1523.4</v>
      </c>
      <c r="AC1220" s="23" t="n">
        <f aca="false">IFERROR(AB1220/AA1220,0)</f>
        <v>0.30468</v>
      </c>
      <c r="AD1220" s="22" t="s">
        <v>1457</v>
      </c>
    </row>
    <row r="1221" customFormat="false" ht="15" hidden="false" customHeight="false" outlineLevel="0" collapsed="false">
      <c r="A1221" s="22" t="n">
        <v>1220</v>
      </c>
      <c r="B1221" s="22" t="s">
        <v>155</v>
      </c>
      <c r="C1221" s="37" t="n">
        <v>45742.3762962963</v>
      </c>
      <c r="D1221" s="22" t="s">
        <v>204</v>
      </c>
      <c r="E1221" s="22" t="n">
        <v>9</v>
      </c>
      <c r="F1221" s="22" t="s">
        <v>181</v>
      </c>
      <c r="G1221" s="22" t="s">
        <v>235</v>
      </c>
      <c r="H1221" s="22" t="n">
        <v>0.05</v>
      </c>
      <c r="I1221" s="38" t="n">
        <v>3023.89</v>
      </c>
      <c r="J1221" s="38" t="n">
        <v>3023.9</v>
      </c>
      <c r="K1221" s="39" t="n">
        <f aca="false">IF(F1221="BUY",J1221-I1221,I1221-J1221)</f>
        <v>0.0100000000002183</v>
      </c>
      <c r="L1221" s="38" t="n">
        <v>3017.89</v>
      </c>
      <c r="M1221" s="39" t="n">
        <f aca="false">ABS(I1221-L1221)</f>
        <v>6</v>
      </c>
      <c r="N1221" s="24" t="n">
        <f aca="false">M1221*H1221*Summary!$C$6</f>
        <v>30</v>
      </c>
      <c r="O1221" s="37" t="n">
        <v>45742.4950810185</v>
      </c>
      <c r="P1221" s="22" t="n">
        <f aca="false">ROUND((O1221-C1221)*86400,0)</f>
        <v>10263</v>
      </c>
      <c r="Q1221" s="22" t="str">
        <f aca="false">IF(P1221&lt;10,"a) &lt;10s",IF(P1221&lt;60,"b) 10-60s",IF(P1221&lt;600,"c) 1-10min","d) &gt;10min")))</f>
        <v>d) &gt;10min</v>
      </c>
      <c r="R1221" s="38" t="n">
        <v>3024.4</v>
      </c>
      <c r="S1221" s="38" t="n">
        <v>3024.4</v>
      </c>
      <c r="T1221" s="22" t="s">
        <v>189</v>
      </c>
      <c r="U1221" s="39" t="n">
        <f aca="false">IF(R1221="","",IF(F1221="BUY",R1221-S1221,S1221-R1221))</f>
        <v>0</v>
      </c>
      <c r="V1221" s="39" t="n">
        <f aca="false">IF(F1221="BUY",S1221-J1221,J1221-S1221)</f>
        <v>0.5</v>
      </c>
      <c r="W1221" s="6" t="n">
        <v>2.5</v>
      </c>
      <c r="X1221" s="26" t="n">
        <f aca="false">IFERROR(W1221/N1221,0)</f>
        <v>0.0833333333333333</v>
      </c>
      <c r="Y1221" s="22" t="str">
        <f aca="false">IF(W1221&gt;0,"Win",IF(W1221&lt;0,"Loss","Flat"))</f>
        <v>Win</v>
      </c>
      <c r="Z1221" s="24" t="n">
        <f aca="false">Summary!$C$5+SUM(W$2:W1221)</f>
        <v>3479.1</v>
      </c>
      <c r="AA1221" s="24" t="n">
        <f aca="false">MAX(AA1220,Z1221)</f>
        <v>5000</v>
      </c>
      <c r="AB1221" s="24" t="n">
        <f aca="false">AA1221-Z1221</f>
        <v>1520.9</v>
      </c>
      <c r="AC1221" s="23" t="n">
        <f aca="false">IFERROR(AB1221/AA1221,0)</f>
        <v>0.30418</v>
      </c>
      <c r="AD1221" s="22" t="s">
        <v>1458</v>
      </c>
    </row>
    <row r="1222" customFormat="false" ht="15" hidden="false" customHeight="false" outlineLevel="0" collapsed="false">
      <c r="A1222" s="22" t="n">
        <v>1221</v>
      </c>
      <c r="B1222" s="22" t="s">
        <v>155</v>
      </c>
      <c r="C1222" s="37" t="n">
        <v>45743.238275463</v>
      </c>
      <c r="D1222" s="22" t="s">
        <v>205</v>
      </c>
      <c r="E1222" s="22" t="n">
        <v>5</v>
      </c>
      <c r="F1222" s="22" t="s">
        <v>181</v>
      </c>
      <c r="G1222" s="22" t="s">
        <v>243</v>
      </c>
      <c r="H1222" s="22" t="n">
        <v>0.05</v>
      </c>
      <c r="I1222" s="38" t="n">
        <v>3031.95</v>
      </c>
      <c r="J1222" s="38" t="n">
        <v>3031.95</v>
      </c>
      <c r="K1222" s="39" t="n">
        <f aca="false">IF(F1222="BUY",J1222-I1222,I1222-J1222)</f>
        <v>0</v>
      </c>
      <c r="L1222" s="38" t="n">
        <v>3025.95</v>
      </c>
      <c r="M1222" s="39" t="n">
        <f aca="false">ABS(I1222-L1222)</f>
        <v>6</v>
      </c>
      <c r="N1222" s="24" t="n">
        <f aca="false">M1222*H1222*Summary!$C$6</f>
        <v>30</v>
      </c>
      <c r="O1222" s="37" t="n">
        <v>45743.3255208333</v>
      </c>
      <c r="P1222" s="22" t="n">
        <f aca="false">ROUND((O1222-C1222)*86400,0)</f>
        <v>7538</v>
      </c>
      <c r="Q1222" s="22" t="str">
        <f aca="false">IF(P1222&lt;10,"a) &lt;10s",IF(P1222&lt;60,"b) 10-60s",IF(P1222&lt;600,"c) 1-10min","d) &gt;10min")))</f>
        <v>d) &gt;10min</v>
      </c>
      <c r="R1222" s="38" t="n">
        <v>3032.45</v>
      </c>
      <c r="S1222" s="38" t="n">
        <v>3032.42</v>
      </c>
      <c r="T1222" s="22" t="s">
        <v>189</v>
      </c>
      <c r="U1222" s="39" t="n">
        <f aca="false">IF(R1222="","",IF(F1222="BUY",R1222-S1222,S1222-R1222))</f>
        <v>0.0299999999997453</v>
      </c>
      <c r="V1222" s="39" t="n">
        <f aca="false">IF(F1222="BUY",S1222-J1222,J1222-S1222)</f>
        <v>0.470000000000255</v>
      </c>
      <c r="W1222" s="6" t="n">
        <v>2.35</v>
      </c>
      <c r="X1222" s="26" t="n">
        <f aca="false">IFERROR(W1222/N1222,0)</f>
        <v>0.0783333333333333</v>
      </c>
      <c r="Y1222" s="22" t="str">
        <f aca="false">IF(W1222&gt;0,"Win",IF(W1222&lt;0,"Loss","Flat"))</f>
        <v>Win</v>
      </c>
      <c r="Z1222" s="24" t="n">
        <f aca="false">Summary!$C$5+SUM(W$2:W1222)</f>
        <v>3481.45</v>
      </c>
      <c r="AA1222" s="24" t="n">
        <f aca="false">MAX(AA1221,Z1222)</f>
        <v>5000</v>
      </c>
      <c r="AB1222" s="24" t="n">
        <f aca="false">AA1222-Z1222</f>
        <v>1518.55</v>
      </c>
      <c r="AC1222" s="23" t="n">
        <f aca="false">IFERROR(AB1222/AA1222,0)</f>
        <v>0.30371</v>
      </c>
      <c r="AD1222" s="22" t="s">
        <v>1459</v>
      </c>
    </row>
    <row r="1223" customFormat="false" ht="15" hidden="false" customHeight="false" outlineLevel="0" collapsed="false">
      <c r="A1223" s="22" t="n">
        <v>1222</v>
      </c>
      <c r="B1223" s="22" t="s">
        <v>155</v>
      </c>
      <c r="C1223" s="37" t="n">
        <v>45743.3750347222</v>
      </c>
      <c r="D1223" s="22" t="s">
        <v>205</v>
      </c>
      <c r="E1223" s="22" t="n">
        <v>9</v>
      </c>
      <c r="F1223" s="22" t="s">
        <v>182</v>
      </c>
      <c r="G1223" s="22" t="s">
        <v>241</v>
      </c>
      <c r="H1223" s="22" t="n">
        <v>0.05</v>
      </c>
      <c r="I1223" s="38" t="n">
        <v>3029.1</v>
      </c>
      <c r="J1223" s="38" t="n">
        <v>3029.1</v>
      </c>
      <c r="K1223" s="39" t="n">
        <f aca="false">IF(F1223="BUY",J1223-I1223,I1223-J1223)</f>
        <v>0</v>
      </c>
      <c r="L1223" s="38" t="n">
        <v>3035.1</v>
      </c>
      <c r="M1223" s="39" t="n">
        <f aca="false">ABS(I1223-L1223)</f>
        <v>6</v>
      </c>
      <c r="N1223" s="24" t="n">
        <f aca="false">M1223*H1223*Summary!$C$6</f>
        <v>30</v>
      </c>
      <c r="O1223" s="37" t="n">
        <v>45743.4083564815</v>
      </c>
      <c r="P1223" s="22" t="n">
        <f aca="false">ROUND((O1223-C1223)*86400,0)</f>
        <v>2879</v>
      </c>
      <c r="Q1223" s="22" t="str">
        <f aca="false">IF(P1223&lt;10,"a) &lt;10s",IF(P1223&lt;60,"b) 10-60s",IF(P1223&lt;600,"c) 1-10min","d) &gt;10min")))</f>
        <v>d) &gt;10min</v>
      </c>
      <c r="R1223" s="38" t="n">
        <v>3028.6</v>
      </c>
      <c r="S1223" s="38" t="n">
        <v>3028.62</v>
      </c>
      <c r="T1223" s="22" t="s">
        <v>189</v>
      </c>
      <c r="U1223" s="39" t="n">
        <f aca="false">IF(R1223="","",IF(F1223="BUY",R1223-S1223,S1223-R1223))</f>
        <v>0.0199999999999818</v>
      </c>
      <c r="V1223" s="39" t="n">
        <f aca="false">IF(F1223="BUY",S1223-J1223,J1223-S1223)</f>
        <v>0.480000000000018</v>
      </c>
      <c r="W1223" s="6" t="n">
        <v>2.4</v>
      </c>
      <c r="X1223" s="26" t="n">
        <f aca="false">IFERROR(W1223/N1223,0)</f>
        <v>0.08</v>
      </c>
      <c r="Y1223" s="22" t="str">
        <f aca="false">IF(W1223&gt;0,"Win",IF(W1223&lt;0,"Loss","Flat"))</f>
        <v>Win</v>
      </c>
      <c r="Z1223" s="24" t="n">
        <f aca="false">Summary!$C$5+SUM(W$2:W1223)</f>
        <v>3483.85</v>
      </c>
      <c r="AA1223" s="24" t="n">
        <f aca="false">MAX(AA1222,Z1223)</f>
        <v>5000</v>
      </c>
      <c r="AB1223" s="24" t="n">
        <f aca="false">AA1223-Z1223</f>
        <v>1516.15</v>
      </c>
      <c r="AC1223" s="23" t="n">
        <f aca="false">IFERROR(AB1223/AA1223,0)</f>
        <v>0.30323</v>
      </c>
      <c r="AD1223" s="22" t="s">
        <v>1460</v>
      </c>
    </row>
    <row r="1224" customFormat="false" ht="15" hidden="false" customHeight="false" outlineLevel="0" collapsed="false">
      <c r="A1224" s="22" t="n">
        <v>1223</v>
      </c>
      <c r="B1224" s="22" t="s">
        <v>155</v>
      </c>
      <c r="C1224" s="37" t="n">
        <v>45744.1316666667</v>
      </c>
      <c r="D1224" s="22" t="s">
        <v>206</v>
      </c>
      <c r="E1224" s="22" t="n">
        <v>3</v>
      </c>
      <c r="F1224" s="22" t="s">
        <v>181</v>
      </c>
      <c r="G1224" s="22" t="s">
        <v>243</v>
      </c>
      <c r="H1224" s="22" t="n">
        <v>0.05</v>
      </c>
      <c r="I1224" s="38" t="n">
        <v>3059.52</v>
      </c>
      <c r="J1224" s="38" t="n">
        <v>3059.55</v>
      </c>
      <c r="K1224" s="39" t="n">
        <f aca="false">IF(F1224="BUY",J1224-I1224,I1224-J1224)</f>
        <v>0.0300000000002001</v>
      </c>
      <c r="L1224" s="38" t="n">
        <v>3053.52</v>
      </c>
      <c r="M1224" s="39" t="n">
        <f aca="false">ABS(I1224-L1224)</f>
        <v>6</v>
      </c>
      <c r="N1224" s="24" t="n">
        <f aca="false">M1224*H1224*Summary!$C$6</f>
        <v>30</v>
      </c>
      <c r="O1224" s="37" t="n">
        <v>45744.1343518519</v>
      </c>
      <c r="P1224" s="22" t="n">
        <f aca="false">ROUND((O1224-C1224)*86400,0)</f>
        <v>232</v>
      </c>
      <c r="Q1224" s="22" t="str">
        <f aca="false">IF(P1224&lt;10,"a) &lt;10s",IF(P1224&lt;60,"b) 10-60s",IF(P1224&lt;600,"c) 1-10min","d) &gt;10min")))</f>
        <v>c) 1-10min</v>
      </c>
      <c r="R1224" s="38" t="n">
        <v>3060.05</v>
      </c>
      <c r="S1224" s="38" t="n">
        <v>3059.94</v>
      </c>
      <c r="T1224" s="22" t="s">
        <v>189</v>
      </c>
      <c r="U1224" s="39" t="n">
        <f aca="false">IF(R1224="","",IF(F1224="BUY",R1224-S1224,S1224-R1224))</f>
        <v>0.110000000000127</v>
      </c>
      <c r="V1224" s="39" t="n">
        <f aca="false">IF(F1224="BUY",S1224-J1224,J1224-S1224)</f>
        <v>0.389999999999873</v>
      </c>
      <c r="W1224" s="6" t="n">
        <v>1.95</v>
      </c>
      <c r="X1224" s="26" t="n">
        <f aca="false">IFERROR(W1224/N1224,0)</f>
        <v>0.065</v>
      </c>
      <c r="Y1224" s="22" t="str">
        <f aca="false">IF(W1224&gt;0,"Win",IF(W1224&lt;0,"Loss","Flat"))</f>
        <v>Win</v>
      </c>
      <c r="Z1224" s="24" t="n">
        <f aca="false">Summary!$C$5+SUM(W$2:W1224)</f>
        <v>3485.8</v>
      </c>
      <c r="AA1224" s="24" t="n">
        <f aca="false">MAX(AA1223,Z1224)</f>
        <v>5000</v>
      </c>
      <c r="AB1224" s="24" t="n">
        <f aca="false">AA1224-Z1224</f>
        <v>1514.2</v>
      </c>
      <c r="AC1224" s="23" t="n">
        <f aca="false">IFERROR(AB1224/AA1224,0)</f>
        <v>0.30284</v>
      </c>
      <c r="AD1224" s="22" t="s">
        <v>1461</v>
      </c>
    </row>
    <row r="1225" customFormat="false" ht="15" hidden="false" customHeight="false" outlineLevel="0" collapsed="false">
      <c r="A1225" s="22" t="n">
        <v>1224</v>
      </c>
      <c r="B1225" s="22" t="s">
        <v>155</v>
      </c>
      <c r="C1225" s="37" t="n">
        <v>45744.3796180556</v>
      </c>
      <c r="D1225" s="22" t="s">
        <v>206</v>
      </c>
      <c r="E1225" s="22" t="n">
        <v>9</v>
      </c>
      <c r="F1225" s="22" t="s">
        <v>181</v>
      </c>
      <c r="G1225" s="22" t="s">
        <v>235</v>
      </c>
      <c r="H1225" s="22" t="n">
        <v>0.05</v>
      </c>
      <c r="I1225" s="38" t="n">
        <v>3081.81</v>
      </c>
      <c r="J1225" s="38" t="n">
        <v>3081.83</v>
      </c>
      <c r="K1225" s="39" t="n">
        <f aca="false">IF(F1225="BUY",J1225-I1225,I1225-J1225)</f>
        <v>0.0199999999999818</v>
      </c>
      <c r="L1225" s="38" t="n">
        <v>3075.81</v>
      </c>
      <c r="M1225" s="39" t="n">
        <f aca="false">ABS(I1225-L1225)</f>
        <v>6</v>
      </c>
      <c r="N1225" s="24" t="n">
        <f aca="false">M1225*H1225*Summary!$C$6</f>
        <v>30</v>
      </c>
      <c r="O1225" s="37" t="n">
        <v>45744.4363541667</v>
      </c>
      <c r="P1225" s="22" t="n">
        <f aca="false">ROUND((O1225-C1225)*86400,0)</f>
        <v>4902</v>
      </c>
      <c r="Q1225" s="22" t="str">
        <f aca="false">IF(P1225&lt;10,"a) &lt;10s",IF(P1225&lt;60,"b) 10-60s",IF(P1225&lt;600,"c) 1-10min","d) &gt;10min")))</f>
        <v>d) &gt;10min</v>
      </c>
      <c r="R1225" s="38" t="n">
        <v>3082.33</v>
      </c>
      <c r="S1225" s="38" t="n">
        <v>3082.29</v>
      </c>
      <c r="T1225" s="22" t="s">
        <v>189</v>
      </c>
      <c r="U1225" s="39" t="n">
        <f aca="false">IF(R1225="","",IF(F1225="BUY",R1225-S1225,S1225-R1225))</f>
        <v>0.0399999999999636</v>
      </c>
      <c r="V1225" s="39" t="n">
        <f aca="false">IF(F1225="BUY",S1225-J1225,J1225-S1225)</f>
        <v>0.460000000000036</v>
      </c>
      <c r="W1225" s="6" t="n">
        <v>2.3</v>
      </c>
      <c r="X1225" s="26" t="n">
        <f aca="false">IFERROR(W1225/N1225,0)</f>
        <v>0.0766666666666667</v>
      </c>
      <c r="Y1225" s="22" t="str">
        <f aca="false">IF(W1225&gt;0,"Win",IF(W1225&lt;0,"Loss","Flat"))</f>
        <v>Win</v>
      </c>
      <c r="Z1225" s="24" t="n">
        <f aca="false">Summary!$C$5+SUM(W$2:W1225)</f>
        <v>3488.1</v>
      </c>
      <c r="AA1225" s="24" t="n">
        <f aca="false">MAX(AA1224,Z1225)</f>
        <v>5000</v>
      </c>
      <c r="AB1225" s="24" t="n">
        <f aca="false">AA1225-Z1225</f>
        <v>1511.9</v>
      </c>
      <c r="AC1225" s="23" t="n">
        <f aca="false">IFERROR(AB1225/AA1225,0)</f>
        <v>0.30238</v>
      </c>
      <c r="AD1225" s="22" t="s">
        <v>1462</v>
      </c>
    </row>
    <row r="1226" customFormat="false" ht="15" hidden="false" customHeight="false" outlineLevel="0" collapsed="false">
      <c r="A1226" s="22" t="n">
        <v>1225</v>
      </c>
      <c r="B1226" s="22" t="s">
        <v>155</v>
      </c>
      <c r="C1226" s="37" t="n">
        <v>45747.3804166667</v>
      </c>
      <c r="D1226" s="22" t="s">
        <v>202</v>
      </c>
      <c r="E1226" s="22" t="n">
        <v>9</v>
      </c>
      <c r="F1226" s="22" t="s">
        <v>181</v>
      </c>
      <c r="G1226" s="22" t="s">
        <v>235</v>
      </c>
      <c r="H1226" s="22" t="n">
        <v>0.05</v>
      </c>
      <c r="I1226" s="38" t="n">
        <v>3119.71</v>
      </c>
      <c r="J1226" s="38" t="n">
        <v>3119.71</v>
      </c>
      <c r="K1226" s="39" t="n">
        <f aca="false">IF(F1226="BUY",J1226-I1226,I1226-J1226)</f>
        <v>0</v>
      </c>
      <c r="L1226" s="38" t="n">
        <v>3113.71</v>
      </c>
      <c r="M1226" s="39" t="n">
        <f aca="false">ABS(I1226-L1226)</f>
        <v>6</v>
      </c>
      <c r="N1226" s="24" t="n">
        <f aca="false">M1226*H1226*Summary!$C$6</f>
        <v>30</v>
      </c>
      <c r="O1226" s="37" t="n">
        <v>45747.3894560185</v>
      </c>
      <c r="P1226" s="22" t="n">
        <f aca="false">ROUND((O1226-C1226)*86400,0)</f>
        <v>781</v>
      </c>
      <c r="Q1226" s="22" t="str">
        <f aca="false">IF(P1226&lt;10,"a) &lt;10s",IF(P1226&lt;60,"b) 10-60s",IF(P1226&lt;600,"c) 1-10min","d) &gt;10min")))</f>
        <v>d) &gt;10min</v>
      </c>
      <c r="R1226" s="38" t="n">
        <v>3120.21</v>
      </c>
      <c r="S1226" s="38" t="n">
        <v>3120.19</v>
      </c>
      <c r="T1226" s="22" t="s">
        <v>189</v>
      </c>
      <c r="U1226" s="39" t="n">
        <f aca="false">IF(R1226="","",IF(F1226="BUY",R1226-S1226,S1226-R1226))</f>
        <v>0.0199999999999818</v>
      </c>
      <c r="V1226" s="39" t="n">
        <f aca="false">IF(F1226="BUY",S1226-J1226,J1226-S1226)</f>
        <v>0.480000000000018</v>
      </c>
      <c r="W1226" s="6" t="n">
        <v>2.4</v>
      </c>
      <c r="X1226" s="26" t="n">
        <f aca="false">IFERROR(W1226/N1226,0)</f>
        <v>0.08</v>
      </c>
      <c r="Y1226" s="22" t="str">
        <f aca="false">IF(W1226&gt;0,"Win",IF(W1226&lt;0,"Loss","Flat"))</f>
        <v>Win</v>
      </c>
      <c r="Z1226" s="24" t="n">
        <f aca="false">Summary!$C$5+SUM(W$2:W1226)</f>
        <v>3490.5</v>
      </c>
      <c r="AA1226" s="24" t="n">
        <f aca="false">MAX(AA1225,Z1226)</f>
        <v>5000</v>
      </c>
      <c r="AB1226" s="24" t="n">
        <f aca="false">AA1226-Z1226</f>
        <v>1509.5</v>
      </c>
      <c r="AC1226" s="23" t="n">
        <f aca="false">IFERROR(AB1226/AA1226,0)</f>
        <v>0.3019</v>
      </c>
      <c r="AD1226" s="22" t="s">
        <v>1463</v>
      </c>
    </row>
    <row r="1227" customFormat="false" ht="15" hidden="false" customHeight="false" outlineLevel="0" collapsed="false">
      <c r="A1227" s="22" t="n">
        <v>1226</v>
      </c>
      <c r="B1227" s="22" t="s">
        <v>156</v>
      </c>
      <c r="C1227" s="37" t="n">
        <v>45748.1597222222</v>
      </c>
      <c r="D1227" s="22" t="s">
        <v>203</v>
      </c>
      <c r="E1227" s="22" t="n">
        <v>3</v>
      </c>
      <c r="F1227" s="22" t="s">
        <v>181</v>
      </c>
      <c r="G1227" s="22" t="s">
        <v>243</v>
      </c>
      <c r="H1227" s="22" t="n">
        <v>0.05</v>
      </c>
      <c r="I1227" s="38" t="n">
        <v>3127.83</v>
      </c>
      <c r="J1227" s="38" t="n">
        <v>3128.11</v>
      </c>
      <c r="K1227" s="39" t="n">
        <f aca="false">IF(F1227="BUY",J1227-I1227,I1227-J1227)</f>
        <v>0.2800000000002</v>
      </c>
      <c r="L1227" s="38" t="n">
        <v>3121.83</v>
      </c>
      <c r="M1227" s="39" t="n">
        <f aca="false">ABS(I1227-L1227)</f>
        <v>6</v>
      </c>
      <c r="N1227" s="24" t="n">
        <f aca="false">M1227*H1227*Summary!$C$6</f>
        <v>30</v>
      </c>
      <c r="O1227" s="37" t="n">
        <v>45748.1702083333</v>
      </c>
      <c r="P1227" s="22" t="n">
        <f aca="false">ROUND((O1227-C1227)*86400,0)</f>
        <v>906</v>
      </c>
      <c r="Q1227" s="22" t="str">
        <f aca="false">IF(P1227&lt;10,"a) &lt;10s",IF(P1227&lt;60,"b) 10-60s",IF(P1227&lt;600,"c) 1-10min","d) &gt;10min")))</f>
        <v>d) &gt;10min</v>
      </c>
      <c r="R1227" s="38" t="n">
        <v>3128.61</v>
      </c>
      <c r="S1227" s="38" t="n">
        <v>3128.57</v>
      </c>
      <c r="T1227" s="22" t="s">
        <v>189</v>
      </c>
      <c r="U1227" s="39" t="n">
        <f aca="false">IF(R1227="","",IF(F1227="BUY",R1227-S1227,S1227-R1227))</f>
        <v>0.0399999999999636</v>
      </c>
      <c r="V1227" s="39" t="n">
        <f aca="false">IF(F1227="BUY",S1227-J1227,J1227-S1227)</f>
        <v>0.460000000000036</v>
      </c>
      <c r="W1227" s="6" t="n">
        <v>2.3</v>
      </c>
      <c r="X1227" s="26" t="n">
        <f aca="false">IFERROR(W1227/N1227,0)</f>
        <v>0.0766666666666667</v>
      </c>
      <c r="Y1227" s="22" t="str">
        <f aca="false">IF(W1227&gt;0,"Win",IF(W1227&lt;0,"Loss","Flat"))</f>
        <v>Win</v>
      </c>
      <c r="Z1227" s="24" t="n">
        <f aca="false">Summary!$C$5+SUM(W$2:W1227)</f>
        <v>3492.8</v>
      </c>
      <c r="AA1227" s="24" t="n">
        <f aca="false">MAX(AA1226,Z1227)</f>
        <v>5000</v>
      </c>
      <c r="AB1227" s="24" t="n">
        <f aca="false">AA1227-Z1227</f>
        <v>1507.2</v>
      </c>
      <c r="AC1227" s="23" t="n">
        <f aca="false">IFERROR(AB1227/AA1227,0)</f>
        <v>0.30144</v>
      </c>
      <c r="AD1227" s="22" t="s">
        <v>1464</v>
      </c>
    </row>
    <row r="1228" customFormat="false" ht="15" hidden="false" customHeight="false" outlineLevel="0" collapsed="false">
      <c r="A1228" s="22" t="n">
        <v>1227</v>
      </c>
      <c r="B1228" s="22" t="s">
        <v>156</v>
      </c>
      <c r="C1228" s="37" t="n">
        <v>45748.3750694445</v>
      </c>
      <c r="D1228" s="22" t="s">
        <v>203</v>
      </c>
      <c r="E1228" s="22" t="n">
        <v>9</v>
      </c>
      <c r="F1228" s="22" t="s">
        <v>182</v>
      </c>
      <c r="G1228" s="22" t="s">
        <v>241</v>
      </c>
      <c r="H1228" s="22" t="n">
        <v>0.05</v>
      </c>
      <c r="I1228" s="38" t="n">
        <v>3130.2</v>
      </c>
      <c r="J1228" s="38" t="n">
        <v>3129.99</v>
      </c>
      <c r="K1228" s="39" t="n">
        <f aca="false">IF(F1228="BUY",J1228-I1228,I1228-J1228)</f>
        <v>0.210000000000036</v>
      </c>
      <c r="L1228" s="38" t="n">
        <v>3136.2</v>
      </c>
      <c r="M1228" s="39" t="n">
        <f aca="false">ABS(I1228-L1228)</f>
        <v>6</v>
      </c>
      <c r="N1228" s="24" t="n">
        <f aca="false">M1228*H1228*Summary!$C$6</f>
        <v>30</v>
      </c>
      <c r="O1228" s="37" t="n">
        <v>45748.3778009259</v>
      </c>
      <c r="P1228" s="22" t="n">
        <f aca="false">ROUND((O1228-C1228)*86400,0)</f>
        <v>236</v>
      </c>
      <c r="Q1228" s="22" t="str">
        <f aca="false">IF(P1228&lt;10,"a) &lt;10s",IF(P1228&lt;60,"b) 10-60s",IF(P1228&lt;600,"c) 1-10min","d) &gt;10min")))</f>
        <v>c) 1-10min</v>
      </c>
      <c r="R1228" s="38" t="n">
        <v>3129.49</v>
      </c>
      <c r="S1228" s="38" t="n">
        <v>3129.51</v>
      </c>
      <c r="T1228" s="22" t="s">
        <v>189</v>
      </c>
      <c r="U1228" s="39" t="n">
        <f aca="false">IF(R1228="","",IF(F1228="BUY",R1228-S1228,S1228-R1228))</f>
        <v>0.0200000000004366</v>
      </c>
      <c r="V1228" s="39" t="n">
        <f aca="false">IF(F1228="BUY",S1228-J1228,J1228-S1228)</f>
        <v>0.479999999999563</v>
      </c>
      <c r="W1228" s="6" t="n">
        <v>2.4</v>
      </c>
      <c r="X1228" s="26" t="n">
        <f aca="false">IFERROR(W1228/N1228,0)</f>
        <v>0.08</v>
      </c>
      <c r="Y1228" s="22" t="str">
        <f aca="false">IF(W1228&gt;0,"Win",IF(W1228&lt;0,"Loss","Flat"))</f>
        <v>Win</v>
      </c>
      <c r="Z1228" s="24" t="n">
        <f aca="false">Summary!$C$5+SUM(W$2:W1228)</f>
        <v>3495.2</v>
      </c>
      <c r="AA1228" s="24" t="n">
        <f aca="false">MAX(AA1227,Z1228)</f>
        <v>5000</v>
      </c>
      <c r="AB1228" s="24" t="n">
        <f aca="false">AA1228-Z1228</f>
        <v>1504.8</v>
      </c>
      <c r="AC1228" s="23" t="n">
        <f aca="false">IFERROR(AB1228/AA1228,0)</f>
        <v>0.30096</v>
      </c>
      <c r="AD1228" s="22" t="s">
        <v>1465</v>
      </c>
    </row>
    <row r="1229" customFormat="false" ht="15" hidden="false" customHeight="false" outlineLevel="0" collapsed="false">
      <c r="A1229" s="22" t="n">
        <v>1228</v>
      </c>
      <c r="B1229" s="22" t="s">
        <v>156</v>
      </c>
      <c r="C1229" s="37" t="n">
        <v>45749.4626157407</v>
      </c>
      <c r="D1229" s="22" t="s">
        <v>204</v>
      </c>
      <c r="E1229" s="22" t="n">
        <v>11</v>
      </c>
      <c r="F1229" s="22" t="s">
        <v>181</v>
      </c>
      <c r="G1229" s="22" t="s">
        <v>235</v>
      </c>
      <c r="H1229" s="22" t="n">
        <v>0.05</v>
      </c>
      <c r="I1229" s="38" t="n">
        <v>3126.51</v>
      </c>
      <c r="J1229" s="38" t="n">
        <v>3126.55</v>
      </c>
      <c r="K1229" s="39" t="n">
        <f aca="false">IF(F1229="BUY",J1229-I1229,I1229-J1229)</f>
        <v>0.0399999999999636</v>
      </c>
      <c r="L1229" s="38" t="n">
        <v>3120.51</v>
      </c>
      <c r="M1229" s="39" t="n">
        <f aca="false">ABS(I1229-L1229)</f>
        <v>6</v>
      </c>
      <c r="N1229" s="24" t="n">
        <f aca="false">M1229*H1229*Summary!$C$6</f>
        <v>30</v>
      </c>
      <c r="O1229" s="37" t="n">
        <v>45749.5223958333</v>
      </c>
      <c r="P1229" s="22" t="n">
        <f aca="false">ROUND((O1229-C1229)*86400,0)</f>
        <v>5165</v>
      </c>
      <c r="Q1229" s="22" t="str">
        <f aca="false">IF(P1229&lt;10,"a) &lt;10s",IF(P1229&lt;60,"b) 10-60s",IF(P1229&lt;600,"c) 1-10min","d) &gt;10min")))</f>
        <v>d) &gt;10min</v>
      </c>
      <c r="R1229" s="38" t="n">
        <v>3127.05</v>
      </c>
      <c r="S1229" s="38" t="n">
        <v>3127.02</v>
      </c>
      <c r="T1229" s="22" t="s">
        <v>189</v>
      </c>
      <c r="U1229" s="39" t="n">
        <f aca="false">IF(R1229="","",IF(F1229="BUY",R1229-S1229,S1229-R1229))</f>
        <v>0.0300000000002001</v>
      </c>
      <c r="V1229" s="39" t="n">
        <f aca="false">IF(F1229="BUY",S1229-J1229,J1229-S1229)</f>
        <v>0.4699999999998</v>
      </c>
      <c r="W1229" s="6" t="n">
        <v>2.35</v>
      </c>
      <c r="X1229" s="26" t="n">
        <f aca="false">IFERROR(W1229/N1229,0)</f>
        <v>0.0783333333333333</v>
      </c>
      <c r="Y1229" s="22" t="str">
        <f aca="false">IF(W1229&gt;0,"Win",IF(W1229&lt;0,"Loss","Flat"))</f>
        <v>Win</v>
      </c>
      <c r="Z1229" s="24" t="n">
        <f aca="false">Summary!$C$5+SUM(W$2:W1229)</f>
        <v>3497.55</v>
      </c>
      <c r="AA1229" s="24" t="n">
        <f aca="false">MAX(AA1228,Z1229)</f>
        <v>5000</v>
      </c>
      <c r="AB1229" s="24" t="n">
        <f aca="false">AA1229-Z1229</f>
        <v>1502.45</v>
      </c>
      <c r="AC1229" s="23" t="n">
        <f aca="false">IFERROR(AB1229/AA1229,0)</f>
        <v>0.30049</v>
      </c>
      <c r="AD1229" s="22" t="s">
        <v>1466</v>
      </c>
    </row>
    <row r="1230" customFormat="false" ht="15" hidden="false" customHeight="false" outlineLevel="0" collapsed="false">
      <c r="A1230" s="22" t="n">
        <v>1229</v>
      </c>
      <c r="B1230" s="22" t="s">
        <v>156</v>
      </c>
      <c r="C1230" s="37" t="n">
        <v>45750.3949768519</v>
      </c>
      <c r="D1230" s="22" t="s">
        <v>205</v>
      </c>
      <c r="E1230" s="22" t="n">
        <v>9</v>
      </c>
      <c r="F1230" s="22" t="s">
        <v>182</v>
      </c>
      <c r="G1230" s="22" t="s">
        <v>241</v>
      </c>
      <c r="H1230" s="22" t="n">
        <v>0.05</v>
      </c>
      <c r="I1230" s="38" t="n">
        <v>3123.79</v>
      </c>
      <c r="J1230" s="38" t="n">
        <v>3123.65</v>
      </c>
      <c r="K1230" s="39" t="n">
        <f aca="false">IF(F1230="BUY",J1230-I1230,I1230-J1230)</f>
        <v>0.139999999999873</v>
      </c>
      <c r="L1230" s="38" t="n">
        <v>3129.79</v>
      </c>
      <c r="M1230" s="39" t="n">
        <f aca="false">ABS(I1230-L1230)</f>
        <v>6</v>
      </c>
      <c r="N1230" s="24" t="n">
        <f aca="false">M1230*H1230*Summary!$C$6</f>
        <v>30</v>
      </c>
      <c r="O1230" s="37" t="n">
        <v>45750.3990046296</v>
      </c>
      <c r="P1230" s="22" t="n">
        <f aca="false">ROUND((O1230-C1230)*86400,0)</f>
        <v>348</v>
      </c>
      <c r="Q1230" s="22" t="str">
        <f aca="false">IF(P1230&lt;10,"a) &lt;10s",IF(P1230&lt;60,"b) 10-60s",IF(P1230&lt;600,"c) 1-10min","d) &gt;10min")))</f>
        <v>c) 1-10min</v>
      </c>
      <c r="R1230" s="38" t="n">
        <v>3123.15</v>
      </c>
      <c r="S1230" s="38" t="n">
        <v>3123.15</v>
      </c>
      <c r="T1230" s="22" t="s">
        <v>189</v>
      </c>
      <c r="U1230" s="39" t="n">
        <f aca="false">IF(R1230="","",IF(F1230="BUY",R1230-S1230,S1230-R1230))</f>
        <v>0</v>
      </c>
      <c r="V1230" s="39" t="n">
        <f aca="false">IF(F1230="BUY",S1230-J1230,J1230-S1230)</f>
        <v>0.5</v>
      </c>
      <c r="W1230" s="6" t="n">
        <v>2.5</v>
      </c>
      <c r="X1230" s="26" t="n">
        <f aca="false">IFERROR(W1230/N1230,0)</f>
        <v>0.0833333333333333</v>
      </c>
      <c r="Y1230" s="22" t="str">
        <f aca="false">IF(W1230&gt;0,"Win",IF(W1230&lt;0,"Loss","Flat"))</f>
        <v>Win</v>
      </c>
      <c r="Z1230" s="24" t="n">
        <f aca="false">Summary!$C$5+SUM(W$2:W1230)</f>
        <v>3500.05</v>
      </c>
      <c r="AA1230" s="24" t="n">
        <f aca="false">MAX(AA1229,Z1230)</f>
        <v>5000</v>
      </c>
      <c r="AB1230" s="24" t="n">
        <f aca="false">AA1230-Z1230</f>
        <v>1499.95</v>
      </c>
      <c r="AC1230" s="23" t="n">
        <f aca="false">IFERROR(AB1230/AA1230,0)</f>
        <v>0.29999</v>
      </c>
      <c r="AD1230" s="22" t="s">
        <v>1467</v>
      </c>
    </row>
    <row r="1231" customFormat="false" ht="15" hidden="false" customHeight="false" outlineLevel="0" collapsed="false">
      <c r="A1231" s="22" t="n">
        <v>1230</v>
      </c>
      <c r="B1231" s="22" t="s">
        <v>156</v>
      </c>
      <c r="C1231" s="37" t="n">
        <v>45750.563275463</v>
      </c>
      <c r="D1231" s="22" t="s">
        <v>205</v>
      </c>
      <c r="E1231" s="22" t="n">
        <v>13</v>
      </c>
      <c r="F1231" s="22" t="s">
        <v>182</v>
      </c>
      <c r="G1231" s="22" t="s">
        <v>237</v>
      </c>
      <c r="H1231" s="22" t="n">
        <v>0.05</v>
      </c>
      <c r="I1231" s="38" t="n">
        <v>3104.18</v>
      </c>
      <c r="J1231" s="38" t="n">
        <v>3104.13</v>
      </c>
      <c r="K1231" s="39" t="n">
        <f aca="false">IF(F1231="BUY",J1231-I1231,I1231-J1231)</f>
        <v>0.0499999999997272</v>
      </c>
      <c r="L1231" s="38" t="n">
        <v>3110.18</v>
      </c>
      <c r="M1231" s="39" t="n">
        <f aca="false">ABS(I1231-L1231)</f>
        <v>6</v>
      </c>
      <c r="N1231" s="24" t="n">
        <f aca="false">M1231*H1231*Summary!$C$6</f>
        <v>30</v>
      </c>
      <c r="O1231" s="37" t="n">
        <v>45750.5671064815</v>
      </c>
      <c r="P1231" s="22" t="n">
        <f aca="false">ROUND((O1231-C1231)*86400,0)</f>
        <v>331</v>
      </c>
      <c r="Q1231" s="22" t="str">
        <f aca="false">IF(P1231&lt;10,"a) &lt;10s",IF(P1231&lt;60,"b) 10-60s",IF(P1231&lt;600,"c) 1-10min","d) &gt;10min")))</f>
        <v>c) 1-10min</v>
      </c>
      <c r="R1231" s="38" t="n">
        <v>3103.63</v>
      </c>
      <c r="S1231" s="38" t="n">
        <v>3103.66</v>
      </c>
      <c r="T1231" s="22" t="s">
        <v>189</v>
      </c>
      <c r="U1231" s="39" t="n">
        <f aca="false">IF(R1231="","",IF(F1231="BUY",R1231-S1231,S1231-R1231))</f>
        <v>0.0299999999997453</v>
      </c>
      <c r="V1231" s="39" t="n">
        <f aca="false">IF(F1231="BUY",S1231-J1231,J1231-S1231)</f>
        <v>0.470000000000255</v>
      </c>
      <c r="W1231" s="6" t="n">
        <v>2.35</v>
      </c>
      <c r="X1231" s="26" t="n">
        <f aca="false">IFERROR(W1231/N1231,0)</f>
        <v>0.0783333333333333</v>
      </c>
      <c r="Y1231" s="22" t="str">
        <f aca="false">IF(W1231&gt;0,"Win",IF(W1231&lt;0,"Loss","Flat"))</f>
        <v>Win</v>
      </c>
      <c r="Z1231" s="24" t="n">
        <f aca="false">Summary!$C$5+SUM(W$2:W1231)</f>
        <v>3502.4</v>
      </c>
      <c r="AA1231" s="24" t="n">
        <f aca="false">MAX(AA1230,Z1231)</f>
        <v>5000</v>
      </c>
      <c r="AB1231" s="24" t="n">
        <f aca="false">AA1231-Z1231</f>
        <v>1497.6</v>
      </c>
      <c r="AC1231" s="23" t="n">
        <f aca="false">IFERROR(AB1231/AA1231,0)</f>
        <v>0.29952</v>
      </c>
      <c r="AD1231" s="22" t="s">
        <v>1468</v>
      </c>
    </row>
    <row r="1232" customFormat="false" ht="15" hidden="false" customHeight="false" outlineLevel="0" collapsed="false">
      <c r="A1232" s="22" t="n">
        <v>1231</v>
      </c>
      <c r="B1232" s="22" t="s">
        <v>156</v>
      </c>
      <c r="C1232" s="37" t="n">
        <v>45751.4183912037</v>
      </c>
      <c r="D1232" s="22" t="s">
        <v>206</v>
      </c>
      <c r="E1232" s="22" t="n">
        <v>10</v>
      </c>
      <c r="F1232" s="22" t="s">
        <v>182</v>
      </c>
      <c r="G1232" s="22" t="s">
        <v>241</v>
      </c>
      <c r="H1232" s="22" t="n">
        <v>0.05</v>
      </c>
      <c r="I1232" s="38" t="n">
        <v>3095.68</v>
      </c>
      <c r="J1232" s="38" t="n">
        <v>3095.61</v>
      </c>
      <c r="K1232" s="39" t="n">
        <f aca="false">IF(F1232="BUY",J1232-I1232,I1232-J1232)</f>
        <v>0.069999999999709</v>
      </c>
      <c r="L1232" s="38" t="n">
        <v>3101.68</v>
      </c>
      <c r="M1232" s="39" t="n">
        <f aca="false">ABS(I1232-L1232)</f>
        <v>6</v>
      </c>
      <c r="N1232" s="24" t="n">
        <f aca="false">M1232*H1232*Summary!$C$6</f>
        <v>30</v>
      </c>
      <c r="O1232" s="37" t="n">
        <v>45751.423287037</v>
      </c>
      <c r="P1232" s="22" t="n">
        <f aca="false">ROUND((O1232-C1232)*86400,0)</f>
        <v>423</v>
      </c>
      <c r="Q1232" s="22" t="str">
        <f aca="false">IF(P1232&lt;10,"a) &lt;10s",IF(P1232&lt;60,"b) 10-60s",IF(P1232&lt;600,"c) 1-10min","d) &gt;10min")))</f>
        <v>c) 1-10min</v>
      </c>
      <c r="R1232" s="38" t="n">
        <v>3101.68</v>
      </c>
      <c r="S1232" s="38" t="n">
        <v>3101.69</v>
      </c>
      <c r="T1232" s="22" t="s">
        <v>188</v>
      </c>
      <c r="U1232" s="39" t="n">
        <f aca="false">IF(R1232="","",IF(F1232="BUY",R1232-S1232,S1232-R1232))</f>
        <v>0.0100000000002183</v>
      </c>
      <c r="V1232" s="39" t="n">
        <f aca="false">IF(F1232="BUY",S1232-J1232,J1232-S1232)</f>
        <v>-6.07999999999993</v>
      </c>
      <c r="W1232" s="6" t="n">
        <v>-30.4</v>
      </c>
      <c r="X1232" s="26" t="n">
        <f aca="false">IFERROR(W1232/N1232,0)</f>
        <v>-1.01333333333333</v>
      </c>
      <c r="Y1232" s="22" t="str">
        <f aca="false">IF(W1232&gt;0,"Win",IF(W1232&lt;0,"Loss","Flat"))</f>
        <v>Loss</v>
      </c>
      <c r="Z1232" s="24" t="n">
        <f aca="false">Summary!$C$5+SUM(W$2:W1232)</f>
        <v>3472</v>
      </c>
      <c r="AA1232" s="24" t="n">
        <f aca="false">MAX(AA1231,Z1232)</f>
        <v>5000</v>
      </c>
      <c r="AB1232" s="24" t="n">
        <f aca="false">AA1232-Z1232</f>
        <v>1528</v>
      </c>
      <c r="AC1232" s="23" t="n">
        <f aca="false">IFERROR(AB1232/AA1232,0)</f>
        <v>0.3056</v>
      </c>
      <c r="AD1232" s="22" t="s">
        <v>1469</v>
      </c>
    </row>
    <row r="1233" customFormat="false" ht="15" hidden="false" customHeight="false" outlineLevel="0" collapsed="false">
      <c r="A1233" s="22" t="n">
        <v>1232</v>
      </c>
      <c r="B1233" s="22" t="s">
        <v>156</v>
      </c>
      <c r="C1233" s="37" t="n">
        <v>45751.7097916667</v>
      </c>
      <c r="D1233" s="22" t="s">
        <v>206</v>
      </c>
      <c r="E1233" s="22" t="n">
        <v>17</v>
      </c>
      <c r="F1233" s="22" t="s">
        <v>182</v>
      </c>
      <c r="G1233" s="22" t="s">
        <v>237</v>
      </c>
      <c r="H1233" s="22" t="n">
        <v>0.05</v>
      </c>
      <c r="I1233" s="38" t="n">
        <v>3053.94</v>
      </c>
      <c r="J1233" s="38" t="n">
        <v>3053.46</v>
      </c>
      <c r="K1233" s="39" t="n">
        <f aca="false">IF(F1233="BUY",J1233-I1233,I1233-J1233)</f>
        <v>0.480000000000018</v>
      </c>
      <c r="L1233" s="38" t="n">
        <v>3059.94</v>
      </c>
      <c r="M1233" s="39" t="n">
        <f aca="false">ABS(I1233-L1233)</f>
        <v>6</v>
      </c>
      <c r="N1233" s="24" t="n">
        <f aca="false">M1233*H1233*Summary!$C$6</f>
        <v>30</v>
      </c>
      <c r="O1233" s="37" t="n">
        <v>45751.7134606482</v>
      </c>
      <c r="P1233" s="22" t="n">
        <f aca="false">ROUND((O1233-C1233)*86400,0)</f>
        <v>317</v>
      </c>
      <c r="Q1233" s="22" t="str">
        <f aca="false">IF(P1233&lt;10,"a) &lt;10s",IF(P1233&lt;60,"b) 10-60s",IF(P1233&lt;600,"c) 1-10min","d) &gt;10min")))</f>
        <v>c) 1-10min</v>
      </c>
      <c r="R1233" s="38" t="n">
        <v>3052.96</v>
      </c>
      <c r="S1233" s="38" t="n">
        <v>3052.97</v>
      </c>
      <c r="T1233" s="22" t="s">
        <v>189</v>
      </c>
      <c r="U1233" s="39" t="n">
        <f aca="false">IF(R1233="","",IF(F1233="BUY",R1233-S1233,S1233-R1233))</f>
        <v>0.00999999999976353</v>
      </c>
      <c r="V1233" s="39" t="n">
        <f aca="false">IF(F1233="BUY",S1233-J1233,J1233-S1233)</f>
        <v>0.490000000000236</v>
      </c>
      <c r="W1233" s="6" t="n">
        <v>2.45</v>
      </c>
      <c r="X1233" s="26" t="n">
        <f aca="false">IFERROR(W1233/N1233,0)</f>
        <v>0.0816666666666667</v>
      </c>
      <c r="Y1233" s="22" t="str">
        <f aca="false">IF(W1233&gt;0,"Win",IF(W1233&lt;0,"Loss","Flat"))</f>
        <v>Win</v>
      </c>
      <c r="Z1233" s="24" t="n">
        <f aca="false">Summary!$C$5+SUM(W$2:W1233)</f>
        <v>3474.45</v>
      </c>
      <c r="AA1233" s="24" t="n">
        <f aca="false">MAX(AA1232,Z1233)</f>
        <v>5000</v>
      </c>
      <c r="AB1233" s="24" t="n">
        <f aca="false">AA1233-Z1233</f>
        <v>1525.55</v>
      </c>
      <c r="AC1233" s="23" t="n">
        <f aca="false">IFERROR(AB1233/AA1233,0)</f>
        <v>0.30511</v>
      </c>
      <c r="AD1233" s="22" t="s">
        <v>1470</v>
      </c>
    </row>
    <row r="1234" customFormat="false" ht="15" hidden="false" customHeight="false" outlineLevel="0" collapsed="false">
      <c r="A1234" s="22" t="n">
        <v>1233</v>
      </c>
      <c r="B1234" s="22" t="s">
        <v>156</v>
      </c>
      <c r="C1234" s="37" t="n">
        <v>45754.393900463</v>
      </c>
      <c r="D1234" s="22" t="s">
        <v>202</v>
      </c>
      <c r="E1234" s="22" t="n">
        <v>9</v>
      </c>
      <c r="F1234" s="22" t="s">
        <v>182</v>
      </c>
      <c r="G1234" s="22" t="s">
        <v>241</v>
      </c>
      <c r="H1234" s="22" t="n">
        <v>0.05</v>
      </c>
      <c r="I1234" s="38" t="n">
        <v>3018.59</v>
      </c>
      <c r="J1234" s="38" t="n">
        <v>3018.54</v>
      </c>
      <c r="K1234" s="39" t="n">
        <f aca="false">IF(F1234="BUY",J1234-I1234,I1234-J1234)</f>
        <v>0.0500000000001819</v>
      </c>
      <c r="L1234" s="38" t="n">
        <v>3024.59</v>
      </c>
      <c r="M1234" s="39" t="n">
        <f aca="false">ABS(I1234-L1234)</f>
        <v>6</v>
      </c>
      <c r="N1234" s="24" t="n">
        <f aca="false">M1234*H1234*Summary!$C$6</f>
        <v>30</v>
      </c>
      <c r="O1234" s="37" t="n">
        <v>45754.3987268519</v>
      </c>
      <c r="P1234" s="22" t="n">
        <f aca="false">ROUND((O1234-C1234)*86400,0)</f>
        <v>417</v>
      </c>
      <c r="Q1234" s="22" t="str">
        <f aca="false">IF(P1234&lt;10,"a) &lt;10s",IF(P1234&lt;60,"b) 10-60s",IF(P1234&lt;600,"c) 1-10min","d) &gt;10min")))</f>
        <v>c) 1-10min</v>
      </c>
      <c r="R1234" s="38" t="n">
        <v>3024.59</v>
      </c>
      <c r="S1234" s="38" t="n">
        <v>3024.78</v>
      </c>
      <c r="T1234" s="22" t="s">
        <v>188</v>
      </c>
      <c r="U1234" s="39" t="n">
        <f aca="false">IF(R1234="","",IF(F1234="BUY",R1234-S1234,S1234-R1234))</f>
        <v>0.190000000000055</v>
      </c>
      <c r="V1234" s="39" t="n">
        <f aca="false">IF(F1234="BUY",S1234-J1234,J1234-S1234)</f>
        <v>-6.24000000000024</v>
      </c>
      <c r="W1234" s="6" t="n">
        <v>-31.2</v>
      </c>
      <c r="X1234" s="26" t="n">
        <f aca="false">IFERROR(W1234/N1234,0)</f>
        <v>-1.04</v>
      </c>
      <c r="Y1234" s="22" t="str">
        <f aca="false">IF(W1234&gt;0,"Win",IF(W1234&lt;0,"Loss","Flat"))</f>
        <v>Loss</v>
      </c>
      <c r="Z1234" s="24" t="n">
        <f aca="false">Summary!$C$5+SUM(W$2:W1234)</f>
        <v>3443.25</v>
      </c>
      <c r="AA1234" s="24" t="n">
        <f aca="false">MAX(AA1233,Z1234)</f>
        <v>5000</v>
      </c>
      <c r="AB1234" s="24" t="n">
        <f aca="false">AA1234-Z1234</f>
        <v>1556.75</v>
      </c>
      <c r="AC1234" s="23" t="n">
        <f aca="false">IFERROR(AB1234/AA1234,0)</f>
        <v>0.31135</v>
      </c>
      <c r="AD1234" s="22" t="s">
        <v>1471</v>
      </c>
    </row>
    <row r="1235" customFormat="false" ht="15" hidden="false" customHeight="false" outlineLevel="0" collapsed="false">
      <c r="A1235" s="22" t="n">
        <v>1234</v>
      </c>
      <c r="B1235" s="22" t="s">
        <v>156</v>
      </c>
      <c r="C1235" s="37" t="n">
        <v>45755.3873842593</v>
      </c>
      <c r="D1235" s="22" t="s">
        <v>203</v>
      </c>
      <c r="E1235" s="22" t="n">
        <v>9</v>
      </c>
      <c r="F1235" s="22" t="s">
        <v>181</v>
      </c>
      <c r="G1235" s="22" t="s">
        <v>235</v>
      </c>
      <c r="H1235" s="22" t="n">
        <v>0.05</v>
      </c>
      <c r="I1235" s="38" t="n">
        <v>3008.05</v>
      </c>
      <c r="J1235" s="38" t="n">
        <v>3008.06</v>
      </c>
      <c r="K1235" s="39" t="n">
        <f aca="false">IF(F1235="BUY",J1235-I1235,I1235-J1235)</f>
        <v>0.00999999999976353</v>
      </c>
      <c r="L1235" s="38" t="n">
        <v>3002.05</v>
      </c>
      <c r="M1235" s="39" t="n">
        <f aca="false">ABS(I1235-L1235)</f>
        <v>6</v>
      </c>
      <c r="N1235" s="24" t="n">
        <f aca="false">M1235*H1235*Summary!$C$6</f>
        <v>30</v>
      </c>
      <c r="O1235" s="37" t="n">
        <v>45755.3900694445</v>
      </c>
      <c r="P1235" s="22" t="n">
        <f aca="false">ROUND((O1235-C1235)*86400,0)</f>
        <v>232</v>
      </c>
      <c r="Q1235" s="22" t="str">
        <f aca="false">IF(P1235&lt;10,"a) &lt;10s",IF(P1235&lt;60,"b) 10-60s",IF(P1235&lt;600,"c) 1-10min","d) &gt;10min")))</f>
        <v>c) 1-10min</v>
      </c>
      <c r="R1235" s="38" t="n">
        <v>3008.56</v>
      </c>
      <c r="S1235" s="38" t="n">
        <v>3008.43</v>
      </c>
      <c r="T1235" s="22" t="s">
        <v>189</v>
      </c>
      <c r="U1235" s="39" t="n">
        <f aca="false">IF(R1235="","",IF(F1235="BUY",R1235-S1235,S1235-R1235))</f>
        <v>0.130000000000109</v>
      </c>
      <c r="V1235" s="39" t="n">
        <f aca="false">IF(F1235="BUY",S1235-J1235,J1235-S1235)</f>
        <v>0.369999999999891</v>
      </c>
      <c r="W1235" s="6" t="n">
        <v>1.85</v>
      </c>
      <c r="X1235" s="26" t="n">
        <f aca="false">IFERROR(W1235/N1235,0)</f>
        <v>0.0616666666666667</v>
      </c>
      <c r="Y1235" s="22" t="str">
        <f aca="false">IF(W1235&gt;0,"Win",IF(W1235&lt;0,"Loss","Flat"))</f>
        <v>Win</v>
      </c>
      <c r="Z1235" s="24" t="n">
        <f aca="false">Summary!$C$5+SUM(W$2:W1235)</f>
        <v>3445.1</v>
      </c>
      <c r="AA1235" s="24" t="n">
        <f aca="false">MAX(AA1234,Z1235)</f>
        <v>5000</v>
      </c>
      <c r="AB1235" s="24" t="n">
        <f aca="false">AA1235-Z1235</f>
        <v>1554.9</v>
      </c>
      <c r="AC1235" s="23" t="n">
        <f aca="false">IFERROR(AB1235/AA1235,0)</f>
        <v>0.31098</v>
      </c>
      <c r="AD1235" s="22" t="s">
        <v>1472</v>
      </c>
    </row>
    <row r="1236" customFormat="false" ht="15" hidden="false" customHeight="false" outlineLevel="0" collapsed="false">
      <c r="A1236" s="22" t="n">
        <v>1235</v>
      </c>
      <c r="B1236" s="22" t="s">
        <v>156</v>
      </c>
      <c r="C1236" s="37" t="n">
        <v>45756.1081365741</v>
      </c>
      <c r="D1236" s="22" t="s">
        <v>204</v>
      </c>
      <c r="E1236" s="22" t="n">
        <v>2</v>
      </c>
      <c r="F1236" s="22" t="s">
        <v>182</v>
      </c>
      <c r="G1236" s="22" t="s">
        <v>237</v>
      </c>
      <c r="H1236" s="22" t="n">
        <v>0.05</v>
      </c>
      <c r="I1236" s="38" t="n">
        <v>2974.57</v>
      </c>
      <c r="J1236" s="38" t="n">
        <v>2974.16</v>
      </c>
      <c r="K1236" s="39" t="n">
        <f aca="false">IF(F1236="BUY",J1236-I1236,I1236-J1236)</f>
        <v>0.410000000000309</v>
      </c>
      <c r="L1236" s="38" t="n">
        <v>2980.57</v>
      </c>
      <c r="M1236" s="39" t="n">
        <f aca="false">ABS(I1236-L1236)</f>
        <v>6</v>
      </c>
      <c r="N1236" s="24" t="n">
        <f aca="false">M1236*H1236*Summary!$C$6</f>
        <v>30</v>
      </c>
      <c r="O1236" s="37" t="n">
        <v>45756.1094097222</v>
      </c>
      <c r="P1236" s="22" t="n">
        <f aca="false">ROUND((O1236-C1236)*86400,0)</f>
        <v>110</v>
      </c>
      <c r="Q1236" s="22" t="str">
        <f aca="false">IF(P1236&lt;10,"a) &lt;10s",IF(P1236&lt;60,"b) 10-60s",IF(P1236&lt;600,"c) 1-10min","d) &gt;10min")))</f>
        <v>c) 1-10min</v>
      </c>
      <c r="R1236" s="38" t="n">
        <v>2973.66</v>
      </c>
      <c r="S1236" s="38" t="n">
        <v>2973.69</v>
      </c>
      <c r="T1236" s="22" t="s">
        <v>189</v>
      </c>
      <c r="U1236" s="39" t="n">
        <f aca="false">IF(R1236="","",IF(F1236="BUY",R1236-S1236,S1236-R1236))</f>
        <v>0.0300000000002001</v>
      </c>
      <c r="V1236" s="39" t="n">
        <f aca="false">IF(F1236="BUY",S1236-J1236,J1236-S1236)</f>
        <v>0.4699999999998</v>
      </c>
      <c r="W1236" s="6" t="n">
        <v>2.35</v>
      </c>
      <c r="X1236" s="26" t="n">
        <f aca="false">IFERROR(W1236/N1236,0)</f>
        <v>0.0783333333333333</v>
      </c>
      <c r="Y1236" s="22" t="str">
        <f aca="false">IF(W1236&gt;0,"Win",IF(W1236&lt;0,"Loss","Flat"))</f>
        <v>Win</v>
      </c>
      <c r="Z1236" s="24" t="n">
        <f aca="false">Summary!$C$5+SUM(W$2:W1236)</f>
        <v>3447.45</v>
      </c>
      <c r="AA1236" s="24" t="n">
        <f aca="false">MAX(AA1235,Z1236)</f>
        <v>5000</v>
      </c>
      <c r="AB1236" s="24" t="n">
        <f aca="false">AA1236-Z1236</f>
        <v>1552.55</v>
      </c>
      <c r="AC1236" s="23" t="n">
        <f aca="false">IFERROR(AB1236/AA1236,0)</f>
        <v>0.31051</v>
      </c>
      <c r="AD1236" s="22" t="s">
        <v>1473</v>
      </c>
    </row>
    <row r="1237" customFormat="false" ht="15" hidden="false" customHeight="false" outlineLevel="0" collapsed="false">
      <c r="A1237" s="22" t="n">
        <v>1236</v>
      </c>
      <c r="B1237" s="22" t="s">
        <v>156</v>
      </c>
      <c r="C1237" s="37" t="n">
        <v>45756.3787615741</v>
      </c>
      <c r="D1237" s="22" t="s">
        <v>204</v>
      </c>
      <c r="E1237" s="22" t="n">
        <v>9</v>
      </c>
      <c r="F1237" s="22" t="s">
        <v>181</v>
      </c>
      <c r="G1237" s="22" t="s">
        <v>235</v>
      </c>
      <c r="H1237" s="22" t="n">
        <v>0.05</v>
      </c>
      <c r="I1237" s="38" t="n">
        <v>3020.37</v>
      </c>
      <c r="J1237" s="38" t="n">
        <v>3020.39</v>
      </c>
      <c r="K1237" s="39" t="n">
        <f aca="false">IF(F1237="BUY",J1237-I1237,I1237-J1237)</f>
        <v>0.0199999999999818</v>
      </c>
      <c r="L1237" s="38" t="n">
        <v>3014.37</v>
      </c>
      <c r="M1237" s="39" t="n">
        <f aca="false">ABS(I1237-L1237)</f>
        <v>6</v>
      </c>
      <c r="N1237" s="24" t="n">
        <f aca="false">M1237*H1237*Summary!$C$6</f>
        <v>30</v>
      </c>
      <c r="O1237" s="37" t="n">
        <v>45756.3807523148</v>
      </c>
      <c r="P1237" s="22" t="n">
        <f aca="false">ROUND((O1237-C1237)*86400,0)</f>
        <v>172</v>
      </c>
      <c r="Q1237" s="22" t="str">
        <f aca="false">IF(P1237&lt;10,"a) &lt;10s",IF(P1237&lt;60,"b) 10-60s",IF(P1237&lt;600,"c) 1-10min","d) &gt;10min")))</f>
        <v>c) 1-10min</v>
      </c>
      <c r="R1237" s="38" t="n">
        <v>3020.89</v>
      </c>
      <c r="S1237" s="38" t="n">
        <v>3020.66</v>
      </c>
      <c r="T1237" s="22" t="s">
        <v>189</v>
      </c>
      <c r="U1237" s="39" t="n">
        <f aca="false">IF(R1237="","",IF(F1237="BUY",R1237-S1237,S1237-R1237))</f>
        <v>0.230000000000018</v>
      </c>
      <c r="V1237" s="39" t="n">
        <f aca="false">IF(F1237="BUY",S1237-J1237,J1237-S1237)</f>
        <v>0.269999999999982</v>
      </c>
      <c r="W1237" s="6" t="n">
        <v>1.35</v>
      </c>
      <c r="X1237" s="26" t="n">
        <f aca="false">IFERROR(W1237/N1237,0)</f>
        <v>0.045</v>
      </c>
      <c r="Y1237" s="22" t="str">
        <f aca="false">IF(W1237&gt;0,"Win",IF(W1237&lt;0,"Loss","Flat"))</f>
        <v>Win</v>
      </c>
      <c r="Z1237" s="24" t="n">
        <f aca="false">Summary!$C$5+SUM(W$2:W1237)</f>
        <v>3448.8</v>
      </c>
      <c r="AA1237" s="24" t="n">
        <f aca="false">MAX(AA1236,Z1237)</f>
        <v>5000</v>
      </c>
      <c r="AB1237" s="24" t="n">
        <f aca="false">AA1237-Z1237</f>
        <v>1551.2</v>
      </c>
      <c r="AC1237" s="23" t="n">
        <f aca="false">IFERROR(AB1237/AA1237,0)</f>
        <v>0.31024</v>
      </c>
      <c r="AD1237" s="22" t="s">
        <v>1474</v>
      </c>
    </row>
    <row r="1238" customFormat="false" ht="15" hidden="false" customHeight="false" outlineLevel="0" collapsed="false">
      <c r="A1238" s="22" t="n">
        <v>1237</v>
      </c>
      <c r="B1238" s="22" t="s">
        <v>156</v>
      </c>
      <c r="C1238" s="37" t="n">
        <v>45757.147337963</v>
      </c>
      <c r="D1238" s="22" t="s">
        <v>205</v>
      </c>
      <c r="E1238" s="22" t="n">
        <v>3</v>
      </c>
      <c r="F1238" s="22" t="s">
        <v>181</v>
      </c>
      <c r="G1238" s="22" t="s">
        <v>243</v>
      </c>
      <c r="H1238" s="22" t="n">
        <v>0.05</v>
      </c>
      <c r="I1238" s="38" t="n">
        <v>3099.47</v>
      </c>
      <c r="J1238" s="38" t="n">
        <v>3099.77</v>
      </c>
      <c r="K1238" s="39" t="n">
        <f aca="false">IF(F1238="BUY",J1238-I1238,I1238-J1238)</f>
        <v>0.300000000000182</v>
      </c>
      <c r="L1238" s="38" t="n">
        <v>3093.47</v>
      </c>
      <c r="M1238" s="39" t="n">
        <f aca="false">ABS(I1238-L1238)</f>
        <v>6</v>
      </c>
      <c r="N1238" s="24" t="n">
        <f aca="false">M1238*H1238*Summary!$C$6</f>
        <v>30</v>
      </c>
      <c r="O1238" s="37" t="n">
        <v>45757.157037037</v>
      </c>
      <c r="P1238" s="22" t="n">
        <f aca="false">ROUND((O1238-C1238)*86400,0)</f>
        <v>838</v>
      </c>
      <c r="Q1238" s="22" t="str">
        <f aca="false">IF(P1238&lt;10,"a) &lt;10s",IF(P1238&lt;60,"b) 10-60s",IF(P1238&lt;600,"c) 1-10min","d) &gt;10min")))</f>
        <v>d) &gt;10min</v>
      </c>
      <c r="R1238" s="38" t="n">
        <v>3093.47</v>
      </c>
      <c r="S1238" s="38" t="n">
        <v>3093.32</v>
      </c>
      <c r="T1238" s="22" t="s">
        <v>188</v>
      </c>
      <c r="U1238" s="39" t="n">
        <f aca="false">IF(R1238="","",IF(F1238="BUY",R1238-S1238,S1238-R1238))</f>
        <v>0.149999999999636</v>
      </c>
      <c r="V1238" s="39" t="n">
        <f aca="false">IF(F1238="BUY",S1238-J1238,J1238-S1238)</f>
        <v>-6.44999999999982</v>
      </c>
      <c r="W1238" s="6" t="n">
        <v>-32.25</v>
      </c>
      <c r="X1238" s="26" t="n">
        <f aca="false">IFERROR(W1238/N1238,0)</f>
        <v>-1.075</v>
      </c>
      <c r="Y1238" s="22" t="str">
        <f aca="false">IF(W1238&gt;0,"Win",IF(W1238&lt;0,"Loss","Flat"))</f>
        <v>Loss</v>
      </c>
      <c r="Z1238" s="24" t="n">
        <f aca="false">Summary!$C$5+SUM(W$2:W1238)</f>
        <v>3416.55</v>
      </c>
      <c r="AA1238" s="24" t="n">
        <f aca="false">MAX(AA1237,Z1238)</f>
        <v>5000</v>
      </c>
      <c r="AB1238" s="24" t="n">
        <f aca="false">AA1238-Z1238</f>
        <v>1583.45</v>
      </c>
      <c r="AC1238" s="23" t="n">
        <f aca="false">IFERROR(AB1238/AA1238,0)</f>
        <v>0.31669</v>
      </c>
      <c r="AD1238" s="22" t="s">
        <v>1475</v>
      </c>
    </row>
    <row r="1239" customFormat="false" ht="15" hidden="false" customHeight="false" outlineLevel="0" collapsed="false">
      <c r="A1239" s="22" t="n">
        <v>1238</v>
      </c>
      <c r="B1239" s="22" t="s">
        <v>156</v>
      </c>
      <c r="C1239" s="37" t="n">
        <v>45757.4379861111</v>
      </c>
      <c r="D1239" s="22" t="s">
        <v>205</v>
      </c>
      <c r="E1239" s="22" t="n">
        <v>10</v>
      </c>
      <c r="F1239" s="22" t="s">
        <v>182</v>
      </c>
      <c r="G1239" s="22" t="s">
        <v>241</v>
      </c>
      <c r="H1239" s="22" t="n">
        <v>0.05</v>
      </c>
      <c r="I1239" s="38" t="n">
        <v>3112.5</v>
      </c>
      <c r="J1239" s="38" t="n">
        <v>3112.5</v>
      </c>
      <c r="K1239" s="39" t="n">
        <f aca="false">IF(F1239="BUY",J1239-I1239,I1239-J1239)</f>
        <v>0</v>
      </c>
      <c r="L1239" s="38" t="n">
        <v>3118.5</v>
      </c>
      <c r="M1239" s="39" t="n">
        <f aca="false">ABS(I1239-L1239)</f>
        <v>6</v>
      </c>
      <c r="N1239" s="24" t="n">
        <f aca="false">M1239*H1239*Summary!$C$6</f>
        <v>30</v>
      </c>
      <c r="O1239" s="37" t="n">
        <v>45757.442349537</v>
      </c>
      <c r="P1239" s="22" t="n">
        <f aca="false">ROUND((O1239-C1239)*86400,0)</f>
        <v>377</v>
      </c>
      <c r="Q1239" s="22" t="str">
        <f aca="false">IF(P1239&lt;10,"a) &lt;10s",IF(P1239&lt;60,"b) 10-60s",IF(P1239&lt;600,"c) 1-10min","d) &gt;10min")))</f>
        <v>c) 1-10min</v>
      </c>
      <c r="R1239" s="38" t="n">
        <v>3112</v>
      </c>
      <c r="S1239" s="38" t="n">
        <v>3112.24</v>
      </c>
      <c r="T1239" s="22" t="s">
        <v>189</v>
      </c>
      <c r="U1239" s="39" t="n">
        <f aca="false">IF(R1239="","",IF(F1239="BUY",R1239-S1239,S1239-R1239))</f>
        <v>0.239999999999782</v>
      </c>
      <c r="V1239" s="39" t="n">
        <f aca="false">IF(F1239="BUY",S1239-J1239,J1239-S1239)</f>
        <v>0.260000000000218</v>
      </c>
      <c r="W1239" s="6" t="n">
        <v>1.3</v>
      </c>
      <c r="X1239" s="26" t="n">
        <f aca="false">IFERROR(W1239/N1239,0)</f>
        <v>0.0433333333333333</v>
      </c>
      <c r="Y1239" s="22" t="str">
        <f aca="false">IF(W1239&gt;0,"Win",IF(W1239&lt;0,"Loss","Flat"))</f>
        <v>Win</v>
      </c>
      <c r="Z1239" s="24" t="n">
        <f aca="false">Summary!$C$5+SUM(W$2:W1239)</f>
        <v>3417.85</v>
      </c>
      <c r="AA1239" s="24" t="n">
        <f aca="false">MAX(AA1238,Z1239)</f>
        <v>5000</v>
      </c>
      <c r="AB1239" s="24" t="n">
        <f aca="false">AA1239-Z1239</f>
        <v>1582.15</v>
      </c>
      <c r="AC1239" s="23" t="n">
        <f aca="false">IFERROR(AB1239/AA1239,0)</f>
        <v>0.31643</v>
      </c>
      <c r="AD1239" s="22" t="s">
        <v>1476</v>
      </c>
    </row>
    <row r="1240" customFormat="false" ht="15" hidden="false" customHeight="false" outlineLevel="0" collapsed="false">
      <c r="A1240" s="22" t="n">
        <v>1239</v>
      </c>
      <c r="B1240" s="22" t="s">
        <v>156</v>
      </c>
      <c r="C1240" s="37" t="n">
        <v>45758.4678240741</v>
      </c>
      <c r="D1240" s="22" t="s">
        <v>206</v>
      </c>
      <c r="E1240" s="22" t="n">
        <v>11</v>
      </c>
      <c r="F1240" s="22" t="s">
        <v>181</v>
      </c>
      <c r="G1240" s="22" t="s">
        <v>235</v>
      </c>
      <c r="H1240" s="22" t="n">
        <v>0.05</v>
      </c>
      <c r="I1240" s="38" t="n">
        <v>3219.01</v>
      </c>
      <c r="J1240" s="38" t="n">
        <v>3219.01</v>
      </c>
      <c r="K1240" s="39" t="n">
        <f aca="false">IF(F1240="BUY",J1240-I1240,I1240-J1240)</f>
        <v>0</v>
      </c>
      <c r="L1240" s="38" t="n">
        <v>3213.01</v>
      </c>
      <c r="M1240" s="39" t="n">
        <f aca="false">ABS(I1240-L1240)</f>
        <v>6</v>
      </c>
      <c r="N1240" s="24" t="n">
        <f aca="false">M1240*H1240*Summary!$C$6</f>
        <v>30</v>
      </c>
      <c r="O1240" s="37" t="n">
        <v>45758.4768402778</v>
      </c>
      <c r="P1240" s="22" t="n">
        <f aca="false">ROUND((O1240-C1240)*86400,0)</f>
        <v>779</v>
      </c>
      <c r="Q1240" s="22" t="str">
        <f aca="false">IF(P1240&lt;10,"a) &lt;10s",IF(P1240&lt;60,"b) 10-60s",IF(P1240&lt;600,"c) 1-10min","d) &gt;10min")))</f>
        <v>d) &gt;10min</v>
      </c>
      <c r="R1240" s="38" t="n">
        <v>3219.51</v>
      </c>
      <c r="S1240" s="38" t="n">
        <v>3219.4</v>
      </c>
      <c r="T1240" s="22" t="s">
        <v>189</v>
      </c>
      <c r="U1240" s="39" t="n">
        <f aca="false">IF(R1240="","",IF(F1240="BUY",R1240-S1240,S1240-R1240))</f>
        <v>0.110000000000127</v>
      </c>
      <c r="V1240" s="39" t="n">
        <f aca="false">IF(F1240="BUY",S1240-J1240,J1240-S1240)</f>
        <v>0.389999999999873</v>
      </c>
      <c r="W1240" s="6" t="n">
        <v>1.95</v>
      </c>
      <c r="X1240" s="26" t="n">
        <f aca="false">IFERROR(W1240/N1240,0)</f>
        <v>0.065</v>
      </c>
      <c r="Y1240" s="22" t="str">
        <f aca="false">IF(W1240&gt;0,"Win",IF(W1240&lt;0,"Loss","Flat"))</f>
        <v>Win</v>
      </c>
      <c r="Z1240" s="24" t="n">
        <f aca="false">Summary!$C$5+SUM(W$2:W1240)</f>
        <v>3419.8</v>
      </c>
      <c r="AA1240" s="24" t="n">
        <f aca="false">MAX(AA1239,Z1240)</f>
        <v>5000</v>
      </c>
      <c r="AB1240" s="24" t="n">
        <f aca="false">AA1240-Z1240</f>
        <v>1580.2</v>
      </c>
      <c r="AC1240" s="23" t="n">
        <f aca="false">IFERROR(AB1240/AA1240,0)</f>
        <v>0.31604</v>
      </c>
      <c r="AD1240" s="22" t="s">
        <v>1477</v>
      </c>
    </row>
    <row r="1241" customFormat="false" ht="15" hidden="false" customHeight="false" outlineLevel="0" collapsed="false">
      <c r="A1241" s="22" t="n">
        <v>1240</v>
      </c>
      <c r="B1241" s="22" t="s">
        <v>156</v>
      </c>
      <c r="C1241" s="37" t="n">
        <v>45761.2119791667</v>
      </c>
      <c r="D1241" s="22" t="s">
        <v>202</v>
      </c>
      <c r="E1241" s="22" t="n">
        <v>5</v>
      </c>
      <c r="F1241" s="22" t="s">
        <v>181</v>
      </c>
      <c r="G1241" s="22" t="s">
        <v>243</v>
      </c>
      <c r="H1241" s="22" t="n">
        <v>0.05</v>
      </c>
      <c r="I1241" s="38" t="n">
        <v>3245.03</v>
      </c>
      <c r="J1241" s="38" t="n">
        <v>3245.07</v>
      </c>
      <c r="K1241" s="39" t="n">
        <f aca="false">IF(F1241="BUY",J1241-I1241,I1241-J1241)</f>
        <v>0.0399999999999636</v>
      </c>
      <c r="L1241" s="38" t="n">
        <v>3239.03</v>
      </c>
      <c r="M1241" s="39" t="n">
        <f aca="false">ABS(I1241-L1241)</f>
        <v>6</v>
      </c>
      <c r="N1241" s="24" t="n">
        <f aca="false">M1241*H1241*Summary!$C$6</f>
        <v>30</v>
      </c>
      <c r="O1241" s="37" t="n">
        <v>45761.2207523148</v>
      </c>
      <c r="P1241" s="22" t="n">
        <f aca="false">ROUND((O1241-C1241)*86400,0)</f>
        <v>758</v>
      </c>
      <c r="Q1241" s="22" t="str">
        <f aca="false">IF(P1241&lt;10,"a) &lt;10s",IF(P1241&lt;60,"b) 10-60s",IF(P1241&lt;600,"c) 1-10min","d) &gt;10min")))</f>
        <v>d) &gt;10min</v>
      </c>
      <c r="R1241" s="38" t="n">
        <v>3239.03</v>
      </c>
      <c r="S1241" s="38" t="n">
        <v>3238.89</v>
      </c>
      <c r="T1241" s="22" t="s">
        <v>188</v>
      </c>
      <c r="U1241" s="39" t="n">
        <f aca="false">IF(R1241="","",IF(F1241="BUY",R1241-S1241,S1241-R1241))</f>
        <v>0.140000000000327</v>
      </c>
      <c r="V1241" s="39" t="n">
        <f aca="false">IF(F1241="BUY",S1241-J1241,J1241-S1241)</f>
        <v>-6.18000000000029</v>
      </c>
      <c r="W1241" s="6" t="n">
        <v>-30.9</v>
      </c>
      <c r="X1241" s="26" t="n">
        <f aca="false">IFERROR(W1241/N1241,0)</f>
        <v>-1.03</v>
      </c>
      <c r="Y1241" s="22" t="str">
        <f aca="false">IF(W1241&gt;0,"Win",IF(W1241&lt;0,"Loss","Flat"))</f>
        <v>Loss</v>
      </c>
      <c r="Z1241" s="24" t="n">
        <f aca="false">Summary!$C$5+SUM(W$2:W1241)</f>
        <v>3388.9</v>
      </c>
      <c r="AA1241" s="24" t="n">
        <f aca="false">MAX(AA1240,Z1241)</f>
        <v>5000</v>
      </c>
      <c r="AB1241" s="24" t="n">
        <f aca="false">AA1241-Z1241</f>
        <v>1611.1</v>
      </c>
      <c r="AC1241" s="23" t="n">
        <f aca="false">IFERROR(AB1241/AA1241,0)</f>
        <v>0.32222</v>
      </c>
      <c r="AD1241" s="22" t="s">
        <v>1478</v>
      </c>
    </row>
    <row r="1242" customFormat="false" ht="15" hidden="false" customHeight="false" outlineLevel="0" collapsed="false">
      <c r="A1242" s="22" t="n">
        <v>1241</v>
      </c>
      <c r="B1242" s="22" t="s">
        <v>156</v>
      </c>
      <c r="C1242" s="37" t="n">
        <v>45761.3751273148</v>
      </c>
      <c r="D1242" s="22" t="s">
        <v>202</v>
      </c>
      <c r="E1242" s="22" t="n">
        <v>9</v>
      </c>
      <c r="F1242" s="22" t="s">
        <v>181</v>
      </c>
      <c r="G1242" s="22" t="s">
        <v>235</v>
      </c>
      <c r="H1242" s="22" t="n">
        <v>0.05</v>
      </c>
      <c r="I1242" s="38" t="n">
        <v>3235.8</v>
      </c>
      <c r="J1242" s="38" t="n">
        <v>3235.85</v>
      </c>
      <c r="K1242" s="39" t="n">
        <f aca="false">IF(F1242="BUY",J1242-I1242,I1242-J1242)</f>
        <v>0.0499999999997272</v>
      </c>
      <c r="L1242" s="38" t="n">
        <v>3229.8</v>
      </c>
      <c r="M1242" s="39" t="n">
        <f aca="false">ABS(I1242-L1242)</f>
        <v>6</v>
      </c>
      <c r="N1242" s="24" t="n">
        <f aca="false">M1242*H1242*Summary!$C$6</f>
        <v>30</v>
      </c>
      <c r="O1242" s="37" t="n">
        <v>45761.3775462963</v>
      </c>
      <c r="P1242" s="22" t="n">
        <f aca="false">ROUND((O1242-C1242)*86400,0)</f>
        <v>209</v>
      </c>
      <c r="Q1242" s="22" t="str">
        <f aca="false">IF(P1242&lt;10,"a) &lt;10s",IF(P1242&lt;60,"b) 10-60s",IF(P1242&lt;600,"c) 1-10min","d) &gt;10min")))</f>
        <v>c) 1-10min</v>
      </c>
      <c r="R1242" s="38" t="n">
        <v>3229.8</v>
      </c>
      <c r="S1242" s="38" t="n">
        <v>3229.77</v>
      </c>
      <c r="T1242" s="22" t="s">
        <v>188</v>
      </c>
      <c r="U1242" s="39" t="n">
        <f aca="false">IF(R1242="","",IF(F1242="BUY",R1242-S1242,S1242-R1242))</f>
        <v>0.0300000000002001</v>
      </c>
      <c r="V1242" s="39" t="n">
        <f aca="false">IF(F1242="BUY",S1242-J1242,J1242-S1242)</f>
        <v>-6.07999999999993</v>
      </c>
      <c r="W1242" s="6" t="n">
        <v>-30.4</v>
      </c>
      <c r="X1242" s="26" t="n">
        <f aca="false">IFERROR(W1242/N1242,0)</f>
        <v>-1.01333333333333</v>
      </c>
      <c r="Y1242" s="22" t="str">
        <f aca="false">IF(W1242&gt;0,"Win",IF(W1242&lt;0,"Loss","Flat"))</f>
        <v>Loss</v>
      </c>
      <c r="Z1242" s="24" t="n">
        <f aca="false">Summary!$C$5+SUM(W$2:W1242)</f>
        <v>3358.5</v>
      </c>
      <c r="AA1242" s="24" t="n">
        <f aca="false">MAX(AA1241,Z1242)</f>
        <v>5000</v>
      </c>
      <c r="AB1242" s="24" t="n">
        <f aca="false">AA1242-Z1242</f>
        <v>1641.5</v>
      </c>
      <c r="AC1242" s="23" t="n">
        <f aca="false">IFERROR(AB1242/AA1242,0)</f>
        <v>0.3283</v>
      </c>
      <c r="AD1242" s="22" t="s">
        <v>1479</v>
      </c>
    </row>
    <row r="1243" customFormat="false" ht="15" hidden="false" customHeight="false" outlineLevel="0" collapsed="false">
      <c r="A1243" s="22" t="n">
        <v>1242</v>
      </c>
      <c r="B1243" s="22" t="s">
        <v>156</v>
      </c>
      <c r="C1243" s="37" t="n">
        <v>45762.4311689815</v>
      </c>
      <c r="D1243" s="22" t="s">
        <v>203</v>
      </c>
      <c r="E1243" s="22" t="n">
        <v>10</v>
      </c>
      <c r="F1243" s="22" t="s">
        <v>182</v>
      </c>
      <c r="G1243" s="22" t="s">
        <v>241</v>
      </c>
      <c r="H1243" s="22" t="n">
        <v>0.05</v>
      </c>
      <c r="I1243" s="38" t="n">
        <v>3220.59</v>
      </c>
      <c r="J1243" s="38" t="n">
        <v>3220.49</v>
      </c>
      <c r="K1243" s="39" t="n">
        <f aca="false">IF(F1243="BUY",J1243-I1243,I1243-J1243)</f>
        <v>0.100000000000364</v>
      </c>
      <c r="L1243" s="38" t="n">
        <v>3226.59</v>
      </c>
      <c r="M1243" s="39" t="n">
        <f aca="false">ABS(I1243-L1243)</f>
        <v>6</v>
      </c>
      <c r="N1243" s="24" t="n">
        <f aca="false">M1243*H1243*Summary!$C$6</f>
        <v>30</v>
      </c>
      <c r="O1243" s="37" t="n">
        <v>45762.4397337963</v>
      </c>
      <c r="P1243" s="22" t="n">
        <f aca="false">ROUND((O1243-C1243)*86400,0)</f>
        <v>740</v>
      </c>
      <c r="Q1243" s="22" t="str">
        <f aca="false">IF(P1243&lt;10,"a) &lt;10s",IF(P1243&lt;60,"b) 10-60s",IF(P1243&lt;600,"c) 1-10min","d) &gt;10min")))</f>
        <v>d) &gt;10min</v>
      </c>
      <c r="R1243" s="38" t="n">
        <v>3219.99</v>
      </c>
      <c r="S1243" s="38" t="n">
        <v>3220.07</v>
      </c>
      <c r="T1243" s="22" t="s">
        <v>189</v>
      </c>
      <c r="U1243" s="39" t="n">
        <f aca="false">IF(R1243="","",IF(F1243="BUY",R1243-S1243,S1243-R1243))</f>
        <v>0.080000000000382</v>
      </c>
      <c r="V1243" s="39" t="n">
        <f aca="false">IF(F1243="BUY",S1243-J1243,J1243-S1243)</f>
        <v>0.419999999999618</v>
      </c>
      <c r="W1243" s="6" t="n">
        <v>2.1</v>
      </c>
      <c r="X1243" s="26" t="n">
        <f aca="false">IFERROR(W1243/N1243,0)</f>
        <v>0.07</v>
      </c>
      <c r="Y1243" s="22" t="str">
        <f aca="false">IF(W1243&gt;0,"Win",IF(W1243&lt;0,"Loss","Flat"))</f>
        <v>Win</v>
      </c>
      <c r="Z1243" s="24" t="n">
        <f aca="false">Summary!$C$5+SUM(W$2:W1243)</f>
        <v>3360.6</v>
      </c>
      <c r="AA1243" s="24" t="n">
        <f aca="false">MAX(AA1242,Z1243)</f>
        <v>5000</v>
      </c>
      <c r="AB1243" s="24" t="n">
        <f aca="false">AA1243-Z1243</f>
        <v>1639.4</v>
      </c>
      <c r="AC1243" s="23" t="n">
        <f aca="false">IFERROR(AB1243/AA1243,0)</f>
        <v>0.32788</v>
      </c>
      <c r="AD1243" s="22" t="s">
        <v>1480</v>
      </c>
    </row>
    <row r="1244" customFormat="false" ht="15" hidden="false" customHeight="false" outlineLevel="0" collapsed="false">
      <c r="A1244" s="22" t="n">
        <v>1243</v>
      </c>
      <c r="B1244" s="22" t="s">
        <v>156</v>
      </c>
      <c r="C1244" s="37" t="n">
        <v>45763.0594791667</v>
      </c>
      <c r="D1244" s="22" t="s">
        <v>204</v>
      </c>
      <c r="E1244" s="22" t="n">
        <v>1</v>
      </c>
      <c r="F1244" s="22" t="s">
        <v>181</v>
      </c>
      <c r="G1244" s="22" t="s">
        <v>243</v>
      </c>
      <c r="H1244" s="22" t="n">
        <v>0.05</v>
      </c>
      <c r="I1244" s="38" t="n">
        <v>3233.43</v>
      </c>
      <c r="J1244" s="38" t="n">
        <v>3233.44</v>
      </c>
      <c r="K1244" s="39" t="n">
        <f aca="false">IF(F1244="BUY",J1244-I1244,I1244-J1244)</f>
        <v>0.0100000000002183</v>
      </c>
      <c r="L1244" s="38" t="n">
        <v>3227.43</v>
      </c>
      <c r="M1244" s="39" t="n">
        <f aca="false">ABS(I1244-L1244)</f>
        <v>6</v>
      </c>
      <c r="N1244" s="24" t="n">
        <f aca="false">M1244*H1244*Summary!$C$6</f>
        <v>30</v>
      </c>
      <c r="O1244" s="37" t="n">
        <v>45763.0638078704</v>
      </c>
      <c r="P1244" s="22" t="n">
        <f aca="false">ROUND((O1244-C1244)*86400,0)</f>
        <v>374</v>
      </c>
      <c r="Q1244" s="22" t="str">
        <f aca="false">IF(P1244&lt;10,"a) &lt;10s",IF(P1244&lt;60,"b) 10-60s",IF(P1244&lt;600,"c) 1-10min","d) &gt;10min")))</f>
        <v>c) 1-10min</v>
      </c>
      <c r="R1244" s="38" t="n">
        <v>3233.94</v>
      </c>
      <c r="S1244" s="38" t="n">
        <v>3233.88</v>
      </c>
      <c r="T1244" s="22" t="s">
        <v>189</v>
      </c>
      <c r="U1244" s="39" t="n">
        <f aca="false">IF(R1244="","",IF(F1244="BUY",R1244-S1244,S1244-R1244))</f>
        <v>0.0599999999999454</v>
      </c>
      <c r="V1244" s="39" t="n">
        <f aca="false">IF(F1244="BUY",S1244-J1244,J1244-S1244)</f>
        <v>0.440000000000055</v>
      </c>
      <c r="W1244" s="6" t="n">
        <v>2.2</v>
      </c>
      <c r="X1244" s="26" t="n">
        <f aca="false">IFERROR(W1244/N1244,0)</f>
        <v>0.0733333333333333</v>
      </c>
      <c r="Y1244" s="22" t="str">
        <f aca="false">IF(W1244&gt;0,"Win",IF(W1244&lt;0,"Loss","Flat"))</f>
        <v>Win</v>
      </c>
      <c r="Z1244" s="24" t="n">
        <f aca="false">Summary!$C$5+SUM(W$2:W1244)</f>
        <v>3362.8</v>
      </c>
      <c r="AA1244" s="24" t="n">
        <f aca="false">MAX(AA1243,Z1244)</f>
        <v>5000</v>
      </c>
      <c r="AB1244" s="24" t="n">
        <f aca="false">AA1244-Z1244</f>
        <v>1637.2</v>
      </c>
      <c r="AC1244" s="23" t="n">
        <f aca="false">IFERROR(AB1244/AA1244,0)</f>
        <v>0.32744</v>
      </c>
      <c r="AD1244" s="22" t="s">
        <v>1481</v>
      </c>
    </row>
    <row r="1245" customFormat="false" ht="15" hidden="false" customHeight="false" outlineLevel="0" collapsed="false">
      <c r="A1245" s="22" t="n">
        <v>1244</v>
      </c>
      <c r="B1245" s="22" t="s">
        <v>156</v>
      </c>
      <c r="C1245" s="37" t="n">
        <v>45763.3890393519</v>
      </c>
      <c r="D1245" s="22" t="s">
        <v>204</v>
      </c>
      <c r="E1245" s="22" t="n">
        <v>9</v>
      </c>
      <c r="F1245" s="22" t="s">
        <v>181</v>
      </c>
      <c r="G1245" s="22" t="s">
        <v>235</v>
      </c>
      <c r="H1245" s="22" t="n">
        <v>0.05</v>
      </c>
      <c r="I1245" s="38" t="n">
        <v>3291.59</v>
      </c>
      <c r="J1245" s="38" t="n">
        <v>3291.61</v>
      </c>
      <c r="K1245" s="39" t="n">
        <f aca="false">IF(F1245="BUY",J1245-I1245,I1245-J1245)</f>
        <v>0.0199999999999818</v>
      </c>
      <c r="L1245" s="38" t="n">
        <v>3285.59</v>
      </c>
      <c r="M1245" s="39" t="n">
        <f aca="false">ABS(I1245-L1245)</f>
        <v>6</v>
      </c>
      <c r="N1245" s="24" t="n">
        <f aca="false">M1245*H1245*Summary!$C$6</f>
        <v>30</v>
      </c>
      <c r="O1245" s="37" t="n">
        <v>45763.4020833333</v>
      </c>
      <c r="P1245" s="22" t="n">
        <f aca="false">ROUND((O1245-C1245)*86400,0)</f>
        <v>1127</v>
      </c>
      <c r="Q1245" s="22" t="str">
        <f aca="false">IF(P1245&lt;10,"a) &lt;10s",IF(P1245&lt;60,"b) 10-60s",IF(P1245&lt;600,"c) 1-10min","d) &gt;10min")))</f>
        <v>d) &gt;10min</v>
      </c>
      <c r="R1245" s="38" t="n">
        <v>3292.11</v>
      </c>
      <c r="S1245" s="38" t="n">
        <v>3292.04</v>
      </c>
      <c r="T1245" s="22" t="s">
        <v>189</v>
      </c>
      <c r="U1245" s="39" t="n">
        <f aca="false">IF(R1245="","",IF(F1245="BUY",R1245-S1245,S1245-R1245))</f>
        <v>0.0700000000001637</v>
      </c>
      <c r="V1245" s="39" t="n">
        <f aca="false">IF(F1245="BUY",S1245-J1245,J1245-S1245)</f>
        <v>0.429999999999836</v>
      </c>
      <c r="W1245" s="6" t="n">
        <v>2.15</v>
      </c>
      <c r="X1245" s="26" t="n">
        <f aca="false">IFERROR(W1245/N1245,0)</f>
        <v>0.0716666666666667</v>
      </c>
      <c r="Y1245" s="22" t="str">
        <f aca="false">IF(W1245&gt;0,"Win",IF(W1245&lt;0,"Loss","Flat"))</f>
        <v>Win</v>
      </c>
      <c r="Z1245" s="24" t="n">
        <f aca="false">Summary!$C$5+SUM(W$2:W1245)</f>
        <v>3364.95</v>
      </c>
      <c r="AA1245" s="24" t="n">
        <f aca="false">MAX(AA1244,Z1245)</f>
        <v>5000</v>
      </c>
      <c r="AB1245" s="24" t="n">
        <f aca="false">AA1245-Z1245</f>
        <v>1635.05</v>
      </c>
      <c r="AC1245" s="23" t="n">
        <f aca="false">IFERROR(AB1245/AA1245,0)</f>
        <v>0.32701</v>
      </c>
      <c r="AD1245" s="22" t="s">
        <v>1482</v>
      </c>
    </row>
    <row r="1246" customFormat="false" ht="15" hidden="false" customHeight="false" outlineLevel="0" collapsed="false">
      <c r="A1246" s="22" t="n">
        <v>1245</v>
      </c>
      <c r="B1246" s="22" t="s">
        <v>156</v>
      </c>
      <c r="C1246" s="37" t="n">
        <v>45764.3757407407</v>
      </c>
      <c r="D1246" s="22" t="s">
        <v>205</v>
      </c>
      <c r="E1246" s="22" t="n">
        <v>9</v>
      </c>
      <c r="F1246" s="22" t="s">
        <v>182</v>
      </c>
      <c r="G1246" s="22" t="s">
        <v>241</v>
      </c>
      <c r="H1246" s="22" t="n">
        <v>0.05</v>
      </c>
      <c r="I1246" s="38" t="n">
        <v>3327.93</v>
      </c>
      <c r="J1246" s="38" t="n">
        <v>3327.93</v>
      </c>
      <c r="K1246" s="39" t="n">
        <f aca="false">IF(F1246="BUY",J1246-I1246,I1246-J1246)</f>
        <v>0</v>
      </c>
      <c r="L1246" s="38" t="n">
        <v>3333.93</v>
      </c>
      <c r="M1246" s="39" t="n">
        <f aca="false">ABS(I1246-L1246)</f>
        <v>6</v>
      </c>
      <c r="N1246" s="24" t="n">
        <f aca="false">M1246*H1246*Summary!$C$6</f>
        <v>30</v>
      </c>
      <c r="O1246" s="37" t="n">
        <v>45764.3778472222</v>
      </c>
      <c r="P1246" s="22" t="n">
        <f aca="false">ROUND((O1246-C1246)*86400,0)</f>
        <v>182</v>
      </c>
      <c r="Q1246" s="22" t="str">
        <f aca="false">IF(P1246&lt;10,"a) &lt;10s",IF(P1246&lt;60,"b) 10-60s",IF(P1246&lt;600,"c) 1-10min","d) &gt;10min")))</f>
        <v>c) 1-10min</v>
      </c>
      <c r="R1246" s="38" t="n">
        <v>3327.43</v>
      </c>
      <c r="S1246" s="38" t="n">
        <v>3327.54</v>
      </c>
      <c r="T1246" s="22" t="s">
        <v>189</v>
      </c>
      <c r="U1246" s="39" t="n">
        <f aca="false">IF(R1246="","",IF(F1246="BUY",R1246-S1246,S1246-R1246))</f>
        <v>0.110000000000127</v>
      </c>
      <c r="V1246" s="39" t="n">
        <f aca="false">IF(F1246="BUY",S1246-J1246,J1246-S1246)</f>
        <v>0.389999999999873</v>
      </c>
      <c r="W1246" s="6" t="n">
        <v>1.95</v>
      </c>
      <c r="X1246" s="26" t="n">
        <f aca="false">IFERROR(W1246/N1246,0)</f>
        <v>0.065</v>
      </c>
      <c r="Y1246" s="22" t="str">
        <f aca="false">IF(W1246&gt;0,"Win",IF(W1246&lt;0,"Loss","Flat"))</f>
        <v>Win</v>
      </c>
      <c r="Z1246" s="24" t="n">
        <f aca="false">Summary!$C$5+SUM(W$2:W1246)</f>
        <v>3366.9</v>
      </c>
      <c r="AA1246" s="24" t="n">
        <f aca="false">MAX(AA1245,Z1246)</f>
        <v>5000</v>
      </c>
      <c r="AB1246" s="24" t="n">
        <f aca="false">AA1246-Z1246</f>
        <v>1633.1</v>
      </c>
      <c r="AC1246" s="23" t="n">
        <f aca="false">IFERROR(AB1246/AA1246,0)</f>
        <v>0.32662</v>
      </c>
      <c r="AD1246" s="22" t="s">
        <v>1483</v>
      </c>
    </row>
    <row r="1247" customFormat="false" ht="15" hidden="false" customHeight="false" outlineLevel="0" collapsed="false">
      <c r="A1247" s="22" t="n">
        <v>1246</v>
      </c>
      <c r="B1247" s="22" t="s">
        <v>156</v>
      </c>
      <c r="C1247" s="37" t="n">
        <v>45768.1459837963</v>
      </c>
      <c r="D1247" s="22" t="s">
        <v>202</v>
      </c>
      <c r="E1247" s="22" t="n">
        <v>3</v>
      </c>
      <c r="F1247" s="22" t="s">
        <v>181</v>
      </c>
      <c r="G1247" s="22" t="s">
        <v>243</v>
      </c>
      <c r="H1247" s="22" t="n">
        <v>0.05</v>
      </c>
      <c r="I1247" s="38" t="n">
        <v>3357.46</v>
      </c>
      <c r="J1247" s="38" t="n">
        <v>3357.91</v>
      </c>
      <c r="K1247" s="39" t="n">
        <f aca="false">IF(F1247="BUY",J1247-I1247,I1247-J1247)</f>
        <v>0.449999999999818</v>
      </c>
      <c r="L1247" s="38" t="n">
        <v>3351.46</v>
      </c>
      <c r="M1247" s="39" t="n">
        <f aca="false">ABS(I1247-L1247)</f>
        <v>6</v>
      </c>
      <c r="N1247" s="24" t="n">
        <f aca="false">M1247*H1247*Summary!$C$6</f>
        <v>30</v>
      </c>
      <c r="O1247" s="37" t="n">
        <v>45768.381412037</v>
      </c>
      <c r="P1247" s="22" t="n">
        <f aca="false">ROUND((O1247-C1247)*86400,0)</f>
        <v>20341</v>
      </c>
      <c r="Q1247" s="22" t="str">
        <f aca="false">IF(P1247&lt;10,"a) &lt;10s",IF(P1247&lt;60,"b) 10-60s",IF(P1247&lt;600,"c) 1-10min","d) &gt;10min")))</f>
        <v>d) &gt;10min</v>
      </c>
      <c r="R1247" s="38"/>
      <c r="S1247" s="38" t="n">
        <v>3387.47</v>
      </c>
      <c r="T1247" s="22" t="s">
        <v>187</v>
      </c>
      <c r="U1247" s="39" t="str">
        <f aca="false">IF(R1247="","",IF(F1247="BUY",R1247-S1247,S1247-R1247))</f>
        <v/>
      </c>
      <c r="V1247" s="39" t="n">
        <f aca="false">IF(F1247="BUY",S1247-J1247,J1247-S1247)</f>
        <v>29.5599999999999</v>
      </c>
      <c r="W1247" s="6" t="n">
        <v>147.8</v>
      </c>
      <c r="X1247" s="26" t="n">
        <f aca="false">IFERROR(W1247/N1247,0)</f>
        <v>4.92666666666667</v>
      </c>
      <c r="Y1247" s="22" t="str">
        <f aca="false">IF(W1247&gt;0,"Win",IF(W1247&lt;0,"Loss","Flat"))</f>
        <v>Win</v>
      </c>
      <c r="Z1247" s="24" t="n">
        <f aca="false">Summary!$C$5+SUM(W$2:W1247)</f>
        <v>3514.7</v>
      </c>
      <c r="AA1247" s="24" t="n">
        <f aca="false">MAX(AA1246,Z1247)</f>
        <v>5000</v>
      </c>
      <c r="AB1247" s="24" t="n">
        <f aca="false">AA1247-Z1247</f>
        <v>1485.3</v>
      </c>
      <c r="AC1247" s="23" t="n">
        <f aca="false">IFERROR(AB1247/AA1247,0)</f>
        <v>0.29706</v>
      </c>
      <c r="AD1247" s="22" t="s">
        <v>1484</v>
      </c>
    </row>
    <row r="1248" customFormat="false" ht="15" hidden="false" customHeight="false" outlineLevel="0" collapsed="false">
      <c r="A1248" s="22" t="n">
        <v>1247</v>
      </c>
      <c r="B1248" s="22" t="s">
        <v>156</v>
      </c>
      <c r="C1248" s="37" t="n">
        <v>45769.380625</v>
      </c>
      <c r="D1248" s="22" t="s">
        <v>203</v>
      </c>
      <c r="E1248" s="22" t="n">
        <v>9</v>
      </c>
      <c r="F1248" s="22" t="s">
        <v>181</v>
      </c>
      <c r="G1248" s="22" t="s">
        <v>235</v>
      </c>
      <c r="H1248" s="22" t="n">
        <v>0.05</v>
      </c>
      <c r="I1248" s="38" t="n">
        <v>3495.36</v>
      </c>
      <c r="J1248" s="38" t="n">
        <v>3495.38</v>
      </c>
      <c r="K1248" s="39" t="n">
        <f aca="false">IF(F1248="BUY",J1248-I1248,I1248-J1248)</f>
        <v>0.0199999999999818</v>
      </c>
      <c r="L1248" s="38" t="n">
        <v>3489.36</v>
      </c>
      <c r="M1248" s="39" t="n">
        <f aca="false">ABS(I1248-L1248)</f>
        <v>6</v>
      </c>
      <c r="N1248" s="24" t="n">
        <f aca="false">M1248*H1248*Summary!$C$6</f>
        <v>30</v>
      </c>
      <c r="O1248" s="37" t="n">
        <v>45769.385787037</v>
      </c>
      <c r="P1248" s="22" t="n">
        <f aca="false">ROUND((O1248-C1248)*86400,0)</f>
        <v>446</v>
      </c>
      <c r="Q1248" s="22" t="str">
        <f aca="false">IF(P1248&lt;10,"a) &lt;10s",IF(P1248&lt;60,"b) 10-60s",IF(P1248&lt;600,"c) 1-10min","d) &gt;10min")))</f>
        <v>c) 1-10min</v>
      </c>
      <c r="R1248" s="38" t="n">
        <v>3495.88</v>
      </c>
      <c r="S1248" s="38" t="n">
        <v>3495.83</v>
      </c>
      <c r="T1248" s="22" t="s">
        <v>189</v>
      </c>
      <c r="U1248" s="39" t="n">
        <f aca="false">IF(R1248="","",IF(F1248="BUY",R1248-S1248,S1248-R1248))</f>
        <v>0.0500000000001819</v>
      </c>
      <c r="V1248" s="39" t="n">
        <f aca="false">IF(F1248="BUY",S1248-J1248,J1248-S1248)</f>
        <v>0.449999999999818</v>
      </c>
      <c r="W1248" s="6" t="n">
        <v>2.25</v>
      </c>
      <c r="X1248" s="26" t="n">
        <f aca="false">IFERROR(W1248/N1248,0)</f>
        <v>0.075</v>
      </c>
      <c r="Y1248" s="22" t="str">
        <f aca="false">IF(W1248&gt;0,"Win",IF(W1248&lt;0,"Loss","Flat"))</f>
        <v>Win</v>
      </c>
      <c r="Z1248" s="24" t="n">
        <f aca="false">Summary!$C$5+SUM(W$2:W1248)</f>
        <v>3516.95</v>
      </c>
      <c r="AA1248" s="24" t="n">
        <f aca="false">MAX(AA1247,Z1248)</f>
        <v>5000</v>
      </c>
      <c r="AB1248" s="24" t="n">
        <f aca="false">AA1248-Z1248</f>
        <v>1483.05</v>
      </c>
      <c r="AC1248" s="23" t="n">
        <f aca="false">IFERROR(AB1248/AA1248,0)</f>
        <v>0.29661</v>
      </c>
      <c r="AD1248" s="22" t="s">
        <v>1485</v>
      </c>
    </row>
    <row r="1249" customFormat="false" ht="15" hidden="false" customHeight="false" outlineLevel="0" collapsed="false">
      <c r="A1249" s="22" t="n">
        <v>1248</v>
      </c>
      <c r="B1249" s="22" t="s">
        <v>156</v>
      </c>
      <c r="C1249" s="37" t="n">
        <v>45770.3764236111</v>
      </c>
      <c r="D1249" s="22" t="s">
        <v>204</v>
      </c>
      <c r="E1249" s="22" t="n">
        <v>9</v>
      </c>
      <c r="F1249" s="22" t="s">
        <v>182</v>
      </c>
      <c r="G1249" s="22" t="s">
        <v>241</v>
      </c>
      <c r="H1249" s="22" t="n">
        <v>0.05</v>
      </c>
      <c r="I1249" s="38" t="n">
        <v>3315.57</v>
      </c>
      <c r="J1249" s="38" t="n">
        <v>3315.29</v>
      </c>
      <c r="K1249" s="39" t="n">
        <f aca="false">IF(F1249="BUY",J1249-I1249,I1249-J1249)</f>
        <v>0.2800000000002</v>
      </c>
      <c r="L1249" s="38" t="n">
        <v>3321.57</v>
      </c>
      <c r="M1249" s="39" t="n">
        <f aca="false">ABS(I1249-L1249)</f>
        <v>6</v>
      </c>
      <c r="N1249" s="24" t="n">
        <f aca="false">M1249*H1249*Summary!$C$6</f>
        <v>30</v>
      </c>
      <c r="O1249" s="37" t="n">
        <v>45770.3777893519</v>
      </c>
      <c r="P1249" s="22" t="n">
        <f aca="false">ROUND((O1249-C1249)*86400,0)</f>
        <v>118</v>
      </c>
      <c r="Q1249" s="22" t="str">
        <f aca="false">IF(P1249&lt;10,"a) &lt;10s",IF(P1249&lt;60,"b) 10-60s",IF(P1249&lt;600,"c) 1-10min","d) &gt;10min")))</f>
        <v>c) 1-10min</v>
      </c>
      <c r="R1249" s="38" t="n">
        <v>3314.79</v>
      </c>
      <c r="S1249" s="38" t="n">
        <v>3315</v>
      </c>
      <c r="T1249" s="22" t="s">
        <v>189</v>
      </c>
      <c r="U1249" s="39" t="n">
        <f aca="false">IF(R1249="","",IF(F1249="BUY",R1249-S1249,S1249-R1249))</f>
        <v>0.210000000000036</v>
      </c>
      <c r="V1249" s="39" t="n">
        <f aca="false">IF(F1249="BUY",S1249-J1249,J1249-S1249)</f>
        <v>0.289999999999964</v>
      </c>
      <c r="W1249" s="6" t="n">
        <v>1.45</v>
      </c>
      <c r="X1249" s="26" t="n">
        <f aca="false">IFERROR(W1249/N1249,0)</f>
        <v>0.0483333333333333</v>
      </c>
      <c r="Y1249" s="22" t="str">
        <f aca="false">IF(W1249&gt;0,"Win",IF(W1249&lt;0,"Loss","Flat"))</f>
        <v>Win</v>
      </c>
      <c r="Z1249" s="24" t="n">
        <f aca="false">Summary!$C$5+SUM(W$2:W1249)</f>
        <v>3518.4</v>
      </c>
      <c r="AA1249" s="24" t="n">
        <f aca="false">MAX(AA1248,Z1249)</f>
        <v>5000</v>
      </c>
      <c r="AB1249" s="24" t="n">
        <f aca="false">AA1249-Z1249</f>
        <v>1481.6</v>
      </c>
      <c r="AC1249" s="23" t="n">
        <f aca="false">IFERROR(AB1249/AA1249,0)</f>
        <v>0.29632</v>
      </c>
      <c r="AD1249" s="22" t="s">
        <v>1486</v>
      </c>
    </row>
    <row r="1250" customFormat="false" ht="15" hidden="false" customHeight="false" outlineLevel="0" collapsed="false">
      <c r="A1250" s="22" t="n">
        <v>1249</v>
      </c>
      <c r="B1250" s="22" t="s">
        <v>156</v>
      </c>
      <c r="C1250" s="37" t="n">
        <v>45771.3753125</v>
      </c>
      <c r="D1250" s="22" t="s">
        <v>205</v>
      </c>
      <c r="E1250" s="22" t="n">
        <v>9</v>
      </c>
      <c r="F1250" s="22" t="s">
        <v>182</v>
      </c>
      <c r="G1250" s="22" t="s">
        <v>241</v>
      </c>
      <c r="H1250" s="22" t="n">
        <v>0.05</v>
      </c>
      <c r="I1250" s="38" t="n">
        <v>3320.21</v>
      </c>
      <c r="J1250" s="38" t="n">
        <v>3320.11</v>
      </c>
      <c r="K1250" s="39" t="n">
        <f aca="false">IF(F1250="BUY",J1250-I1250,I1250-J1250)</f>
        <v>0.0999999999999091</v>
      </c>
      <c r="L1250" s="38" t="n">
        <v>3326.21</v>
      </c>
      <c r="M1250" s="39" t="n">
        <f aca="false">ABS(I1250-L1250)</f>
        <v>6</v>
      </c>
      <c r="N1250" s="24" t="n">
        <f aca="false">M1250*H1250*Summary!$C$6</f>
        <v>30</v>
      </c>
      <c r="O1250" s="37" t="n">
        <v>45771.3785069444</v>
      </c>
      <c r="P1250" s="22" t="n">
        <f aca="false">ROUND((O1250-C1250)*86400,0)</f>
        <v>276</v>
      </c>
      <c r="Q1250" s="22" t="str">
        <f aca="false">IF(P1250&lt;10,"a) &lt;10s",IF(P1250&lt;60,"b) 10-60s",IF(P1250&lt;600,"c) 1-10min","d) &gt;10min")))</f>
        <v>c) 1-10min</v>
      </c>
      <c r="R1250" s="38" t="n">
        <v>3326.21</v>
      </c>
      <c r="S1250" s="38" t="n">
        <v>3326.22</v>
      </c>
      <c r="T1250" s="22" t="s">
        <v>188</v>
      </c>
      <c r="U1250" s="39" t="n">
        <f aca="false">IF(R1250="","",IF(F1250="BUY",R1250-S1250,S1250-R1250))</f>
        <v>0.00999999999976353</v>
      </c>
      <c r="V1250" s="39" t="n">
        <f aca="false">IF(F1250="BUY",S1250-J1250,J1250-S1250)</f>
        <v>-6.10999999999967</v>
      </c>
      <c r="W1250" s="6" t="n">
        <v>-30.55</v>
      </c>
      <c r="X1250" s="26" t="n">
        <f aca="false">IFERROR(W1250/N1250,0)</f>
        <v>-1.01833333333333</v>
      </c>
      <c r="Y1250" s="22" t="str">
        <f aca="false">IF(W1250&gt;0,"Win",IF(W1250&lt;0,"Loss","Flat"))</f>
        <v>Loss</v>
      </c>
      <c r="Z1250" s="24" t="n">
        <f aca="false">Summary!$C$5+SUM(W$2:W1250)</f>
        <v>3487.85</v>
      </c>
      <c r="AA1250" s="24" t="n">
        <f aca="false">MAX(AA1249,Z1250)</f>
        <v>5000</v>
      </c>
      <c r="AB1250" s="24" t="n">
        <f aca="false">AA1250-Z1250</f>
        <v>1512.15</v>
      </c>
      <c r="AC1250" s="23" t="n">
        <f aca="false">IFERROR(AB1250/AA1250,0)</f>
        <v>0.30243</v>
      </c>
      <c r="AD1250" s="22" t="s">
        <v>1487</v>
      </c>
    </row>
    <row r="1251" customFormat="false" ht="15" hidden="false" customHeight="false" outlineLevel="0" collapsed="false">
      <c r="A1251" s="22" t="n">
        <v>1250</v>
      </c>
      <c r="B1251" s="22" t="s">
        <v>156</v>
      </c>
      <c r="C1251" s="37" t="n">
        <v>45772.0625347222</v>
      </c>
      <c r="D1251" s="22" t="s">
        <v>206</v>
      </c>
      <c r="E1251" s="22" t="n">
        <v>1</v>
      </c>
      <c r="F1251" s="22" t="s">
        <v>181</v>
      </c>
      <c r="G1251" s="22" t="s">
        <v>243</v>
      </c>
      <c r="H1251" s="22" t="n">
        <v>0.05</v>
      </c>
      <c r="I1251" s="38" t="n">
        <v>3367.02</v>
      </c>
      <c r="J1251" s="38" t="n">
        <v>3367.17</v>
      </c>
      <c r="K1251" s="39" t="n">
        <f aca="false">IF(F1251="BUY",J1251-I1251,I1251-J1251)</f>
        <v>0.150000000000091</v>
      </c>
      <c r="L1251" s="38" t="n">
        <v>3361.02</v>
      </c>
      <c r="M1251" s="39" t="n">
        <f aca="false">ABS(I1251-L1251)</f>
        <v>6</v>
      </c>
      <c r="N1251" s="24" t="n">
        <f aca="false">M1251*H1251*Summary!$C$6</f>
        <v>30</v>
      </c>
      <c r="O1251" s="37" t="n">
        <v>45772.0637384259</v>
      </c>
      <c r="P1251" s="22" t="n">
        <f aca="false">ROUND((O1251-C1251)*86400,0)</f>
        <v>104</v>
      </c>
      <c r="Q1251" s="22" t="str">
        <f aca="false">IF(P1251&lt;10,"a) &lt;10s",IF(P1251&lt;60,"b) 10-60s",IF(P1251&lt;600,"c) 1-10min","d) &gt;10min")))</f>
        <v>c) 1-10min</v>
      </c>
      <c r="R1251" s="38" t="n">
        <v>3367.67</v>
      </c>
      <c r="S1251" s="38" t="n">
        <v>3367.56</v>
      </c>
      <c r="T1251" s="22" t="s">
        <v>189</v>
      </c>
      <c r="U1251" s="39" t="n">
        <f aca="false">IF(R1251="","",IF(F1251="BUY",R1251-S1251,S1251-R1251))</f>
        <v>0.110000000000127</v>
      </c>
      <c r="V1251" s="39" t="n">
        <f aca="false">IF(F1251="BUY",S1251-J1251,J1251-S1251)</f>
        <v>0.389999999999873</v>
      </c>
      <c r="W1251" s="6" t="n">
        <v>1.95</v>
      </c>
      <c r="X1251" s="26" t="n">
        <f aca="false">IFERROR(W1251/N1251,0)</f>
        <v>0.065</v>
      </c>
      <c r="Y1251" s="22" t="str">
        <f aca="false">IF(W1251&gt;0,"Win",IF(W1251&lt;0,"Loss","Flat"))</f>
        <v>Win</v>
      </c>
      <c r="Z1251" s="24" t="n">
        <f aca="false">Summary!$C$5+SUM(W$2:W1251)</f>
        <v>3489.8</v>
      </c>
      <c r="AA1251" s="24" t="n">
        <f aca="false">MAX(AA1250,Z1251)</f>
        <v>5000</v>
      </c>
      <c r="AB1251" s="24" t="n">
        <f aca="false">AA1251-Z1251</f>
        <v>1510.2</v>
      </c>
      <c r="AC1251" s="23" t="n">
        <f aca="false">IFERROR(AB1251/AA1251,0)</f>
        <v>0.30204</v>
      </c>
      <c r="AD1251" s="22" t="s">
        <v>1488</v>
      </c>
    </row>
    <row r="1252" customFormat="false" ht="15" hidden="false" customHeight="false" outlineLevel="0" collapsed="false">
      <c r="A1252" s="22" t="n">
        <v>1251</v>
      </c>
      <c r="B1252" s="22" t="s">
        <v>156</v>
      </c>
      <c r="C1252" s="37" t="n">
        <v>45772.6676967593</v>
      </c>
      <c r="D1252" s="22" t="s">
        <v>206</v>
      </c>
      <c r="E1252" s="22" t="n">
        <v>16</v>
      </c>
      <c r="F1252" s="22" t="s">
        <v>182</v>
      </c>
      <c r="G1252" s="22" t="s">
        <v>241</v>
      </c>
      <c r="H1252" s="22" t="n">
        <v>0.05</v>
      </c>
      <c r="I1252" s="38" t="n">
        <v>3286.55</v>
      </c>
      <c r="J1252" s="38" t="n">
        <v>3286.45</v>
      </c>
      <c r="K1252" s="39" t="n">
        <f aca="false">IF(F1252="BUY",J1252-I1252,I1252-J1252)</f>
        <v>0.100000000000364</v>
      </c>
      <c r="L1252" s="38" t="n">
        <v>3292.55</v>
      </c>
      <c r="M1252" s="39" t="n">
        <f aca="false">ABS(I1252-L1252)</f>
        <v>6</v>
      </c>
      <c r="N1252" s="24" t="n">
        <f aca="false">M1252*H1252*Summary!$C$6</f>
        <v>30</v>
      </c>
      <c r="O1252" s="37" t="n">
        <v>45772.6701967593</v>
      </c>
      <c r="P1252" s="22" t="n">
        <f aca="false">ROUND((O1252-C1252)*86400,0)</f>
        <v>216</v>
      </c>
      <c r="Q1252" s="22" t="str">
        <f aca="false">IF(P1252&lt;10,"a) &lt;10s",IF(P1252&lt;60,"b) 10-60s",IF(P1252&lt;600,"c) 1-10min","d) &gt;10min")))</f>
        <v>c) 1-10min</v>
      </c>
      <c r="R1252" s="38" t="n">
        <v>3285.95</v>
      </c>
      <c r="S1252" s="38" t="n">
        <v>3286.1</v>
      </c>
      <c r="T1252" s="22" t="s">
        <v>189</v>
      </c>
      <c r="U1252" s="39" t="n">
        <f aca="false">IF(R1252="","",IF(F1252="BUY",R1252-S1252,S1252-R1252))</f>
        <v>0.150000000000091</v>
      </c>
      <c r="V1252" s="39" t="n">
        <f aca="false">IF(F1252="BUY",S1252-J1252,J1252-S1252)</f>
        <v>0.349999999999909</v>
      </c>
      <c r="W1252" s="6" t="n">
        <v>1.75</v>
      </c>
      <c r="X1252" s="26" t="n">
        <f aca="false">IFERROR(W1252/N1252,0)</f>
        <v>0.0583333333333333</v>
      </c>
      <c r="Y1252" s="22" t="str">
        <f aca="false">IF(W1252&gt;0,"Win",IF(W1252&lt;0,"Loss","Flat"))</f>
        <v>Win</v>
      </c>
      <c r="Z1252" s="24" t="n">
        <f aca="false">Summary!$C$5+SUM(W$2:W1252)</f>
        <v>3491.55</v>
      </c>
      <c r="AA1252" s="24" t="n">
        <f aca="false">MAX(AA1251,Z1252)</f>
        <v>5000</v>
      </c>
      <c r="AB1252" s="24" t="n">
        <f aca="false">AA1252-Z1252</f>
        <v>1508.45</v>
      </c>
      <c r="AC1252" s="23" t="n">
        <f aca="false">IFERROR(AB1252/AA1252,0)</f>
        <v>0.30169</v>
      </c>
      <c r="AD1252" s="22" t="s">
        <v>1489</v>
      </c>
    </row>
    <row r="1253" customFormat="false" ht="15" hidden="false" customHeight="false" outlineLevel="0" collapsed="false">
      <c r="A1253" s="22" t="n">
        <v>1252</v>
      </c>
      <c r="B1253" s="22" t="s">
        <v>156</v>
      </c>
      <c r="C1253" s="37" t="n">
        <v>45775.4007060185</v>
      </c>
      <c r="D1253" s="22" t="s">
        <v>202</v>
      </c>
      <c r="E1253" s="22" t="n">
        <v>9</v>
      </c>
      <c r="F1253" s="22" t="s">
        <v>182</v>
      </c>
      <c r="G1253" s="22" t="s">
        <v>241</v>
      </c>
      <c r="H1253" s="22" t="n">
        <v>0.05</v>
      </c>
      <c r="I1253" s="38" t="n">
        <v>3287.57</v>
      </c>
      <c r="J1253" s="38" t="n">
        <v>3287.51</v>
      </c>
      <c r="K1253" s="39" t="n">
        <f aca="false">IF(F1253="BUY",J1253-I1253,I1253-J1253)</f>
        <v>0.0599999999999454</v>
      </c>
      <c r="L1253" s="38" t="n">
        <v>3293.57</v>
      </c>
      <c r="M1253" s="39" t="n">
        <f aca="false">ABS(I1253-L1253)</f>
        <v>6</v>
      </c>
      <c r="N1253" s="24" t="n">
        <f aca="false">M1253*H1253*Summary!$C$6</f>
        <v>30</v>
      </c>
      <c r="O1253" s="37" t="n">
        <v>45775.4051041667</v>
      </c>
      <c r="P1253" s="22" t="n">
        <f aca="false">ROUND((O1253-C1253)*86400,0)</f>
        <v>380</v>
      </c>
      <c r="Q1253" s="22" t="str">
        <f aca="false">IF(P1253&lt;10,"a) &lt;10s",IF(P1253&lt;60,"b) 10-60s",IF(P1253&lt;600,"c) 1-10min","d) &gt;10min")))</f>
        <v>c) 1-10min</v>
      </c>
      <c r="R1253" s="38" t="n">
        <v>3287.01</v>
      </c>
      <c r="S1253" s="38" t="n">
        <v>3287.21</v>
      </c>
      <c r="T1253" s="22" t="s">
        <v>189</v>
      </c>
      <c r="U1253" s="39" t="n">
        <f aca="false">IF(R1253="","",IF(F1253="BUY",R1253-S1253,S1253-R1253))</f>
        <v>0.199999999999818</v>
      </c>
      <c r="V1253" s="39" t="n">
        <f aca="false">IF(F1253="BUY",S1253-J1253,J1253-S1253)</f>
        <v>0.300000000000182</v>
      </c>
      <c r="W1253" s="6" t="n">
        <v>1.5</v>
      </c>
      <c r="X1253" s="26" t="n">
        <f aca="false">IFERROR(W1253/N1253,0)</f>
        <v>0.05</v>
      </c>
      <c r="Y1253" s="22" t="str">
        <f aca="false">IF(W1253&gt;0,"Win",IF(W1253&lt;0,"Loss","Flat"))</f>
        <v>Win</v>
      </c>
      <c r="Z1253" s="24" t="n">
        <f aca="false">Summary!$C$5+SUM(W$2:W1253)</f>
        <v>3493.05</v>
      </c>
      <c r="AA1253" s="24" t="n">
        <f aca="false">MAX(AA1252,Z1253)</f>
        <v>5000</v>
      </c>
      <c r="AB1253" s="24" t="n">
        <f aca="false">AA1253-Z1253</f>
        <v>1506.95</v>
      </c>
      <c r="AC1253" s="23" t="n">
        <f aca="false">IFERROR(AB1253/AA1253,0)</f>
        <v>0.30139</v>
      </c>
      <c r="AD1253" s="22" t="s">
        <v>1490</v>
      </c>
    </row>
    <row r="1254" customFormat="false" ht="15" hidden="false" customHeight="false" outlineLevel="0" collapsed="false">
      <c r="A1254" s="22" t="n">
        <v>1253</v>
      </c>
      <c r="B1254" s="22" t="s">
        <v>156</v>
      </c>
      <c r="C1254" s="37" t="n">
        <v>45776.3939814815</v>
      </c>
      <c r="D1254" s="22" t="s">
        <v>203</v>
      </c>
      <c r="E1254" s="22" t="n">
        <v>9</v>
      </c>
      <c r="F1254" s="22" t="s">
        <v>181</v>
      </c>
      <c r="G1254" s="22" t="s">
        <v>235</v>
      </c>
      <c r="H1254" s="22" t="n">
        <v>0.05</v>
      </c>
      <c r="I1254" s="38" t="n">
        <v>3317.8</v>
      </c>
      <c r="J1254" s="38" t="n">
        <v>3317.84</v>
      </c>
      <c r="K1254" s="39" t="n">
        <f aca="false">IF(F1254="BUY",J1254-I1254,I1254-J1254)</f>
        <v>0.0399999999999636</v>
      </c>
      <c r="L1254" s="38" t="n">
        <v>3311.8</v>
      </c>
      <c r="M1254" s="39" t="n">
        <f aca="false">ABS(I1254-L1254)</f>
        <v>6</v>
      </c>
      <c r="N1254" s="24" t="n">
        <f aca="false">M1254*H1254*Summary!$C$6</f>
        <v>30</v>
      </c>
      <c r="O1254" s="37" t="n">
        <v>45776.3945023148</v>
      </c>
      <c r="P1254" s="22" t="n">
        <f aca="false">ROUND((O1254-C1254)*86400,0)</f>
        <v>45</v>
      </c>
      <c r="Q1254" s="22" t="str">
        <f aca="false">IF(P1254&lt;10,"a) &lt;10s",IF(P1254&lt;60,"b) 10-60s",IF(P1254&lt;600,"c) 1-10min","d) &gt;10min")))</f>
        <v>b) 10-60s</v>
      </c>
      <c r="R1254" s="38" t="n">
        <v>3318.34</v>
      </c>
      <c r="S1254" s="38" t="n">
        <v>3318.29</v>
      </c>
      <c r="T1254" s="22" t="s">
        <v>189</v>
      </c>
      <c r="U1254" s="39" t="n">
        <f aca="false">IF(R1254="","",IF(F1254="BUY",R1254-S1254,S1254-R1254))</f>
        <v>0.0500000000001819</v>
      </c>
      <c r="V1254" s="39" t="n">
        <f aca="false">IF(F1254="BUY",S1254-J1254,J1254-S1254)</f>
        <v>0.449999999999818</v>
      </c>
      <c r="W1254" s="6" t="n">
        <v>2.25</v>
      </c>
      <c r="X1254" s="26" t="n">
        <f aca="false">IFERROR(W1254/N1254,0)</f>
        <v>0.075</v>
      </c>
      <c r="Y1254" s="22" t="str">
        <f aca="false">IF(W1254&gt;0,"Win",IF(W1254&lt;0,"Loss","Flat"))</f>
        <v>Win</v>
      </c>
      <c r="Z1254" s="24" t="n">
        <f aca="false">Summary!$C$5+SUM(W$2:W1254)</f>
        <v>3495.3</v>
      </c>
      <c r="AA1254" s="24" t="n">
        <f aca="false">MAX(AA1253,Z1254)</f>
        <v>5000</v>
      </c>
      <c r="AB1254" s="24" t="n">
        <f aca="false">AA1254-Z1254</f>
        <v>1504.7</v>
      </c>
      <c r="AC1254" s="23" t="n">
        <f aca="false">IFERROR(AB1254/AA1254,0)</f>
        <v>0.30094</v>
      </c>
      <c r="AD1254" s="22" t="s">
        <v>1491</v>
      </c>
    </row>
    <row r="1255" customFormat="false" ht="15" hidden="false" customHeight="false" outlineLevel="0" collapsed="false">
      <c r="A1255" s="22" t="n">
        <v>1254</v>
      </c>
      <c r="B1255" s="22" t="s">
        <v>156</v>
      </c>
      <c r="C1255" s="37" t="n">
        <v>45777.4458912037</v>
      </c>
      <c r="D1255" s="22" t="s">
        <v>204</v>
      </c>
      <c r="E1255" s="22" t="n">
        <v>10</v>
      </c>
      <c r="F1255" s="22" t="s">
        <v>181</v>
      </c>
      <c r="G1255" s="22" t="s">
        <v>235</v>
      </c>
      <c r="H1255" s="22" t="n">
        <v>0.05</v>
      </c>
      <c r="I1255" s="38" t="n">
        <v>3314.46</v>
      </c>
      <c r="J1255" s="38" t="n">
        <v>3314.46</v>
      </c>
      <c r="K1255" s="39" t="n">
        <f aca="false">IF(F1255="BUY",J1255-I1255,I1255-J1255)</f>
        <v>0</v>
      </c>
      <c r="L1255" s="38" t="n">
        <v>3308.46</v>
      </c>
      <c r="M1255" s="39" t="n">
        <f aca="false">ABS(I1255-L1255)</f>
        <v>6</v>
      </c>
      <c r="N1255" s="24" t="n">
        <f aca="false">M1255*H1255*Summary!$C$6</f>
        <v>30</v>
      </c>
      <c r="O1255" s="37" t="n">
        <v>45777.4572453704</v>
      </c>
      <c r="P1255" s="22" t="n">
        <f aca="false">ROUND((O1255-C1255)*86400,0)</f>
        <v>981</v>
      </c>
      <c r="Q1255" s="22" t="str">
        <f aca="false">IF(P1255&lt;10,"a) &lt;10s",IF(P1255&lt;60,"b) 10-60s",IF(P1255&lt;600,"c) 1-10min","d) &gt;10min")))</f>
        <v>d) &gt;10min</v>
      </c>
      <c r="R1255" s="38" t="n">
        <v>3308.46</v>
      </c>
      <c r="S1255" s="38" t="n">
        <v>3308.42</v>
      </c>
      <c r="T1255" s="22" t="s">
        <v>188</v>
      </c>
      <c r="U1255" s="39" t="n">
        <f aca="false">IF(R1255="","",IF(F1255="BUY",R1255-S1255,S1255-R1255))</f>
        <v>0.0399999999999636</v>
      </c>
      <c r="V1255" s="39" t="n">
        <f aca="false">IF(F1255="BUY",S1255-J1255,J1255-S1255)</f>
        <v>-6.03999999999996</v>
      </c>
      <c r="W1255" s="6" t="n">
        <v>-30.2</v>
      </c>
      <c r="X1255" s="26" t="n">
        <f aca="false">IFERROR(W1255/N1255,0)</f>
        <v>-1.00666666666667</v>
      </c>
      <c r="Y1255" s="22" t="str">
        <f aca="false">IF(W1255&gt;0,"Win",IF(W1255&lt;0,"Loss","Flat"))</f>
        <v>Loss</v>
      </c>
      <c r="Z1255" s="24" t="n">
        <f aca="false">Summary!$C$5+SUM(W$2:W1255)</f>
        <v>3465.1</v>
      </c>
      <c r="AA1255" s="24" t="n">
        <f aca="false">MAX(AA1254,Z1255)</f>
        <v>5000</v>
      </c>
      <c r="AB1255" s="24" t="n">
        <f aca="false">AA1255-Z1255</f>
        <v>1534.9</v>
      </c>
      <c r="AC1255" s="23" t="n">
        <f aca="false">IFERROR(AB1255/AA1255,0)</f>
        <v>0.30698</v>
      </c>
      <c r="AD1255" s="22" t="s">
        <v>1492</v>
      </c>
    </row>
    <row r="1256" customFormat="false" ht="15" hidden="false" customHeight="false" outlineLevel="0" collapsed="false">
      <c r="A1256" s="22" t="n">
        <v>1255</v>
      </c>
      <c r="B1256" s="22" t="s">
        <v>156</v>
      </c>
      <c r="C1256" s="37" t="n">
        <v>45777.4659606482</v>
      </c>
      <c r="D1256" s="22" t="s">
        <v>204</v>
      </c>
      <c r="E1256" s="22" t="n">
        <v>11</v>
      </c>
      <c r="F1256" s="22" t="s">
        <v>182</v>
      </c>
      <c r="G1256" s="22" t="s">
        <v>237</v>
      </c>
      <c r="H1256" s="22" t="n">
        <v>0.05</v>
      </c>
      <c r="I1256" s="38" t="n">
        <v>3299.33</v>
      </c>
      <c r="J1256" s="38" t="n">
        <v>3298.92</v>
      </c>
      <c r="K1256" s="39" t="n">
        <f aca="false">IF(F1256="BUY",J1256-I1256,I1256-J1256)</f>
        <v>0.409999999999855</v>
      </c>
      <c r="L1256" s="38" t="n">
        <v>3305.33</v>
      </c>
      <c r="M1256" s="39" t="n">
        <f aca="false">ABS(I1256-L1256)</f>
        <v>6</v>
      </c>
      <c r="N1256" s="24" t="n">
        <f aca="false">M1256*H1256*Summary!$C$6</f>
        <v>30</v>
      </c>
      <c r="O1256" s="37" t="n">
        <v>45777.4669560185</v>
      </c>
      <c r="P1256" s="22" t="n">
        <f aca="false">ROUND((O1256-C1256)*86400,0)</f>
        <v>86</v>
      </c>
      <c r="Q1256" s="22" t="str">
        <f aca="false">IF(P1256&lt;10,"a) &lt;10s",IF(P1256&lt;60,"b) 10-60s",IF(P1256&lt;600,"c) 1-10min","d) &gt;10min")))</f>
        <v>c) 1-10min</v>
      </c>
      <c r="R1256" s="38" t="n">
        <v>3298.42</v>
      </c>
      <c r="S1256" s="38" t="n">
        <v>3298.53</v>
      </c>
      <c r="T1256" s="22" t="s">
        <v>189</v>
      </c>
      <c r="U1256" s="39" t="n">
        <f aca="false">IF(R1256="","",IF(F1256="BUY",R1256-S1256,S1256-R1256))</f>
        <v>0.110000000000127</v>
      </c>
      <c r="V1256" s="39" t="n">
        <f aca="false">IF(F1256="BUY",S1256-J1256,J1256-S1256)</f>
        <v>0.389999999999873</v>
      </c>
      <c r="W1256" s="6" t="n">
        <v>1.95</v>
      </c>
      <c r="X1256" s="26" t="n">
        <f aca="false">IFERROR(W1256/N1256,0)</f>
        <v>0.065</v>
      </c>
      <c r="Y1256" s="22" t="str">
        <f aca="false">IF(W1256&gt;0,"Win",IF(W1256&lt;0,"Loss","Flat"))</f>
        <v>Win</v>
      </c>
      <c r="Z1256" s="24" t="n">
        <f aca="false">Summary!$C$5+SUM(W$2:W1256)</f>
        <v>3467.05</v>
      </c>
      <c r="AA1256" s="24" t="n">
        <f aca="false">MAX(AA1255,Z1256)</f>
        <v>5000</v>
      </c>
      <c r="AB1256" s="24" t="n">
        <f aca="false">AA1256-Z1256</f>
        <v>1532.95</v>
      </c>
      <c r="AC1256" s="23" t="n">
        <f aca="false">IFERROR(AB1256/AA1256,0)</f>
        <v>0.30659</v>
      </c>
      <c r="AD1256" s="22" t="s">
        <v>1493</v>
      </c>
    </row>
    <row r="1257" customFormat="false" ht="15" hidden="false" customHeight="false" outlineLevel="0" collapsed="false">
      <c r="A1257" s="22" t="n">
        <v>1256</v>
      </c>
      <c r="B1257" s="22" t="s">
        <v>157</v>
      </c>
      <c r="C1257" s="37" t="n">
        <v>45778.138912037</v>
      </c>
      <c r="D1257" s="22" t="s">
        <v>205</v>
      </c>
      <c r="E1257" s="22" t="n">
        <v>3</v>
      </c>
      <c r="F1257" s="22" t="s">
        <v>182</v>
      </c>
      <c r="G1257" s="22" t="s">
        <v>237</v>
      </c>
      <c r="H1257" s="22" t="n">
        <v>0.05</v>
      </c>
      <c r="I1257" s="38" t="n">
        <v>3266.88</v>
      </c>
      <c r="J1257" s="38" t="n">
        <v>3264.12</v>
      </c>
      <c r="K1257" s="39" t="n">
        <f aca="false">IF(F1257="BUY",J1257-I1257,I1257-J1257)</f>
        <v>2.76000000000022</v>
      </c>
      <c r="L1257" s="38" t="n">
        <v>3272.88</v>
      </c>
      <c r="M1257" s="39" t="n">
        <f aca="false">ABS(I1257-L1257)</f>
        <v>6</v>
      </c>
      <c r="N1257" s="24" t="n">
        <f aca="false">M1257*H1257*Summary!$C$6</f>
        <v>30</v>
      </c>
      <c r="O1257" s="37" t="n">
        <v>45778.1420138889</v>
      </c>
      <c r="P1257" s="22" t="n">
        <f aca="false">ROUND((O1257-C1257)*86400,0)</f>
        <v>268</v>
      </c>
      <c r="Q1257" s="22" t="str">
        <f aca="false">IF(P1257&lt;10,"a) &lt;10s",IF(P1257&lt;60,"b) 10-60s",IF(P1257&lt;600,"c) 1-10min","d) &gt;10min")))</f>
        <v>c) 1-10min</v>
      </c>
      <c r="R1257" s="38" t="n">
        <v>3263.62</v>
      </c>
      <c r="S1257" s="38" t="n">
        <v>3263.68</v>
      </c>
      <c r="T1257" s="22" t="s">
        <v>189</v>
      </c>
      <c r="U1257" s="39" t="n">
        <f aca="false">IF(R1257="","",IF(F1257="BUY",R1257-S1257,S1257-R1257))</f>
        <v>0.0599999999999454</v>
      </c>
      <c r="V1257" s="39" t="n">
        <f aca="false">IF(F1257="BUY",S1257-J1257,J1257-S1257)</f>
        <v>0.440000000000055</v>
      </c>
      <c r="W1257" s="6" t="n">
        <v>2.2</v>
      </c>
      <c r="X1257" s="26" t="n">
        <f aca="false">IFERROR(W1257/N1257,0)</f>
        <v>0.0733333333333333</v>
      </c>
      <c r="Y1257" s="22" t="str">
        <f aca="false">IF(W1257&gt;0,"Win",IF(W1257&lt;0,"Loss","Flat"))</f>
        <v>Win</v>
      </c>
      <c r="Z1257" s="24" t="n">
        <f aca="false">Summary!$C$5+SUM(W$2:W1257)</f>
        <v>3469.25</v>
      </c>
      <c r="AA1257" s="24" t="n">
        <f aca="false">MAX(AA1256,Z1257)</f>
        <v>5000</v>
      </c>
      <c r="AB1257" s="24" t="n">
        <f aca="false">AA1257-Z1257</f>
        <v>1530.75</v>
      </c>
      <c r="AC1257" s="23" t="n">
        <f aca="false">IFERROR(AB1257/AA1257,0)</f>
        <v>0.30615</v>
      </c>
      <c r="AD1257" s="22" t="s">
        <v>1494</v>
      </c>
    </row>
    <row r="1258" customFormat="false" ht="15" hidden="false" customHeight="false" outlineLevel="0" collapsed="false">
      <c r="A1258" s="22" t="n">
        <v>1257</v>
      </c>
      <c r="B1258" s="22" t="s">
        <v>157</v>
      </c>
      <c r="C1258" s="37" t="n">
        <v>45778.3755208333</v>
      </c>
      <c r="D1258" s="22" t="s">
        <v>205</v>
      </c>
      <c r="E1258" s="22" t="n">
        <v>9</v>
      </c>
      <c r="F1258" s="22" t="s">
        <v>181</v>
      </c>
      <c r="G1258" s="22" t="s">
        <v>235</v>
      </c>
      <c r="H1258" s="22" t="n">
        <v>0.05</v>
      </c>
      <c r="I1258" s="38" t="n">
        <v>3238.31</v>
      </c>
      <c r="J1258" s="38" t="n">
        <v>3238.4</v>
      </c>
      <c r="K1258" s="39" t="n">
        <f aca="false">IF(F1258="BUY",J1258-I1258,I1258-J1258)</f>
        <v>0.0900000000001455</v>
      </c>
      <c r="L1258" s="38" t="n">
        <v>3232.31</v>
      </c>
      <c r="M1258" s="39" t="n">
        <f aca="false">ABS(I1258-L1258)</f>
        <v>6</v>
      </c>
      <c r="N1258" s="24" t="n">
        <f aca="false">M1258*H1258*Summary!$C$6</f>
        <v>30</v>
      </c>
      <c r="O1258" s="37" t="n">
        <v>45778.383599537</v>
      </c>
      <c r="P1258" s="22" t="n">
        <f aca="false">ROUND((O1258-C1258)*86400,0)</f>
        <v>698</v>
      </c>
      <c r="Q1258" s="22" t="str">
        <f aca="false">IF(P1258&lt;10,"a) &lt;10s",IF(P1258&lt;60,"b) 10-60s",IF(P1258&lt;600,"c) 1-10min","d) &gt;10min")))</f>
        <v>d) &gt;10min</v>
      </c>
      <c r="R1258" s="38" t="n">
        <v>3238.9</v>
      </c>
      <c r="S1258" s="38" t="n">
        <v>3238.88</v>
      </c>
      <c r="T1258" s="22" t="s">
        <v>189</v>
      </c>
      <c r="U1258" s="39" t="n">
        <f aca="false">IF(R1258="","",IF(F1258="BUY",R1258-S1258,S1258-R1258))</f>
        <v>0.0199999999999818</v>
      </c>
      <c r="V1258" s="39" t="n">
        <f aca="false">IF(F1258="BUY",S1258-J1258,J1258-S1258)</f>
        <v>0.480000000000018</v>
      </c>
      <c r="W1258" s="6" t="n">
        <v>2.4</v>
      </c>
      <c r="X1258" s="26" t="n">
        <f aca="false">IFERROR(W1258/N1258,0)</f>
        <v>0.08</v>
      </c>
      <c r="Y1258" s="22" t="str">
        <f aca="false">IF(W1258&gt;0,"Win",IF(W1258&lt;0,"Loss","Flat"))</f>
        <v>Win</v>
      </c>
      <c r="Z1258" s="24" t="n">
        <f aca="false">Summary!$C$5+SUM(W$2:W1258)</f>
        <v>3471.65</v>
      </c>
      <c r="AA1258" s="24" t="n">
        <f aca="false">MAX(AA1257,Z1258)</f>
        <v>5000</v>
      </c>
      <c r="AB1258" s="24" t="n">
        <f aca="false">AA1258-Z1258</f>
        <v>1528.35</v>
      </c>
      <c r="AC1258" s="23" t="n">
        <f aca="false">IFERROR(AB1258/AA1258,0)</f>
        <v>0.30567</v>
      </c>
      <c r="AD1258" s="22" t="s">
        <v>1495</v>
      </c>
    </row>
    <row r="1259" customFormat="false" ht="15" hidden="false" customHeight="false" outlineLevel="0" collapsed="false">
      <c r="A1259" s="22" t="n">
        <v>1258</v>
      </c>
      <c r="B1259" s="22" t="s">
        <v>157</v>
      </c>
      <c r="C1259" s="37" t="n">
        <v>45779.3862847222</v>
      </c>
      <c r="D1259" s="22" t="s">
        <v>206</v>
      </c>
      <c r="E1259" s="22" t="n">
        <v>9</v>
      </c>
      <c r="F1259" s="22" t="s">
        <v>181</v>
      </c>
      <c r="G1259" s="22" t="s">
        <v>235</v>
      </c>
      <c r="H1259" s="22" t="n">
        <v>0.05</v>
      </c>
      <c r="I1259" s="38" t="n">
        <v>3257.15</v>
      </c>
      <c r="J1259" s="38" t="n">
        <v>3257.2</v>
      </c>
      <c r="K1259" s="39" t="n">
        <f aca="false">IF(F1259="BUY",J1259-I1259,I1259-J1259)</f>
        <v>0.0499999999997272</v>
      </c>
      <c r="L1259" s="38" t="n">
        <v>3251.15</v>
      </c>
      <c r="M1259" s="39" t="n">
        <f aca="false">ABS(I1259-L1259)</f>
        <v>6</v>
      </c>
      <c r="N1259" s="24" t="n">
        <f aca="false">M1259*H1259*Summary!$C$6</f>
        <v>30</v>
      </c>
      <c r="O1259" s="37" t="n">
        <v>45779.3936805556</v>
      </c>
      <c r="P1259" s="22" t="n">
        <f aca="false">ROUND((O1259-C1259)*86400,0)</f>
        <v>639</v>
      </c>
      <c r="Q1259" s="22" t="str">
        <f aca="false">IF(P1259&lt;10,"a) &lt;10s",IF(P1259&lt;60,"b) 10-60s",IF(P1259&lt;600,"c) 1-10min","d) &gt;10min")))</f>
        <v>d) &gt;10min</v>
      </c>
      <c r="R1259" s="38" t="n">
        <v>3257.7</v>
      </c>
      <c r="S1259" s="38" t="n">
        <v>3257.69</v>
      </c>
      <c r="T1259" s="22" t="s">
        <v>189</v>
      </c>
      <c r="U1259" s="39" t="n">
        <f aca="false">IF(R1259="","",IF(F1259="BUY",R1259-S1259,S1259-R1259))</f>
        <v>0.00999999999976353</v>
      </c>
      <c r="V1259" s="39" t="n">
        <f aca="false">IF(F1259="BUY",S1259-J1259,J1259-S1259)</f>
        <v>0.490000000000236</v>
      </c>
      <c r="W1259" s="6" t="n">
        <v>2.45</v>
      </c>
      <c r="X1259" s="26" t="n">
        <f aca="false">IFERROR(W1259/N1259,0)</f>
        <v>0.0816666666666667</v>
      </c>
      <c r="Y1259" s="22" t="str">
        <f aca="false">IF(W1259&gt;0,"Win",IF(W1259&lt;0,"Loss","Flat"))</f>
        <v>Win</v>
      </c>
      <c r="Z1259" s="24" t="n">
        <f aca="false">Summary!$C$5+SUM(W$2:W1259)</f>
        <v>3474.1</v>
      </c>
      <c r="AA1259" s="24" t="n">
        <f aca="false">MAX(AA1258,Z1259)</f>
        <v>5000</v>
      </c>
      <c r="AB1259" s="24" t="n">
        <f aca="false">AA1259-Z1259</f>
        <v>1525.9</v>
      </c>
      <c r="AC1259" s="23" t="n">
        <f aca="false">IFERROR(AB1259/AA1259,0)</f>
        <v>0.30518</v>
      </c>
      <c r="AD1259" s="22" t="s">
        <v>1496</v>
      </c>
    </row>
    <row r="1260" customFormat="false" ht="15" hidden="false" customHeight="false" outlineLevel="0" collapsed="false">
      <c r="A1260" s="22" t="n">
        <v>1259</v>
      </c>
      <c r="B1260" s="22" t="s">
        <v>157</v>
      </c>
      <c r="C1260" s="37" t="n">
        <v>45782.1887268519</v>
      </c>
      <c r="D1260" s="22" t="s">
        <v>202</v>
      </c>
      <c r="E1260" s="22" t="n">
        <v>4</v>
      </c>
      <c r="F1260" s="22" t="s">
        <v>181</v>
      </c>
      <c r="G1260" s="22" t="s">
        <v>243</v>
      </c>
      <c r="H1260" s="22" t="n">
        <v>0.05</v>
      </c>
      <c r="I1260" s="38" t="n">
        <v>3268.81</v>
      </c>
      <c r="J1260" s="38" t="n">
        <v>3269</v>
      </c>
      <c r="K1260" s="39" t="n">
        <f aca="false">IF(F1260="BUY",J1260-I1260,I1260-J1260)</f>
        <v>0.190000000000055</v>
      </c>
      <c r="L1260" s="38" t="n">
        <v>3262.81</v>
      </c>
      <c r="M1260" s="39" t="n">
        <f aca="false">ABS(I1260-L1260)</f>
        <v>6</v>
      </c>
      <c r="N1260" s="24" t="n">
        <f aca="false">M1260*H1260*Summary!$C$6</f>
        <v>30</v>
      </c>
      <c r="O1260" s="37" t="n">
        <v>45782.1966203704</v>
      </c>
      <c r="P1260" s="22" t="n">
        <f aca="false">ROUND((O1260-C1260)*86400,0)</f>
        <v>682</v>
      </c>
      <c r="Q1260" s="22" t="str">
        <f aca="false">IF(P1260&lt;10,"a) &lt;10s",IF(P1260&lt;60,"b) 10-60s",IF(P1260&lt;600,"c) 1-10min","d) &gt;10min")))</f>
        <v>d) &gt;10min</v>
      </c>
      <c r="R1260" s="38" t="n">
        <v>3262.81</v>
      </c>
      <c r="S1260" s="38" t="n">
        <v>3262.79</v>
      </c>
      <c r="T1260" s="22" t="s">
        <v>188</v>
      </c>
      <c r="U1260" s="39" t="n">
        <f aca="false">IF(R1260="","",IF(F1260="BUY",R1260-S1260,S1260-R1260))</f>
        <v>0.0199999999999818</v>
      </c>
      <c r="V1260" s="39" t="n">
        <f aca="false">IF(F1260="BUY",S1260-J1260,J1260-S1260)</f>
        <v>-6.21000000000004</v>
      </c>
      <c r="W1260" s="6" t="n">
        <v>-31.05</v>
      </c>
      <c r="X1260" s="26" t="n">
        <f aca="false">IFERROR(W1260/N1260,0)</f>
        <v>-1.035</v>
      </c>
      <c r="Y1260" s="22" t="str">
        <f aca="false">IF(W1260&gt;0,"Win",IF(W1260&lt;0,"Loss","Flat"))</f>
        <v>Loss</v>
      </c>
      <c r="Z1260" s="24" t="n">
        <f aca="false">Summary!$C$5+SUM(W$2:W1260)</f>
        <v>3443.05</v>
      </c>
      <c r="AA1260" s="24" t="n">
        <f aca="false">MAX(AA1259,Z1260)</f>
        <v>5000</v>
      </c>
      <c r="AB1260" s="24" t="n">
        <f aca="false">AA1260-Z1260</f>
        <v>1556.95</v>
      </c>
      <c r="AC1260" s="23" t="n">
        <f aca="false">IFERROR(AB1260/AA1260,0)</f>
        <v>0.31139</v>
      </c>
      <c r="AD1260" s="22" t="s">
        <v>1497</v>
      </c>
    </row>
    <row r="1261" customFormat="false" ht="15" hidden="false" customHeight="false" outlineLevel="0" collapsed="false">
      <c r="A1261" s="22" t="n">
        <v>1260</v>
      </c>
      <c r="B1261" s="22" t="s">
        <v>157</v>
      </c>
      <c r="C1261" s="37" t="n">
        <v>45782.3766435185</v>
      </c>
      <c r="D1261" s="22" t="s">
        <v>202</v>
      </c>
      <c r="E1261" s="22" t="n">
        <v>9</v>
      </c>
      <c r="F1261" s="22" t="s">
        <v>181</v>
      </c>
      <c r="G1261" s="22" t="s">
        <v>235</v>
      </c>
      <c r="H1261" s="22" t="n">
        <v>0.05</v>
      </c>
      <c r="I1261" s="38" t="n">
        <v>3261.74</v>
      </c>
      <c r="J1261" s="38" t="n">
        <v>3261.74</v>
      </c>
      <c r="K1261" s="39" t="n">
        <f aca="false">IF(F1261="BUY",J1261-I1261,I1261-J1261)</f>
        <v>0</v>
      </c>
      <c r="L1261" s="38" t="n">
        <v>3255.74</v>
      </c>
      <c r="M1261" s="39" t="n">
        <f aca="false">ABS(I1261-L1261)</f>
        <v>6</v>
      </c>
      <c r="N1261" s="24" t="n">
        <f aca="false">M1261*H1261*Summary!$C$6</f>
        <v>30</v>
      </c>
      <c r="O1261" s="37" t="n">
        <v>45782.4071759259</v>
      </c>
      <c r="P1261" s="22" t="n">
        <f aca="false">ROUND((O1261-C1261)*86400,0)</f>
        <v>2638</v>
      </c>
      <c r="Q1261" s="22" t="str">
        <f aca="false">IF(P1261&lt;10,"a) &lt;10s",IF(P1261&lt;60,"b) 10-60s",IF(P1261&lt;600,"c) 1-10min","d) &gt;10min")))</f>
        <v>d) &gt;10min</v>
      </c>
      <c r="R1261" s="38" t="n">
        <v>3262.24</v>
      </c>
      <c r="S1261" s="38" t="n">
        <v>3262.17</v>
      </c>
      <c r="T1261" s="22" t="s">
        <v>189</v>
      </c>
      <c r="U1261" s="39" t="n">
        <f aca="false">IF(R1261="","",IF(F1261="BUY",R1261-S1261,S1261-R1261))</f>
        <v>0.069999999999709</v>
      </c>
      <c r="V1261" s="39" t="n">
        <f aca="false">IF(F1261="BUY",S1261-J1261,J1261-S1261)</f>
        <v>0.430000000000291</v>
      </c>
      <c r="W1261" s="6" t="n">
        <v>2.15</v>
      </c>
      <c r="X1261" s="26" t="n">
        <f aca="false">IFERROR(W1261/N1261,0)</f>
        <v>0.0716666666666667</v>
      </c>
      <c r="Y1261" s="22" t="str">
        <f aca="false">IF(W1261&gt;0,"Win",IF(W1261&lt;0,"Loss","Flat"))</f>
        <v>Win</v>
      </c>
      <c r="Z1261" s="24" t="n">
        <f aca="false">Summary!$C$5+SUM(W$2:W1261)</f>
        <v>3445.2</v>
      </c>
      <c r="AA1261" s="24" t="n">
        <f aca="false">MAX(AA1260,Z1261)</f>
        <v>5000</v>
      </c>
      <c r="AB1261" s="24" t="n">
        <f aca="false">AA1261-Z1261</f>
        <v>1554.8</v>
      </c>
      <c r="AC1261" s="23" t="n">
        <f aca="false">IFERROR(AB1261/AA1261,0)</f>
        <v>0.31096</v>
      </c>
      <c r="AD1261" s="22" t="s">
        <v>1498</v>
      </c>
    </row>
    <row r="1262" customFormat="false" ht="15" hidden="false" customHeight="false" outlineLevel="0" collapsed="false">
      <c r="A1262" s="22" t="n">
        <v>1261</v>
      </c>
      <c r="B1262" s="22" t="s">
        <v>157</v>
      </c>
      <c r="C1262" s="37" t="n">
        <v>45783.3863541667</v>
      </c>
      <c r="D1262" s="22" t="s">
        <v>203</v>
      </c>
      <c r="E1262" s="22" t="n">
        <v>9</v>
      </c>
      <c r="F1262" s="22" t="s">
        <v>181</v>
      </c>
      <c r="G1262" s="22" t="s">
        <v>235</v>
      </c>
      <c r="H1262" s="22" t="n">
        <v>0.05</v>
      </c>
      <c r="I1262" s="38" t="n">
        <v>3365.61</v>
      </c>
      <c r="J1262" s="38" t="n">
        <v>3365.68</v>
      </c>
      <c r="K1262" s="39" t="n">
        <f aca="false">IF(F1262="BUY",J1262-I1262,I1262-J1262)</f>
        <v>0.069999999999709</v>
      </c>
      <c r="L1262" s="38" t="n">
        <v>3359.61</v>
      </c>
      <c r="M1262" s="39" t="n">
        <f aca="false">ABS(I1262-L1262)</f>
        <v>6</v>
      </c>
      <c r="N1262" s="24" t="n">
        <f aca="false">M1262*H1262*Summary!$C$6</f>
        <v>30</v>
      </c>
      <c r="O1262" s="37" t="n">
        <v>45783.3886574074</v>
      </c>
      <c r="P1262" s="22" t="n">
        <f aca="false">ROUND((O1262-C1262)*86400,0)</f>
        <v>199</v>
      </c>
      <c r="Q1262" s="22" t="str">
        <f aca="false">IF(P1262&lt;10,"a) &lt;10s",IF(P1262&lt;60,"b) 10-60s",IF(P1262&lt;600,"c) 1-10min","d) &gt;10min")))</f>
        <v>c) 1-10min</v>
      </c>
      <c r="R1262" s="38" t="n">
        <v>3366.18</v>
      </c>
      <c r="S1262" s="38" t="n">
        <v>3366.15</v>
      </c>
      <c r="T1262" s="22" t="s">
        <v>189</v>
      </c>
      <c r="U1262" s="39" t="n">
        <f aca="false">IF(R1262="","",IF(F1262="BUY",R1262-S1262,S1262-R1262))</f>
        <v>0.0299999999997453</v>
      </c>
      <c r="V1262" s="39" t="n">
        <f aca="false">IF(F1262="BUY",S1262-J1262,J1262-S1262)</f>
        <v>0.470000000000255</v>
      </c>
      <c r="W1262" s="6" t="n">
        <v>2.35</v>
      </c>
      <c r="X1262" s="26" t="n">
        <f aca="false">IFERROR(W1262/N1262,0)</f>
        <v>0.0783333333333333</v>
      </c>
      <c r="Y1262" s="22" t="str">
        <f aca="false">IF(W1262&gt;0,"Win",IF(W1262&lt;0,"Loss","Flat"))</f>
        <v>Win</v>
      </c>
      <c r="Z1262" s="24" t="n">
        <f aca="false">Summary!$C$5+SUM(W$2:W1262)</f>
        <v>3447.55</v>
      </c>
      <c r="AA1262" s="24" t="n">
        <f aca="false">MAX(AA1261,Z1262)</f>
        <v>5000</v>
      </c>
      <c r="AB1262" s="24" t="n">
        <f aca="false">AA1262-Z1262</f>
        <v>1552.45</v>
      </c>
      <c r="AC1262" s="23" t="n">
        <f aca="false">IFERROR(AB1262/AA1262,0)</f>
        <v>0.31049</v>
      </c>
      <c r="AD1262" s="22" t="s">
        <v>1499</v>
      </c>
    </row>
    <row r="1263" customFormat="false" ht="15" hidden="false" customHeight="false" outlineLevel="0" collapsed="false">
      <c r="A1263" s="22" t="n">
        <v>1262</v>
      </c>
      <c r="B1263" s="22" t="s">
        <v>157</v>
      </c>
      <c r="C1263" s="37" t="n">
        <v>45784.5163194445</v>
      </c>
      <c r="D1263" s="22" t="s">
        <v>204</v>
      </c>
      <c r="E1263" s="22" t="n">
        <v>12</v>
      </c>
      <c r="F1263" s="22" t="s">
        <v>182</v>
      </c>
      <c r="G1263" s="22" t="s">
        <v>241</v>
      </c>
      <c r="H1263" s="22" t="n">
        <v>0.05</v>
      </c>
      <c r="I1263" s="38" t="n">
        <v>3374.46</v>
      </c>
      <c r="J1263" s="38" t="n">
        <v>3374.38</v>
      </c>
      <c r="K1263" s="39" t="n">
        <f aca="false">IF(F1263="BUY",J1263-I1263,I1263-J1263)</f>
        <v>0.0799999999999272</v>
      </c>
      <c r="L1263" s="38" t="n">
        <v>3380.46</v>
      </c>
      <c r="M1263" s="39" t="n">
        <f aca="false">ABS(I1263-L1263)</f>
        <v>6</v>
      </c>
      <c r="N1263" s="24" t="n">
        <f aca="false">M1263*H1263*Summary!$C$6</f>
        <v>30</v>
      </c>
      <c r="O1263" s="37" t="n">
        <v>45784.5189699074</v>
      </c>
      <c r="P1263" s="22" t="n">
        <f aca="false">ROUND((O1263-C1263)*86400,0)</f>
        <v>229</v>
      </c>
      <c r="Q1263" s="22" t="str">
        <f aca="false">IF(P1263&lt;10,"a) &lt;10s",IF(P1263&lt;60,"b) 10-60s",IF(P1263&lt;600,"c) 1-10min","d) &gt;10min")))</f>
        <v>c) 1-10min</v>
      </c>
      <c r="R1263" s="38" t="n">
        <v>3373.88</v>
      </c>
      <c r="S1263" s="38" t="n">
        <v>3373.9</v>
      </c>
      <c r="T1263" s="22" t="s">
        <v>189</v>
      </c>
      <c r="U1263" s="39" t="n">
        <f aca="false">IF(R1263="","",IF(F1263="BUY",R1263-S1263,S1263-R1263))</f>
        <v>0.0199999999999818</v>
      </c>
      <c r="V1263" s="39" t="n">
        <f aca="false">IF(F1263="BUY",S1263-J1263,J1263-S1263)</f>
        <v>0.480000000000018</v>
      </c>
      <c r="W1263" s="6" t="n">
        <v>2.4</v>
      </c>
      <c r="X1263" s="26" t="n">
        <f aca="false">IFERROR(W1263/N1263,0)</f>
        <v>0.08</v>
      </c>
      <c r="Y1263" s="22" t="str">
        <f aca="false">IF(W1263&gt;0,"Win",IF(W1263&lt;0,"Loss","Flat"))</f>
        <v>Win</v>
      </c>
      <c r="Z1263" s="24" t="n">
        <f aca="false">Summary!$C$5+SUM(W$2:W1263)</f>
        <v>3449.95</v>
      </c>
      <c r="AA1263" s="24" t="n">
        <f aca="false">MAX(AA1262,Z1263)</f>
        <v>5000</v>
      </c>
      <c r="AB1263" s="24" t="n">
        <f aca="false">AA1263-Z1263</f>
        <v>1550.05</v>
      </c>
      <c r="AC1263" s="23" t="n">
        <f aca="false">IFERROR(AB1263/AA1263,0)</f>
        <v>0.31001</v>
      </c>
      <c r="AD1263" s="22" t="s">
        <v>1500</v>
      </c>
    </row>
    <row r="1264" customFormat="false" ht="15" hidden="false" customHeight="false" outlineLevel="0" collapsed="false">
      <c r="A1264" s="22" t="n">
        <v>1263</v>
      </c>
      <c r="B1264" s="22" t="s">
        <v>157</v>
      </c>
      <c r="C1264" s="37" t="n">
        <v>45785.3712731482</v>
      </c>
      <c r="D1264" s="22" t="s">
        <v>205</v>
      </c>
      <c r="E1264" s="22" t="n">
        <v>8</v>
      </c>
      <c r="F1264" s="22" t="s">
        <v>182</v>
      </c>
      <c r="G1264" s="22" t="s">
        <v>237</v>
      </c>
      <c r="H1264" s="22" t="n">
        <v>0.05</v>
      </c>
      <c r="I1264" s="38" t="n">
        <v>3359.74</v>
      </c>
      <c r="J1264" s="38" t="n">
        <v>3359.66</v>
      </c>
      <c r="K1264" s="39" t="n">
        <f aca="false">IF(F1264="BUY",J1264-I1264,I1264-J1264)</f>
        <v>0.0799999999999272</v>
      </c>
      <c r="L1264" s="38" t="n">
        <v>3365.74</v>
      </c>
      <c r="M1264" s="39" t="n">
        <f aca="false">ABS(I1264-L1264)</f>
        <v>6</v>
      </c>
      <c r="N1264" s="24" t="n">
        <f aca="false">M1264*H1264*Summary!$C$6</f>
        <v>30</v>
      </c>
      <c r="O1264" s="37" t="n">
        <v>45785.3735185185</v>
      </c>
      <c r="P1264" s="22" t="n">
        <f aca="false">ROUND((O1264-C1264)*86400,0)</f>
        <v>194</v>
      </c>
      <c r="Q1264" s="22" t="str">
        <f aca="false">IF(P1264&lt;10,"a) &lt;10s",IF(P1264&lt;60,"b) 10-60s",IF(P1264&lt;600,"c) 1-10min","d) &gt;10min")))</f>
        <v>c) 1-10min</v>
      </c>
      <c r="R1264" s="38" t="n">
        <v>3365.74</v>
      </c>
      <c r="S1264" s="38" t="n">
        <v>3365.78</v>
      </c>
      <c r="T1264" s="22" t="s">
        <v>188</v>
      </c>
      <c r="U1264" s="39" t="n">
        <f aca="false">IF(R1264="","",IF(F1264="BUY",R1264-S1264,S1264-R1264))</f>
        <v>0.0400000000004184</v>
      </c>
      <c r="V1264" s="39" t="n">
        <f aca="false">IF(F1264="BUY",S1264-J1264,J1264-S1264)</f>
        <v>-6.12000000000035</v>
      </c>
      <c r="W1264" s="6" t="n">
        <v>-30.6</v>
      </c>
      <c r="X1264" s="26" t="n">
        <f aca="false">IFERROR(W1264/N1264,0)</f>
        <v>-1.02</v>
      </c>
      <c r="Y1264" s="22" t="str">
        <f aca="false">IF(W1264&gt;0,"Win",IF(W1264&lt;0,"Loss","Flat"))</f>
        <v>Loss</v>
      </c>
      <c r="Z1264" s="24" t="n">
        <f aca="false">Summary!$C$5+SUM(W$2:W1264)</f>
        <v>3419.35</v>
      </c>
      <c r="AA1264" s="24" t="n">
        <f aca="false">MAX(AA1263,Z1264)</f>
        <v>5000</v>
      </c>
      <c r="AB1264" s="24" t="n">
        <f aca="false">AA1264-Z1264</f>
        <v>1580.65</v>
      </c>
      <c r="AC1264" s="23" t="n">
        <f aca="false">IFERROR(AB1264/AA1264,0)</f>
        <v>0.31613</v>
      </c>
      <c r="AD1264" s="22" t="s">
        <v>1501</v>
      </c>
    </row>
    <row r="1265" customFormat="false" ht="15" hidden="false" customHeight="false" outlineLevel="0" collapsed="false">
      <c r="A1265" s="22" t="n">
        <v>1264</v>
      </c>
      <c r="B1265" s="22" t="s">
        <v>157</v>
      </c>
      <c r="C1265" s="37" t="n">
        <v>45786.1924768519</v>
      </c>
      <c r="D1265" s="22" t="s">
        <v>206</v>
      </c>
      <c r="E1265" s="22" t="n">
        <v>4</v>
      </c>
      <c r="F1265" s="22" t="s">
        <v>182</v>
      </c>
      <c r="G1265" s="22" t="s">
        <v>237</v>
      </c>
      <c r="H1265" s="22" t="n">
        <v>0.05</v>
      </c>
      <c r="I1265" s="38" t="n">
        <v>3288.45</v>
      </c>
      <c r="J1265" s="38" t="n">
        <v>3287.91</v>
      </c>
      <c r="K1265" s="39" t="n">
        <f aca="false">IF(F1265="BUY",J1265-I1265,I1265-J1265)</f>
        <v>0.539999999999964</v>
      </c>
      <c r="L1265" s="38" t="n">
        <v>3294.45</v>
      </c>
      <c r="M1265" s="39" t="n">
        <f aca="false">ABS(I1265-L1265)</f>
        <v>6</v>
      </c>
      <c r="N1265" s="24" t="n">
        <f aca="false">M1265*H1265*Summary!$C$6</f>
        <v>30</v>
      </c>
      <c r="O1265" s="37" t="n">
        <v>45786.1977314815</v>
      </c>
      <c r="P1265" s="22" t="n">
        <f aca="false">ROUND((O1265-C1265)*86400,0)</f>
        <v>454</v>
      </c>
      <c r="Q1265" s="22" t="str">
        <f aca="false">IF(P1265&lt;10,"a) &lt;10s",IF(P1265&lt;60,"b) 10-60s",IF(P1265&lt;600,"c) 1-10min","d) &gt;10min")))</f>
        <v>c) 1-10min</v>
      </c>
      <c r="R1265" s="38" t="n">
        <v>3294.45</v>
      </c>
      <c r="S1265" s="38" t="n">
        <v>3294.52</v>
      </c>
      <c r="T1265" s="22" t="s">
        <v>188</v>
      </c>
      <c r="U1265" s="39" t="n">
        <f aca="false">IF(R1265="","",IF(F1265="BUY",R1265-S1265,S1265-R1265))</f>
        <v>0.0700000000001637</v>
      </c>
      <c r="V1265" s="39" t="n">
        <f aca="false">IF(F1265="BUY",S1265-J1265,J1265-S1265)</f>
        <v>-6.61000000000013</v>
      </c>
      <c r="W1265" s="6" t="n">
        <v>-33.05</v>
      </c>
      <c r="X1265" s="26" t="n">
        <f aca="false">IFERROR(W1265/N1265,0)</f>
        <v>-1.10166666666667</v>
      </c>
      <c r="Y1265" s="22" t="str">
        <f aca="false">IF(W1265&gt;0,"Win",IF(W1265&lt;0,"Loss","Flat"))</f>
        <v>Loss</v>
      </c>
      <c r="Z1265" s="24" t="n">
        <f aca="false">Summary!$C$5+SUM(W$2:W1265)</f>
        <v>3386.3</v>
      </c>
      <c r="AA1265" s="24" t="n">
        <f aca="false">MAX(AA1264,Z1265)</f>
        <v>5000</v>
      </c>
      <c r="AB1265" s="24" t="n">
        <f aca="false">AA1265-Z1265</f>
        <v>1613.7</v>
      </c>
      <c r="AC1265" s="23" t="n">
        <f aca="false">IFERROR(AB1265/AA1265,0)</f>
        <v>0.32274</v>
      </c>
      <c r="AD1265" s="22" t="s">
        <v>1502</v>
      </c>
    </row>
    <row r="1266" customFormat="false" ht="15" hidden="false" customHeight="false" outlineLevel="0" collapsed="false">
      <c r="A1266" s="22" t="n">
        <v>1265</v>
      </c>
      <c r="B1266" s="22" t="s">
        <v>157</v>
      </c>
      <c r="C1266" s="37" t="n">
        <v>45786.4220023148</v>
      </c>
      <c r="D1266" s="22" t="s">
        <v>206</v>
      </c>
      <c r="E1266" s="22" t="n">
        <v>10</v>
      </c>
      <c r="F1266" s="22" t="s">
        <v>181</v>
      </c>
      <c r="G1266" s="22" t="s">
        <v>235</v>
      </c>
      <c r="H1266" s="22" t="n">
        <v>0.05</v>
      </c>
      <c r="I1266" s="38" t="n">
        <v>3329.92</v>
      </c>
      <c r="J1266" s="38" t="n">
        <v>3329.92</v>
      </c>
      <c r="K1266" s="39" t="n">
        <f aca="false">IF(F1266="BUY",J1266-I1266,I1266-J1266)</f>
        <v>0</v>
      </c>
      <c r="L1266" s="38" t="n">
        <v>3323.92</v>
      </c>
      <c r="M1266" s="39" t="n">
        <f aca="false">ABS(I1266-L1266)</f>
        <v>6</v>
      </c>
      <c r="N1266" s="24" t="n">
        <f aca="false">M1266*H1266*Summary!$C$6</f>
        <v>30</v>
      </c>
      <c r="O1266" s="37" t="n">
        <v>45786.4253819444</v>
      </c>
      <c r="P1266" s="22" t="n">
        <f aca="false">ROUND((O1266-C1266)*86400,0)</f>
        <v>292</v>
      </c>
      <c r="Q1266" s="22" t="str">
        <f aca="false">IF(P1266&lt;10,"a) &lt;10s",IF(P1266&lt;60,"b) 10-60s",IF(P1266&lt;600,"c) 1-10min","d) &gt;10min")))</f>
        <v>c) 1-10min</v>
      </c>
      <c r="R1266" s="38" t="n">
        <v>3330.42</v>
      </c>
      <c r="S1266" s="38" t="n">
        <v>3330.37</v>
      </c>
      <c r="T1266" s="22" t="s">
        <v>189</v>
      </c>
      <c r="U1266" s="39" t="n">
        <f aca="false">IF(R1266="","",IF(F1266="BUY",R1266-S1266,S1266-R1266))</f>
        <v>0.0500000000001819</v>
      </c>
      <c r="V1266" s="39" t="n">
        <f aca="false">IF(F1266="BUY",S1266-J1266,J1266-S1266)</f>
        <v>0.449999999999818</v>
      </c>
      <c r="W1266" s="6" t="n">
        <v>2.25</v>
      </c>
      <c r="X1266" s="26" t="n">
        <f aca="false">IFERROR(W1266/N1266,0)</f>
        <v>0.075</v>
      </c>
      <c r="Y1266" s="22" t="str">
        <f aca="false">IF(W1266&gt;0,"Win",IF(W1266&lt;0,"Loss","Flat"))</f>
        <v>Win</v>
      </c>
      <c r="Z1266" s="24" t="n">
        <f aca="false">Summary!$C$5+SUM(W$2:W1266)</f>
        <v>3388.55</v>
      </c>
      <c r="AA1266" s="24" t="n">
        <f aca="false">MAX(AA1265,Z1266)</f>
        <v>5000</v>
      </c>
      <c r="AB1266" s="24" t="n">
        <f aca="false">AA1266-Z1266</f>
        <v>1611.45</v>
      </c>
      <c r="AC1266" s="23" t="n">
        <f aca="false">IFERROR(AB1266/AA1266,0)</f>
        <v>0.32229</v>
      </c>
      <c r="AD1266" s="22" t="s">
        <v>1503</v>
      </c>
    </row>
    <row r="1267" customFormat="false" ht="15" hidden="false" customHeight="false" outlineLevel="0" collapsed="false">
      <c r="A1267" s="22" t="n">
        <v>1266</v>
      </c>
      <c r="B1267" s="22" t="s">
        <v>157</v>
      </c>
      <c r="C1267" s="37" t="n">
        <v>45789.4168518519</v>
      </c>
      <c r="D1267" s="22" t="s">
        <v>202</v>
      </c>
      <c r="E1267" s="22" t="n">
        <v>10</v>
      </c>
      <c r="F1267" s="22" t="s">
        <v>182</v>
      </c>
      <c r="G1267" s="22" t="s">
        <v>241</v>
      </c>
      <c r="H1267" s="22" t="n">
        <v>0.05</v>
      </c>
      <c r="I1267" s="38" t="n">
        <v>3268.12</v>
      </c>
      <c r="J1267" s="38" t="n">
        <v>3267.64</v>
      </c>
      <c r="K1267" s="39" t="n">
        <f aca="false">IF(F1267="BUY",J1267-I1267,I1267-J1267)</f>
        <v>0.480000000000018</v>
      </c>
      <c r="L1267" s="38" t="n">
        <v>3274.12</v>
      </c>
      <c r="M1267" s="39" t="n">
        <f aca="false">ABS(I1267-L1267)</f>
        <v>6</v>
      </c>
      <c r="N1267" s="24" t="n">
        <f aca="false">M1267*H1267*Summary!$C$6</f>
        <v>30</v>
      </c>
      <c r="O1267" s="37" t="n">
        <v>45789.4331828704</v>
      </c>
      <c r="P1267" s="22" t="n">
        <f aca="false">ROUND((O1267-C1267)*86400,0)</f>
        <v>1411</v>
      </c>
      <c r="Q1267" s="22" t="str">
        <f aca="false">IF(P1267&lt;10,"a) &lt;10s",IF(P1267&lt;60,"b) 10-60s",IF(P1267&lt;600,"c) 1-10min","d) &gt;10min")))</f>
        <v>d) &gt;10min</v>
      </c>
      <c r="R1267" s="38"/>
      <c r="S1267" s="38" t="n">
        <v>3238.1</v>
      </c>
      <c r="T1267" s="22" t="s">
        <v>187</v>
      </c>
      <c r="U1267" s="39" t="str">
        <f aca="false">IF(R1267="","",IF(F1267="BUY",R1267-S1267,S1267-R1267))</f>
        <v/>
      </c>
      <c r="V1267" s="39" t="n">
        <f aca="false">IF(F1267="BUY",S1267-J1267,J1267-S1267)</f>
        <v>29.54</v>
      </c>
      <c r="W1267" s="6" t="n">
        <v>147.7</v>
      </c>
      <c r="X1267" s="26" t="n">
        <f aca="false">IFERROR(W1267/N1267,0)</f>
        <v>4.92333333333333</v>
      </c>
      <c r="Y1267" s="22" t="str">
        <f aca="false">IF(W1267&gt;0,"Win",IF(W1267&lt;0,"Loss","Flat"))</f>
        <v>Win</v>
      </c>
      <c r="Z1267" s="24" t="n">
        <f aca="false">Summary!$C$5+SUM(W$2:W1267)</f>
        <v>3536.25</v>
      </c>
      <c r="AA1267" s="24" t="n">
        <f aca="false">MAX(AA1266,Z1267)</f>
        <v>5000</v>
      </c>
      <c r="AB1267" s="24" t="n">
        <f aca="false">AA1267-Z1267</f>
        <v>1463.75</v>
      </c>
      <c r="AC1267" s="23" t="n">
        <f aca="false">IFERROR(AB1267/AA1267,0)</f>
        <v>0.29275</v>
      </c>
      <c r="AD1267" s="22" t="s">
        <v>1504</v>
      </c>
    </row>
    <row r="1268" customFormat="false" ht="15" hidden="false" customHeight="false" outlineLevel="0" collapsed="false">
      <c r="A1268" s="22" t="n">
        <v>1267</v>
      </c>
      <c r="B1268" s="22" t="s">
        <v>157</v>
      </c>
      <c r="C1268" s="37" t="n">
        <v>45790.4083680556</v>
      </c>
      <c r="D1268" s="22" t="s">
        <v>203</v>
      </c>
      <c r="E1268" s="22" t="n">
        <v>9</v>
      </c>
      <c r="F1268" s="22" t="s">
        <v>181</v>
      </c>
      <c r="G1268" s="22" t="s">
        <v>235</v>
      </c>
      <c r="H1268" s="22" t="n">
        <v>0.05</v>
      </c>
      <c r="I1268" s="38" t="n">
        <v>3260.55</v>
      </c>
      <c r="J1268" s="38" t="n">
        <v>3260.74</v>
      </c>
      <c r="K1268" s="39" t="n">
        <f aca="false">IF(F1268="BUY",J1268-I1268,I1268-J1268)</f>
        <v>0.1899999999996</v>
      </c>
      <c r="L1268" s="38" t="n">
        <v>3254.55</v>
      </c>
      <c r="M1268" s="39" t="n">
        <f aca="false">ABS(I1268-L1268)</f>
        <v>6</v>
      </c>
      <c r="N1268" s="24" t="n">
        <f aca="false">M1268*H1268*Summary!$C$6</f>
        <v>30</v>
      </c>
      <c r="O1268" s="37" t="n">
        <v>45790.4089583333</v>
      </c>
      <c r="P1268" s="22" t="n">
        <f aca="false">ROUND((O1268-C1268)*86400,0)</f>
        <v>51</v>
      </c>
      <c r="Q1268" s="22" t="str">
        <f aca="false">IF(P1268&lt;10,"a) &lt;10s",IF(P1268&lt;60,"b) 10-60s",IF(P1268&lt;600,"c) 1-10min","d) &gt;10min")))</f>
        <v>b) 10-60s</v>
      </c>
      <c r="R1268" s="38" t="n">
        <v>3261.24</v>
      </c>
      <c r="S1268" s="38" t="n">
        <v>3261.09</v>
      </c>
      <c r="T1268" s="22" t="s">
        <v>189</v>
      </c>
      <c r="U1268" s="39" t="n">
        <f aca="false">IF(R1268="","",IF(F1268="BUY",R1268-S1268,S1268-R1268))</f>
        <v>0.149999999999636</v>
      </c>
      <c r="V1268" s="39" t="n">
        <f aca="false">IF(F1268="BUY",S1268-J1268,J1268-S1268)</f>
        <v>0.350000000000364</v>
      </c>
      <c r="W1268" s="6" t="n">
        <v>1.75</v>
      </c>
      <c r="X1268" s="26" t="n">
        <f aca="false">IFERROR(W1268/N1268,0)</f>
        <v>0.0583333333333333</v>
      </c>
      <c r="Y1268" s="22" t="str">
        <f aca="false">IF(W1268&gt;0,"Win",IF(W1268&lt;0,"Loss","Flat"))</f>
        <v>Win</v>
      </c>
      <c r="Z1268" s="24" t="n">
        <f aca="false">Summary!$C$5+SUM(W$2:W1268)</f>
        <v>3538</v>
      </c>
      <c r="AA1268" s="24" t="n">
        <f aca="false">MAX(AA1267,Z1268)</f>
        <v>5000</v>
      </c>
      <c r="AB1268" s="24" t="n">
        <f aca="false">AA1268-Z1268</f>
        <v>1462</v>
      </c>
      <c r="AC1268" s="23" t="n">
        <f aca="false">IFERROR(AB1268/AA1268,0)</f>
        <v>0.2924</v>
      </c>
      <c r="AD1268" s="22" t="s">
        <v>1505</v>
      </c>
    </row>
    <row r="1269" customFormat="false" ht="15" hidden="false" customHeight="false" outlineLevel="0" collapsed="false">
      <c r="A1269" s="22" t="n">
        <v>1268</v>
      </c>
      <c r="B1269" s="22" t="s">
        <v>157</v>
      </c>
      <c r="C1269" s="37" t="n">
        <v>45791.3753703704</v>
      </c>
      <c r="D1269" s="22" t="s">
        <v>204</v>
      </c>
      <c r="E1269" s="22" t="n">
        <v>9</v>
      </c>
      <c r="F1269" s="22" t="s">
        <v>181</v>
      </c>
      <c r="G1269" s="22" t="s">
        <v>235</v>
      </c>
      <c r="H1269" s="22" t="n">
        <v>0.05</v>
      </c>
      <c r="I1269" s="38" t="n">
        <v>3234.06</v>
      </c>
      <c r="J1269" s="38" t="n">
        <v>3234.14</v>
      </c>
      <c r="K1269" s="39" t="n">
        <f aca="false">IF(F1269="BUY",J1269-I1269,I1269-J1269)</f>
        <v>0.0799999999999272</v>
      </c>
      <c r="L1269" s="38" t="n">
        <v>3228.06</v>
      </c>
      <c r="M1269" s="39" t="n">
        <f aca="false">ABS(I1269-L1269)</f>
        <v>6</v>
      </c>
      <c r="N1269" s="24" t="n">
        <f aca="false">M1269*H1269*Summary!$C$6</f>
        <v>30</v>
      </c>
      <c r="O1269" s="37" t="n">
        <v>45791.3839236111</v>
      </c>
      <c r="P1269" s="22" t="n">
        <f aca="false">ROUND((O1269-C1269)*86400,0)</f>
        <v>739</v>
      </c>
      <c r="Q1269" s="22" t="str">
        <f aca="false">IF(P1269&lt;10,"a) &lt;10s",IF(P1269&lt;60,"b) 10-60s",IF(P1269&lt;600,"c) 1-10min","d) &gt;10min")))</f>
        <v>d) &gt;10min</v>
      </c>
      <c r="R1269" s="38" t="n">
        <v>3234.64</v>
      </c>
      <c r="S1269" s="38" t="n">
        <v>3234.53</v>
      </c>
      <c r="T1269" s="22" t="s">
        <v>189</v>
      </c>
      <c r="U1269" s="39" t="n">
        <f aca="false">IF(R1269="","",IF(F1269="BUY",R1269-S1269,S1269-R1269))</f>
        <v>0.109999999999673</v>
      </c>
      <c r="V1269" s="39" t="n">
        <f aca="false">IF(F1269="BUY",S1269-J1269,J1269-S1269)</f>
        <v>0.390000000000327</v>
      </c>
      <c r="W1269" s="6" t="n">
        <v>1.95</v>
      </c>
      <c r="X1269" s="26" t="n">
        <f aca="false">IFERROR(W1269/N1269,0)</f>
        <v>0.065</v>
      </c>
      <c r="Y1269" s="22" t="str">
        <f aca="false">IF(W1269&gt;0,"Win",IF(W1269&lt;0,"Loss","Flat"))</f>
        <v>Win</v>
      </c>
      <c r="Z1269" s="24" t="n">
        <f aca="false">Summary!$C$5+SUM(W$2:W1269)</f>
        <v>3539.95</v>
      </c>
      <c r="AA1269" s="24" t="n">
        <f aca="false">MAX(AA1268,Z1269)</f>
        <v>5000</v>
      </c>
      <c r="AB1269" s="24" t="n">
        <f aca="false">AA1269-Z1269</f>
        <v>1460.05</v>
      </c>
      <c r="AC1269" s="23" t="n">
        <f aca="false">IFERROR(AB1269/AA1269,0)</f>
        <v>0.29201</v>
      </c>
      <c r="AD1269" s="22" t="s">
        <v>1506</v>
      </c>
    </row>
    <row r="1270" customFormat="false" ht="15" hidden="false" customHeight="false" outlineLevel="0" collapsed="false">
      <c r="A1270" s="22" t="n">
        <v>1269</v>
      </c>
      <c r="B1270" s="22" t="s">
        <v>157</v>
      </c>
      <c r="C1270" s="37" t="n">
        <v>45791.6341782407</v>
      </c>
      <c r="D1270" s="22" t="s">
        <v>204</v>
      </c>
      <c r="E1270" s="22" t="n">
        <v>15</v>
      </c>
      <c r="F1270" s="22" t="s">
        <v>182</v>
      </c>
      <c r="G1270" s="22" t="s">
        <v>237</v>
      </c>
      <c r="H1270" s="22" t="n">
        <v>0.05</v>
      </c>
      <c r="I1270" s="38" t="n">
        <v>3215.54</v>
      </c>
      <c r="J1270" s="38" t="n">
        <v>3215.53</v>
      </c>
      <c r="K1270" s="39" t="n">
        <f aca="false">IF(F1270="BUY",J1270-I1270,I1270-J1270)</f>
        <v>0.00999999999976353</v>
      </c>
      <c r="L1270" s="38" t="n">
        <v>3221.54</v>
      </c>
      <c r="M1270" s="39" t="n">
        <f aca="false">ABS(I1270-L1270)</f>
        <v>6</v>
      </c>
      <c r="N1270" s="24" t="n">
        <f aca="false">M1270*H1270*Summary!$C$6</f>
        <v>30</v>
      </c>
      <c r="O1270" s="37" t="n">
        <v>45791.6351851852</v>
      </c>
      <c r="P1270" s="22" t="n">
        <f aca="false">ROUND((O1270-C1270)*86400,0)</f>
        <v>87</v>
      </c>
      <c r="Q1270" s="22" t="str">
        <f aca="false">IF(P1270&lt;10,"a) &lt;10s",IF(P1270&lt;60,"b) 10-60s",IF(P1270&lt;600,"c) 1-10min","d) &gt;10min")))</f>
        <v>c) 1-10min</v>
      </c>
      <c r="R1270" s="38" t="n">
        <v>3215.03</v>
      </c>
      <c r="S1270" s="38" t="n">
        <v>3215.12</v>
      </c>
      <c r="T1270" s="22" t="s">
        <v>189</v>
      </c>
      <c r="U1270" s="39" t="n">
        <f aca="false">IF(R1270="","",IF(F1270="BUY",R1270-S1270,S1270-R1270))</f>
        <v>0.0899999999996908</v>
      </c>
      <c r="V1270" s="39" t="n">
        <f aca="false">IF(F1270="BUY",S1270-J1270,J1270-S1270)</f>
        <v>0.410000000000309</v>
      </c>
      <c r="W1270" s="6" t="n">
        <v>2.05</v>
      </c>
      <c r="X1270" s="26" t="n">
        <f aca="false">IFERROR(W1270/N1270,0)</f>
        <v>0.0683333333333333</v>
      </c>
      <c r="Y1270" s="22" t="str">
        <f aca="false">IF(W1270&gt;0,"Win",IF(W1270&lt;0,"Loss","Flat"))</f>
        <v>Win</v>
      </c>
      <c r="Z1270" s="24" t="n">
        <f aca="false">Summary!$C$5+SUM(W$2:W1270)</f>
        <v>3542</v>
      </c>
      <c r="AA1270" s="24" t="n">
        <f aca="false">MAX(AA1269,Z1270)</f>
        <v>5000</v>
      </c>
      <c r="AB1270" s="24" t="n">
        <f aca="false">AA1270-Z1270</f>
        <v>1458</v>
      </c>
      <c r="AC1270" s="23" t="n">
        <f aca="false">IFERROR(AB1270/AA1270,0)</f>
        <v>0.2916</v>
      </c>
      <c r="AD1270" s="22" t="s">
        <v>1507</v>
      </c>
    </row>
    <row r="1271" customFormat="false" ht="15" hidden="false" customHeight="false" outlineLevel="0" collapsed="false">
      <c r="A1271" s="22" t="n">
        <v>1270</v>
      </c>
      <c r="B1271" s="22" t="s">
        <v>157</v>
      </c>
      <c r="C1271" s="37" t="n">
        <v>45792.2253472222</v>
      </c>
      <c r="D1271" s="22" t="s">
        <v>205</v>
      </c>
      <c r="E1271" s="22" t="n">
        <v>5</v>
      </c>
      <c r="F1271" s="22" t="s">
        <v>182</v>
      </c>
      <c r="G1271" s="22" t="s">
        <v>237</v>
      </c>
      <c r="H1271" s="22" t="n">
        <v>0.05</v>
      </c>
      <c r="I1271" s="38" t="n">
        <v>3167.55</v>
      </c>
      <c r="J1271" s="38" t="n">
        <v>3166.99</v>
      </c>
      <c r="K1271" s="39" t="n">
        <f aca="false">IF(F1271="BUY",J1271-I1271,I1271-J1271)</f>
        <v>0.5600000000004</v>
      </c>
      <c r="L1271" s="38" t="n">
        <v>3173.55</v>
      </c>
      <c r="M1271" s="39" t="n">
        <f aca="false">ABS(I1271-L1271)</f>
        <v>6</v>
      </c>
      <c r="N1271" s="24" t="n">
        <f aca="false">M1271*H1271*Summary!$C$6</f>
        <v>30</v>
      </c>
      <c r="O1271" s="37" t="n">
        <v>45792.2260416667</v>
      </c>
      <c r="P1271" s="22" t="n">
        <f aca="false">ROUND((O1271-C1271)*86400,0)</f>
        <v>60</v>
      </c>
      <c r="Q1271" s="22" t="str">
        <f aca="false">IF(P1271&lt;10,"a) &lt;10s",IF(P1271&lt;60,"b) 10-60s",IF(P1271&lt;600,"c) 1-10min","d) &gt;10min")))</f>
        <v>c) 1-10min</v>
      </c>
      <c r="R1271" s="38" t="n">
        <v>3166.49</v>
      </c>
      <c r="S1271" s="38" t="n">
        <v>3166.66</v>
      </c>
      <c r="T1271" s="22" t="s">
        <v>189</v>
      </c>
      <c r="U1271" s="39" t="n">
        <f aca="false">IF(R1271="","",IF(F1271="BUY",R1271-S1271,S1271-R1271))</f>
        <v>0.170000000000073</v>
      </c>
      <c r="V1271" s="39" t="n">
        <f aca="false">IF(F1271="BUY",S1271-J1271,J1271-S1271)</f>
        <v>0.329999999999927</v>
      </c>
      <c r="W1271" s="6" t="n">
        <v>1.65</v>
      </c>
      <c r="X1271" s="26" t="n">
        <f aca="false">IFERROR(W1271/N1271,0)</f>
        <v>0.055</v>
      </c>
      <c r="Y1271" s="22" t="str">
        <f aca="false">IF(W1271&gt;0,"Win",IF(W1271&lt;0,"Loss","Flat"))</f>
        <v>Win</v>
      </c>
      <c r="Z1271" s="24" t="n">
        <f aca="false">Summary!$C$5+SUM(W$2:W1271)</f>
        <v>3543.65</v>
      </c>
      <c r="AA1271" s="24" t="n">
        <f aca="false">MAX(AA1270,Z1271)</f>
        <v>5000</v>
      </c>
      <c r="AB1271" s="24" t="n">
        <f aca="false">AA1271-Z1271</f>
        <v>1456.35</v>
      </c>
      <c r="AC1271" s="23" t="n">
        <f aca="false">IFERROR(AB1271/AA1271,0)</f>
        <v>0.29127</v>
      </c>
      <c r="AD1271" s="22" t="s">
        <v>1508</v>
      </c>
    </row>
    <row r="1272" customFormat="false" ht="15" hidden="false" customHeight="false" outlineLevel="0" collapsed="false">
      <c r="A1272" s="22" t="n">
        <v>1271</v>
      </c>
      <c r="B1272" s="22" t="s">
        <v>157</v>
      </c>
      <c r="C1272" s="37" t="n">
        <v>45792.377650463</v>
      </c>
      <c r="D1272" s="22" t="s">
        <v>205</v>
      </c>
      <c r="E1272" s="22" t="n">
        <v>9</v>
      </c>
      <c r="F1272" s="22" t="s">
        <v>182</v>
      </c>
      <c r="G1272" s="22" t="s">
        <v>241</v>
      </c>
      <c r="H1272" s="22" t="n">
        <v>0.05</v>
      </c>
      <c r="I1272" s="38" t="n">
        <v>3122.94</v>
      </c>
      <c r="J1272" s="38" t="n">
        <v>3122.93</v>
      </c>
      <c r="K1272" s="39" t="n">
        <f aca="false">IF(F1272="BUY",J1272-I1272,I1272-J1272)</f>
        <v>0.0100000000002183</v>
      </c>
      <c r="L1272" s="38" t="n">
        <v>3128.94</v>
      </c>
      <c r="M1272" s="39" t="n">
        <f aca="false">ABS(I1272-L1272)</f>
        <v>6</v>
      </c>
      <c r="N1272" s="24" t="n">
        <f aca="false">M1272*H1272*Summary!$C$6</f>
        <v>30</v>
      </c>
      <c r="O1272" s="37" t="n">
        <v>45792.3804166667</v>
      </c>
      <c r="P1272" s="22" t="n">
        <f aca="false">ROUND((O1272-C1272)*86400,0)</f>
        <v>239</v>
      </c>
      <c r="Q1272" s="22" t="str">
        <f aca="false">IF(P1272&lt;10,"a) &lt;10s",IF(P1272&lt;60,"b) 10-60s",IF(P1272&lt;600,"c) 1-10min","d) &gt;10min")))</f>
        <v>c) 1-10min</v>
      </c>
      <c r="R1272" s="38" t="n">
        <v>3128.94</v>
      </c>
      <c r="S1272" s="38" t="n">
        <v>3128.96</v>
      </c>
      <c r="T1272" s="22" t="s">
        <v>188</v>
      </c>
      <c r="U1272" s="39" t="n">
        <f aca="false">IF(R1272="","",IF(F1272="BUY",R1272-S1272,S1272-R1272))</f>
        <v>0.0199999999999818</v>
      </c>
      <c r="V1272" s="39" t="n">
        <f aca="false">IF(F1272="BUY",S1272-J1272,J1272-S1272)</f>
        <v>-6.0300000000002</v>
      </c>
      <c r="W1272" s="6" t="n">
        <v>-30.15</v>
      </c>
      <c r="X1272" s="26" t="n">
        <f aca="false">IFERROR(W1272/N1272,0)</f>
        <v>-1.005</v>
      </c>
      <c r="Y1272" s="22" t="str">
        <f aca="false">IF(W1272&gt;0,"Win",IF(W1272&lt;0,"Loss","Flat"))</f>
        <v>Loss</v>
      </c>
      <c r="Z1272" s="24" t="n">
        <f aca="false">Summary!$C$5+SUM(W$2:W1272)</f>
        <v>3513.5</v>
      </c>
      <c r="AA1272" s="24" t="n">
        <f aca="false">MAX(AA1271,Z1272)</f>
        <v>5000</v>
      </c>
      <c r="AB1272" s="24" t="n">
        <f aca="false">AA1272-Z1272</f>
        <v>1486.5</v>
      </c>
      <c r="AC1272" s="23" t="n">
        <f aca="false">IFERROR(AB1272/AA1272,0)</f>
        <v>0.2973</v>
      </c>
      <c r="AD1272" s="22" t="s">
        <v>1509</v>
      </c>
    </row>
    <row r="1273" customFormat="false" ht="15" hidden="false" customHeight="false" outlineLevel="0" collapsed="false">
      <c r="A1273" s="22" t="n">
        <v>1272</v>
      </c>
      <c r="B1273" s="22" t="s">
        <v>157</v>
      </c>
      <c r="C1273" s="37" t="n">
        <v>45793.3769560185</v>
      </c>
      <c r="D1273" s="22" t="s">
        <v>206</v>
      </c>
      <c r="E1273" s="22" t="n">
        <v>9</v>
      </c>
      <c r="F1273" s="22" t="s">
        <v>181</v>
      </c>
      <c r="G1273" s="22" t="s">
        <v>235</v>
      </c>
      <c r="H1273" s="22" t="n">
        <v>0.05</v>
      </c>
      <c r="I1273" s="38" t="n">
        <v>3222.14</v>
      </c>
      <c r="J1273" s="38" t="n">
        <v>3222.14</v>
      </c>
      <c r="K1273" s="39" t="n">
        <f aca="false">IF(F1273="BUY",J1273-I1273,I1273-J1273)</f>
        <v>0</v>
      </c>
      <c r="L1273" s="38" t="n">
        <v>3216.14</v>
      </c>
      <c r="M1273" s="39" t="n">
        <f aca="false">ABS(I1273-L1273)</f>
        <v>6</v>
      </c>
      <c r="N1273" s="24" t="n">
        <f aca="false">M1273*H1273*Summary!$C$6</f>
        <v>30</v>
      </c>
      <c r="O1273" s="37" t="n">
        <v>45793.3892592593</v>
      </c>
      <c r="P1273" s="22" t="n">
        <f aca="false">ROUND((O1273-C1273)*86400,0)</f>
        <v>1063</v>
      </c>
      <c r="Q1273" s="22" t="str">
        <f aca="false">IF(P1273&lt;10,"a) &lt;10s",IF(P1273&lt;60,"b) 10-60s",IF(P1273&lt;600,"c) 1-10min","d) &gt;10min")))</f>
        <v>d) &gt;10min</v>
      </c>
      <c r="R1273" s="38" t="n">
        <v>3222.64</v>
      </c>
      <c r="S1273" s="38" t="n">
        <v>3222.59</v>
      </c>
      <c r="T1273" s="22" t="s">
        <v>189</v>
      </c>
      <c r="U1273" s="39" t="n">
        <f aca="false">IF(R1273="","",IF(F1273="BUY",R1273-S1273,S1273-R1273))</f>
        <v>0.0499999999997272</v>
      </c>
      <c r="V1273" s="39" t="n">
        <f aca="false">IF(F1273="BUY",S1273-J1273,J1273-S1273)</f>
        <v>0.450000000000273</v>
      </c>
      <c r="W1273" s="6" t="n">
        <v>2.25</v>
      </c>
      <c r="X1273" s="26" t="n">
        <f aca="false">IFERROR(W1273/N1273,0)</f>
        <v>0.075</v>
      </c>
      <c r="Y1273" s="22" t="str">
        <f aca="false">IF(W1273&gt;0,"Win",IF(W1273&lt;0,"Loss","Flat"))</f>
        <v>Win</v>
      </c>
      <c r="Z1273" s="24" t="n">
        <f aca="false">Summary!$C$5+SUM(W$2:W1273)</f>
        <v>3515.75</v>
      </c>
      <c r="AA1273" s="24" t="n">
        <f aca="false">MAX(AA1272,Z1273)</f>
        <v>5000</v>
      </c>
      <c r="AB1273" s="24" t="n">
        <f aca="false">AA1273-Z1273</f>
        <v>1484.25</v>
      </c>
      <c r="AC1273" s="23" t="n">
        <f aca="false">IFERROR(AB1273/AA1273,0)</f>
        <v>0.29685</v>
      </c>
      <c r="AD1273" s="22" t="s">
        <v>1510</v>
      </c>
    </row>
    <row r="1274" customFormat="false" ht="15" hidden="false" customHeight="false" outlineLevel="0" collapsed="false">
      <c r="A1274" s="22" t="n">
        <v>1273</v>
      </c>
      <c r="B1274" s="22" t="s">
        <v>157</v>
      </c>
      <c r="C1274" s="37" t="n">
        <v>45796.3754050926</v>
      </c>
      <c r="D1274" s="22" t="s">
        <v>202</v>
      </c>
      <c r="E1274" s="22" t="n">
        <v>9</v>
      </c>
      <c r="F1274" s="22" t="s">
        <v>181</v>
      </c>
      <c r="G1274" s="22" t="s">
        <v>235</v>
      </c>
      <c r="H1274" s="22" t="n">
        <v>0.05</v>
      </c>
      <c r="I1274" s="38" t="n">
        <v>3224.04</v>
      </c>
      <c r="J1274" s="38" t="n">
        <v>3224.11</v>
      </c>
      <c r="K1274" s="39" t="n">
        <f aca="false">IF(F1274="BUY",J1274-I1274,I1274-J1274)</f>
        <v>0.0700000000001637</v>
      </c>
      <c r="L1274" s="38" t="n">
        <v>3218.04</v>
      </c>
      <c r="M1274" s="39" t="n">
        <f aca="false">ABS(I1274-L1274)</f>
        <v>6</v>
      </c>
      <c r="N1274" s="24" t="n">
        <f aca="false">M1274*H1274*Summary!$C$6</f>
        <v>30</v>
      </c>
      <c r="O1274" s="37" t="n">
        <v>45796.3818518519</v>
      </c>
      <c r="P1274" s="22" t="n">
        <f aca="false">ROUND((O1274-C1274)*86400,0)</f>
        <v>557</v>
      </c>
      <c r="Q1274" s="22" t="str">
        <f aca="false">IF(P1274&lt;10,"a) &lt;10s",IF(P1274&lt;60,"b) 10-60s",IF(P1274&lt;600,"c) 1-10min","d) &gt;10min")))</f>
        <v>c) 1-10min</v>
      </c>
      <c r="R1274" s="38" t="n">
        <v>3224.61</v>
      </c>
      <c r="S1274" s="38" t="n">
        <v>3224.54</v>
      </c>
      <c r="T1274" s="22" t="s">
        <v>189</v>
      </c>
      <c r="U1274" s="39" t="n">
        <f aca="false">IF(R1274="","",IF(F1274="BUY",R1274-S1274,S1274-R1274))</f>
        <v>0.0700000000001637</v>
      </c>
      <c r="V1274" s="39" t="n">
        <f aca="false">IF(F1274="BUY",S1274-J1274,J1274-S1274)</f>
        <v>0.429999999999836</v>
      </c>
      <c r="W1274" s="6" t="n">
        <v>2.15</v>
      </c>
      <c r="X1274" s="26" t="n">
        <f aca="false">IFERROR(W1274/N1274,0)</f>
        <v>0.0716666666666667</v>
      </c>
      <c r="Y1274" s="22" t="str">
        <f aca="false">IF(W1274&gt;0,"Win",IF(W1274&lt;0,"Loss","Flat"))</f>
        <v>Win</v>
      </c>
      <c r="Z1274" s="24" t="n">
        <f aca="false">Summary!$C$5+SUM(W$2:W1274)</f>
        <v>3517.9</v>
      </c>
      <c r="AA1274" s="24" t="n">
        <f aca="false">MAX(AA1273,Z1274)</f>
        <v>5000</v>
      </c>
      <c r="AB1274" s="24" t="n">
        <f aca="false">AA1274-Z1274</f>
        <v>1482.1</v>
      </c>
      <c r="AC1274" s="23" t="n">
        <f aca="false">IFERROR(AB1274/AA1274,0)</f>
        <v>0.29642</v>
      </c>
      <c r="AD1274" s="22" t="s">
        <v>1511</v>
      </c>
    </row>
    <row r="1275" customFormat="false" ht="15" hidden="false" customHeight="false" outlineLevel="0" collapsed="false">
      <c r="A1275" s="22" t="n">
        <v>1274</v>
      </c>
      <c r="B1275" s="22" t="s">
        <v>157</v>
      </c>
      <c r="C1275" s="37" t="n">
        <v>45797.2500115741</v>
      </c>
      <c r="D1275" s="22" t="s">
        <v>203</v>
      </c>
      <c r="E1275" s="22" t="n">
        <v>6</v>
      </c>
      <c r="F1275" s="22" t="s">
        <v>182</v>
      </c>
      <c r="G1275" s="22" t="s">
        <v>237</v>
      </c>
      <c r="H1275" s="22" t="n">
        <v>0.05</v>
      </c>
      <c r="I1275" s="38" t="n">
        <v>3205.79</v>
      </c>
      <c r="J1275" s="38" t="n">
        <v>3205.77</v>
      </c>
      <c r="K1275" s="39" t="n">
        <f aca="false">IF(F1275="BUY",J1275-I1275,I1275-J1275)</f>
        <v>0.0199999999999818</v>
      </c>
      <c r="L1275" s="38" t="n">
        <v>3211.79</v>
      </c>
      <c r="M1275" s="39" t="n">
        <f aca="false">ABS(I1275-L1275)</f>
        <v>6</v>
      </c>
      <c r="N1275" s="24" t="n">
        <f aca="false">M1275*H1275*Summary!$C$6</f>
        <v>30</v>
      </c>
      <c r="O1275" s="37" t="n">
        <v>45797.2571412037</v>
      </c>
      <c r="P1275" s="22" t="n">
        <f aca="false">ROUND((O1275-C1275)*86400,0)</f>
        <v>616</v>
      </c>
      <c r="Q1275" s="22" t="str">
        <f aca="false">IF(P1275&lt;10,"a) &lt;10s",IF(P1275&lt;60,"b) 10-60s",IF(P1275&lt;600,"c) 1-10min","d) &gt;10min")))</f>
        <v>d) &gt;10min</v>
      </c>
      <c r="R1275" s="38" t="n">
        <v>3211.79</v>
      </c>
      <c r="S1275" s="38" t="n">
        <v>3211.83</v>
      </c>
      <c r="T1275" s="22" t="s">
        <v>188</v>
      </c>
      <c r="U1275" s="39" t="n">
        <f aca="false">IF(R1275="","",IF(F1275="BUY",R1275-S1275,S1275-R1275))</f>
        <v>0.0399999999999636</v>
      </c>
      <c r="V1275" s="39" t="n">
        <f aca="false">IF(F1275="BUY",S1275-J1275,J1275-S1275)</f>
        <v>-6.05999999999995</v>
      </c>
      <c r="W1275" s="6" t="n">
        <v>-30.3</v>
      </c>
      <c r="X1275" s="26" t="n">
        <f aca="false">IFERROR(W1275/N1275,0)</f>
        <v>-1.01</v>
      </c>
      <c r="Y1275" s="22" t="str">
        <f aca="false">IF(W1275&gt;0,"Win",IF(W1275&lt;0,"Loss","Flat"))</f>
        <v>Loss</v>
      </c>
      <c r="Z1275" s="24" t="n">
        <f aca="false">Summary!$C$5+SUM(W$2:W1275)</f>
        <v>3487.6</v>
      </c>
      <c r="AA1275" s="24" t="n">
        <f aca="false">MAX(AA1274,Z1275)</f>
        <v>5000</v>
      </c>
      <c r="AB1275" s="24" t="n">
        <f aca="false">AA1275-Z1275</f>
        <v>1512.4</v>
      </c>
      <c r="AC1275" s="23" t="n">
        <f aca="false">IFERROR(AB1275/AA1275,0)</f>
        <v>0.30248</v>
      </c>
      <c r="AD1275" s="22" t="s">
        <v>1512</v>
      </c>
    </row>
    <row r="1276" customFormat="false" ht="15" hidden="false" customHeight="false" outlineLevel="0" collapsed="false">
      <c r="A1276" s="22" t="n">
        <v>1275</v>
      </c>
      <c r="B1276" s="22" t="s">
        <v>157</v>
      </c>
      <c r="C1276" s="37" t="n">
        <v>45797.3767592593</v>
      </c>
      <c r="D1276" s="22" t="s">
        <v>203</v>
      </c>
      <c r="E1276" s="22" t="n">
        <v>9</v>
      </c>
      <c r="F1276" s="22" t="s">
        <v>182</v>
      </c>
      <c r="G1276" s="22" t="s">
        <v>241</v>
      </c>
      <c r="H1276" s="22" t="n">
        <v>0.05</v>
      </c>
      <c r="I1276" s="38" t="n">
        <v>3209.62</v>
      </c>
      <c r="J1276" s="38" t="n">
        <v>3209.48</v>
      </c>
      <c r="K1276" s="39" t="n">
        <f aca="false">IF(F1276="BUY",J1276-I1276,I1276-J1276)</f>
        <v>0.139999999999873</v>
      </c>
      <c r="L1276" s="38" t="n">
        <v>3215.62</v>
      </c>
      <c r="M1276" s="39" t="n">
        <f aca="false">ABS(I1276-L1276)</f>
        <v>6</v>
      </c>
      <c r="N1276" s="24" t="n">
        <f aca="false">M1276*H1276*Summary!$C$6</f>
        <v>30</v>
      </c>
      <c r="O1276" s="37" t="n">
        <v>45797.381099537</v>
      </c>
      <c r="P1276" s="22" t="n">
        <f aca="false">ROUND((O1276-C1276)*86400,0)</f>
        <v>375</v>
      </c>
      <c r="Q1276" s="22" t="str">
        <f aca="false">IF(P1276&lt;10,"a) &lt;10s",IF(P1276&lt;60,"b) 10-60s",IF(P1276&lt;600,"c) 1-10min","d) &gt;10min")))</f>
        <v>c) 1-10min</v>
      </c>
      <c r="R1276" s="38" t="n">
        <v>3215.62</v>
      </c>
      <c r="S1276" s="38" t="n">
        <v>3215.62</v>
      </c>
      <c r="T1276" s="22" t="s">
        <v>188</v>
      </c>
      <c r="U1276" s="39" t="n">
        <f aca="false">IF(R1276="","",IF(F1276="BUY",R1276-S1276,S1276-R1276))</f>
        <v>0</v>
      </c>
      <c r="V1276" s="39" t="n">
        <f aca="false">IF(F1276="BUY",S1276-J1276,J1276-S1276)</f>
        <v>-6.13999999999987</v>
      </c>
      <c r="W1276" s="6" t="n">
        <v>-30.7</v>
      </c>
      <c r="X1276" s="26" t="n">
        <f aca="false">IFERROR(W1276/N1276,0)</f>
        <v>-1.02333333333333</v>
      </c>
      <c r="Y1276" s="22" t="str">
        <f aca="false">IF(W1276&gt;0,"Win",IF(W1276&lt;0,"Loss","Flat"))</f>
        <v>Loss</v>
      </c>
      <c r="Z1276" s="24" t="n">
        <f aca="false">Summary!$C$5+SUM(W$2:W1276)</f>
        <v>3456.9</v>
      </c>
      <c r="AA1276" s="24" t="n">
        <f aca="false">MAX(AA1275,Z1276)</f>
        <v>5000</v>
      </c>
      <c r="AB1276" s="24" t="n">
        <f aca="false">AA1276-Z1276</f>
        <v>1543.1</v>
      </c>
      <c r="AC1276" s="23" t="n">
        <f aca="false">IFERROR(AB1276/AA1276,0)</f>
        <v>0.30862</v>
      </c>
      <c r="AD1276" s="22" t="s">
        <v>1513</v>
      </c>
    </row>
    <row r="1277" customFormat="false" ht="15" hidden="false" customHeight="false" outlineLevel="0" collapsed="false">
      <c r="A1277" s="22" t="n">
        <v>1276</v>
      </c>
      <c r="B1277" s="22" t="s">
        <v>157</v>
      </c>
      <c r="C1277" s="37" t="n">
        <v>45798.3958333333</v>
      </c>
      <c r="D1277" s="22" t="s">
        <v>204</v>
      </c>
      <c r="E1277" s="22" t="n">
        <v>9</v>
      </c>
      <c r="F1277" s="22" t="s">
        <v>181</v>
      </c>
      <c r="G1277" s="22" t="s">
        <v>235</v>
      </c>
      <c r="H1277" s="22" t="n">
        <v>0.05</v>
      </c>
      <c r="I1277" s="38" t="n">
        <v>3319.33</v>
      </c>
      <c r="J1277" s="38" t="n">
        <v>3319.33</v>
      </c>
      <c r="K1277" s="39" t="n">
        <f aca="false">IF(F1277="BUY",J1277-I1277,I1277-J1277)</f>
        <v>0</v>
      </c>
      <c r="L1277" s="38" t="n">
        <v>3313.33</v>
      </c>
      <c r="M1277" s="39" t="n">
        <f aca="false">ABS(I1277-L1277)</f>
        <v>6</v>
      </c>
      <c r="N1277" s="24" t="n">
        <f aca="false">M1277*H1277*Summary!$C$6</f>
        <v>30</v>
      </c>
      <c r="O1277" s="37" t="n">
        <v>45798.4212847222</v>
      </c>
      <c r="P1277" s="22" t="n">
        <f aca="false">ROUND((O1277-C1277)*86400,0)</f>
        <v>2199</v>
      </c>
      <c r="Q1277" s="22" t="str">
        <f aca="false">IF(P1277&lt;10,"a) &lt;10s",IF(P1277&lt;60,"b) 10-60s",IF(P1277&lt;600,"c) 1-10min","d) &gt;10min")))</f>
        <v>d) &gt;10min</v>
      </c>
      <c r="R1277" s="38" t="n">
        <v>3313.33</v>
      </c>
      <c r="S1277" s="38" t="n">
        <v>3313.31</v>
      </c>
      <c r="T1277" s="22" t="s">
        <v>188</v>
      </c>
      <c r="U1277" s="39" t="n">
        <f aca="false">IF(R1277="","",IF(F1277="BUY",R1277-S1277,S1277-R1277))</f>
        <v>0.0199999999999818</v>
      </c>
      <c r="V1277" s="39" t="n">
        <f aca="false">IF(F1277="BUY",S1277-J1277,J1277-S1277)</f>
        <v>-6.01999999999998</v>
      </c>
      <c r="W1277" s="6" t="n">
        <v>-30.1</v>
      </c>
      <c r="X1277" s="26" t="n">
        <f aca="false">IFERROR(W1277/N1277,0)</f>
        <v>-1.00333333333333</v>
      </c>
      <c r="Y1277" s="22" t="str">
        <f aca="false">IF(W1277&gt;0,"Win",IF(W1277&lt;0,"Loss","Flat"))</f>
        <v>Loss</v>
      </c>
      <c r="Z1277" s="24" t="n">
        <f aca="false">Summary!$C$5+SUM(W$2:W1277)</f>
        <v>3426.8</v>
      </c>
      <c r="AA1277" s="24" t="n">
        <f aca="false">MAX(AA1276,Z1277)</f>
        <v>5000</v>
      </c>
      <c r="AB1277" s="24" t="n">
        <f aca="false">AA1277-Z1277</f>
        <v>1573.2</v>
      </c>
      <c r="AC1277" s="23" t="n">
        <f aca="false">IFERROR(AB1277/AA1277,0)</f>
        <v>0.31464</v>
      </c>
      <c r="AD1277" s="22" t="s">
        <v>1514</v>
      </c>
    </row>
    <row r="1278" customFormat="false" ht="15" hidden="false" customHeight="false" outlineLevel="0" collapsed="false">
      <c r="A1278" s="22" t="n">
        <v>1277</v>
      </c>
      <c r="B1278" s="22" t="s">
        <v>157</v>
      </c>
      <c r="C1278" s="37" t="n">
        <v>45799.1301273148</v>
      </c>
      <c r="D1278" s="22" t="s">
        <v>205</v>
      </c>
      <c r="E1278" s="22" t="n">
        <v>3</v>
      </c>
      <c r="F1278" s="22" t="s">
        <v>181</v>
      </c>
      <c r="G1278" s="22" t="s">
        <v>243</v>
      </c>
      <c r="H1278" s="22" t="n">
        <v>0.05</v>
      </c>
      <c r="I1278" s="38" t="n">
        <v>3324.75</v>
      </c>
      <c r="J1278" s="38" t="n">
        <v>3324.77</v>
      </c>
      <c r="K1278" s="39" t="n">
        <f aca="false">IF(F1278="BUY",J1278-I1278,I1278-J1278)</f>
        <v>0.0199999999999818</v>
      </c>
      <c r="L1278" s="38" t="n">
        <v>3318.75</v>
      </c>
      <c r="M1278" s="39" t="n">
        <f aca="false">ABS(I1278-L1278)</f>
        <v>6</v>
      </c>
      <c r="N1278" s="24" t="n">
        <f aca="false">M1278*H1278*Summary!$C$6</f>
        <v>30</v>
      </c>
      <c r="O1278" s="37" t="n">
        <v>45799.1708217593</v>
      </c>
      <c r="P1278" s="22" t="n">
        <f aca="false">ROUND((O1278-C1278)*86400,0)</f>
        <v>3516</v>
      </c>
      <c r="Q1278" s="22" t="str">
        <f aca="false">IF(P1278&lt;10,"a) &lt;10s",IF(P1278&lt;60,"b) 10-60s",IF(P1278&lt;600,"c) 1-10min","d) &gt;10min")))</f>
        <v>d) &gt;10min</v>
      </c>
      <c r="R1278" s="38" t="n">
        <v>3325.27</v>
      </c>
      <c r="S1278" s="38" t="n">
        <v>3325.23</v>
      </c>
      <c r="T1278" s="22" t="s">
        <v>189</v>
      </c>
      <c r="U1278" s="39" t="n">
        <f aca="false">IF(R1278="","",IF(F1278="BUY",R1278-S1278,S1278-R1278))</f>
        <v>0.0399999999999636</v>
      </c>
      <c r="V1278" s="39" t="n">
        <f aca="false">IF(F1278="BUY",S1278-J1278,J1278-S1278)</f>
        <v>0.460000000000036</v>
      </c>
      <c r="W1278" s="6" t="n">
        <v>2.3</v>
      </c>
      <c r="X1278" s="26" t="n">
        <f aca="false">IFERROR(W1278/N1278,0)</f>
        <v>0.0766666666666667</v>
      </c>
      <c r="Y1278" s="22" t="str">
        <f aca="false">IF(W1278&gt;0,"Win",IF(W1278&lt;0,"Loss","Flat"))</f>
        <v>Win</v>
      </c>
      <c r="Z1278" s="24" t="n">
        <f aca="false">Summary!$C$5+SUM(W$2:W1278)</f>
        <v>3429.1</v>
      </c>
      <c r="AA1278" s="24" t="n">
        <f aca="false">MAX(AA1277,Z1278)</f>
        <v>5000</v>
      </c>
      <c r="AB1278" s="24" t="n">
        <f aca="false">AA1278-Z1278</f>
        <v>1570.9</v>
      </c>
      <c r="AC1278" s="23" t="n">
        <f aca="false">IFERROR(AB1278/AA1278,0)</f>
        <v>0.31418</v>
      </c>
      <c r="AD1278" s="22" t="s">
        <v>1515</v>
      </c>
    </row>
    <row r="1279" customFormat="false" ht="15" hidden="false" customHeight="false" outlineLevel="0" collapsed="false">
      <c r="A1279" s="22" t="n">
        <v>1278</v>
      </c>
      <c r="B1279" s="22" t="s">
        <v>157</v>
      </c>
      <c r="C1279" s="37" t="n">
        <v>45799.4130787037</v>
      </c>
      <c r="D1279" s="22" t="s">
        <v>205</v>
      </c>
      <c r="E1279" s="22" t="n">
        <v>9</v>
      </c>
      <c r="F1279" s="22" t="s">
        <v>182</v>
      </c>
      <c r="G1279" s="22" t="s">
        <v>241</v>
      </c>
      <c r="H1279" s="22" t="n">
        <v>0.05</v>
      </c>
      <c r="I1279" s="38" t="n">
        <v>3326.05</v>
      </c>
      <c r="J1279" s="38" t="n">
        <v>3325.98</v>
      </c>
      <c r="K1279" s="39" t="n">
        <f aca="false">IF(F1279="BUY",J1279-I1279,I1279-J1279)</f>
        <v>0.0700000000001637</v>
      </c>
      <c r="L1279" s="38" t="n">
        <v>3332.05</v>
      </c>
      <c r="M1279" s="39" t="n">
        <f aca="false">ABS(I1279-L1279)</f>
        <v>6</v>
      </c>
      <c r="N1279" s="24" t="n">
        <f aca="false">M1279*H1279*Summary!$C$6</f>
        <v>30</v>
      </c>
      <c r="O1279" s="37" t="n">
        <v>45799.4300347222</v>
      </c>
      <c r="P1279" s="22" t="n">
        <f aca="false">ROUND((O1279-C1279)*86400,0)</f>
        <v>1465</v>
      </c>
      <c r="Q1279" s="22" t="str">
        <f aca="false">IF(P1279&lt;10,"a) &lt;10s",IF(P1279&lt;60,"b) 10-60s",IF(P1279&lt;600,"c) 1-10min","d) &gt;10min")))</f>
        <v>d) &gt;10min</v>
      </c>
      <c r="R1279" s="38" t="n">
        <v>3325.48</v>
      </c>
      <c r="S1279" s="38" t="n">
        <v>3325.5</v>
      </c>
      <c r="T1279" s="22" t="s">
        <v>189</v>
      </c>
      <c r="U1279" s="39" t="n">
        <f aca="false">IF(R1279="","",IF(F1279="BUY",R1279-S1279,S1279-R1279))</f>
        <v>0.0199999999999818</v>
      </c>
      <c r="V1279" s="39" t="n">
        <f aca="false">IF(F1279="BUY",S1279-J1279,J1279-S1279)</f>
        <v>0.480000000000018</v>
      </c>
      <c r="W1279" s="6" t="n">
        <v>2.4</v>
      </c>
      <c r="X1279" s="26" t="n">
        <f aca="false">IFERROR(W1279/N1279,0)</f>
        <v>0.08</v>
      </c>
      <c r="Y1279" s="22" t="str">
        <f aca="false">IF(W1279&gt;0,"Win",IF(W1279&lt;0,"Loss","Flat"))</f>
        <v>Win</v>
      </c>
      <c r="Z1279" s="24" t="n">
        <f aca="false">Summary!$C$5+SUM(W$2:W1279)</f>
        <v>3431.5</v>
      </c>
      <c r="AA1279" s="24" t="n">
        <f aca="false">MAX(AA1278,Z1279)</f>
        <v>5000</v>
      </c>
      <c r="AB1279" s="24" t="n">
        <f aca="false">AA1279-Z1279</f>
        <v>1568.5</v>
      </c>
      <c r="AC1279" s="23" t="n">
        <f aca="false">IFERROR(AB1279/AA1279,0)</f>
        <v>0.3137</v>
      </c>
      <c r="AD1279" s="22" t="s">
        <v>1516</v>
      </c>
    </row>
    <row r="1280" customFormat="false" ht="15" hidden="false" customHeight="false" outlineLevel="0" collapsed="false">
      <c r="A1280" s="22" t="n">
        <v>1279</v>
      </c>
      <c r="B1280" s="22" t="s">
        <v>157</v>
      </c>
      <c r="C1280" s="37" t="n">
        <v>45800.3753240741</v>
      </c>
      <c r="D1280" s="22" t="s">
        <v>206</v>
      </c>
      <c r="E1280" s="22" t="n">
        <v>9</v>
      </c>
      <c r="F1280" s="22" t="s">
        <v>181</v>
      </c>
      <c r="G1280" s="22" t="s">
        <v>235</v>
      </c>
      <c r="H1280" s="22" t="n">
        <v>0.05</v>
      </c>
      <c r="I1280" s="38" t="n">
        <v>3325.4</v>
      </c>
      <c r="J1280" s="38" t="n">
        <v>3325.73</v>
      </c>
      <c r="K1280" s="39" t="n">
        <f aca="false">IF(F1280="BUY",J1280-I1280,I1280-J1280)</f>
        <v>0.329999999999927</v>
      </c>
      <c r="L1280" s="38" t="n">
        <v>3319.4</v>
      </c>
      <c r="M1280" s="39" t="n">
        <f aca="false">ABS(I1280-L1280)</f>
        <v>6</v>
      </c>
      <c r="N1280" s="24" t="n">
        <f aca="false">M1280*H1280*Summary!$C$6</f>
        <v>30</v>
      </c>
      <c r="O1280" s="37" t="n">
        <v>45800.388900463</v>
      </c>
      <c r="P1280" s="22" t="n">
        <f aca="false">ROUND((O1280-C1280)*86400,0)</f>
        <v>1173</v>
      </c>
      <c r="Q1280" s="22" t="str">
        <f aca="false">IF(P1280&lt;10,"a) &lt;10s",IF(P1280&lt;60,"b) 10-60s",IF(P1280&lt;600,"c) 1-10min","d) &gt;10min")))</f>
        <v>d) &gt;10min</v>
      </c>
      <c r="R1280" s="38" t="n">
        <v>3326.23</v>
      </c>
      <c r="S1280" s="38" t="n">
        <v>3326.22</v>
      </c>
      <c r="T1280" s="22" t="s">
        <v>189</v>
      </c>
      <c r="U1280" s="39" t="n">
        <f aca="false">IF(R1280="","",IF(F1280="BUY",R1280-S1280,S1280-R1280))</f>
        <v>0.0100000000002183</v>
      </c>
      <c r="V1280" s="39" t="n">
        <f aca="false">IF(F1280="BUY",S1280-J1280,J1280-S1280)</f>
        <v>0.489999999999782</v>
      </c>
      <c r="W1280" s="6" t="n">
        <v>2.45</v>
      </c>
      <c r="X1280" s="26" t="n">
        <f aca="false">IFERROR(W1280/N1280,0)</f>
        <v>0.0816666666666667</v>
      </c>
      <c r="Y1280" s="22" t="str">
        <f aca="false">IF(W1280&gt;0,"Win",IF(W1280&lt;0,"Loss","Flat"))</f>
        <v>Win</v>
      </c>
      <c r="Z1280" s="24" t="n">
        <f aca="false">Summary!$C$5+SUM(W$2:W1280)</f>
        <v>3433.95</v>
      </c>
      <c r="AA1280" s="24" t="n">
        <f aca="false">MAX(AA1279,Z1280)</f>
        <v>5000</v>
      </c>
      <c r="AB1280" s="24" t="n">
        <f aca="false">AA1280-Z1280</f>
        <v>1566.05</v>
      </c>
      <c r="AC1280" s="23" t="n">
        <f aca="false">IFERROR(AB1280/AA1280,0)</f>
        <v>0.31321</v>
      </c>
      <c r="AD1280" s="22" t="s">
        <v>1517</v>
      </c>
    </row>
    <row r="1281" customFormat="false" ht="15" hidden="false" customHeight="false" outlineLevel="0" collapsed="false">
      <c r="A1281" s="22" t="n">
        <v>1280</v>
      </c>
      <c r="B1281" s="22" t="s">
        <v>157</v>
      </c>
      <c r="C1281" s="37" t="n">
        <v>45800.6178587963</v>
      </c>
      <c r="D1281" s="22" t="s">
        <v>206</v>
      </c>
      <c r="E1281" s="22" t="n">
        <v>14</v>
      </c>
      <c r="F1281" s="22" t="s">
        <v>181</v>
      </c>
      <c r="G1281" s="22" t="s">
        <v>243</v>
      </c>
      <c r="H1281" s="22" t="n">
        <v>0.05</v>
      </c>
      <c r="I1281" s="38" t="n">
        <v>3345.2</v>
      </c>
      <c r="J1281" s="38" t="n">
        <v>3345.49</v>
      </c>
      <c r="K1281" s="39" t="n">
        <f aca="false">IF(F1281="BUY",J1281-I1281,I1281-J1281)</f>
        <v>0.289999999999964</v>
      </c>
      <c r="L1281" s="38" t="n">
        <v>3339.2</v>
      </c>
      <c r="M1281" s="39" t="n">
        <f aca="false">ABS(I1281-L1281)</f>
        <v>6</v>
      </c>
      <c r="N1281" s="24" t="n">
        <f aca="false">M1281*H1281*Summary!$C$6</f>
        <v>30</v>
      </c>
      <c r="O1281" s="37" t="n">
        <v>45800.6179976852</v>
      </c>
      <c r="P1281" s="22" t="n">
        <f aca="false">ROUND((O1281-C1281)*86400,0)</f>
        <v>12</v>
      </c>
      <c r="Q1281" s="22" t="str">
        <f aca="false">IF(P1281&lt;10,"a) &lt;10s",IF(P1281&lt;60,"b) 10-60s",IF(P1281&lt;600,"c) 1-10min","d) &gt;10min")))</f>
        <v>b) 10-60s</v>
      </c>
      <c r="R1281" s="38" t="n">
        <v>3345.99</v>
      </c>
      <c r="S1281" s="38" t="n">
        <v>3345.75</v>
      </c>
      <c r="T1281" s="22" t="s">
        <v>189</v>
      </c>
      <c r="U1281" s="39" t="n">
        <f aca="false">IF(R1281="","",IF(F1281="BUY",R1281-S1281,S1281-R1281))</f>
        <v>0.239999999999782</v>
      </c>
      <c r="V1281" s="39" t="n">
        <f aca="false">IF(F1281="BUY",S1281-J1281,J1281-S1281)</f>
        <v>0.260000000000218</v>
      </c>
      <c r="W1281" s="6" t="n">
        <v>1.3</v>
      </c>
      <c r="X1281" s="26" t="n">
        <f aca="false">IFERROR(W1281/N1281,0)</f>
        <v>0.0433333333333333</v>
      </c>
      <c r="Y1281" s="22" t="str">
        <f aca="false">IF(W1281&gt;0,"Win",IF(W1281&lt;0,"Loss","Flat"))</f>
        <v>Win</v>
      </c>
      <c r="Z1281" s="24" t="n">
        <f aca="false">Summary!$C$5+SUM(W$2:W1281)</f>
        <v>3435.25</v>
      </c>
      <c r="AA1281" s="24" t="n">
        <f aca="false">MAX(AA1280,Z1281)</f>
        <v>5000</v>
      </c>
      <c r="AB1281" s="24" t="n">
        <f aca="false">AA1281-Z1281</f>
        <v>1564.75</v>
      </c>
      <c r="AC1281" s="23" t="n">
        <f aca="false">IFERROR(AB1281/AA1281,0)</f>
        <v>0.31295</v>
      </c>
      <c r="AD1281" s="22" t="s">
        <v>1518</v>
      </c>
    </row>
    <row r="1282" customFormat="false" ht="15" hidden="false" customHeight="false" outlineLevel="0" collapsed="false">
      <c r="A1282" s="22" t="n">
        <v>1281</v>
      </c>
      <c r="B1282" s="22" t="s">
        <v>157</v>
      </c>
      <c r="C1282" s="37" t="n">
        <v>45803.3856828704</v>
      </c>
      <c r="D1282" s="22" t="s">
        <v>202</v>
      </c>
      <c r="E1282" s="22" t="n">
        <v>9</v>
      </c>
      <c r="F1282" s="22" t="s">
        <v>182</v>
      </c>
      <c r="G1282" s="22" t="s">
        <v>241</v>
      </c>
      <c r="H1282" s="22" t="n">
        <v>0.05</v>
      </c>
      <c r="I1282" s="38" t="n">
        <v>3343.99</v>
      </c>
      <c r="J1282" s="38" t="n">
        <v>3343.95</v>
      </c>
      <c r="K1282" s="39" t="n">
        <f aca="false">IF(F1282="BUY",J1282-I1282,I1282-J1282)</f>
        <v>0.0399999999999636</v>
      </c>
      <c r="L1282" s="38" t="n">
        <v>3349.99</v>
      </c>
      <c r="M1282" s="39" t="n">
        <f aca="false">ABS(I1282-L1282)</f>
        <v>6</v>
      </c>
      <c r="N1282" s="24" t="n">
        <f aca="false">M1282*H1282*Summary!$C$6</f>
        <v>30</v>
      </c>
      <c r="O1282" s="37" t="n">
        <v>45803.3900347222</v>
      </c>
      <c r="P1282" s="22" t="n">
        <f aca="false">ROUND((O1282-C1282)*86400,0)</f>
        <v>376</v>
      </c>
      <c r="Q1282" s="22" t="str">
        <f aca="false">IF(P1282&lt;10,"a) &lt;10s",IF(P1282&lt;60,"b) 10-60s",IF(P1282&lt;600,"c) 1-10min","d) &gt;10min")))</f>
        <v>c) 1-10min</v>
      </c>
      <c r="R1282" s="38" t="n">
        <v>3343.45</v>
      </c>
      <c r="S1282" s="38" t="n">
        <v>3343.45</v>
      </c>
      <c r="T1282" s="22" t="s">
        <v>189</v>
      </c>
      <c r="U1282" s="39" t="n">
        <f aca="false">IF(R1282="","",IF(F1282="BUY",R1282-S1282,S1282-R1282))</f>
        <v>0</v>
      </c>
      <c r="V1282" s="39" t="n">
        <f aca="false">IF(F1282="BUY",S1282-J1282,J1282-S1282)</f>
        <v>0.5</v>
      </c>
      <c r="W1282" s="6" t="n">
        <v>2.5</v>
      </c>
      <c r="X1282" s="26" t="n">
        <f aca="false">IFERROR(W1282/N1282,0)</f>
        <v>0.0833333333333333</v>
      </c>
      <c r="Y1282" s="22" t="str">
        <f aca="false">IF(W1282&gt;0,"Win",IF(W1282&lt;0,"Loss","Flat"))</f>
        <v>Win</v>
      </c>
      <c r="Z1282" s="24" t="n">
        <f aca="false">Summary!$C$5+SUM(W$2:W1282)</f>
        <v>3437.75</v>
      </c>
      <c r="AA1282" s="24" t="n">
        <f aca="false">MAX(AA1281,Z1282)</f>
        <v>5000</v>
      </c>
      <c r="AB1282" s="24" t="n">
        <f aca="false">AA1282-Z1282</f>
        <v>1562.25</v>
      </c>
      <c r="AC1282" s="23" t="n">
        <f aca="false">IFERROR(AB1282/AA1282,0)</f>
        <v>0.31245</v>
      </c>
      <c r="AD1282" s="22" t="s">
        <v>1519</v>
      </c>
    </row>
    <row r="1283" customFormat="false" ht="15" hidden="false" customHeight="false" outlineLevel="0" collapsed="false">
      <c r="A1283" s="22" t="n">
        <v>1282</v>
      </c>
      <c r="B1283" s="22" t="s">
        <v>157</v>
      </c>
      <c r="C1283" s="37" t="n">
        <v>45804.3651388889</v>
      </c>
      <c r="D1283" s="22" t="s">
        <v>203</v>
      </c>
      <c r="E1283" s="22" t="n">
        <v>8</v>
      </c>
      <c r="F1283" s="22" t="s">
        <v>182</v>
      </c>
      <c r="G1283" s="22" t="s">
        <v>237</v>
      </c>
      <c r="H1283" s="22" t="n">
        <v>0.05</v>
      </c>
      <c r="I1283" s="38" t="n">
        <v>3323.3</v>
      </c>
      <c r="J1283" s="38" t="n">
        <v>3323.28</v>
      </c>
      <c r="K1283" s="39" t="n">
        <f aca="false">IF(F1283="BUY",J1283-I1283,I1283-J1283)</f>
        <v>0.0199999999999818</v>
      </c>
      <c r="L1283" s="38" t="n">
        <v>3329.3</v>
      </c>
      <c r="M1283" s="39" t="n">
        <f aca="false">ABS(I1283-L1283)</f>
        <v>6</v>
      </c>
      <c r="N1283" s="24" t="n">
        <f aca="false">M1283*H1283*Summary!$C$6</f>
        <v>30</v>
      </c>
      <c r="O1283" s="37" t="n">
        <v>45804.366724537</v>
      </c>
      <c r="P1283" s="22" t="n">
        <f aca="false">ROUND((O1283-C1283)*86400,0)</f>
        <v>137</v>
      </c>
      <c r="Q1283" s="22" t="str">
        <f aca="false">IF(P1283&lt;10,"a) &lt;10s",IF(P1283&lt;60,"b) 10-60s",IF(P1283&lt;600,"c) 1-10min","d) &gt;10min")))</f>
        <v>c) 1-10min</v>
      </c>
      <c r="R1283" s="38" t="n">
        <v>3322.78</v>
      </c>
      <c r="S1283" s="38" t="n">
        <v>3322.94</v>
      </c>
      <c r="T1283" s="22" t="s">
        <v>189</v>
      </c>
      <c r="U1283" s="39" t="n">
        <f aca="false">IF(R1283="","",IF(F1283="BUY",R1283-S1283,S1283-R1283))</f>
        <v>0.159999999999854</v>
      </c>
      <c r="V1283" s="39" t="n">
        <f aca="false">IF(F1283="BUY",S1283-J1283,J1283-S1283)</f>
        <v>0.340000000000146</v>
      </c>
      <c r="W1283" s="6" t="n">
        <v>1.7</v>
      </c>
      <c r="X1283" s="26" t="n">
        <f aca="false">IFERROR(W1283/N1283,0)</f>
        <v>0.0566666666666667</v>
      </c>
      <c r="Y1283" s="22" t="str">
        <f aca="false">IF(W1283&gt;0,"Win",IF(W1283&lt;0,"Loss","Flat"))</f>
        <v>Win</v>
      </c>
      <c r="Z1283" s="24" t="n">
        <f aca="false">Summary!$C$5+SUM(W$2:W1283)</f>
        <v>3439.45</v>
      </c>
      <c r="AA1283" s="24" t="n">
        <f aca="false">MAX(AA1282,Z1283)</f>
        <v>5000</v>
      </c>
      <c r="AB1283" s="24" t="n">
        <f aca="false">AA1283-Z1283</f>
        <v>1560.55</v>
      </c>
      <c r="AC1283" s="23" t="n">
        <f aca="false">IFERROR(AB1283/AA1283,0)</f>
        <v>0.31211</v>
      </c>
      <c r="AD1283" s="22" t="s">
        <v>1520</v>
      </c>
    </row>
    <row r="1284" customFormat="false" ht="15" hidden="false" customHeight="false" outlineLevel="0" collapsed="false">
      <c r="A1284" s="22" t="n">
        <v>1283</v>
      </c>
      <c r="B1284" s="22" t="s">
        <v>157</v>
      </c>
      <c r="C1284" s="37" t="n">
        <v>45804.4059606482</v>
      </c>
      <c r="D1284" s="22" t="s">
        <v>203</v>
      </c>
      <c r="E1284" s="22" t="n">
        <v>9</v>
      </c>
      <c r="F1284" s="22" t="s">
        <v>182</v>
      </c>
      <c r="G1284" s="22" t="s">
        <v>241</v>
      </c>
      <c r="H1284" s="22" t="n">
        <v>0.05</v>
      </c>
      <c r="I1284" s="38" t="n">
        <v>3315.68</v>
      </c>
      <c r="J1284" s="38" t="n">
        <v>3315.63</v>
      </c>
      <c r="K1284" s="39" t="n">
        <f aca="false">IF(F1284="BUY",J1284-I1284,I1284-J1284)</f>
        <v>0.0499999999997272</v>
      </c>
      <c r="L1284" s="38" t="n">
        <v>3321.68</v>
      </c>
      <c r="M1284" s="39" t="n">
        <f aca="false">ABS(I1284-L1284)</f>
        <v>6</v>
      </c>
      <c r="N1284" s="24" t="n">
        <f aca="false">M1284*H1284*Summary!$C$6</f>
        <v>30</v>
      </c>
      <c r="O1284" s="37" t="n">
        <v>45804.9270833333</v>
      </c>
      <c r="P1284" s="22" t="n">
        <f aca="false">ROUND((O1284-C1284)*86400,0)</f>
        <v>45025</v>
      </c>
      <c r="Q1284" s="22" t="str">
        <f aca="false">IF(P1284&lt;10,"a) &lt;10s",IF(P1284&lt;60,"b) 10-60s",IF(P1284&lt;600,"c) 1-10min","d) &gt;10min")))</f>
        <v>d) &gt;10min</v>
      </c>
      <c r="R1284" s="38"/>
      <c r="S1284" s="38" t="n">
        <v>3304.65</v>
      </c>
      <c r="T1284" s="22" t="s">
        <v>191</v>
      </c>
      <c r="U1284" s="39" t="str">
        <f aca="false">IF(R1284="","",IF(F1284="BUY",R1284-S1284,S1284-R1284))</f>
        <v/>
      </c>
      <c r="V1284" s="39" t="n">
        <f aca="false">IF(F1284="BUY",S1284-J1284,J1284-S1284)</f>
        <v>10.98</v>
      </c>
      <c r="W1284" s="6" t="n">
        <v>54.9</v>
      </c>
      <c r="X1284" s="26" t="n">
        <f aca="false">IFERROR(W1284/N1284,0)</f>
        <v>1.83</v>
      </c>
      <c r="Y1284" s="22" t="str">
        <f aca="false">IF(W1284&gt;0,"Win",IF(W1284&lt;0,"Loss","Flat"))</f>
        <v>Win</v>
      </c>
      <c r="Z1284" s="24" t="n">
        <f aca="false">Summary!$C$5+SUM(W$2:W1284)</f>
        <v>3494.35</v>
      </c>
      <c r="AA1284" s="24" t="n">
        <f aca="false">MAX(AA1283,Z1284)</f>
        <v>5000</v>
      </c>
      <c r="AB1284" s="24" t="n">
        <f aca="false">AA1284-Z1284</f>
        <v>1505.65</v>
      </c>
      <c r="AC1284" s="23" t="n">
        <f aca="false">IFERROR(AB1284/AA1284,0)</f>
        <v>0.30113</v>
      </c>
      <c r="AD1284" s="22" t="s">
        <v>1521</v>
      </c>
    </row>
    <row r="1285" customFormat="false" ht="15" hidden="false" customHeight="false" outlineLevel="0" collapsed="false">
      <c r="A1285" s="22" t="n">
        <v>1284</v>
      </c>
      <c r="B1285" s="22" t="s">
        <v>157</v>
      </c>
      <c r="C1285" s="37" t="n">
        <v>45805.4181018519</v>
      </c>
      <c r="D1285" s="22" t="s">
        <v>204</v>
      </c>
      <c r="E1285" s="22" t="n">
        <v>10</v>
      </c>
      <c r="F1285" s="22" t="s">
        <v>181</v>
      </c>
      <c r="G1285" s="22" t="s">
        <v>235</v>
      </c>
      <c r="H1285" s="22" t="n">
        <v>0.05</v>
      </c>
      <c r="I1285" s="38" t="n">
        <v>3310.05</v>
      </c>
      <c r="J1285" s="38" t="n">
        <v>3310.05</v>
      </c>
      <c r="K1285" s="39" t="n">
        <f aca="false">IF(F1285="BUY",J1285-I1285,I1285-J1285)</f>
        <v>0</v>
      </c>
      <c r="L1285" s="38" t="n">
        <v>3304.05</v>
      </c>
      <c r="M1285" s="39" t="n">
        <f aca="false">ABS(I1285-L1285)</f>
        <v>6</v>
      </c>
      <c r="N1285" s="24" t="n">
        <f aca="false">M1285*H1285*Summary!$C$6</f>
        <v>30</v>
      </c>
      <c r="O1285" s="37" t="n">
        <v>45805.4335532407</v>
      </c>
      <c r="P1285" s="22" t="n">
        <f aca="false">ROUND((O1285-C1285)*86400,0)</f>
        <v>1335</v>
      </c>
      <c r="Q1285" s="22" t="str">
        <f aca="false">IF(P1285&lt;10,"a) &lt;10s",IF(P1285&lt;60,"b) 10-60s",IF(P1285&lt;600,"c) 1-10min","d) &gt;10min")))</f>
        <v>d) &gt;10min</v>
      </c>
      <c r="R1285" s="38" t="n">
        <v>3310.55</v>
      </c>
      <c r="S1285" s="38" t="n">
        <v>3310.55</v>
      </c>
      <c r="T1285" s="22" t="s">
        <v>189</v>
      </c>
      <c r="U1285" s="39" t="n">
        <f aca="false">IF(R1285="","",IF(F1285="BUY",R1285-S1285,S1285-R1285))</f>
        <v>0</v>
      </c>
      <c r="V1285" s="39" t="n">
        <f aca="false">IF(F1285="BUY",S1285-J1285,J1285-S1285)</f>
        <v>0.5</v>
      </c>
      <c r="W1285" s="6" t="n">
        <v>2.5</v>
      </c>
      <c r="X1285" s="26" t="n">
        <f aca="false">IFERROR(W1285/N1285,0)</f>
        <v>0.0833333333333333</v>
      </c>
      <c r="Y1285" s="22" t="str">
        <f aca="false">IF(W1285&gt;0,"Win",IF(W1285&lt;0,"Loss","Flat"))</f>
        <v>Win</v>
      </c>
      <c r="Z1285" s="24" t="n">
        <f aca="false">Summary!$C$5+SUM(W$2:W1285)</f>
        <v>3496.85</v>
      </c>
      <c r="AA1285" s="24" t="n">
        <f aca="false">MAX(AA1284,Z1285)</f>
        <v>5000</v>
      </c>
      <c r="AB1285" s="24" t="n">
        <f aca="false">AA1285-Z1285</f>
        <v>1503.15</v>
      </c>
      <c r="AC1285" s="23" t="n">
        <f aca="false">IFERROR(AB1285/AA1285,0)</f>
        <v>0.30063</v>
      </c>
      <c r="AD1285" s="22" t="s">
        <v>1522</v>
      </c>
    </row>
    <row r="1286" customFormat="false" ht="15" hidden="false" customHeight="false" outlineLevel="0" collapsed="false">
      <c r="A1286" s="22" t="n">
        <v>1285</v>
      </c>
      <c r="B1286" s="22" t="s">
        <v>157</v>
      </c>
      <c r="C1286" s="37" t="n">
        <v>45806.0902430556</v>
      </c>
      <c r="D1286" s="22" t="s">
        <v>205</v>
      </c>
      <c r="E1286" s="22" t="n">
        <v>2</v>
      </c>
      <c r="F1286" s="22" t="s">
        <v>182</v>
      </c>
      <c r="G1286" s="22" t="s">
        <v>237</v>
      </c>
      <c r="H1286" s="22" t="n">
        <v>0.05</v>
      </c>
      <c r="I1286" s="38" t="n">
        <v>3276.08</v>
      </c>
      <c r="J1286" s="38" t="n">
        <v>3275.99</v>
      </c>
      <c r="K1286" s="39" t="n">
        <f aca="false">IF(F1286="BUY",J1286-I1286,I1286-J1286)</f>
        <v>0.0900000000001455</v>
      </c>
      <c r="L1286" s="38" t="n">
        <v>3282.08</v>
      </c>
      <c r="M1286" s="39" t="n">
        <f aca="false">ABS(I1286-L1286)</f>
        <v>6</v>
      </c>
      <c r="N1286" s="24" t="n">
        <f aca="false">M1286*H1286*Summary!$C$6</f>
        <v>30</v>
      </c>
      <c r="O1286" s="37" t="n">
        <v>45806.0906944444</v>
      </c>
      <c r="P1286" s="22" t="n">
        <f aca="false">ROUND((O1286-C1286)*86400,0)</f>
        <v>39</v>
      </c>
      <c r="Q1286" s="22" t="str">
        <f aca="false">IF(P1286&lt;10,"a) &lt;10s",IF(P1286&lt;60,"b) 10-60s",IF(P1286&lt;600,"c) 1-10min","d) &gt;10min")))</f>
        <v>b) 10-60s</v>
      </c>
      <c r="R1286" s="38" t="n">
        <v>3275.49</v>
      </c>
      <c r="S1286" s="38" t="n">
        <v>3275.5</v>
      </c>
      <c r="T1286" s="22" t="s">
        <v>189</v>
      </c>
      <c r="U1286" s="39" t="n">
        <f aca="false">IF(R1286="","",IF(F1286="BUY",R1286-S1286,S1286-R1286))</f>
        <v>0.0100000000002183</v>
      </c>
      <c r="V1286" s="39" t="n">
        <f aca="false">IF(F1286="BUY",S1286-J1286,J1286-S1286)</f>
        <v>0.489999999999782</v>
      </c>
      <c r="W1286" s="6" t="n">
        <v>2.45</v>
      </c>
      <c r="X1286" s="26" t="n">
        <f aca="false">IFERROR(W1286/N1286,0)</f>
        <v>0.0816666666666667</v>
      </c>
      <c r="Y1286" s="22" t="str">
        <f aca="false">IF(W1286&gt;0,"Win",IF(W1286&lt;0,"Loss","Flat"))</f>
        <v>Win</v>
      </c>
      <c r="Z1286" s="24" t="n">
        <f aca="false">Summary!$C$5+SUM(W$2:W1286)</f>
        <v>3499.3</v>
      </c>
      <c r="AA1286" s="24" t="n">
        <f aca="false">MAX(AA1285,Z1286)</f>
        <v>5000</v>
      </c>
      <c r="AB1286" s="24" t="n">
        <f aca="false">AA1286-Z1286</f>
        <v>1500.7</v>
      </c>
      <c r="AC1286" s="23" t="n">
        <f aca="false">IFERROR(AB1286/AA1286,0)</f>
        <v>0.30014</v>
      </c>
      <c r="AD1286" s="22" t="s">
        <v>1523</v>
      </c>
    </row>
    <row r="1287" customFormat="false" ht="15" hidden="false" customHeight="false" outlineLevel="0" collapsed="false">
      <c r="A1287" s="22" t="n">
        <v>1286</v>
      </c>
      <c r="B1287" s="22" t="s">
        <v>157</v>
      </c>
      <c r="C1287" s="37" t="n">
        <v>45806.3762152778</v>
      </c>
      <c r="D1287" s="22" t="s">
        <v>205</v>
      </c>
      <c r="E1287" s="22" t="n">
        <v>9</v>
      </c>
      <c r="F1287" s="22" t="s">
        <v>181</v>
      </c>
      <c r="G1287" s="22" t="s">
        <v>235</v>
      </c>
      <c r="H1287" s="22" t="n">
        <v>0.05</v>
      </c>
      <c r="I1287" s="38" t="n">
        <v>3275.2</v>
      </c>
      <c r="J1287" s="38" t="n">
        <v>3275.51</v>
      </c>
      <c r="K1287" s="39" t="n">
        <f aca="false">IF(F1287="BUY",J1287-I1287,I1287-J1287)</f>
        <v>0.3100000000004</v>
      </c>
      <c r="L1287" s="38" t="n">
        <v>3269.2</v>
      </c>
      <c r="M1287" s="39" t="n">
        <f aca="false">ABS(I1287-L1287)</f>
        <v>6</v>
      </c>
      <c r="N1287" s="24" t="n">
        <f aca="false">M1287*H1287*Summary!$C$6</f>
        <v>30</v>
      </c>
      <c r="O1287" s="37" t="n">
        <v>45806.3830439815</v>
      </c>
      <c r="P1287" s="22" t="n">
        <f aca="false">ROUND((O1287-C1287)*86400,0)</f>
        <v>590</v>
      </c>
      <c r="Q1287" s="22" t="str">
        <f aca="false">IF(P1287&lt;10,"a) &lt;10s",IF(P1287&lt;60,"b) 10-60s",IF(P1287&lt;600,"c) 1-10min","d) &gt;10min")))</f>
        <v>c) 1-10min</v>
      </c>
      <c r="R1287" s="38" t="n">
        <v>3269.2</v>
      </c>
      <c r="S1287" s="38" t="n">
        <v>3269.15</v>
      </c>
      <c r="T1287" s="22" t="s">
        <v>188</v>
      </c>
      <c r="U1287" s="39" t="n">
        <f aca="false">IF(R1287="","",IF(F1287="BUY",R1287-S1287,S1287-R1287))</f>
        <v>0.0499999999997272</v>
      </c>
      <c r="V1287" s="39" t="n">
        <f aca="false">IF(F1287="BUY",S1287-J1287,J1287-S1287)</f>
        <v>-6.36000000000013</v>
      </c>
      <c r="W1287" s="6" t="n">
        <v>-31.8</v>
      </c>
      <c r="X1287" s="26" t="n">
        <f aca="false">IFERROR(W1287/N1287,0)</f>
        <v>-1.06</v>
      </c>
      <c r="Y1287" s="22" t="str">
        <f aca="false">IF(W1287&gt;0,"Win",IF(W1287&lt;0,"Loss","Flat"))</f>
        <v>Loss</v>
      </c>
      <c r="Z1287" s="24" t="n">
        <f aca="false">Summary!$C$5+SUM(W$2:W1287)</f>
        <v>3467.5</v>
      </c>
      <c r="AA1287" s="24" t="n">
        <f aca="false">MAX(AA1286,Z1287)</f>
        <v>5000</v>
      </c>
      <c r="AB1287" s="24" t="n">
        <f aca="false">AA1287-Z1287</f>
        <v>1532.5</v>
      </c>
      <c r="AC1287" s="23" t="n">
        <f aca="false">IFERROR(AB1287/AA1287,0)</f>
        <v>0.3065</v>
      </c>
      <c r="AD1287" s="22" t="s">
        <v>1524</v>
      </c>
    </row>
    <row r="1288" customFormat="false" ht="15" hidden="false" customHeight="false" outlineLevel="0" collapsed="false">
      <c r="A1288" s="22" t="n">
        <v>1287</v>
      </c>
      <c r="B1288" s="22" t="s">
        <v>157</v>
      </c>
      <c r="C1288" s="37" t="n">
        <v>45807.4258333333</v>
      </c>
      <c r="D1288" s="22" t="s">
        <v>206</v>
      </c>
      <c r="E1288" s="22" t="n">
        <v>10</v>
      </c>
      <c r="F1288" s="22" t="s">
        <v>182</v>
      </c>
      <c r="G1288" s="22" t="s">
        <v>241</v>
      </c>
      <c r="H1288" s="22" t="n">
        <v>0.05</v>
      </c>
      <c r="I1288" s="38" t="n">
        <v>3289.9</v>
      </c>
      <c r="J1288" s="38" t="n">
        <v>3289.79</v>
      </c>
      <c r="K1288" s="39" t="n">
        <f aca="false">IF(F1288="BUY",J1288-I1288,I1288-J1288)</f>
        <v>0.110000000000127</v>
      </c>
      <c r="L1288" s="38" t="n">
        <v>3295.9</v>
      </c>
      <c r="M1288" s="39" t="n">
        <f aca="false">ABS(I1288-L1288)</f>
        <v>6</v>
      </c>
      <c r="N1288" s="24" t="n">
        <f aca="false">M1288*H1288*Summary!$C$6</f>
        <v>30</v>
      </c>
      <c r="O1288" s="37" t="n">
        <v>45807.4309375</v>
      </c>
      <c r="P1288" s="22" t="n">
        <f aca="false">ROUND((O1288-C1288)*86400,0)</f>
        <v>441</v>
      </c>
      <c r="Q1288" s="22" t="str">
        <f aca="false">IF(P1288&lt;10,"a) &lt;10s",IF(P1288&lt;60,"b) 10-60s",IF(P1288&lt;600,"c) 1-10min","d) &gt;10min")))</f>
        <v>c) 1-10min</v>
      </c>
      <c r="R1288" s="38" t="n">
        <v>3295.9</v>
      </c>
      <c r="S1288" s="38" t="n">
        <v>3295.9</v>
      </c>
      <c r="T1288" s="22" t="s">
        <v>188</v>
      </c>
      <c r="U1288" s="39" t="n">
        <f aca="false">IF(R1288="","",IF(F1288="BUY",R1288-S1288,S1288-R1288))</f>
        <v>0</v>
      </c>
      <c r="V1288" s="39" t="n">
        <f aca="false">IF(F1288="BUY",S1288-J1288,J1288-S1288)</f>
        <v>-6.11000000000013</v>
      </c>
      <c r="W1288" s="6" t="n">
        <v>-30.55</v>
      </c>
      <c r="X1288" s="26" t="n">
        <f aca="false">IFERROR(W1288/N1288,0)</f>
        <v>-1.01833333333333</v>
      </c>
      <c r="Y1288" s="22" t="str">
        <f aca="false">IF(W1288&gt;0,"Win",IF(W1288&lt;0,"Loss","Flat"))</f>
        <v>Loss</v>
      </c>
      <c r="Z1288" s="24" t="n">
        <f aca="false">Summary!$C$5+SUM(W$2:W1288)</f>
        <v>3436.95</v>
      </c>
      <c r="AA1288" s="24" t="n">
        <f aca="false">MAX(AA1287,Z1288)</f>
        <v>5000</v>
      </c>
      <c r="AB1288" s="24" t="n">
        <f aca="false">AA1288-Z1288</f>
        <v>1563.05</v>
      </c>
      <c r="AC1288" s="23" t="n">
        <f aca="false">IFERROR(AB1288/AA1288,0)</f>
        <v>0.31261</v>
      </c>
      <c r="AD1288" s="22" t="s">
        <v>1525</v>
      </c>
    </row>
    <row r="1289" customFormat="false" ht="15" hidden="false" customHeight="false" outlineLevel="0" collapsed="false">
      <c r="A1289" s="22" t="n">
        <v>1288</v>
      </c>
      <c r="B1289" s="22" t="s">
        <v>158</v>
      </c>
      <c r="C1289" s="37" t="n">
        <v>45810.3641898148</v>
      </c>
      <c r="D1289" s="22" t="s">
        <v>202</v>
      </c>
      <c r="E1289" s="22" t="n">
        <v>8</v>
      </c>
      <c r="F1289" s="22" t="s">
        <v>181</v>
      </c>
      <c r="G1289" s="22" t="s">
        <v>243</v>
      </c>
      <c r="H1289" s="22" t="n">
        <v>0.05</v>
      </c>
      <c r="I1289" s="38" t="n">
        <v>3322.45</v>
      </c>
      <c r="J1289" s="38" t="n">
        <v>3322.52</v>
      </c>
      <c r="K1289" s="39" t="n">
        <f aca="false">IF(F1289="BUY",J1289-I1289,I1289-J1289)</f>
        <v>0.0700000000001637</v>
      </c>
      <c r="L1289" s="38" t="n">
        <v>3316.45</v>
      </c>
      <c r="M1289" s="39" t="n">
        <f aca="false">ABS(I1289-L1289)</f>
        <v>6</v>
      </c>
      <c r="N1289" s="24" t="n">
        <f aca="false">M1289*H1289*Summary!$C$6</f>
        <v>30</v>
      </c>
      <c r="O1289" s="37" t="n">
        <v>45810.3707523148</v>
      </c>
      <c r="P1289" s="22" t="n">
        <f aca="false">ROUND((O1289-C1289)*86400,0)</f>
        <v>567</v>
      </c>
      <c r="Q1289" s="22" t="str">
        <f aca="false">IF(P1289&lt;10,"a) &lt;10s",IF(P1289&lt;60,"b) 10-60s",IF(P1289&lt;600,"c) 1-10min","d) &gt;10min")))</f>
        <v>c) 1-10min</v>
      </c>
      <c r="R1289" s="38" t="n">
        <v>3323.02</v>
      </c>
      <c r="S1289" s="38" t="n">
        <v>3322.75</v>
      </c>
      <c r="T1289" s="22" t="s">
        <v>189</v>
      </c>
      <c r="U1289" s="39" t="n">
        <f aca="false">IF(R1289="","",IF(F1289="BUY",R1289-S1289,S1289-R1289))</f>
        <v>0.269999999999982</v>
      </c>
      <c r="V1289" s="39" t="n">
        <f aca="false">IF(F1289="BUY",S1289-J1289,J1289-S1289)</f>
        <v>0.230000000000018</v>
      </c>
      <c r="W1289" s="6" t="n">
        <v>1.15</v>
      </c>
      <c r="X1289" s="26" t="n">
        <f aca="false">IFERROR(W1289/N1289,0)</f>
        <v>0.0383333333333333</v>
      </c>
      <c r="Y1289" s="22" t="str">
        <f aca="false">IF(W1289&gt;0,"Win",IF(W1289&lt;0,"Loss","Flat"))</f>
        <v>Win</v>
      </c>
      <c r="Z1289" s="24" t="n">
        <f aca="false">Summary!$C$5+SUM(W$2:W1289)</f>
        <v>3438.1</v>
      </c>
      <c r="AA1289" s="24" t="n">
        <f aca="false">MAX(AA1288,Z1289)</f>
        <v>5000</v>
      </c>
      <c r="AB1289" s="24" t="n">
        <f aca="false">AA1289-Z1289</f>
        <v>1561.9</v>
      </c>
      <c r="AC1289" s="23" t="n">
        <f aca="false">IFERROR(AB1289/AA1289,0)</f>
        <v>0.31238</v>
      </c>
      <c r="AD1289" s="22" t="s">
        <v>1526</v>
      </c>
    </row>
    <row r="1290" customFormat="false" ht="15" hidden="false" customHeight="false" outlineLevel="0" collapsed="false">
      <c r="A1290" s="22" t="n">
        <v>1289</v>
      </c>
      <c r="B1290" s="22" t="s">
        <v>158</v>
      </c>
      <c r="C1290" s="37" t="n">
        <v>45810.3763773148</v>
      </c>
      <c r="D1290" s="22" t="s">
        <v>202</v>
      </c>
      <c r="E1290" s="22" t="n">
        <v>9</v>
      </c>
      <c r="F1290" s="22" t="s">
        <v>181</v>
      </c>
      <c r="G1290" s="22" t="s">
        <v>235</v>
      </c>
      <c r="H1290" s="22" t="n">
        <v>0.05</v>
      </c>
      <c r="I1290" s="38" t="n">
        <v>3325.55</v>
      </c>
      <c r="J1290" s="38" t="n">
        <v>3325.94</v>
      </c>
      <c r="K1290" s="39" t="n">
        <f aca="false">IF(F1290="BUY",J1290-I1290,I1290-J1290)</f>
        <v>0.389999999999873</v>
      </c>
      <c r="L1290" s="38" t="n">
        <v>3319.55</v>
      </c>
      <c r="M1290" s="39" t="n">
        <f aca="false">ABS(I1290-L1290)</f>
        <v>6</v>
      </c>
      <c r="N1290" s="24" t="n">
        <f aca="false">M1290*H1290*Summary!$C$6</f>
        <v>30</v>
      </c>
      <c r="O1290" s="37" t="n">
        <v>45810.4281365741</v>
      </c>
      <c r="P1290" s="22" t="n">
        <f aca="false">ROUND((O1290-C1290)*86400,0)</f>
        <v>4472</v>
      </c>
      <c r="Q1290" s="22" t="str">
        <f aca="false">IF(P1290&lt;10,"a) &lt;10s",IF(P1290&lt;60,"b) 10-60s",IF(P1290&lt;600,"c) 1-10min","d) &gt;10min")))</f>
        <v>d) &gt;10min</v>
      </c>
      <c r="R1290" s="38"/>
      <c r="S1290" s="38" t="n">
        <v>3355.6</v>
      </c>
      <c r="T1290" s="22" t="s">
        <v>187</v>
      </c>
      <c r="U1290" s="39" t="str">
        <f aca="false">IF(R1290="","",IF(F1290="BUY",R1290-S1290,S1290-R1290))</f>
        <v/>
      </c>
      <c r="V1290" s="39" t="n">
        <f aca="false">IF(F1290="BUY",S1290-J1290,J1290-S1290)</f>
        <v>29.6599999999999</v>
      </c>
      <c r="W1290" s="6" t="n">
        <v>148.3</v>
      </c>
      <c r="X1290" s="26" t="n">
        <f aca="false">IFERROR(W1290/N1290,0)</f>
        <v>4.94333333333333</v>
      </c>
      <c r="Y1290" s="22" t="str">
        <f aca="false">IF(W1290&gt;0,"Win",IF(W1290&lt;0,"Loss","Flat"))</f>
        <v>Win</v>
      </c>
      <c r="Z1290" s="24" t="n">
        <f aca="false">Summary!$C$5+SUM(W$2:W1290)</f>
        <v>3586.4</v>
      </c>
      <c r="AA1290" s="24" t="n">
        <f aca="false">MAX(AA1289,Z1290)</f>
        <v>5000</v>
      </c>
      <c r="AB1290" s="24" t="n">
        <f aca="false">AA1290-Z1290</f>
        <v>1413.6</v>
      </c>
      <c r="AC1290" s="23" t="n">
        <f aca="false">IFERROR(AB1290/AA1290,0)</f>
        <v>0.28272</v>
      </c>
      <c r="AD1290" s="22" t="s">
        <v>1527</v>
      </c>
    </row>
    <row r="1291" customFormat="false" ht="15" hidden="false" customHeight="false" outlineLevel="0" collapsed="false">
      <c r="A1291" s="22" t="n">
        <v>1290</v>
      </c>
      <c r="B1291" s="22" t="s">
        <v>158</v>
      </c>
      <c r="C1291" s="37" t="n">
        <v>45811.3758912037</v>
      </c>
      <c r="D1291" s="22" t="s">
        <v>203</v>
      </c>
      <c r="E1291" s="22" t="n">
        <v>9</v>
      </c>
      <c r="F1291" s="22" t="s">
        <v>181</v>
      </c>
      <c r="G1291" s="22" t="s">
        <v>235</v>
      </c>
      <c r="H1291" s="22" t="n">
        <v>0.05</v>
      </c>
      <c r="I1291" s="38" t="n">
        <v>3367.58</v>
      </c>
      <c r="J1291" s="38" t="n">
        <v>3367.6</v>
      </c>
      <c r="K1291" s="39" t="n">
        <f aca="false">IF(F1291="BUY",J1291-I1291,I1291-J1291)</f>
        <v>0.0199999999999818</v>
      </c>
      <c r="L1291" s="38" t="n">
        <v>3361.58</v>
      </c>
      <c r="M1291" s="39" t="n">
        <f aca="false">ABS(I1291-L1291)</f>
        <v>6</v>
      </c>
      <c r="N1291" s="24" t="n">
        <f aca="false">M1291*H1291*Summary!$C$6</f>
        <v>30</v>
      </c>
      <c r="O1291" s="37" t="n">
        <v>45811.3820023148</v>
      </c>
      <c r="P1291" s="22" t="n">
        <f aca="false">ROUND((O1291-C1291)*86400,0)</f>
        <v>528</v>
      </c>
      <c r="Q1291" s="22" t="str">
        <f aca="false">IF(P1291&lt;10,"a) &lt;10s",IF(P1291&lt;60,"b) 10-60s",IF(P1291&lt;600,"c) 1-10min","d) &gt;10min")))</f>
        <v>c) 1-10min</v>
      </c>
      <c r="R1291" s="38" t="n">
        <v>3361.58</v>
      </c>
      <c r="S1291" s="38" t="n">
        <v>3361.5</v>
      </c>
      <c r="T1291" s="22" t="s">
        <v>188</v>
      </c>
      <c r="U1291" s="39" t="n">
        <f aca="false">IF(R1291="","",IF(F1291="BUY",R1291-S1291,S1291-R1291))</f>
        <v>0.0799999999999272</v>
      </c>
      <c r="V1291" s="39" t="n">
        <f aca="false">IF(F1291="BUY",S1291-J1291,J1291-S1291)</f>
        <v>-6.09999999999991</v>
      </c>
      <c r="W1291" s="6" t="n">
        <v>-30.5</v>
      </c>
      <c r="X1291" s="26" t="n">
        <f aca="false">IFERROR(W1291/N1291,0)</f>
        <v>-1.01666666666667</v>
      </c>
      <c r="Y1291" s="22" t="str">
        <f aca="false">IF(W1291&gt;0,"Win",IF(W1291&lt;0,"Loss","Flat"))</f>
        <v>Loss</v>
      </c>
      <c r="Z1291" s="24" t="n">
        <f aca="false">Summary!$C$5+SUM(W$2:W1291)</f>
        <v>3555.9</v>
      </c>
      <c r="AA1291" s="24" t="n">
        <f aca="false">MAX(AA1290,Z1291)</f>
        <v>5000</v>
      </c>
      <c r="AB1291" s="24" t="n">
        <f aca="false">AA1291-Z1291</f>
        <v>1444.1</v>
      </c>
      <c r="AC1291" s="23" t="n">
        <f aca="false">IFERROR(AB1291/AA1291,0)</f>
        <v>0.28882</v>
      </c>
      <c r="AD1291" s="22" t="s">
        <v>1528</v>
      </c>
    </row>
    <row r="1292" customFormat="false" ht="15" hidden="false" customHeight="false" outlineLevel="0" collapsed="false">
      <c r="A1292" s="22" t="n">
        <v>1291</v>
      </c>
      <c r="B1292" s="22" t="s">
        <v>158</v>
      </c>
      <c r="C1292" s="37" t="n">
        <v>45812.4212962963</v>
      </c>
      <c r="D1292" s="22" t="s">
        <v>204</v>
      </c>
      <c r="E1292" s="22" t="n">
        <v>10</v>
      </c>
      <c r="F1292" s="22" t="s">
        <v>181</v>
      </c>
      <c r="G1292" s="22" t="s">
        <v>235</v>
      </c>
      <c r="H1292" s="22" t="n">
        <v>0.05</v>
      </c>
      <c r="I1292" s="38" t="n">
        <v>3361.24</v>
      </c>
      <c r="J1292" s="38" t="n">
        <v>3361.26</v>
      </c>
      <c r="K1292" s="39" t="n">
        <f aca="false">IF(F1292="BUY",J1292-I1292,I1292-J1292)</f>
        <v>0.0200000000004366</v>
      </c>
      <c r="L1292" s="38" t="n">
        <v>3355.24</v>
      </c>
      <c r="M1292" s="39" t="n">
        <f aca="false">ABS(I1292-L1292)</f>
        <v>6</v>
      </c>
      <c r="N1292" s="24" t="n">
        <f aca="false">M1292*H1292*Summary!$C$6</f>
        <v>30</v>
      </c>
      <c r="O1292" s="37" t="n">
        <v>45812.4434259259</v>
      </c>
      <c r="P1292" s="22" t="n">
        <f aca="false">ROUND((O1292-C1292)*86400,0)</f>
        <v>1912</v>
      </c>
      <c r="Q1292" s="22" t="str">
        <f aca="false">IF(P1292&lt;10,"a) &lt;10s",IF(P1292&lt;60,"b) 10-60s",IF(P1292&lt;600,"c) 1-10min","d) &gt;10min")))</f>
        <v>d) &gt;10min</v>
      </c>
      <c r="R1292" s="38" t="n">
        <v>3361.76</v>
      </c>
      <c r="S1292" s="38" t="n">
        <v>3361.75</v>
      </c>
      <c r="T1292" s="22" t="s">
        <v>189</v>
      </c>
      <c r="U1292" s="39" t="n">
        <f aca="false">IF(R1292="","",IF(F1292="BUY",R1292-S1292,S1292-R1292))</f>
        <v>0.0100000000002183</v>
      </c>
      <c r="V1292" s="39" t="n">
        <f aca="false">IF(F1292="BUY",S1292-J1292,J1292-S1292)</f>
        <v>0.489999999999782</v>
      </c>
      <c r="W1292" s="6" t="n">
        <v>2.45</v>
      </c>
      <c r="X1292" s="26" t="n">
        <f aca="false">IFERROR(W1292/N1292,0)</f>
        <v>0.0816666666666667</v>
      </c>
      <c r="Y1292" s="22" t="str">
        <f aca="false">IF(W1292&gt;0,"Win",IF(W1292&lt;0,"Loss","Flat"))</f>
        <v>Win</v>
      </c>
      <c r="Z1292" s="24" t="n">
        <f aca="false">Summary!$C$5+SUM(W$2:W1292)</f>
        <v>3558.35</v>
      </c>
      <c r="AA1292" s="24" t="n">
        <f aca="false">MAX(AA1291,Z1292)</f>
        <v>5000</v>
      </c>
      <c r="AB1292" s="24" t="n">
        <f aca="false">AA1292-Z1292</f>
        <v>1441.65</v>
      </c>
      <c r="AC1292" s="23" t="n">
        <f aca="false">IFERROR(AB1292/AA1292,0)</f>
        <v>0.28833</v>
      </c>
      <c r="AD1292" s="22" t="s">
        <v>1529</v>
      </c>
    </row>
    <row r="1293" customFormat="false" ht="15" hidden="false" customHeight="false" outlineLevel="0" collapsed="false">
      <c r="A1293" s="22" t="n">
        <v>1292</v>
      </c>
      <c r="B1293" s="22" t="s">
        <v>158</v>
      </c>
      <c r="C1293" s="37" t="n">
        <v>45813.1716782407</v>
      </c>
      <c r="D1293" s="22" t="s">
        <v>205</v>
      </c>
      <c r="E1293" s="22" t="n">
        <v>4</v>
      </c>
      <c r="F1293" s="22" t="s">
        <v>181</v>
      </c>
      <c r="G1293" s="22" t="s">
        <v>243</v>
      </c>
      <c r="H1293" s="22" t="n">
        <v>0.05</v>
      </c>
      <c r="I1293" s="38" t="n">
        <v>3384.5</v>
      </c>
      <c r="J1293" s="38" t="n">
        <v>3384.5</v>
      </c>
      <c r="K1293" s="39" t="n">
        <f aca="false">IF(F1293="BUY",J1293-I1293,I1293-J1293)</f>
        <v>0</v>
      </c>
      <c r="L1293" s="38" t="n">
        <v>3378.5</v>
      </c>
      <c r="M1293" s="39" t="n">
        <f aca="false">ABS(I1293-L1293)</f>
        <v>6</v>
      </c>
      <c r="N1293" s="24" t="n">
        <f aca="false">M1293*H1293*Summary!$C$6</f>
        <v>30</v>
      </c>
      <c r="O1293" s="37" t="n">
        <v>45813.1774189815</v>
      </c>
      <c r="P1293" s="22" t="n">
        <f aca="false">ROUND((O1293-C1293)*86400,0)</f>
        <v>496</v>
      </c>
      <c r="Q1293" s="22" t="str">
        <f aca="false">IF(P1293&lt;10,"a) &lt;10s",IF(P1293&lt;60,"b) 10-60s",IF(P1293&lt;600,"c) 1-10min","d) &gt;10min")))</f>
        <v>c) 1-10min</v>
      </c>
      <c r="R1293" s="38" t="n">
        <v>3378.5</v>
      </c>
      <c r="S1293" s="38" t="n">
        <v>3378.48</v>
      </c>
      <c r="T1293" s="22" t="s">
        <v>188</v>
      </c>
      <c r="U1293" s="39" t="n">
        <f aca="false">IF(R1293="","",IF(F1293="BUY",R1293-S1293,S1293-R1293))</f>
        <v>0.0199999999999818</v>
      </c>
      <c r="V1293" s="39" t="n">
        <f aca="false">IF(F1293="BUY",S1293-J1293,J1293-S1293)</f>
        <v>-6.01999999999998</v>
      </c>
      <c r="W1293" s="6" t="n">
        <v>-30.1</v>
      </c>
      <c r="X1293" s="26" t="n">
        <f aca="false">IFERROR(W1293/N1293,0)</f>
        <v>-1.00333333333333</v>
      </c>
      <c r="Y1293" s="22" t="str">
        <f aca="false">IF(W1293&gt;0,"Win",IF(W1293&lt;0,"Loss","Flat"))</f>
        <v>Loss</v>
      </c>
      <c r="Z1293" s="24" t="n">
        <f aca="false">Summary!$C$5+SUM(W$2:W1293)</f>
        <v>3528.25</v>
      </c>
      <c r="AA1293" s="24" t="n">
        <f aca="false">MAX(AA1292,Z1293)</f>
        <v>5000</v>
      </c>
      <c r="AB1293" s="24" t="n">
        <f aca="false">AA1293-Z1293</f>
        <v>1471.75</v>
      </c>
      <c r="AC1293" s="23" t="n">
        <f aca="false">IFERROR(AB1293/AA1293,0)</f>
        <v>0.29435</v>
      </c>
      <c r="AD1293" s="22" t="s">
        <v>1530</v>
      </c>
    </row>
    <row r="1294" customFormat="false" ht="15" hidden="false" customHeight="false" outlineLevel="0" collapsed="false">
      <c r="A1294" s="22" t="n">
        <v>1293</v>
      </c>
      <c r="B1294" s="22" t="s">
        <v>158</v>
      </c>
      <c r="C1294" s="37" t="n">
        <v>45813.4240162037</v>
      </c>
      <c r="D1294" s="22" t="s">
        <v>205</v>
      </c>
      <c r="E1294" s="22" t="n">
        <v>10</v>
      </c>
      <c r="F1294" s="22" t="s">
        <v>181</v>
      </c>
      <c r="G1294" s="22" t="s">
        <v>235</v>
      </c>
      <c r="H1294" s="22" t="n">
        <v>0.05</v>
      </c>
      <c r="I1294" s="38" t="n">
        <v>3372.3</v>
      </c>
      <c r="J1294" s="38" t="n">
        <v>3372.32</v>
      </c>
      <c r="K1294" s="39" t="n">
        <f aca="false">IF(F1294="BUY",J1294-I1294,I1294-J1294)</f>
        <v>0.0199999999999818</v>
      </c>
      <c r="L1294" s="38" t="n">
        <v>3366.3</v>
      </c>
      <c r="M1294" s="39" t="n">
        <f aca="false">ABS(I1294-L1294)</f>
        <v>6</v>
      </c>
      <c r="N1294" s="24" t="n">
        <f aca="false">M1294*H1294*Summary!$C$6</f>
        <v>30</v>
      </c>
      <c r="O1294" s="37" t="n">
        <v>45813.5883796296</v>
      </c>
      <c r="P1294" s="22" t="n">
        <f aca="false">ROUND((O1294-C1294)*86400,0)</f>
        <v>14201</v>
      </c>
      <c r="Q1294" s="22" t="str">
        <f aca="false">IF(P1294&lt;10,"a) &lt;10s",IF(P1294&lt;60,"b) 10-60s",IF(P1294&lt;600,"c) 1-10min","d) &gt;10min")))</f>
        <v>d) &gt;10min</v>
      </c>
      <c r="R1294" s="38"/>
      <c r="S1294" s="38" t="n">
        <v>3402.48</v>
      </c>
      <c r="T1294" s="22" t="s">
        <v>187</v>
      </c>
      <c r="U1294" s="39" t="str">
        <f aca="false">IF(R1294="","",IF(F1294="BUY",R1294-S1294,S1294-R1294))</f>
        <v/>
      </c>
      <c r="V1294" s="39" t="n">
        <f aca="false">IF(F1294="BUY",S1294-J1294,J1294-S1294)</f>
        <v>30.1599999999999</v>
      </c>
      <c r="W1294" s="6" t="n">
        <v>150.8</v>
      </c>
      <c r="X1294" s="26" t="n">
        <f aca="false">IFERROR(W1294/N1294,0)</f>
        <v>5.02666666666667</v>
      </c>
      <c r="Y1294" s="22" t="str">
        <f aca="false">IF(W1294&gt;0,"Win",IF(W1294&lt;0,"Loss","Flat"))</f>
        <v>Win</v>
      </c>
      <c r="Z1294" s="24" t="n">
        <f aca="false">Summary!$C$5+SUM(W$2:W1294)</f>
        <v>3679.05</v>
      </c>
      <c r="AA1294" s="24" t="n">
        <f aca="false">MAX(AA1293,Z1294)</f>
        <v>5000</v>
      </c>
      <c r="AB1294" s="24" t="n">
        <f aca="false">AA1294-Z1294</f>
        <v>1320.95</v>
      </c>
      <c r="AC1294" s="23" t="n">
        <f aca="false">IFERROR(AB1294/AA1294,0)</f>
        <v>0.26419</v>
      </c>
      <c r="AD1294" s="22" t="s">
        <v>1531</v>
      </c>
    </row>
    <row r="1295" customFormat="false" ht="15" hidden="false" customHeight="false" outlineLevel="0" collapsed="false">
      <c r="A1295" s="22" t="n">
        <v>1294</v>
      </c>
      <c r="B1295" s="22" t="s">
        <v>158</v>
      </c>
      <c r="C1295" s="37" t="n">
        <v>45814.3820023148</v>
      </c>
      <c r="D1295" s="22" t="s">
        <v>206</v>
      </c>
      <c r="E1295" s="22" t="n">
        <v>9</v>
      </c>
      <c r="F1295" s="22" t="s">
        <v>182</v>
      </c>
      <c r="G1295" s="22" t="s">
        <v>241</v>
      </c>
      <c r="H1295" s="22" t="n">
        <v>0.06</v>
      </c>
      <c r="I1295" s="38" t="n">
        <v>3361.91</v>
      </c>
      <c r="J1295" s="38" t="n">
        <v>3361.91</v>
      </c>
      <c r="K1295" s="39" t="n">
        <f aca="false">IF(F1295="BUY",J1295-I1295,I1295-J1295)</f>
        <v>0</v>
      </c>
      <c r="L1295" s="38" t="n">
        <v>3367.91</v>
      </c>
      <c r="M1295" s="39" t="n">
        <f aca="false">ABS(I1295-L1295)</f>
        <v>6</v>
      </c>
      <c r="N1295" s="24" t="n">
        <f aca="false">M1295*H1295*Summary!$C$6</f>
        <v>36</v>
      </c>
      <c r="O1295" s="37" t="n">
        <v>45814.4121759259</v>
      </c>
      <c r="P1295" s="22" t="n">
        <f aca="false">ROUND((O1295-C1295)*86400,0)</f>
        <v>2607</v>
      </c>
      <c r="Q1295" s="22" t="str">
        <f aca="false">IF(P1295&lt;10,"a) &lt;10s",IF(P1295&lt;60,"b) 10-60s",IF(P1295&lt;600,"c) 1-10min","d) &gt;10min")))</f>
        <v>d) &gt;10min</v>
      </c>
      <c r="R1295" s="38" t="n">
        <v>3361.41</v>
      </c>
      <c r="S1295" s="38" t="n">
        <v>3361.45</v>
      </c>
      <c r="T1295" s="22" t="s">
        <v>189</v>
      </c>
      <c r="U1295" s="39" t="n">
        <f aca="false">IF(R1295="","",IF(F1295="BUY",R1295-S1295,S1295-R1295))</f>
        <v>0.0399999999999636</v>
      </c>
      <c r="V1295" s="39" t="n">
        <f aca="false">IF(F1295="BUY",S1295-J1295,J1295-S1295)</f>
        <v>0.460000000000036</v>
      </c>
      <c r="W1295" s="6" t="n">
        <v>2.76</v>
      </c>
      <c r="X1295" s="26" t="n">
        <f aca="false">IFERROR(W1295/N1295,0)</f>
        <v>0.0766666666666667</v>
      </c>
      <c r="Y1295" s="22" t="str">
        <f aca="false">IF(W1295&gt;0,"Win",IF(W1295&lt;0,"Loss","Flat"))</f>
        <v>Win</v>
      </c>
      <c r="Z1295" s="24" t="n">
        <f aca="false">Summary!$C$5+SUM(W$2:W1295)</f>
        <v>3681.81</v>
      </c>
      <c r="AA1295" s="24" t="n">
        <f aca="false">MAX(AA1294,Z1295)</f>
        <v>5000</v>
      </c>
      <c r="AB1295" s="24" t="n">
        <f aca="false">AA1295-Z1295</f>
        <v>1318.19</v>
      </c>
      <c r="AC1295" s="23" t="n">
        <f aca="false">IFERROR(AB1295/AA1295,0)</f>
        <v>0.263638</v>
      </c>
      <c r="AD1295" s="22" t="s">
        <v>1532</v>
      </c>
    </row>
    <row r="1296" customFormat="false" ht="15" hidden="false" customHeight="false" outlineLevel="0" collapsed="false">
      <c r="A1296" s="22" t="n">
        <v>1295</v>
      </c>
      <c r="B1296" s="22" t="s">
        <v>158</v>
      </c>
      <c r="C1296" s="37" t="n">
        <v>45814.7089236111</v>
      </c>
      <c r="D1296" s="22" t="s">
        <v>206</v>
      </c>
      <c r="E1296" s="22" t="n">
        <v>17</v>
      </c>
      <c r="F1296" s="22" t="s">
        <v>182</v>
      </c>
      <c r="G1296" s="22" t="s">
        <v>237</v>
      </c>
      <c r="H1296" s="22" t="n">
        <v>0.06</v>
      </c>
      <c r="I1296" s="38" t="n">
        <v>3339.05</v>
      </c>
      <c r="J1296" s="38" t="n">
        <v>3338.96</v>
      </c>
      <c r="K1296" s="39" t="n">
        <f aca="false">IF(F1296="BUY",J1296-I1296,I1296-J1296)</f>
        <v>0.0900000000001455</v>
      </c>
      <c r="L1296" s="38" t="n">
        <v>3345.05</v>
      </c>
      <c r="M1296" s="39" t="n">
        <f aca="false">ABS(I1296-L1296)</f>
        <v>6</v>
      </c>
      <c r="N1296" s="24" t="n">
        <f aca="false">M1296*H1296*Summary!$C$6</f>
        <v>36</v>
      </c>
      <c r="O1296" s="37" t="n">
        <v>45814.7138425926</v>
      </c>
      <c r="P1296" s="22" t="n">
        <f aca="false">ROUND((O1296-C1296)*86400,0)</f>
        <v>425</v>
      </c>
      <c r="Q1296" s="22" t="str">
        <f aca="false">IF(P1296&lt;10,"a) &lt;10s",IF(P1296&lt;60,"b) 10-60s",IF(P1296&lt;600,"c) 1-10min","d) &gt;10min")))</f>
        <v>c) 1-10min</v>
      </c>
      <c r="R1296" s="38" t="n">
        <v>3338.46</v>
      </c>
      <c r="S1296" s="38" t="n">
        <v>3338.47</v>
      </c>
      <c r="T1296" s="22" t="s">
        <v>189</v>
      </c>
      <c r="U1296" s="39" t="n">
        <f aca="false">IF(R1296="","",IF(F1296="BUY",R1296-S1296,S1296-R1296))</f>
        <v>0.00999999999976353</v>
      </c>
      <c r="V1296" s="39" t="n">
        <f aca="false">IF(F1296="BUY",S1296-J1296,J1296-S1296)</f>
        <v>0.490000000000236</v>
      </c>
      <c r="W1296" s="6" t="n">
        <v>2.94</v>
      </c>
      <c r="X1296" s="26" t="n">
        <f aca="false">IFERROR(W1296/N1296,0)</f>
        <v>0.0816666666666667</v>
      </c>
      <c r="Y1296" s="22" t="str">
        <f aca="false">IF(W1296&gt;0,"Win",IF(W1296&lt;0,"Loss","Flat"))</f>
        <v>Win</v>
      </c>
      <c r="Z1296" s="24" t="n">
        <f aca="false">Summary!$C$5+SUM(W$2:W1296)</f>
        <v>3684.75</v>
      </c>
      <c r="AA1296" s="24" t="n">
        <f aca="false">MAX(AA1295,Z1296)</f>
        <v>5000</v>
      </c>
      <c r="AB1296" s="24" t="n">
        <f aca="false">AA1296-Z1296</f>
        <v>1315.25</v>
      </c>
      <c r="AC1296" s="23" t="n">
        <f aca="false">IFERROR(AB1296/AA1296,0)</f>
        <v>0.26305</v>
      </c>
      <c r="AD1296" s="22" t="s">
        <v>1533</v>
      </c>
    </row>
    <row r="1297" customFormat="false" ht="15" hidden="false" customHeight="false" outlineLevel="0" collapsed="false">
      <c r="A1297" s="22" t="n">
        <v>1296</v>
      </c>
      <c r="B1297" s="22" t="s">
        <v>158</v>
      </c>
      <c r="C1297" s="37" t="n">
        <v>45817.1376273148</v>
      </c>
      <c r="D1297" s="22" t="s">
        <v>202</v>
      </c>
      <c r="E1297" s="22" t="n">
        <v>3</v>
      </c>
      <c r="F1297" s="22" t="s">
        <v>182</v>
      </c>
      <c r="G1297" s="22" t="s">
        <v>237</v>
      </c>
      <c r="H1297" s="22" t="n">
        <v>0.06</v>
      </c>
      <c r="I1297" s="38" t="n">
        <v>3306.92</v>
      </c>
      <c r="J1297" s="38" t="n">
        <v>3306.83</v>
      </c>
      <c r="K1297" s="39" t="n">
        <f aca="false">IF(F1297="BUY",J1297-I1297,I1297-J1297)</f>
        <v>0.0900000000001455</v>
      </c>
      <c r="L1297" s="38" t="n">
        <v>3312.92</v>
      </c>
      <c r="M1297" s="39" t="n">
        <f aca="false">ABS(I1297-L1297)</f>
        <v>6</v>
      </c>
      <c r="N1297" s="24" t="n">
        <f aca="false">M1297*H1297*Summary!$C$6</f>
        <v>36</v>
      </c>
      <c r="O1297" s="37" t="n">
        <v>45817.1666782407</v>
      </c>
      <c r="P1297" s="22" t="n">
        <f aca="false">ROUND((O1297-C1297)*86400,0)</f>
        <v>2510</v>
      </c>
      <c r="Q1297" s="22" t="str">
        <f aca="false">IF(P1297&lt;10,"a) &lt;10s",IF(P1297&lt;60,"b) 10-60s",IF(P1297&lt;600,"c) 1-10min","d) &gt;10min")))</f>
        <v>d) &gt;10min</v>
      </c>
      <c r="R1297" s="38" t="n">
        <v>3306.33</v>
      </c>
      <c r="S1297" s="38" t="n">
        <v>3306.55</v>
      </c>
      <c r="T1297" s="22" t="s">
        <v>189</v>
      </c>
      <c r="U1297" s="39" t="n">
        <f aca="false">IF(R1297="","",IF(F1297="BUY",R1297-S1297,S1297-R1297))</f>
        <v>0.220000000000255</v>
      </c>
      <c r="V1297" s="39" t="n">
        <f aca="false">IF(F1297="BUY",S1297-J1297,J1297-S1297)</f>
        <v>0.279999999999745</v>
      </c>
      <c r="W1297" s="6" t="n">
        <v>1.68</v>
      </c>
      <c r="X1297" s="26" t="n">
        <f aca="false">IFERROR(W1297/N1297,0)</f>
        <v>0.0466666666666667</v>
      </c>
      <c r="Y1297" s="22" t="str">
        <f aca="false">IF(W1297&gt;0,"Win",IF(W1297&lt;0,"Loss","Flat"))</f>
        <v>Win</v>
      </c>
      <c r="Z1297" s="24" t="n">
        <f aca="false">Summary!$C$5+SUM(W$2:W1297)</f>
        <v>3686.43</v>
      </c>
      <c r="AA1297" s="24" t="n">
        <f aca="false">MAX(AA1296,Z1297)</f>
        <v>5000</v>
      </c>
      <c r="AB1297" s="24" t="n">
        <f aca="false">AA1297-Z1297</f>
        <v>1313.57</v>
      </c>
      <c r="AC1297" s="23" t="n">
        <f aca="false">IFERROR(AB1297/AA1297,0)</f>
        <v>0.262714</v>
      </c>
      <c r="AD1297" s="22" t="s">
        <v>1534</v>
      </c>
    </row>
    <row r="1298" customFormat="false" ht="15" hidden="false" customHeight="false" outlineLevel="0" collapsed="false">
      <c r="A1298" s="22" t="n">
        <v>1297</v>
      </c>
      <c r="B1298" s="22" t="s">
        <v>158</v>
      </c>
      <c r="C1298" s="37" t="n">
        <v>45817.3813194444</v>
      </c>
      <c r="D1298" s="22" t="s">
        <v>202</v>
      </c>
      <c r="E1298" s="22" t="n">
        <v>9</v>
      </c>
      <c r="F1298" s="22" t="s">
        <v>181</v>
      </c>
      <c r="G1298" s="22" t="s">
        <v>235</v>
      </c>
      <c r="H1298" s="22" t="n">
        <v>0.06</v>
      </c>
      <c r="I1298" s="38" t="n">
        <v>3316.31</v>
      </c>
      <c r="J1298" s="38" t="n">
        <v>3316.4</v>
      </c>
      <c r="K1298" s="39" t="n">
        <f aca="false">IF(F1298="BUY",J1298-I1298,I1298-J1298)</f>
        <v>0.0900000000001455</v>
      </c>
      <c r="L1298" s="38" t="n">
        <v>3310.31</v>
      </c>
      <c r="M1298" s="39" t="n">
        <f aca="false">ABS(I1298-L1298)</f>
        <v>6</v>
      </c>
      <c r="N1298" s="24" t="n">
        <f aca="false">M1298*H1298*Summary!$C$6</f>
        <v>36</v>
      </c>
      <c r="O1298" s="37" t="n">
        <v>45817.5173032407</v>
      </c>
      <c r="P1298" s="22" t="n">
        <f aca="false">ROUND((O1298-C1298)*86400,0)</f>
        <v>11749</v>
      </c>
      <c r="Q1298" s="22" t="str">
        <f aca="false">IF(P1298&lt;10,"a) &lt;10s",IF(P1298&lt;60,"b) 10-60s",IF(P1298&lt;600,"c) 1-10min","d) &gt;10min")))</f>
        <v>d) &gt;10min</v>
      </c>
      <c r="R1298" s="38" t="n">
        <v>3316.9</v>
      </c>
      <c r="S1298" s="38" t="n">
        <v>3316.79</v>
      </c>
      <c r="T1298" s="22" t="s">
        <v>189</v>
      </c>
      <c r="U1298" s="39" t="n">
        <f aca="false">IF(R1298="","",IF(F1298="BUY",R1298-S1298,S1298-R1298))</f>
        <v>0.110000000000127</v>
      </c>
      <c r="V1298" s="39" t="n">
        <f aca="false">IF(F1298="BUY",S1298-J1298,J1298-S1298)</f>
        <v>0.389999999999873</v>
      </c>
      <c r="W1298" s="6" t="n">
        <v>2.34</v>
      </c>
      <c r="X1298" s="26" t="n">
        <f aca="false">IFERROR(W1298/N1298,0)</f>
        <v>0.065</v>
      </c>
      <c r="Y1298" s="22" t="str">
        <f aca="false">IF(W1298&gt;0,"Win",IF(W1298&lt;0,"Loss","Flat"))</f>
        <v>Win</v>
      </c>
      <c r="Z1298" s="24" t="n">
        <f aca="false">Summary!$C$5+SUM(W$2:W1298)</f>
        <v>3688.77</v>
      </c>
      <c r="AA1298" s="24" t="n">
        <f aca="false">MAX(AA1297,Z1298)</f>
        <v>5000</v>
      </c>
      <c r="AB1298" s="24" t="n">
        <f aca="false">AA1298-Z1298</f>
        <v>1311.23</v>
      </c>
      <c r="AC1298" s="23" t="n">
        <f aca="false">IFERROR(AB1298/AA1298,0)</f>
        <v>0.262246</v>
      </c>
      <c r="AD1298" s="22" t="s">
        <v>1535</v>
      </c>
    </row>
    <row r="1299" customFormat="false" ht="15" hidden="false" customHeight="false" outlineLevel="0" collapsed="false">
      <c r="A1299" s="22" t="n">
        <v>1298</v>
      </c>
      <c r="B1299" s="22" t="s">
        <v>158</v>
      </c>
      <c r="C1299" s="37" t="n">
        <v>45818.376087963</v>
      </c>
      <c r="D1299" s="22" t="s">
        <v>203</v>
      </c>
      <c r="E1299" s="22" t="n">
        <v>9</v>
      </c>
      <c r="F1299" s="22" t="s">
        <v>181</v>
      </c>
      <c r="G1299" s="22" t="s">
        <v>235</v>
      </c>
      <c r="H1299" s="22" t="n">
        <v>0.06</v>
      </c>
      <c r="I1299" s="38" t="n">
        <v>3319</v>
      </c>
      <c r="J1299" s="38" t="n">
        <v>3319.03</v>
      </c>
      <c r="K1299" s="39" t="n">
        <f aca="false">IF(F1299="BUY",J1299-I1299,I1299-J1299)</f>
        <v>0.0300000000002001</v>
      </c>
      <c r="L1299" s="38" t="n">
        <v>3313</v>
      </c>
      <c r="M1299" s="39" t="n">
        <f aca="false">ABS(I1299-L1299)</f>
        <v>6</v>
      </c>
      <c r="N1299" s="24" t="n">
        <f aca="false">M1299*H1299*Summary!$C$6</f>
        <v>36</v>
      </c>
      <c r="O1299" s="37" t="n">
        <v>45818.9145833333</v>
      </c>
      <c r="P1299" s="22" t="n">
        <f aca="false">ROUND((O1299-C1299)*86400,0)</f>
        <v>46526</v>
      </c>
      <c r="Q1299" s="22" t="str">
        <f aca="false">IF(P1299&lt;10,"a) &lt;10s",IF(P1299&lt;60,"b) 10-60s",IF(P1299&lt;600,"c) 1-10min","d) &gt;10min")))</f>
        <v>d) &gt;10min</v>
      </c>
      <c r="R1299" s="38" t="n">
        <v>3319.53</v>
      </c>
      <c r="S1299" s="38" t="n">
        <v>3319.51</v>
      </c>
      <c r="T1299" s="22" t="s">
        <v>189</v>
      </c>
      <c r="U1299" s="39" t="n">
        <f aca="false">IF(R1299="","",IF(F1299="BUY",R1299-S1299,S1299-R1299))</f>
        <v>0.0199999999999818</v>
      </c>
      <c r="V1299" s="39" t="n">
        <f aca="false">IF(F1299="BUY",S1299-J1299,J1299-S1299)</f>
        <v>0.480000000000018</v>
      </c>
      <c r="W1299" s="6" t="n">
        <v>2.88</v>
      </c>
      <c r="X1299" s="26" t="n">
        <f aca="false">IFERROR(W1299/N1299,0)</f>
        <v>0.08</v>
      </c>
      <c r="Y1299" s="22" t="str">
        <f aca="false">IF(W1299&gt;0,"Win",IF(W1299&lt;0,"Loss","Flat"))</f>
        <v>Win</v>
      </c>
      <c r="Z1299" s="24" t="n">
        <f aca="false">Summary!$C$5+SUM(W$2:W1299)</f>
        <v>3691.65</v>
      </c>
      <c r="AA1299" s="24" t="n">
        <f aca="false">MAX(AA1298,Z1299)</f>
        <v>5000</v>
      </c>
      <c r="AB1299" s="24" t="n">
        <f aca="false">AA1299-Z1299</f>
        <v>1308.35</v>
      </c>
      <c r="AC1299" s="23" t="n">
        <f aca="false">IFERROR(AB1299/AA1299,0)</f>
        <v>0.26167</v>
      </c>
      <c r="AD1299" s="22" t="s">
        <v>1536</v>
      </c>
    </row>
    <row r="1300" customFormat="false" ht="15" hidden="false" customHeight="false" outlineLevel="0" collapsed="false">
      <c r="A1300" s="22" t="n">
        <v>1299</v>
      </c>
      <c r="B1300" s="22" t="s">
        <v>158</v>
      </c>
      <c r="C1300" s="37" t="n">
        <v>45819.3905671296</v>
      </c>
      <c r="D1300" s="22" t="s">
        <v>204</v>
      </c>
      <c r="E1300" s="22" t="n">
        <v>9</v>
      </c>
      <c r="F1300" s="22" t="s">
        <v>182</v>
      </c>
      <c r="G1300" s="22" t="s">
        <v>241</v>
      </c>
      <c r="H1300" s="22" t="n">
        <v>0.06</v>
      </c>
      <c r="I1300" s="38" t="n">
        <v>3335.33</v>
      </c>
      <c r="J1300" s="38" t="n">
        <v>3335.26</v>
      </c>
      <c r="K1300" s="39" t="n">
        <f aca="false">IF(F1300="BUY",J1300-I1300,I1300-J1300)</f>
        <v>0.069999999999709</v>
      </c>
      <c r="L1300" s="38" t="n">
        <v>3341.33</v>
      </c>
      <c r="M1300" s="39" t="n">
        <f aca="false">ABS(I1300-L1300)</f>
        <v>6</v>
      </c>
      <c r="N1300" s="24" t="n">
        <f aca="false">M1300*H1300*Summary!$C$6</f>
        <v>36</v>
      </c>
      <c r="O1300" s="37" t="n">
        <v>45819.3960532407</v>
      </c>
      <c r="P1300" s="22" t="n">
        <f aca="false">ROUND((O1300-C1300)*86400,0)</f>
        <v>474</v>
      </c>
      <c r="Q1300" s="22" t="str">
        <f aca="false">IF(P1300&lt;10,"a) &lt;10s",IF(P1300&lt;60,"b) 10-60s",IF(P1300&lt;600,"c) 1-10min","d) &gt;10min")))</f>
        <v>c) 1-10min</v>
      </c>
      <c r="R1300" s="38" t="n">
        <v>3334.76</v>
      </c>
      <c r="S1300" s="38" t="n">
        <v>3334.8</v>
      </c>
      <c r="T1300" s="22" t="s">
        <v>189</v>
      </c>
      <c r="U1300" s="39" t="n">
        <f aca="false">IF(R1300="","",IF(F1300="BUY",R1300-S1300,S1300-R1300))</f>
        <v>0.0399999999999636</v>
      </c>
      <c r="V1300" s="39" t="n">
        <f aca="false">IF(F1300="BUY",S1300-J1300,J1300-S1300)</f>
        <v>0.460000000000036</v>
      </c>
      <c r="W1300" s="6" t="n">
        <v>2.76</v>
      </c>
      <c r="X1300" s="26" t="n">
        <f aca="false">IFERROR(W1300/N1300,0)</f>
        <v>0.0766666666666667</v>
      </c>
      <c r="Y1300" s="22" t="str">
        <f aca="false">IF(W1300&gt;0,"Win",IF(W1300&lt;0,"Loss","Flat"))</f>
        <v>Win</v>
      </c>
      <c r="Z1300" s="24" t="n">
        <f aca="false">Summary!$C$5+SUM(W$2:W1300)</f>
        <v>3694.41</v>
      </c>
      <c r="AA1300" s="24" t="n">
        <f aca="false">MAX(AA1299,Z1300)</f>
        <v>5000</v>
      </c>
      <c r="AB1300" s="24" t="n">
        <f aca="false">AA1300-Z1300</f>
        <v>1305.59</v>
      </c>
      <c r="AC1300" s="23" t="n">
        <f aca="false">IFERROR(AB1300/AA1300,0)</f>
        <v>0.261118</v>
      </c>
      <c r="AD1300" s="22" t="s">
        <v>1537</v>
      </c>
    </row>
    <row r="1301" customFormat="false" ht="15" hidden="false" customHeight="false" outlineLevel="0" collapsed="false">
      <c r="A1301" s="22" t="n">
        <v>1300</v>
      </c>
      <c r="B1301" s="22" t="s">
        <v>158</v>
      </c>
      <c r="C1301" s="37" t="n">
        <v>45819.4565393519</v>
      </c>
      <c r="D1301" s="22" t="s">
        <v>204</v>
      </c>
      <c r="E1301" s="22" t="n">
        <v>10</v>
      </c>
      <c r="F1301" s="22" t="s">
        <v>181</v>
      </c>
      <c r="G1301" s="22" t="s">
        <v>243</v>
      </c>
      <c r="H1301" s="22" t="n">
        <v>0.06</v>
      </c>
      <c r="I1301" s="38" t="n">
        <v>3348.9</v>
      </c>
      <c r="J1301" s="38" t="n">
        <v>3348.94</v>
      </c>
      <c r="K1301" s="39" t="n">
        <f aca="false">IF(F1301="BUY",J1301-I1301,I1301-J1301)</f>
        <v>0.0399999999999636</v>
      </c>
      <c r="L1301" s="38" t="n">
        <v>3342.9</v>
      </c>
      <c r="M1301" s="39" t="n">
        <f aca="false">ABS(I1301-L1301)</f>
        <v>6</v>
      </c>
      <c r="N1301" s="24" t="n">
        <f aca="false">M1301*H1301*Summary!$C$6</f>
        <v>36</v>
      </c>
      <c r="O1301" s="37" t="n">
        <v>45819.4850462963</v>
      </c>
      <c r="P1301" s="22" t="n">
        <f aca="false">ROUND((O1301-C1301)*86400,0)</f>
        <v>2463</v>
      </c>
      <c r="Q1301" s="22" t="str">
        <f aca="false">IF(P1301&lt;10,"a) &lt;10s",IF(P1301&lt;60,"b) 10-60s",IF(P1301&lt;600,"c) 1-10min","d) &gt;10min")))</f>
        <v>d) &gt;10min</v>
      </c>
      <c r="R1301" s="38" t="n">
        <v>3342.9</v>
      </c>
      <c r="S1301" s="38" t="n">
        <v>3342.74</v>
      </c>
      <c r="T1301" s="22" t="s">
        <v>188</v>
      </c>
      <c r="U1301" s="39" t="n">
        <f aca="false">IF(R1301="","",IF(F1301="BUY",R1301-S1301,S1301-R1301))</f>
        <v>0.160000000000309</v>
      </c>
      <c r="V1301" s="39" t="n">
        <f aca="false">IF(F1301="BUY",S1301-J1301,J1301-S1301)</f>
        <v>-6.20000000000027</v>
      </c>
      <c r="W1301" s="6" t="n">
        <v>-37.2</v>
      </c>
      <c r="X1301" s="26" t="n">
        <f aca="false">IFERROR(W1301/N1301,0)</f>
        <v>-1.03333333333333</v>
      </c>
      <c r="Y1301" s="22" t="str">
        <f aca="false">IF(W1301&gt;0,"Win",IF(W1301&lt;0,"Loss","Flat"))</f>
        <v>Loss</v>
      </c>
      <c r="Z1301" s="24" t="n">
        <f aca="false">Summary!$C$5+SUM(W$2:W1301)</f>
        <v>3657.21</v>
      </c>
      <c r="AA1301" s="24" t="n">
        <f aca="false">MAX(AA1300,Z1301)</f>
        <v>5000</v>
      </c>
      <c r="AB1301" s="24" t="n">
        <f aca="false">AA1301-Z1301</f>
        <v>1342.79</v>
      </c>
      <c r="AC1301" s="23" t="n">
        <f aca="false">IFERROR(AB1301/AA1301,0)</f>
        <v>0.268558</v>
      </c>
      <c r="AD1301" s="22" t="s">
        <v>1538</v>
      </c>
    </row>
    <row r="1302" customFormat="false" ht="15" hidden="false" customHeight="false" outlineLevel="0" collapsed="false">
      <c r="A1302" s="22" t="n">
        <v>1301</v>
      </c>
      <c r="B1302" s="22" t="s">
        <v>158</v>
      </c>
      <c r="C1302" s="37" t="n">
        <v>45820.3874189815</v>
      </c>
      <c r="D1302" s="22" t="s">
        <v>205</v>
      </c>
      <c r="E1302" s="22" t="n">
        <v>9</v>
      </c>
      <c r="F1302" s="22" t="s">
        <v>182</v>
      </c>
      <c r="G1302" s="22" t="s">
        <v>241</v>
      </c>
      <c r="H1302" s="22" t="n">
        <v>0.06</v>
      </c>
      <c r="I1302" s="38" t="n">
        <v>3367.45</v>
      </c>
      <c r="J1302" s="38" t="n">
        <v>3367.45</v>
      </c>
      <c r="K1302" s="39" t="n">
        <f aca="false">IF(F1302="BUY",J1302-I1302,I1302-J1302)</f>
        <v>0</v>
      </c>
      <c r="L1302" s="38" t="n">
        <v>3373.45</v>
      </c>
      <c r="M1302" s="39" t="n">
        <f aca="false">ABS(I1302-L1302)</f>
        <v>6</v>
      </c>
      <c r="N1302" s="24" t="n">
        <f aca="false">M1302*H1302*Summary!$C$6</f>
        <v>36</v>
      </c>
      <c r="O1302" s="37" t="n">
        <v>45820.4021412037</v>
      </c>
      <c r="P1302" s="22" t="n">
        <f aca="false">ROUND((O1302-C1302)*86400,0)</f>
        <v>1272</v>
      </c>
      <c r="Q1302" s="22" t="str">
        <f aca="false">IF(P1302&lt;10,"a) &lt;10s",IF(P1302&lt;60,"b) 10-60s",IF(P1302&lt;600,"c) 1-10min","d) &gt;10min")))</f>
        <v>d) &gt;10min</v>
      </c>
      <c r="R1302" s="38" t="n">
        <v>3373.45</v>
      </c>
      <c r="S1302" s="38" t="n">
        <v>3373.49</v>
      </c>
      <c r="T1302" s="22" t="s">
        <v>188</v>
      </c>
      <c r="U1302" s="39" t="n">
        <f aca="false">IF(R1302="","",IF(F1302="BUY",R1302-S1302,S1302-R1302))</f>
        <v>0.0399999999999636</v>
      </c>
      <c r="V1302" s="39" t="n">
        <f aca="false">IF(F1302="BUY",S1302-J1302,J1302-S1302)</f>
        <v>-6.03999999999996</v>
      </c>
      <c r="W1302" s="6" t="n">
        <v>-36.24</v>
      </c>
      <c r="X1302" s="26" t="n">
        <f aca="false">IFERROR(W1302/N1302,0)</f>
        <v>-1.00666666666667</v>
      </c>
      <c r="Y1302" s="22" t="str">
        <f aca="false">IF(W1302&gt;0,"Win",IF(W1302&lt;0,"Loss","Flat"))</f>
        <v>Loss</v>
      </c>
      <c r="Z1302" s="24" t="n">
        <f aca="false">Summary!$C$5+SUM(W$2:W1302)</f>
        <v>3620.97</v>
      </c>
      <c r="AA1302" s="24" t="n">
        <f aca="false">MAX(AA1301,Z1302)</f>
        <v>5000</v>
      </c>
      <c r="AB1302" s="24" t="n">
        <f aca="false">AA1302-Z1302</f>
        <v>1379.03</v>
      </c>
      <c r="AC1302" s="23" t="n">
        <f aca="false">IFERROR(AB1302/AA1302,0)</f>
        <v>0.275806</v>
      </c>
      <c r="AD1302" s="22" t="s">
        <v>1539</v>
      </c>
    </row>
    <row r="1303" customFormat="false" ht="15" hidden="false" customHeight="false" outlineLevel="0" collapsed="false">
      <c r="A1303" s="22" t="n">
        <v>1302</v>
      </c>
      <c r="B1303" s="22" t="s">
        <v>158</v>
      </c>
      <c r="C1303" s="37" t="n">
        <v>45821.1264930556</v>
      </c>
      <c r="D1303" s="22" t="s">
        <v>206</v>
      </c>
      <c r="E1303" s="22" t="n">
        <v>3</v>
      </c>
      <c r="F1303" s="22" t="s">
        <v>181</v>
      </c>
      <c r="G1303" s="22" t="s">
        <v>243</v>
      </c>
      <c r="H1303" s="22" t="n">
        <v>0.06</v>
      </c>
      <c r="I1303" s="38" t="n">
        <v>3398.75</v>
      </c>
      <c r="J1303" s="38" t="n">
        <v>3398.9</v>
      </c>
      <c r="K1303" s="39" t="n">
        <f aca="false">IF(F1303="BUY",J1303-I1303,I1303-J1303)</f>
        <v>0.150000000000091</v>
      </c>
      <c r="L1303" s="38" t="n">
        <v>3392.75</v>
      </c>
      <c r="M1303" s="39" t="n">
        <f aca="false">ABS(I1303-L1303)</f>
        <v>6</v>
      </c>
      <c r="N1303" s="24" t="n">
        <f aca="false">M1303*H1303*Summary!$C$6</f>
        <v>36</v>
      </c>
      <c r="O1303" s="37" t="n">
        <v>45821.129224537</v>
      </c>
      <c r="P1303" s="22" t="n">
        <f aca="false">ROUND((O1303-C1303)*86400,0)</f>
        <v>236</v>
      </c>
      <c r="Q1303" s="22" t="str">
        <f aca="false">IF(P1303&lt;10,"a) &lt;10s",IF(P1303&lt;60,"b) 10-60s",IF(P1303&lt;600,"c) 1-10min","d) &gt;10min")))</f>
        <v>c) 1-10min</v>
      </c>
      <c r="R1303" s="38" t="n">
        <v>3399.4</v>
      </c>
      <c r="S1303" s="38" t="n">
        <v>3399.37</v>
      </c>
      <c r="T1303" s="22" t="s">
        <v>189</v>
      </c>
      <c r="U1303" s="39" t="n">
        <f aca="false">IF(R1303="","",IF(F1303="BUY",R1303-S1303,S1303-R1303))</f>
        <v>0.0300000000002001</v>
      </c>
      <c r="V1303" s="39" t="n">
        <f aca="false">IF(F1303="BUY",S1303-J1303,J1303-S1303)</f>
        <v>0.4699999999998</v>
      </c>
      <c r="W1303" s="6" t="n">
        <v>2.82</v>
      </c>
      <c r="X1303" s="26" t="n">
        <f aca="false">IFERROR(W1303/N1303,0)</f>
        <v>0.0783333333333333</v>
      </c>
      <c r="Y1303" s="22" t="str">
        <f aca="false">IF(W1303&gt;0,"Win",IF(W1303&lt;0,"Loss","Flat"))</f>
        <v>Win</v>
      </c>
      <c r="Z1303" s="24" t="n">
        <f aca="false">Summary!$C$5+SUM(W$2:W1303)</f>
        <v>3623.79</v>
      </c>
      <c r="AA1303" s="24" t="n">
        <f aca="false">MAX(AA1302,Z1303)</f>
        <v>5000</v>
      </c>
      <c r="AB1303" s="24" t="n">
        <f aca="false">AA1303-Z1303</f>
        <v>1376.21</v>
      </c>
      <c r="AC1303" s="23" t="n">
        <f aca="false">IFERROR(AB1303/AA1303,0)</f>
        <v>0.275242</v>
      </c>
      <c r="AD1303" s="22" t="s">
        <v>1540</v>
      </c>
    </row>
    <row r="1304" customFormat="false" ht="15" hidden="false" customHeight="false" outlineLevel="0" collapsed="false">
      <c r="A1304" s="22" t="n">
        <v>1303</v>
      </c>
      <c r="B1304" s="22" t="s">
        <v>158</v>
      </c>
      <c r="C1304" s="37" t="n">
        <v>45821.406412037</v>
      </c>
      <c r="D1304" s="22" t="s">
        <v>206</v>
      </c>
      <c r="E1304" s="22" t="n">
        <v>9</v>
      </c>
      <c r="F1304" s="22" t="s">
        <v>182</v>
      </c>
      <c r="G1304" s="22" t="s">
        <v>241</v>
      </c>
      <c r="H1304" s="22" t="n">
        <v>0.06</v>
      </c>
      <c r="I1304" s="38" t="n">
        <v>3417.9</v>
      </c>
      <c r="J1304" s="38" t="n">
        <v>3417.9</v>
      </c>
      <c r="K1304" s="39" t="n">
        <f aca="false">IF(F1304="BUY",J1304-I1304,I1304-J1304)</f>
        <v>0</v>
      </c>
      <c r="L1304" s="38" t="n">
        <v>3423.9</v>
      </c>
      <c r="M1304" s="39" t="n">
        <f aca="false">ABS(I1304-L1304)</f>
        <v>6</v>
      </c>
      <c r="N1304" s="24" t="n">
        <f aca="false">M1304*H1304*Summary!$C$6</f>
        <v>36</v>
      </c>
      <c r="O1304" s="37" t="n">
        <v>45821.4153472222</v>
      </c>
      <c r="P1304" s="22" t="n">
        <f aca="false">ROUND((O1304-C1304)*86400,0)</f>
        <v>772</v>
      </c>
      <c r="Q1304" s="22" t="str">
        <f aca="false">IF(P1304&lt;10,"a) &lt;10s",IF(P1304&lt;60,"b) 10-60s",IF(P1304&lt;600,"c) 1-10min","d) &gt;10min")))</f>
        <v>d) &gt;10min</v>
      </c>
      <c r="R1304" s="38" t="n">
        <v>3417.4</v>
      </c>
      <c r="S1304" s="38" t="n">
        <v>3417.48</v>
      </c>
      <c r="T1304" s="22" t="s">
        <v>189</v>
      </c>
      <c r="U1304" s="39" t="n">
        <f aca="false">IF(R1304="","",IF(F1304="BUY",R1304-S1304,S1304-R1304))</f>
        <v>0.0799999999999272</v>
      </c>
      <c r="V1304" s="39" t="n">
        <f aca="false">IF(F1304="BUY",S1304-J1304,J1304-S1304)</f>
        <v>0.420000000000073</v>
      </c>
      <c r="W1304" s="6" t="n">
        <v>2.52</v>
      </c>
      <c r="X1304" s="26" t="n">
        <f aca="false">IFERROR(W1304/N1304,0)</f>
        <v>0.07</v>
      </c>
      <c r="Y1304" s="22" t="str">
        <f aca="false">IF(W1304&gt;0,"Win",IF(W1304&lt;0,"Loss","Flat"))</f>
        <v>Win</v>
      </c>
      <c r="Z1304" s="24" t="n">
        <f aca="false">Summary!$C$5+SUM(W$2:W1304)</f>
        <v>3626.31</v>
      </c>
      <c r="AA1304" s="24" t="n">
        <f aca="false">MAX(AA1303,Z1304)</f>
        <v>5000</v>
      </c>
      <c r="AB1304" s="24" t="n">
        <f aca="false">AA1304-Z1304</f>
        <v>1373.69</v>
      </c>
      <c r="AC1304" s="23" t="n">
        <f aca="false">IFERROR(AB1304/AA1304,0)</f>
        <v>0.274738</v>
      </c>
      <c r="AD1304" s="22" t="s">
        <v>1541</v>
      </c>
    </row>
    <row r="1305" customFormat="false" ht="15" hidden="false" customHeight="false" outlineLevel="0" collapsed="false">
      <c r="A1305" s="22" t="n">
        <v>1304</v>
      </c>
      <c r="B1305" s="22" t="s">
        <v>158</v>
      </c>
      <c r="C1305" s="37" t="n">
        <v>45824.3785185185</v>
      </c>
      <c r="D1305" s="22" t="s">
        <v>202</v>
      </c>
      <c r="E1305" s="22" t="n">
        <v>9</v>
      </c>
      <c r="F1305" s="22" t="s">
        <v>182</v>
      </c>
      <c r="G1305" s="22" t="s">
        <v>241</v>
      </c>
      <c r="H1305" s="22" t="n">
        <v>0.06</v>
      </c>
      <c r="I1305" s="38" t="n">
        <v>3417.56</v>
      </c>
      <c r="J1305" s="38" t="n">
        <v>3417.55</v>
      </c>
      <c r="K1305" s="39" t="n">
        <f aca="false">IF(F1305="BUY",J1305-I1305,I1305-J1305)</f>
        <v>0.00999999999976353</v>
      </c>
      <c r="L1305" s="38" t="n">
        <v>3423.56</v>
      </c>
      <c r="M1305" s="39" t="n">
        <f aca="false">ABS(I1305-L1305)</f>
        <v>6</v>
      </c>
      <c r="N1305" s="24" t="n">
        <f aca="false">M1305*H1305*Summary!$C$6</f>
        <v>36</v>
      </c>
      <c r="O1305" s="37" t="n">
        <v>45824.3918518519</v>
      </c>
      <c r="P1305" s="22" t="n">
        <f aca="false">ROUND((O1305-C1305)*86400,0)</f>
        <v>1152</v>
      </c>
      <c r="Q1305" s="22" t="str">
        <f aca="false">IF(P1305&lt;10,"a) &lt;10s",IF(P1305&lt;60,"b) 10-60s",IF(P1305&lt;600,"c) 1-10min","d) &gt;10min")))</f>
        <v>d) &gt;10min</v>
      </c>
      <c r="R1305" s="38" t="n">
        <v>3417.05</v>
      </c>
      <c r="S1305" s="38" t="n">
        <v>3417.12</v>
      </c>
      <c r="T1305" s="22" t="s">
        <v>189</v>
      </c>
      <c r="U1305" s="39" t="n">
        <f aca="false">IF(R1305="","",IF(F1305="BUY",R1305-S1305,S1305-R1305))</f>
        <v>0.069999999999709</v>
      </c>
      <c r="V1305" s="39" t="n">
        <f aca="false">IF(F1305="BUY",S1305-J1305,J1305-S1305)</f>
        <v>0.430000000000291</v>
      </c>
      <c r="W1305" s="6" t="n">
        <v>2.58</v>
      </c>
      <c r="X1305" s="26" t="n">
        <f aca="false">IFERROR(W1305/N1305,0)</f>
        <v>0.0716666666666667</v>
      </c>
      <c r="Y1305" s="22" t="str">
        <f aca="false">IF(W1305&gt;0,"Win",IF(W1305&lt;0,"Loss","Flat"))</f>
        <v>Win</v>
      </c>
      <c r="Z1305" s="24" t="n">
        <f aca="false">Summary!$C$5+SUM(W$2:W1305)</f>
        <v>3628.89</v>
      </c>
      <c r="AA1305" s="24" t="n">
        <f aca="false">MAX(AA1304,Z1305)</f>
        <v>5000</v>
      </c>
      <c r="AB1305" s="24" t="n">
        <f aca="false">AA1305-Z1305</f>
        <v>1371.11</v>
      </c>
      <c r="AC1305" s="23" t="n">
        <f aca="false">IFERROR(AB1305/AA1305,0)</f>
        <v>0.274222</v>
      </c>
      <c r="AD1305" s="22" t="s">
        <v>1542</v>
      </c>
    </row>
    <row r="1306" customFormat="false" ht="15" hidden="false" customHeight="false" outlineLevel="0" collapsed="false">
      <c r="A1306" s="22" t="n">
        <v>1305</v>
      </c>
      <c r="B1306" s="22" t="s">
        <v>158</v>
      </c>
      <c r="C1306" s="37" t="n">
        <v>45825.2580439815</v>
      </c>
      <c r="D1306" s="22" t="s">
        <v>203</v>
      </c>
      <c r="E1306" s="22" t="n">
        <v>6</v>
      </c>
      <c r="F1306" s="22" t="s">
        <v>182</v>
      </c>
      <c r="G1306" s="22" t="s">
        <v>237</v>
      </c>
      <c r="H1306" s="22" t="n">
        <v>0.06</v>
      </c>
      <c r="I1306" s="38" t="n">
        <v>3382.53</v>
      </c>
      <c r="J1306" s="38" t="n">
        <v>3382.33</v>
      </c>
      <c r="K1306" s="39" t="n">
        <f aca="false">IF(F1306="BUY",J1306-I1306,I1306-J1306)</f>
        <v>0.200000000000273</v>
      </c>
      <c r="L1306" s="38" t="n">
        <v>3388.53</v>
      </c>
      <c r="M1306" s="39" t="n">
        <f aca="false">ABS(I1306-L1306)</f>
        <v>6</v>
      </c>
      <c r="N1306" s="24" t="n">
        <f aca="false">M1306*H1306*Summary!$C$6</f>
        <v>36</v>
      </c>
      <c r="O1306" s="37" t="n">
        <v>45825.2681712963</v>
      </c>
      <c r="P1306" s="22" t="n">
        <f aca="false">ROUND((O1306-C1306)*86400,0)</f>
        <v>875</v>
      </c>
      <c r="Q1306" s="22" t="str">
        <f aca="false">IF(P1306&lt;10,"a) &lt;10s",IF(P1306&lt;60,"b) 10-60s",IF(P1306&lt;600,"c) 1-10min","d) &gt;10min")))</f>
        <v>d) &gt;10min</v>
      </c>
      <c r="R1306" s="38" t="n">
        <v>3381.83</v>
      </c>
      <c r="S1306" s="38" t="n">
        <v>3381.97</v>
      </c>
      <c r="T1306" s="22" t="s">
        <v>189</v>
      </c>
      <c r="U1306" s="39" t="n">
        <f aca="false">IF(R1306="","",IF(F1306="BUY",R1306-S1306,S1306-R1306))</f>
        <v>0.139999999999873</v>
      </c>
      <c r="V1306" s="39" t="n">
        <f aca="false">IF(F1306="BUY",S1306-J1306,J1306-S1306)</f>
        <v>0.360000000000127</v>
      </c>
      <c r="W1306" s="6" t="n">
        <v>2.16</v>
      </c>
      <c r="X1306" s="26" t="n">
        <f aca="false">IFERROR(W1306/N1306,0)</f>
        <v>0.06</v>
      </c>
      <c r="Y1306" s="22" t="str">
        <f aca="false">IF(W1306&gt;0,"Win",IF(W1306&lt;0,"Loss","Flat"))</f>
        <v>Win</v>
      </c>
      <c r="Z1306" s="24" t="n">
        <f aca="false">Summary!$C$5+SUM(W$2:W1306)</f>
        <v>3631.05</v>
      </c>
      <c r="AA1306" s="24" t="n">
        <f aca="false">MAX(AA1305,Z1306)</f>
        <v>5000</v>
      </c>
      <c r="AB1306" s="24" t="n">
        <f aca="false">AA1306-Z1306</f>
        <v>1368.95</v>
      </c>
      <c r="AC1306" s="23" t="n">
        <f aca="false">IFERROR(AB1306/AA1306,0)</f>
        <v>0.27379</v>
      </c>
      <c r="AD1306" s="22" t="s">
        <v>1543</v>
      </c>
    </row>
    <row r="1307" customFormat="false" ht="15" hidden="false" customHeight="false" outlineLevel="0" collapsed="false">
      <c r="A1307" s="22" t="n">
        <v>1306</v>
      </c>
      <c r="B1307" s="22" t="s">
        <v>158</v>
      </c>
      <c r="C1307" s="37" t="n">
        <v>45825.3935300926</v>
      </c>
      <c r="D1307" s="22" t="s">
        <v>203</v>
      </c>
      <c r="E1307" s="22" t="n">
        <v>9</v>
      </c>
      <c r="F1307" s="22" t="s">
        <v>182</v>
      </c>
      <c r="G1307" s="22" t="s">
        <v>241</v>
      </c>
      <c r="H1307" s="22" t="n">
        <v>0.06</v>
      </c>
      <c r="I1307" s="38" t="n">
        <v>3386.84</v>
      </c>
      <c r="J1307" s="38" t="n">
        <v>3386.84</v>
      </c>
      <c r="K1307" s="39" t="n">
        <f aca="false">IF(F1307="BUY",J1307-I1307,I1307-J1307)</f>
        <v>0</v>
      </c>
      <c r="L1307" s="38" t="n">
        <v>3392.84</v>
      </c>
      <c r="M1307" s="39" t="n">
        <f aca="false">ABS(I1307-L1307)</f>
        <v>6</v>
      </c>
      <c r="N1307" s="24" t="n">
        <f aca="false">M1307*H1307*Summary!$C$6</f>
        <v>36</v>
      </c>
      <c r="O1307" s="37" t="n">
        <v>45825.4082060185</v>
      </c>
      <c r="P1307" s="22" t="n">
        <f aca="false">ROUND((O1307-C1307)*86400,0)</f>
        <v>1268</v>
      </c>
      <c r="Q1307" s="22" t="str">
        <f aca="false">IF(P1307&lt;10,"a) &lt;10s",IF(P1307&lt;60,"b) 10-60s",IF(P1307&lt;600,"c) 1-10min","d) &gt;10min")))</f>
        <v>d) &gt;10min</v>
      </c>
      <c r="R1307" s="38" t="n">
        <v>3386.34</v>
      </c>
      <c r="S1307" s="38" t="n">
        <v>3386.39</v>
      </c>
      <c r="T1307" s="22" t="s">
        <v>189</v>
      </c>
      <c r="U1307" s="39" t="n">
        <f aca="false">IF(R1307="","",IF(F1307="BUY",R1307-S1307,S1307-R1307))</f>
        <v>0.0499999999997272</v>
      </c>
      <c r="V1307" s="39" t="n">
        <f aca="false">IF(F1307="BUY",S1307-J1307,J1307-S1307)</f>
        <v>0.450000000000273</v>
      </c>
      <c r="W1307" s="6" t="n">
        <v>2.7</v>
      </c>
      <c r="X1307" s="26" t="n">
        <f aca="false">IFERROR(W1307/N1307,0)</f>
        <v>0.075</v>
      </c>
      <c r="Y1307" s="22" t="str">
        <f aca="false">IF(W1307&gt;0,"Win",IF(W1307&lt;0,"Loss","Flat"))</f>
        <v>Win</v>
      </c>
      <c r="Z1307" s="24" t="n">
        <f aca="false">Summary!$C$5+SUM(W$2:W1307)</f>
        <v>3633.75</v>
      </c>
      <c r="AA1307" s="24" t="n">
        <f aca="false">MAX(AA1306,Z1307)</f>
        <v>5000</v>
      </c>
      <c r="AB1307" s="24" t="n">
        <f aca="false">AA1307-Z1307</f>
        <v>1366.25</v>
      </c>
      <c r="AC1307" s="23" t="n">
        <f aca="false">IFERROR(AB1307/AA1307,0)</f>
        <v>0.27325</v>
      </c>
      <c r="AD1307" s="22" t="s">
        <v>1544</v>
      </c>
    </row>
    <row r="1308" customFormat="false" ht="15" hidden="false" customHeight="false" outlineLevel="0" collapsed="false">
      <c r="A1308" s="22" t="n">
        <v>1307</v>
      </c>
      <c r="B1308" s="22" t="s">
        <v>158</v>
      </c>
      <c r="C1308" s="37" t="n">
        <v>45826.3779050926</v>
      </c>
      <c r="D1308" s="22" t="s">
        <v>204</v>
      </c>
      <c r="E1308" s="22" t="n">
        <v>9</v>
      </c>
      <c r="F1308" s="22" t="s">
        <v>182</v>
      </c>
      <c r="G1308" s="22" t="s">
        <v>241</v>
      </c>
      <c r="H1308" s="22" t="n">
        <v>0.06</v>
      </c>
      <c r="I1308" s="38" t="n">
        <v>3383.97</v>
      </c>
      <c r="J1308" s="38" t="n">
        <v>3383.94</v>
      </c>
      <c r="K1308" s="39" t="n">
        <f aca="false">IF(F1308="BUY",J1308-I1308,I1308-J1308)</f>
        <v>0.0299999999997453</v>
      </c>
      <c r="L1308" s="38" t="n">
        <v>3389.97</v>
      </c>
      <c r="M1308" s="39" t="n">
        <f aca="false">ABS(I1308-L1308)</f>
        <v>6</v>
      </c>
      <c r="N1308" s="24" t="n">
        <f aca="false">M1308*H1308*Summary!$C$6</f>
        <v>36</v>
      </c>
      <c r="O1308" s="37" t="n">
        <v>45826.3996527778</v>
      </c>
      <c r="P1308" s="22" t="n">
        <f aca="false">ROUND((O1308-C1308)*86400,0)</f>
        <v>1879</v>
      </c>
      <c r="Q1308" s="22" t="str">
        <f aca="false">IF(P1308&lt;10,"a) &lt;10s",IF(P1308&lt;60,"b) 10-60s",IF(P1308&lt;600,"c) 1-10min","d) &gt;10min")))</f>
        <v>d) &gt;10min</v>
      </c>
      <c r="R1308" s="38" t="n">
        <v>3383.44</v>
      </c>
      <c r="S1308" s="38" t="n">
        <v>3383.48</v>
      </c>
      <c r="T1308" s="22" t="s">
        <v>189</v>
      </c>
      <c r="U1308" s="39" t="n">
        <f aca="false">IF(R1308="","",IF(F1308="BUY",R1308-S1308,S1308-R1308))</f>
        <v>0.0399999999999636</v>
      </c>
      <c r="V1308" s="39" t="n">
        <f aca="false">IF(F1308="BUY",S1308-J1308,J1308-S1308)</f>
        <v>0.460000000000036</v>
      </c>
      <c r="W1308" s="6" t="n">
        <v>2.76</v>
      </c>
      <c r="X1308" s="26" t="n">
        <f aca="false">IFERROR(W1308/N1308,0)</f>
        <v>0.0766666666666667</v>
      </c>
      <c r="Y1308" s="22" t="str">
        <f aca="false">IF(W1308&gt;0,"Win",IF(W1308&lt;0,"Loss","Flat"))</f>
        <v>Win</v>
      </c>
      <c r="Z1308" s="24" t="n">
        <f aca="false">Summary!$C$5+SUM(W$2:W1308)</f>
        <v>3636.51</v>
      </c>
      <c r="AA1308" s="24" t="n">
        <f aca="false">MAX(AA1307,Z1308)</f>
        <v>5000</v>
      </c>
      <c r="AB1308" s="24" t="n">
        <f aca="false">AA1308-Z1308</f>
        <v>1363.49</v>
      </c>
      <c r="AC1308" s="23" t="n">
        <f aca="false">IFERROR(AB1308/AA1308,0)</f>
        <v>0.272698</v>
      </c>
      <c r="AD1308" s="22" t="s">
        <v>1545</v>
      </c>
    </row>
    <row r="1309" customFormat="false" ht="15" hidden="false" customHeight="false" outlineLevel="0" collapsed="false">
      <c r="A1309" s="22" t="n">
        <v>1308</v>
      </c>
      <c r="B1309" s="22" t="s">
        <v>158</v>
      </c>
      <c r="C1309" s="37" t="n">
        <v>45827.369525463</v>
      </c>
      <c r="D1309" s="22" t="s">
        <v>205</v>
      </c>
      <c r="E1309" s="22" t="n">
        <v>8</v>
      </c>
      <c r="F1309" s="22" t="s">
        <v>182</v>
      </c>
      <c r="G1309" s="22" t="s">
        <v>237</v>
      </c>
      <c r="H1309" s="22" t="n">
        <v>0.06</v>
      </c>
      <c r="I1309" s="38" t="n">
        <v>3362.36</v>
      </c>
      <c r="J1309" s="38" t="n">
        <v>3362.26</v>
      </c>
      <c r="K1309" s="39" t="n">
        <f aca="false">IF(F1309="BUY",J1309-I1309,I1309-J1309)</f>
        <v>0.0999999999999091</v>
      </c>
      <c r="L1309" s="38" t="n">
        <v>3368.36</v>
      </c>
      <c r="M1309" s="39" t="n">
        <f aca="false">ABS(I1309-L1309)</f>
        <v>6</v>
      </c>
      <c r="N1309" s="24" t="n">
        <f aca="false">M1309*H1309*Summary!$C$6</f>
        <v>36</v>
      </c>
      <c r="O1309" s="37" t="n">
        <v>45827.4437731481</v>
      </c>
      <c r="P1309" s="22" t="n">
        <f aca="false">ROUND((O1309-C1309)*86400,0)</f>
        <v>6415</v>
      </c>
      <c r="Q1309" s="22" t="str">
        <f aca="false">IF(P1309&lt;10,"a) &lt;10s",IF(P1309&lt;60,"b) 10-60s",IF(P1309&lt;600,"c) 1-10min","d) &gt;10min")))</f>
        <v>d) &gt;10min</v>
      </c>
      <c r="R1309" s="38" t="n">
        <v>3361.76</v>
      </c>
      <c r="S1309" s="38" t="n">
        <v>3361.82</v>
      </c>
      <c r="T1309" s="22" t="s">
        <v>189</v>
      </c>
      <c r="U1309" s="39" t="n">
        <f aca="false">IF(R1309="","",IF(F1309="BUY",R1309-S1309,S1309-R1309))</f>
        <v>0.0599999999999454</v>
      </c>
      <c r="V1309" s="39" t="n">
        <f aca="false">IF(F1309="BUY",S1309-J1309,J1309-S1309)</f>
        <v>0.440000000000055</v>
      </c>
      <c r="W1309" s="6" t="n">
        <v>2.64</v>
      </c>
      <c r="X1309" s="26" t="n">
        <f aca="false">IFERROR(W1309/N1309,0)</f>
        <v>0.0733333333333333</v>
      </c>
      <c r="Y1309" s="22" t="str">
        <f aca="false">IF(W1309&gt;0,"Win",IF(W1309&lt;0,"Loss","Flat"))</f>
        <v>Win</v>
      </c>
      <c r="Z1309" s="24" t="n">
        <f aca="false">Summary!$C$5+SUM(W$2:W1309)</f>
        <v>3639.15</v>
      </c>
      <c r="AA1309" s="24" t="n">
        <f aca="false">MAX(AA1308,Z1309)</f>
        <v>5000</v>
      </c>
      <c r="AB1309" s="24" t="n">
        <f aca="false">AA1309-Z1309</f>
        <v>1360.85</v>
      </c>
      <c r="AC1309" s="23" t="n">
        <f aca="false">IFERROR(AB1309/AA1309,0)</f>
        <v>0.27217</v>
      </c>
      <c r="AD1309" s="22" t="s">
        <v>1546</v>
      </c>
    </row>
    <row r="1310" customFormat="false" ht="15" hidden="false" customHeight="false" outlineLevel="0" collapsed="false">
      <c r="A1310" s="22" t="n">
        <v>1309</v>
      </c>
      <c r="B1310" s="22" t="s">
        <v>158</v>
      </c>
      <c r="C1310" s="37" t="n">
        <v>45827.557337963</v>
      </c>
      <c r="D1310" s="22" t="s">
        <v>205</v>
      </c>
      <c r="E1310" s="22" t="n">
        <v>13</v>
      </c>
      <c r="F1310" s="22" t="s">
        <v>181</v>
      </c>
      <c r="G1310" s="22" t="s">
        <v>235</v>
      </c>
      <c r="H1310" s="22" t="n">
        <v>0.06</v>
      </c>
      <c r="I1310" s="38" t="n">
        <v>3375.07</v>
      </c>
      <c r="J1310" s="38" t="n">
        <v>3375.28</v>
      </c>
      <c r="K1310" s="39" t="n">
        <f aca="false">IF(F1310="BUY",J1310-I1310,I1310-J1310)</f>
        <v>0.210000000000036</v>
      </c>
      <c r="L1310" s="38" t="n">
        <v>3369.07</v>
      </c>
      <c r="M1310" s="39" t="n">
        <f aca="false">ABS(I1310-L1310)</f>
        <v>6</v>
      </c>
      <c r="N1310" s="24" t="n">
        <f aca="false">M1310*H1310*Summary!$C$6</f>
        <v>36</v>
      </c>
      <c r="O1310" s="37" t="n">
        <v>45827.561087963</v>
      </c>
      <c r="P1310" s="22" t="n">
        <f aca="false">ROUND((O1310-C1310)*86400,0)</f>
        <v>324</v>
      </c>
      <c r="Q1310" s="22" t="str">
        <f aca="false">IF(P1310&lt;10,"a) &lt;10s",IF(P1310&lt;60,"b) 10-60s",IF(P1310&lt;600,"c) 1-10min","d) &gt;10min")))</f>
        <v>c) 1-10min</v>
      </c>
      <c r="R1310" s="38" t="n">
        <v>3375.78</v>
      </c>
      <c r="S1310" s="38" t="n">
        <v>3375.39</v>
      </c>
      <c r="T1310" s="22" t="s">
        <v>189</v>
      </c>
      <c r="U1310" s="39" t="n">
        <f aca="false">IF(R1310="","",IF(F1310="BUY",R1310-S1310,S1310-R1310))</f>
        <v>0.390000000000327</v>
      </c>
      <c r="V1310" s="39" t="n">
        <f aca="false">IF(F1310="BUY",S1310-J1310,J1310-S1310)</f>
        <v>0.109999999999673</v>
      </c>
      <c r="W1310" s="6" t="n">
        <v>0.66</v>
      </c>
      <c r="X1310" s="26" t="n">
        <f aca="false">IFERROR(W1310/N1310,0)</f>
        <v>0.0183333333333333</v>
      </c>
      <c r="Y1310" s="22" t="str">
        <f aca="false">IF(W1310&gt;0,"Win",IF(W1310&lt;0,"Loss","Flat"))</f>
        <v>Win</v>
      </c>
      <c r="Z1310" s="24" t="n">
        <f aca="false">Summary!$C$5+SUM(W$2:W1310)</f>
        <v>3639.81</v>
      </c>
      <c r="AA1310" s="24" t="n">
        <f aca="false">MAX(AA1309,Z1310)</f>
        <v>5000</v>
      </c>
      <c r="AB1310" s="24" t="n">
        <f aca="false">AA1310-Z1310</f>
        <v>1360.19</v>
      </c>
      <c r="AC1310" s="23" t="n">
        <f aca="false">IFERROR(AB1310/AA1310,0)</f>
        <v>0.272038</v>
      </c>
      <c r="AD1310" s="22" t="s">
        <v>1547</v>
      </c>
    </row>
    <row r="1311" customFormat="false" ht="15" hidden="false" customHeight="false" outlineLevel="0" collapsed="false">
      <c r="A1311" s="22" t="n">
        <v>1310</v>
      </c>
      <c r="B1311" s="22" t="s">
        <v>158</v>
      </c>
      <c r="C1311" s="37" t="n">
        <v>45828.2571527778</v>
      </c>
      <c r="D1311" s="22" t="s">
        <v>206</v>
      </c>
      <c r="E1311" s="22" t="n">
        <v>6</v>
      </c>
      <c r="F1311" s="22" t="s">
        <v>182</v>
      </c>
      <c r="G1311" s="22" t="s">
        <v>237</v>
      </c>
      <c r="H1311" s="22" t="n">
        <v>0.06</v>
      </c>
      <c r="I1311" s="38" t="n">
        <v>3347.27</v>
      </c>
      <c r="J1311" s="38" t="n">
        <v>3347.08</v>
      </c>
      <c r="K1311" s="39" t="n">
        <f aca="false">IF(F1311="BUY",J1311-I1311,I1311-J1311)</f>
        <v>0.190000000000055</v>
      </c>
      <c r="L1311" s="38" t="n">
        <v>3353.27</v>
      </c>
      <c r="M1311" s="39" t="n">
        <f aca="false">ABS(I1311-L1311)</f>
        <v>6</v>
      </c>
      <c r="N1311" s="24" t="n">
        <f aca="false">M1311*H1311*Summary!$C$6</f>
        <v>36</v>
      </c>
      <c r="O1311" s="37" t="n">
        <v>45828.2708333333</v>
      </c>
      <c r="P1311" s="22" t="n">
        <f aca="false">ROUND((O1311-C1311)*86400,0)</f>
        <v>1182</v>
      </c>
      <c r="Q1311" s="22" t="str">
        <f aca="false">IF(P1311&lt;10,"a) &lt;10s",IF(P1311&lt;60,"b) 10-60s",IF(P1311&lt;600,"c) 1-10min","d) &gt;10min")))</f>
        <v>d) &gt;10min</v>
      </c>
      <c r="R1311" s="38" t="n">
        <v>3353.27</v>
      </c>
      <c r="S1311" s="38" t="n">
        <v>3353.27</v>
      </c>
      <c r="T1311" s="22" t="s">
        <v>188</v>
      </c>
      <c r="U1311" s="39" t="n">
        <f aca="false">IF(R1311="","",IF(F1311="BUY",R1311-S1311,S1311-R1311))</f>
        <v>0</v>
      </c>
      <c r="V1311" s="39" t="n">
        <f aca="false">IF(F1311="BUY",S1311-J1311,J1311-S1311)</f>
        <v>-6.19000000000006</v>
      </c>
      <c r="W1311" s="6" t="n">
        <v>-37.14</v>
      </c>
      <c r="X1311" s="26" t="n">
        <f aca="false">IFERROR(W1311/N1311,0)</f>
        <v>-1.03166666666667</v>
      </c>
      <c r="Y1311" s="22" t="str">
        <f aca="false">IF(W1311&gt;0,"Win",IF(W1311&lt;0,"Loss","Flat"))</f>
        <v>Loss</v>
      </c>
      <c r="Z1311" s="24" t="n">
        <f aca="false">Summary!$C$5+SUM(W$2:W1311)</f>
        <v>3602.67</v>
      </c>
      <c r="AA1311" s="24" t="n">
        <f aca="false">MAX(AA1310,Z1311)</f>
        <v>5000</v>
      </c>
      <c r="AB1311" s="24" t="n">
        <f aca="false">AA1311-Z1311</f>
        <v>1397.33</v>
      </c>
      <c r="AC1311" s="23" t="n">
        <f aca="false">IFERROR(AB1311/AA1311,0)</f>
        <v>0.279466</v>
      </c>
      <c r="AD1311" s="22" t="s">
        <v>1548</v>
      </c>
    </row>
    <row r="1312" customFormat="false" ht="15" hidden="false" customHeight="false" outlineLevel="0" collapsed="false">
      <c r="A1312" s="22" t="n">
        <v>1311</v>
      </c>
      <c r="B1312" s="22" t="s">
        <v>158</v>
      </c>
      <c r="C1312" s="37" t="n">
        <v>45828.3752777778</v>
      </c>
      <c r="D1312" s="22" t="s">
        <v>206</v>
      </c>
      <c r="E1312" s="22" t="n">
        <v>9</v>
      </c>
      <c r="F1312" s="22" t="s">
        <v>182</v>
      </c>
      <c r="G1312" s="22" t="s">
        <v>241</v>
      </c>
      <c r="H1312" s="22" t="n">
        <v>0.06</v>
      </c>
      <c r="I1312" s="38" t="n">
        <v>3342.44</v>
      </c>
      <c r="J1312" s="38" t="n">
        <v>3342.41</v>
      </c>
      <c r="K1312" s="39" t="n">
        <f aca="false">IF(F1312="BUY",J1312-I1312,I1312-J1312)</f>
        <v>0.0300000000002001</v>
      </c>
      <c r="L1312" s="38" t="n">
        <v>3348.44</v>
      </c>
      <c r="M1312" s="39" t="n">
        <f aca="false">ABS(I1312-L1312)</f>
        <v>6</v>
      </c>
      <c r="N1312" s="24" t="n">
        <f aca="false">M1312*H1312*Summary!$C$6</f>
        <v>36</v>
      </c>
      <c r="O1312" s="37" t="n">
        <v>45828.3841782407</v>
      </c>
      <c r="P1312" s="22" t="n">
        <f aca="false">ROUND((O1312-C1312)*86400,0)</f>
        <v>769</v>
      </c>
      <c r="Q1312" s="22" t="str">
        <f aca="false">IF(P1312&lt;10,"a) &lt;10s",IF(P1312&lt;60,"b) 10-60s",IF(P1312&lt;600,"c) 1-10min","d) &gt;10min")))</f>
        <v>d) &gt;10min</v>
      </c>
      <c r="R1312" s="38" t="n">
        <v>3348.44</v>
      </c>
      <c r="S1312" s="38" t="n">
        <v>3348.58</v>
      </c>
      <c r="T1312" s="22" t="s">
        <v>188</v>
      </c>
      <c r="U1312" s="39" t="n">
        <f aca="false">IF(R1312="","",IF(F1312="BUY",R1312-S1312,S1312-R1312))</f>
        <v>0.139999999999873</v>
      </c>
      <c r="V1312" s="39" t="n">
        <f aca="false">IF(F1312="BUY",S1312-J1312,J1312-S1312)</f>
        <v>-6.17000000000007</v>
      </c>
      <c r="W1312" s="6" t="n">
        <v>-37.02</v>
      </c>
      <c r="X1312" s="26" t="n">
        <f aca="false">IFERROR(W1312/N1312,0)</f>
        <v>-1.02833333333333</v>
      </c>
      <c r="Y1312" s="22" t="str">
        <f aca="false">IF(W1312&gt;0,"Win",IF(W1312&lt;0,"Loss","Flat"))</f>
        <v>Loss</v>
      </c>
      <c r="Z1312" s="24" t="n">
        <f aca="false">Summary!$C$5+SUM(W$2:W1312)</f>
        <v>3565.65</v>
      </c>
      <c r="AA1312" s="24" t="n">
        <f aca="false">MAX(AA1311,Z1312)</f>
        <v>5000</v>
      </c>
      <c r="AB1312" s="24" t="n">
        <f aca="false">AA1312-Z1312</f>
        <v>1434.35</v>
      </c>
      <c r="AC1312" s="23" t="n">
        <f aca="false">IFERROR(AB1312/AA1312,0)</f>
        <v>0.28687</v>
      </c>
      <c r="AD1312" s="22" t="s">
        <v>1549</v>
      </c>
    </row>
    <row r="1313" customFormat="false" ht="15" hidden="false" customHeight="false" outlineLevel="0" collapsed="false">
      <c r="A1313" s="22" t="n">
        <v>1312</v>
      </c>
      <c r="B1313" s="22" t="s">
        <v>158</v>
      </c>
      <c r="C1313" s="37" t="n">
        <v>45831.5013888889</v>
      </c>
      <c r="D1313" s="22" t="s">
        <v>202</v>
      </c>
      <c r="E1313" s="22" t="n">
        <v>12</v>
      </c>
      <c r="F1313" s="22" t="s">
        <v>181</v>
      </c>
      <c r="G1313" s="22" t="s">
        <v>235</v>
      </c>
      <c r="H1313" s="22" t="n">
        <v>0.05</v>
      </c>
      <c r="I1313" s="38" t="n">
        <v>3364.87</v>
      </c>
      <c r="J1313" s="38" t="n">
        <v>3364.94</v>
      </c>
      <c r="K1313" s="39" t="n">
        <f aca="false">IF(F1313="BUY",J1313-I1313,I1313-J1313)</f>
        <v>0.0700000000001637</v>
      </c>
      <c r="L1313" s="38" t="n">
        <v>3358.87</v>
      </c>
      <c r="M1313" s="39" t="n">
        <f aca="false">ABS(I1313-L1313)</f>
        <v>6</v>
      </c>
      <c r="N1313" s="24" t="n">
        <f aca="false">M1313*H1313*Summary!$C$6</f>
        <v>30</v>
      </c>
      <c r="O1313" s="37" t="n">
        <v>45831.5134027778</v>
      </c>
      <c r="P1313" s="22" t="n">
        <f aca="false">ROUND((O1313-C1313)*86400,0)</f>
        <v>1038</v>
      </c>
      <c r="Q1313" s="22" t="str">
        <f aca="false">IF(P1313&lt;10,"a) &lt;10s",IF(P1313&lt;60,"b) 10-60s",IF(P1313&lt;600,"c) 1-10min","d) &gt;10min")))</f>
        <v>d) &gt;10min</v>
      </c>
      <c r="R1313" s="38" t="n">
        <v>3365.44</v>
      </c>
      <c r="S1313" s="38" t="n">
        <v>3365.43</v>
      </c>
      <c r="T1313" s="22" t="s">
        <v>189</v>
      </c>
      <c r="U1313" s="39" t="n">
        <f aca="false">IF(R1313="","",IF(F1313="BUY",R1313-S1313,S1313-R1313))</f>
        <v>0.0100000000002183</v>
      </c>
      <c r="V1313" s="39" t="n">
        <f aca="false">IF(F1313="BUY",S1313-J1313,J1313-S1313)</f>
        <v>0.489999999999782</v>
      </c>
      <c r="W1313" s="6" t="n">
        <v>2.45</v>
      </c>
      <c r="X1313" s="26" t="n">
        <f aca="false">IFERROR(W1313/N1313,0)</f>
        <v>0.0816666666666667</v>
      </c>
      <c r="Y1313" s="22" t="str">
        <f aca="false">IF(W1313&gt;0,"Win",IF(W1313&lt;0,"Loss","Flat"))</f>
        <v>Win</v>
      </c>
      <c r="Z1313" s="24" t="n">
        <f aca="false">Summary!$C$5+SUM(W$2:W1313)</f>
        <v>3568.1</v>
      </c>
      <c r="AA1313" s="24" t="n">
        <f aca="false">MAX(AA1312,Z1313)</f>
        <v>5000</v>
      </c>
      <c r="AB1313" s="24" t="n">
        <f aca="false">AA1313-Z1313</f>
        <v>1431.9</v>
      </c>
      <c r="AC1313" s="23" t="n">
        <f aca="false">IFERROR(AB1313/AA1313,0)</f>
        <v>0.28638</v>
      </c>
      <c r="AD1313" s="22" t="s">
        <v>1550</v>
      </c>
    </row>
    <row r="1314" customFormat="false" ht="15" hidden="false" customHeight="false" outlineLevel="0" collapsed="false">
      <c r="A1314" s="22" t="n">
        <v>1313</v>
      </c>
      <c r="B1314" s="22" t="s">
        <v>158</v>
      </c>
      <c r="C1314" s="37" t="n">
        <v>45832.1075462963</v>
      </c>
      <c r="D1314" s="22" t="s">
        <v>203</v>
      </c>
      <c r="E1314" s="22" t="n">
        <v>2</v>
      </c>
      <c r="F1314" s="22" t="s">
        <v>182</v>
      </c>
      <c r="G1314" s="22" t="s">
        <v>237</v>
      </c>
      <c r="H1314" s="22" t="n">
        <v>0.05</v>
      </c>
      <c r="I1314" s="38" t="n">
        <v>3346.68</v>
      </c>
      <c r="J1314" s="38" t="n">
        <v>3346.05</v>
      </c>
      <c r="K1314" s="39" t="n">
        <f aca="false">IF(F1314="BUY",J1314-I1314,I1314-J1314)</f>
        <v>0.629999999999654</v>
      </c>
      <c r="L1314" s="38" t="n">
        <v>3352.68</v>
      </c>
      <c r="M1314" s="39" t="n">
        <f aca="false">ABS(I1314-L1314)</f>
        <v>6</v>
      </c>
      <c r="N1314" s="24" t="n">
        <f aca="false">M1314*H1314*Summary!$C$6</f>
        <v>30</v>
      </c>
      <c r="O1314" s="37" t="n">
        <v>45832.1095023148</v>
      </c>
      <c r="P1314" s="22" t="n">
        <f aca="false">ROUND((O1314-C1314)*86400,0)</f>
        <v>169</v>
      </c>
      <c r="Q1314" s="22" t="str">
        <f aca="false">IF(P1314&lt;10,"a) &lt;10s",IF(P1314&lt;60,"b) 10-60s",IF(P1314&lt;600,"c) 1-10min","d) &gt;10min")))</f>
        <v>c) 1-10min</v>
      </c>
      <c r="R1314" s="38" t="n">
        <v>3345.55</v>
      </c>
      <c r="S1314" s="38" t="n">
        <v>3345.6</v>
      </c>
      <c r="T1314" s="22" t="s">
        <v>189</v>
      </c>
      <c r="U1314" s="39" t="n">
        <f aca="false">IF(R1314="","",IF(F1314="BUY",R1314-S1314,S1314-R1314))</f>
        <v>0.0499999999997272</v>
      </c>
      <c r="V1314" s="39" t="n">
        <f aca="false">IF(F1314="BUY",S1314-J1314,J1314-S1314)</f>
        <v>0.450000000000273</v>
      </c>
      <c r="W1314" s="6" t="n">
        <v>2.25</v>
      </c>
      <c r="X1314" s="26" t="n">
        <f aca="false">IFERROR(W1314/N1314,0)</f>
        <v>0.075</v>
      </c>
      <c r="Y1314" s="22" t="str">
        <f aca="false">IF(W1314&gt;0,"Win",IF(W1314&lt;0,"Loss","Flat"))</f>
        <v>Win</v>
      </c>
      <c r="Z1314" s="24" t="n">
        <f aca="false">Summary!$C$5+SUM(W$2:W1314)</f>
        <v>3570.35</v>
      </c>
      <c r="AA1314" s="24" t="n">
        <f aca="false">MAX(AA1313,Z1314)</f>
        <v>5000</v>
      </c>
      <c r="AB1314" s="24" t="n">
        <f aca="false">AA1314-Z1314</f>
        <v>1429.65</v>
      </c>
      <c r="AC1314" s="23" t="n">
        <f aca="false">IFERROR(AB1314/AA1314,0)</f>
        <v>0.28593</v>
      </c>
      <c r="AD1314" s="22" t="s">
        <v>1551</v>
      </c>
    </row>
    <row r="1315" customFormat="false" ht="15" hidden="false" customHeight="false" outlineLevel="0" collapsed="false">
      <c r="A1315" s="22" t="n">
        <v>1314</v>
      </c>
      <c r="B1315" s="22" t="s">
        <v>158</v>
      </c>
      <c r="C1315" s="37" t="n">
        <v>45832.3820949074</v>
      </c>
      <c r="D1315" s="22" t="s">
        <v>203</v>
      </c>
      <c r="E1315" s="22" t="n">
        <v>9</v>
      </c>
      <c r="F1315" s="22" t="s">
        <v>182</v>
      </c>
      <c r="G1315" s="22" t="s">
        <v>241</v>
      </c>
      <c r="H1315" s="22" t="n">
        <v>0.05</v>
      </c>
      <c r="I1315" s="38" t="n">
        <v>3326.38</v>
      </c>
      <c r="J1315" s="38" t="n">
        <v>3326.35</v>
      </c>
      <c r="K1315" s="39" t="n">
        <f aca="false">IF(F1315="BUY",J1315-I1315,I1315-J1315)</f>
        <v>0.0300000000002001</v>
      </c>
      <c r="L1315" s="38" t="n">
        <v>3332.38</v>
      </c>
      <c r="M1315" s="39" t="n">
        <f aca="false">ABS(I1315-L1315)</f>
        <v>6</v>
      </c>
      <c r="N1315" s="24" t="n">
        <f aca="false">M1315*H1315*Summary!$C$6</f>
        <v>30</v>
      </c>
      <c r="O1315" s="37" t="n">
        <v>45832.3857291667</v>
      </c>
      <c r="P1315" s="22" t="n">
        <f aca="false">ROUND((O1315-C1315)*86400,0)</f>
        <v>314</v>
      </c>
      <c r="Q1315" s="22" t="str">
        <f aca="false">IF(P1315&lt;10,"a) &lt;10s",IF(P1315&lt;60,"b) 10-60s",IF(P1315&lt;600,"c) 1-10min","d) &gt;10min")))</f>
        <v>c) 1-10min</v>
      </c>
      <c r="R1315" s="38" t="n">
        <v>3325.85</v>
      </c>
      <c r="S1315" s="38" t="n">
        <v>3325.92</v>
      </c>
      <c r="T1315" s="22" t="s">
        <v>189</v>
      </c>
      <c r="U1315" s="39" t="n">
        <f aca="false">IF(R1315="","",IF(F1315="BUY",R1315-S1315,S1315-R1315))</f>
        <v>0.0700000000001637</v>
      </c>
      <c r="V1315" s="39" t="n">
        <f aca="false">IF(F1315="BUY",S1315-J1315,J1315-S1315)</f>
        <v>0.429999999999836</v>
      </c>
      <c r="W1315" s="6" t="n">
        <v>2.15</v>
      </c>
      <c r="X1315" s="26" t="n">
        <f aca="false">IFERROR(W1315/N1315,0)</f>
        <v>0.0716666666666667</v>
      </c>
      <c r="Y1315" s="22" t="str">
        <f aca="false">IF(W1315&gt;0,"Win",IF(W1315&lt;0,"Loss","Flat"))</f>
        <v>Win</v>
      </c>
      <c r="Z1315" s="24" t="n">
        <f aca="false">Summary!$C$5+SUM(W$2:W1315)</f>
        <v>3572.5</v>
      </c>
      <c r="AA1315" s="24" t="n">
        <f aca="false">MAX(AA1314,Z1315)</f>
        <v>5000</v>
      </c>
      <c r="AB1315" s="24" t="n">
        <f aca="false">AA1315-Z1315</f>
        <v>1427.5</v>
      </c>
      <c r="AC1315" s="23" t="n">
        <f aca="false">IFERROR(AB1315/AA1315,0)</f>
        <v>0.2855</v>
      </c>
      <c r="AD1315" s="22" t="s">
        <v>1552</v>
      </c>
    </row>
    <row r="1316" customFormat="false" ht="15" hidden="false" customHeight="false" outlineLevel="0" collapsed="false">
      <c r="A1316" s="22" t="n">
        <v>1315</v>
      </c>
      <c r="B1316" s="22" t="s">
        <v>158</v>
      </c>
      <c r="C1316" s="37" t="n">
        <v>45833.3788310185</v>
      </c>
      <c r="D1316" s="22" t="s">
        <v>204</v>
      </c>
      <c r="E1316" s="22" t="n">
        <v>9</v>
      </c>
      <c r="F1316" s="22" t="s">
        <v>181</v>
      </c>
      <c r="G1316" s="22" t="s">
        <v>235</v>
      </c>
      <c r="H1316" s="22" t="n">
        <v>0.05</v>
      </c>
      <c r="I1316" s="38" t="n">
        <v>3333.55</v>
      </c>
      <c r="J1316" s="38" t="n">
        <v>3333.55</v>
      </c>
      <c r="K1316" s="39" t="n">
        <f aca="false">IF(F1316="BUY",J1316-I1316,I1316-J1316)</f>
        <v>0</v>
      </c>
      <c r="L1316" s="38" t="n">
        <v>3327.55</v>
      </c>
      <c r="M1316" s="39" t="n">
        <f aca="false">ABS(I1316-L1316)</f>
        <v>6</v>
      </c>
      <c r="N1316" s="24" t="n">
        <f aca="false">M1316*H1316*Summary!$C$6</f>
        <v>30</v>
      </c>
      <c r="O1316" s="37" t="n">
        <v>45833.427025463</v>
      </c>
      <c r="P1316" s="22" t="n">
        <f aca="false">ROUND((O1316-C1316)*86400,0)</f>
        <v>4164</v>
      </c>
      <c r="Q1316" s="22" t="str">
        <f aca="false">IF(P1316&lt;10,"a) &lt;10s",IF(P1316&lt;60,"b) 10-60s",IF(P1316&lt;600,"c) 1-10min","d) &gt;10min")))</f>
        <v>d) &gt;10min</v>
      </c>
      <c r="R1316" s="38" t="n">
        <v>3327.55</v>
      </c>
      <c r="S1316" s="38" t="n">
        <v>3327.49</v>
      </c>
      <c r="T1316" s="22" t="s">
        <v>188</v>
      </c>
      <c r="U1316" s="39" t="n">
        <f aca="false">IF(R1316="","",IF(F1316="BUY",R1316-S1316,S1316-R1316))</f>
        <v>0.0600000000004002</v>
      </c>
      <c r="V1316" s="39" t="n">
        <f aca="false">IF(F1316="BUY",S1316-J1316,J1316-S1316)</f>
        <v>-6.0600000000004</v>
      </c>
      <c r="W1316" s="6" t="n">
        <v>-30.3</v>
      </c>
      <c r="X1316" s="26" t="n">
        <f aca="false">IFERROR(W1316/N1316,0)</f>
        <v>-1.01</v>
      </c>
      <c r="Y1316" s="22" t="str">
        <f aca="false">IF(W1316&gt;0,"Win",IF(W1316&lt;0,"Loss","Flat"))</f>
        <v>Loss</v>
      </c>
      <c r="Z1316" s="24" t="n">
        <f aca="false">Summary!$C$5+SUM(W$2:W1316)</f>
        <v>3542.2</v>
      </c>
      <c r="AA1316" s="24" t="n">
        <f aca="false">MAX(AA1315,Z1316)</f>
        <v>5000</v>
      </c>
      <c r="AB1316" s="24" t="n">
        <f aca="false">AA1316-Z1316</f>
        <v>1457.8</v>
      </c>
      <c r="AC1316" s="23" t="n">
        <f aca="false">IFERROR(AB1316/AA1316,0)</f>
        <v>0.29156</v>
      </c>
      <c r="AD1316" s="22" t="s">
        <v>1553</v>
      </c>
    </row>
    <row r="1317" customFormat="false" ht="15" hidden="false" customHeight="false" outlineLevel="0" collapsed="false">
      <c r="A1317" s="22" t="n">
        <v>1316</v>
      </c>
      <c r="B1317" s="22" t="s">
        <v>158</v>
      </c>
      <c r="C1317" s="37" t="n">
        <v>45834.0896296296</v>
      </c>
      <c r="D1317" s="22" t="s">
        <v>205</v>
      </c>
      <c r="E1317" s="22" t="n">
        <v>2</v>
      </c>
      <c r="F1317" s="22" t="s">
        <v>181</v>
      </c>
      <c r="G1317" s="22" t="s">
        <v>243</v>
      </c>
      <c r="H1317" s="22" t="n">
        <v>0.05</v>
      </c>
      <c r="I1317" s="38" t="n">
        <v>3336.85</v>
      </c>
      <c r="J1317" s="38" t="n">
        <v>3336.9</v>
      </c>
      <c r="K1317" s="39" t="n">
        <f aca="false">IF(F1317="BUY",J1317-I1317,I1317-J1317)</f>
        <v>0.0500000000001819</v>
      </c>
      <c r="L1317" s="38" t="n">
        <v>3330.85</v>
      </c>
      <c r="M1317" s="39" t="n">
        <f aca="false">ABS(I1317-L1317)</f>
        <v>6</v>
      </c>
      <c r="N1317" s="24" t="n">
        <f aca="false">M1317*H1317*Summary!$C$6</f>
        <v>30</v>
      </c>
      <c r="O1317" s="37" t="n">
        <v>45834.1258564815</v>
      </c>
      <c r="P1317" s="22" t="n">
        <f aca="false">ROUND((O1317-C1317)*86400,0)</f>
        <v>3130</v>
      </c>
      <c r="Q1317" s="22" t="str">
        <f aca="false">IF(P1317&lt;10,"a) &lt;10s",IF(P1317&lt;60,"b) 10-60s",IF(P1317&lt;600,"c) 1-10min","d) &gt;10min")))</f>
        <v>d) &gt;10min</v>
      </c>
      <c r="R1317" s="38" t="n">
        <v>3337.4</v>
      </c>
      <c r="S1317" s="38" t="n">
        <v>3337.25</v>
      </c>
      <c r="T1317" s="22" t="s">
        <v>189</v>
      </c>
      <c r="U1317" s="39" t="n">
        <f aca="false">IF(R1317="","",IF(F1317="BUY",R1317-S1317,S1317-R1317))</f>
        <v>0.150000000000091</v>
      </c>
      <c r="V1317" s="39" t="n">
        <f aca="false">IF(F1317="BUY",S1317-J1317,J1317-S1317)</f>
        <v>0.349999999999909</v>
      </c>
      <c r="W1317" s="6" t="n">
        <v>1.75</v>
      </c>
      <c r="X1317" s="26" t="n">
        <f aca="false">IFERROR(W1317/N1317,0)</f>
        <v>0.0583333333333333</v>
      </c>
      <c r="Y1317" s="22" t="str">
        <f aca="false">IF(W1317&gt;0,"Win",IF(W1317&lt;0,"Loss","Flat"))</f>
        <v>Win</v>
      </c>
      <c r="Z1317" s="24" t="n">
        <f aca="false">Summary!$C$5+SUM(W$2:W1317)</f>
        <v>3543.95</v>
      </c>
      <c r="AA1317" s="24" t="n">
        <f aca="false">MAX(AA1316,Z1317)</f>
        <v>5000</v>
      </c>
      <c r="AB1317" s="24" t="n">
        <f aca="false">AA1317-Z1317</f>
        <v>1456.05</v>
      </c>
      <c r="AC1317" s="23" t="n">
        <f aca="false">IFERROR(AB1317/AA1317,0)</f>
        <v>0.29121</v>
      </c>
      <c r="AD1317" s="22" t="s">
        <v>1554</v>
      </c>
    </row>
    <row r="1318" customFormat="false" ht="15" hidden="false" customHeight="false" outlineLevel="0" collapsed="false">
      <c r="A1318" s="22" t="n">
        <v>1317</v>
      </c>
      <c r="B1318" s="22" t="s">
        <v>158</v>
      </c>
      <c r="C1318" s="37" t="n">
        <v>45834.3788310185</v>
      </c>
      <c r="D1318" s="22" t="s">
        <v>205</v>
      </c>
      <c r="E1318" s="22" t="n">
        <v>9</v>
      </c>
      <c r="F1318" s="22" t="s">
        <v>182</v>
      </c>
      <c r="G1318" s="22" t="s">
        <v>241</v>
      </c>
      <c r="H1318" s="22" t="n">
        <v>0.05</v>
      </c>
      <c r="I1318" s="38" t="n">
        <v>3332.15</v>
      </c>
      <c r="J1318" s="38" t="n">
        <v>3331.91</v>
      </c>
      <c r="K1318" s="39" t="n">
        <f aca="false">IF(F1318="BUY",J1318-I1318,I1318-J1318)</f>
        <v>0.240000000000236</v>
      </c>
      <c r="L1318" s="38" t="n">
        <v>3338.15</v>
      </c>
      <c r="M1318" s="39" t="n">
        <f aca="false">ABS(I1318-L1318)</f>
        <v>6</v>
      </c>
      <c r="N1318" s="24" t="n">
        <f aca="false">M1318*H1318*Summary!$C$6</f>
        <v>30</v>
      </c>
      <c r="O1318" s="37" t="n">
        <v>45834.3967361111</v>
      </c>
      <c r="P1318" s="22" t="n">
        <f aca="false">ROUND((O1318-C1318)*86400,0)</f>
        <v>1547</v>
      </c>
      <c r="Q1318" s="22" t="str">
        <f aca="false">IF(P1318&lt;10,"a) &lt;10s",IF(P1318&lt;60,"b) 10-60s",IF(P1318&lt;600,"c) 1-10min","d) &gt;10min")))</f>
        <v>d) &gt;10min</v>
      </c>
      <c r="R1318" s="38" t="n">
        <v>3338.15</v>
      </c>
      <c r="S1318" s="38" t="n">
        <v>3338.22</v>
      </c>
      <c r="T1318" s="22" t="s">
        <v>188</v>
      </c>
      <c r="U1318" s="39" t="n">
        <f aca="false">IF(R1318="","",IF(F1318="BUY",R1318-S1318,S1318-R1318))</f>
        <v>0.069999999999709</v>
      </c>
      <c r="V1318" s="39" t="n">
        <f aca="false">IF(F1318="BUY",S1318-J1318,J1318-S1318)</f>
        <v>-6.30999999999995</v>
      </c>
      <c r="W1318" s="6" t="n">
        <v>-31.55</v>
      </c>
      <c r="X1318" s="26" t="n">
        <f aca="false">IFERROR(W1318/N1318,0)</f>
        <v>-1.05166666666667</v>
      </c>
      <c r="Y1318" s="22" t="str">
        <f aca="false">IF(W1318&gt;0,"Win",IF(W1318&lt;0,"Loss","Flat"))</f>
        <v>Loss</v>
      </c>
      <c r="Z1318" s="24" t="n">
        <f aca="false">Summary!$C$5+SUM(W$2:W1318)</f>
        <v>3512.4</v>
      </c>
      <c r="AA1318" s="24" t="n">
        <f aca="false">MAX(AA1317,Z1318)</f>
        <v>5000</v>
      </c>
      <c r="AB1318" s="24" t="n">
        <f aca="false">AA1318-Z1318</f>
        <v>1487.6</v>
      </c>
      <c r="AC1318" s="23" t="n">
        <f aca="false">IFERROR(AB1318/AA1318,0)</f>
        <v>0.29752</v>
      </c>
      <c r="AD1318" s="22" t="s">
        <v>1555</v>
      </c>
    </row>
    <row r="1319" customFormat="false" ht="15" hidden="false" customHeight="false" outlineLevel="0" collapsed="false">
      <c r="A1319" s="22" t="n">
        <v>1318</v>
      </c>
      <c r="B1319" s="22" t="s">
        <v>158</v>
      </c>
      <c r="C1319" s="37" t="n">
        <v>45835.2421180556</v>
      </c>
      <c r="D1319" s="22" t="s">
        <v>206</v>
      </c>
      <c r="E1319" s="22" t="n">
        <v>5</v>
      </c>
      <c r="F1319" s="22" t="s">
        <v>182</v>
      </c>
      <c r="G1319" s="22" t="s">
        <v>237</v>
      </c>
      <c r="H1319" s="22" t="n">
        <v>0.05</v>
      </c>
      <c r="I1319" s="38" t="n">
        <v>3309.7</v>
      </c>
      <c r="J1319" s="38" t="n">
        <v>3309.66</v>
      </c>
      <c r="K1319" s="39" t="n">
        <f aca="false">IF(F1319="BUY",J1319-I1319,I1319-J1319)</f>
        <v>0.0399999999999636</v>
      </c>
      <c r="L1319" s="38" t="n">
        <v>3315.7</v>
      </c>
      <c r="M1319" s="39" t="n">
        <f aca="false">ABS(I1319-L1319)</f>
        <v>6</v>
      </c>
      <c r="N1319" s="24" t="n">
        <f aca="false">M1319*H1319*Summary!$C$6</f>
        <v>30</v>
      </c>
      <c r="O1319" s="37" t="n">
        <v>45835.6100694445</v>
      </c>
      <c r="P1319" s="22" t="n">
        <f aca="false">ROUND((O1319-C1319)*86400,0)</f>
        <v>31791</v>
      </c>
      <c r="Q1319" s="22" t="str">
        <f aca="false">IF(P1319&lt;10,"a) &lt;10s",IF(P1319&lt;60,"b) 10-60s",IF(P1319&lt;600,"c) 1-10min","d) &gt;10min")))</f>
        <v>d) &gt;10min</v>
      </c>
      <c r="R1319" s="38"/>
      <c r="S1319" s="38" t="n">
        <v>3279.69</v>
      </c>
      <c r="T1319" s="22" t="s">
        <v>187</v>
      </c>
      <c r="U1319" s="39" t="str">
        <f aca="false">IF(R1319="","",IF(F1319="BUY",R1319-S1319,S1319-R1319))</f>
        <v/>
      </c>
      <c r="V1319" s="39" t="n">
        <f aca="false">IF(F1319="BUY",S1319-J1319,J1319-S1319)</f>
        <v>29.9699999999998</v>
      </c>
      <c r="W1319" s="6" t="n">
        <v>149.85</v>
      </c>
      <c r="X1319" s="26" t="n">
        <f aca="false">IFERROR(W1319/N1319,0)</f>
        <v>4.995</v>
      </c>
      <c r="Y1319" s="22" t="str">
        <f aca="false">IF(W1319&gt;0,"Win",IF(W1319&lt;0,"Loss","Flat"))</f>
        <v>Win</v>
      </c>
      <c r="Z1319" s="24" t="n">
        <f aca="false">Summary!$C$5+SUM(W$2:W1319)</f>
        <v>3662.25</v>
      </c>
      <c r="AA1319" s="24" t="n">
        <f aca="false">MAX(AA1318,Z1319)</f>
        <v>5000</v>
      </c>
      <c r="AB1319" s="24" t="n">
        <f aca="false">AA1319-Z1319</f>
        <v>1337.75</v>
      </c>
      <c r="AC1319" s="23" t="n">
        <f aca="false">IFERROR(AB1319/AA1319,0)</f>
        <v>0.26755</v>
      </c>
      <c r="AD1319" s="22" t="s">
        <v>1556</v>
      </c>
    </row>
    <row r="1320" customFormat="false" ht="15" hidden="false" customHeight="false" outlineLevel="0" collapsed="false">
      <c r="A1320" s="22" t="n">
        <v>1319</v>
      </c>
      <c r="B1320" s="22" t="s">
        <v>158</v>
      </c>
      <c r="C1320" s="37" t="n">
        <v>45838.0572916667</v>
      </c>
      <c r="D1320" s="22" t="s">
        <v>202</v>
      </c>
      <c r="E1320" s="22" t="n">
        <v>1</v>
      </c>
      <c r="F1320" s="22" t="s">
        <v>182</v>
      </c>
      <c r="G1320" s="22" t="s">
        <v>237</v>
      </c>
      <c r="H1320" s="22" t="n">
        <v>0.06</v>
      </c>
      <c r="I1320" s="38" t="n">
        <v>3255.49</v>
      </c>
      <c r="J1320" s="38" t="n">
        <v>3254.89</v>
      </c>
      <c r="K1320" s="39" t="n">
        <f aca="false">IF(F1320="BUY",J1320-I1320,I1320-J1320)</f>
        <v>0.599999999999909</v>
      </c>
      <c r="L1320" s="38" t="n">
        <v>3261.49</v>
      </c>
      <c r="M1320" s="39" t="n">
        <f aca="false">ABS(I1320-L1320)</f>
        <v>6</v>
      </c>
      <c r="N1320" s="24" t="n">
        <f aca="false">M1320*H1320*Summary!$C$6</f>
        <v>36</v>
      </c>
      <c r="O1320" s="37" t="n">
        <v>45838.0603240741</v>
      </c>
      <c r="P1320" s="22" t="n">
        <f aca="false">ROUND((O1320-C1320)*86400,0)</f>
        <v>262</v>
      </c>
      <c r="Q1320" s="22" t="str">
        <f aca="false">IF(P1320&lt;10,"a) &lt;10s",IF(P1320&lt;60,"b) 10-60s",IF(P1320&lt;600,"c) 1-10min","d) &gt;10min")))</f>
        <v>c) 1-10min</v>
      </c>
      <c r="R1320" s="38" t="n">
        <v>3254.39</v>
      </c>
      <c r="S1320" s="38" t="n">
        <v>3254.45</v>
      </c>
      <c r="T1320" s="22" t="s">
        <v>189</v>
      </c>
      <c r="U1320" s="39" t="n">
        <f aca="false">IF(R1320="","",IF(F1320="BUY",R1320-S1320,S1320-R1320))</f>
        <v>0.0599999999999454</v>
      </c>
      <c r="V1320" s="39" t="n">
        <f aca="false">IF(F1320="BUY",S1320-J1320,J1320-S1320)</f>
        <v>0.440000000000055</v>
      </c>
      <c r="W1320" s="6" t="n">
        <v>2.64</v>
      </c>
      <c r="X1320" s="26" t="n">
        <f aca="false">IFERROR(W1320/N1320,0)</f>
        <v>0.0733333333333333</v>
      </c>
      <c r="Y1320" s="22" t="str">
        <f aca="false">IF(W1320&gt;0,"Win",IF(W1320&lt;0,"Loss","Flat"))</f>
        <v>Win</v>
      </c>
      <c r="Z1320" s="24" t="n">
        <f aca="false">Summary!$C$5+SUM(W$2:W1320)</f>
        <v>3664.89</v>
      </c>
      <c r="AA1320" s="24" t="n">
        <f aca="false">MAX(AA1319,Z1320)</f>
        <v>5000</v>
      </c>
      <c r="AB1320" s="24" t="n">
        <f aca="false">AA1320-Z1320</f>
        <v>1335.11</v>
      </c>
      <c r="AC1320" s="23" t="n">
        <f aca="false">IFERROR(AB1320/AA1320,0)</f>
        <v>0.267022</v>
      </c>
      <c r="AD1320" s="22" t="s">
        <v>1557</v>
      </c>
    </row>
    <row r="1321" customFormat="false" ht="15" hidden="false" customHeight="false" outlineLevel="0" collapsed="false">
      <c r="A1321" s="22" t="n">
        <v>1320</v>
      </c>
      <c r="B1321" s="22" t="s">
        <v>158</v>
      </c>
      <c r="C1321" s="37" t="n">
        <v>45838.3761342593</v>
      </c>
      <c r="D1321" s="22" t="s">
        <v>202</v>
      </c>
      <c r="E1321" s="22" t="n">
        <v>9</v>
      </c>
      <c r="F1321" s="22" t="s">
        <v>181</v>
      </c>
      <c r="G1321" s="22" t="s">
        <v>235</v>
      </c>
      <c r="H1321" s="22" t="n">
        <v>0.06</v>
      </c>
      <c r="I1321" s="38" t="n">
        <v>3291.22</v>
      </c>
      <c r="J1321" s="38" t="n">
        <v>3291.28</v>
      </c>
      <c r="K1321" s="39" t="n">
        <f aca="false">IF(F1321="BUY",J1321-I1321,I1321-J1321)</f>
        <v>0.0600000000004002</v>
      </c>
      <c r="L1321" s="38" t="n">
        <v>3285.22</v>
      </c>
      <c r="M1321" s="39" t="n">
        <f aca="false">ABS(I1321-L1321)</f>
        <v>6</v>
      </c>
      <c r="N1321" s="24" t="n">
        <f aca="false">M1321*H1321*Summary!$C$6</f>
        <v>36</v>
      </c>
      <c r="O1321" s="37" t="n">
        <v>45838.410150463</v>
      </c>
      <c r="P1321" s="22" t="n">
        <f aca="false">ROUND((O1321-C1321)*86400,0)</f>
        <v>2939</v>
      </c>
      <c r="Q1321" s="22" t="str">
        <f aca="false">IF(P1321&lt;10,"a) &lt;10s",IF(P1321&lt;60,"b) 10-60s",IF(P1321&lt;600,"c) 1-10min","d) &gt;10min")))</f>
        <v>d) &gt;10min</v>
      </c>
      <c r="R1321" s="38" t="n">
        <v>3291.78</v>
      </c>
      <c r="S1321" s="38" t="n">
        <v>3291.72</v>
      </c>
      <c r="T1321" s="22" t="s">
        <v>189</v>
      </c>
      <c r="U1321" s="39" t="n">
        <f aca="false">IF(R1321="","",IF(F1321="BUY",R1321-S1321,S1321-R1321))</f>
        <v>0.0600000000004002</v>
      </c>
      <c r="V1321" s="39" t="n">
        <f aca="false">IF(F1321="BUY",S1321-J1321,J1321-S1321)</f>
        <v>0.4399999999996</v>
      </c>
      <c r="W1321" s="6" t="n">
        <v>2.64</v>
      </c>
      <c r="X1321" s="26" t="n">
        <f aca="false">IFERROR(W1321/N1321,0)</f>
        <v>0.0733333333333333</v>
      </c>
      <c r="Y1321" s="22" t="str">
        <f aca="false">IF(W1321&gt;0,"Win",IF(W1321&lt;0,"Loss","Flat"))</f>
        <v>Win</v>
      </c>
      <c r="Z1321" s="24" t="n">
        <f aca="false">Summary!$C$5+SUM(W$2:W1321)</f>
        <v>3667.53</v>
      </c>
      <c r="AA1321" s="24" t="n">
        <f aca="false">MAX(AA1320,Z1321)</f>
        <v>5000</v>
      </c>
      <c r="AB1321" s="24" t="n">
        <f aca="false">AA1321-Z1321</f>
        <v>1332.47</v>
      </c>
      <c r="AC1321" s="23" t="n">
        <f aca="false">IFERROR(AB1321/AA1321,0)</f>
        <v>0.266494</v>
      </c>
      <c r="AD1321" s="22" t="s">
        <v>1558</v>
      </c>
    </row>
    <row r="1322" customFormat="false" ht="15" hidden="false" customHeight="false" outlineLevel="0" collapsed="false">
      <c r="A1322" s="22" t="n">
        <v>1321</v>
      </c>
      <c r="B1322" s="22" t="s">
        <v>159</v>
      </c>
      <c r="C1322" s="37" t="n">
        <v>45839.0728472222</v>
      </c>
      <c r="D1322" s="22" t="s">
        <v>203</v>
      </c>
      <c r="E1322" s="22" t="n">
        <v>1</v>
      </c>
      <c r="F1322" s="22" t="s">
        <v>181</v>
      </c>
      <c r="G1322" s="22" t="s">
        <v>243</v>
      </c>
      <c r="H1322" s="22" t="n">
        <v>0.06</v>
      </c>
      <c r="I1322" s="38" t="n">
        <v>3309.35</v>
      </c>
      <c r="J1322" s="38" t="n">
        <v>3309.35</v>
      </c>
      <c r="K1322" s="39" t="n">
        <f aca="false">IF(F1322="BUY",J1322-I1322,I1322-J1322)</f>
        <v>0</v>
      </c>
      <c r="L1322" s="38" t="n">
        <v>3303.35</v>
      </c>
      <c r="M1322" s="39" t="n">
        <f aca="false">ABS(I1322-L1322)</f>
        <v>6</v>
      </c>
      <c r="N1322" s="24" t="n">
        <f aca="false">M1322*H1322*Summary!$C$6</f>
        <v>36</v>
      </c>
      <c r="O1322" s="37" t="n">
        <v>45839.0836226852</v>
      </c>
      <c r="P1322" s="22" t="n">
        <f aca="false">ROUND((O1322-C1322)*86400,0)</f>
        <v>931</v>
      </c>
      <c r="Q1322" s="22" t="str">
        <f aca="false">IF(P1322&lt;10,"a) &lt;10s",IF(P1322&lt;60,"b) 10-60s",IF(P1322&lt;600,"c) 1-10min","d) &gt;10min")))</f>
        <v>d) &gt;10min</v>
      </c>
      <c r="R1322" s="38" t="n">
        <v>3309.85</v>
      </c>
      <c r="S1322" s="38" t="n">
        <v>3309.83</v>
      </c>
      <c r="T1322" s="22" t="s">
        <v>189</v>
      </c>
      <c r="U1322" s="39" t="n">
        <f aca="false">IF(R1322="","",IF(F1322="BUY",R1322-S1322,S1322-R1322))</f>
        <v>0.0199999999999818</v>
      </c>
      <c r="V1322" s="39" t="n">
        <f aca="false">IF(F1322="BUY",S1322-J1322,J1322-S1322)</f>
        <v>0.480000000000018</v>
      </c>
      <c r="W1322" s="6" t="n">
        <v>2.88</v>
      </c>
      <c r="X1322" s="26" t="n">
        <f aca="false">IFERROR(W1322/N1322,0)</f>
        <v>0.08</v>
      </c>
      <c r="Y1322" s="22" t="str">
        <f aca="false">IF(W1322&gt;0,"Win",IF(W1322&lt;0,"Loss","Flat"))</f>
        <v>Win</v>
      </c>
      <c r="Z1322" s="24" t="n">
        <f aca="false">Summary!$C$5+SUM(W$2:W1322)</f>
        <v>3670.41</v>
      </c>
      <c r="AA1322" s="24" t="n">
        <f aca="false">MAX(AA1321,Z1322)</f>
        <v>5000</v>
      </c>
      <c r="AB1322" s="24" t="n">
        <f aca="false">AA1322-Z1322</f>
        <v>1329.59</v>
      </c>
      <c r="AC1322" s="23" t="n">
        <f aca="false">IFERROR(AB1322/AA1322,0)</f>
        <v>0.265918</v>
      </c>
      <c r="AD1322" s="22" t="s">
        <v>1559</v>
      </c>
    </row>
    <row r="1323" customFormat="false" ht="15" hidden="false" customHeight="false" outlineLevel="0" collapsed="false">
      <c r="A1323" s="22" t="n">
        <v>1322</v>
      </c>
      <c r="B1323" s="22" t="s">
        <v>159</v>
      </c>
      <c r="C1323" s="37" t="n">
        <v>45839.4046180556</v>
      </c>
      <c r="D1323" s="22" t="s">
        <v>203</v>
      </c>
      <c r="E1323" s="22" t="n">
        <v>9</v>
      </c>
      <c r="F1323" s="22" t="s">
        <v>181</v>
      </c>
      <c r="G1323" s="22" t="s">
        <v>235</v>
      </c>
      <c r="H1323" s="22" t="n">
        <v>0.06</v>
      </c>
      <c r="I1323" s="38" t="n">
        <v>3332.18</v>
      </c>
      <c r="J1323" s="38" t="n">
        <v>3332.3</v>
      </c>
      <c r="K1323" s="39" t="n">
        <f aca="false">IF(F1323="BUY",J1323-I1323,I1323-J1323)</f>
        <v>0.120000000000346</v>
      </c>
      <c r="L1323" s="38" t="n">
        <v>3326.18</v>
      </c>
      <c r="M1323" s="39" t="n">
        <f aca="false">ABS(I1323-L1323)</f>
        <v>6</v>
      </c>
      <c r="N1323" s="24" t="n">
        <f aca="false">M1323*H1323*Summary!$C$6</f>
        <v>36</v>
      </c>
      <c r="O1323" s="37" t="n">
        <v>45839.412025463</v>
      </c>
      <c r="P1323" s="22" t="n">
        <f aca="false">ROUND((O1323-C1323)*86400,0)</f>
        <v>640</v>
      </c>
      <c r="Q1323" s="22" t="str">
        <f aca="false">IF(P1323&lt;10,"a) &lt;10s",IF(P1323&lt;60,"b) 10-60s",IF(P1323&lt;600,"c) 1-10min","d) &gt;10min")))</f>
        <v>d) &gt;10min</v>
      </c>
      <c r="R1323" s="38" t="n">
        <v>3332.8</v>
      </c>
      <c r="S1323" s="38" t="n">
        <v>3332.77</v>
      </c>
      <c r="T1323" s="22" t="s">
        <v>189</v>
      </c>
      <c r="U1323" s="39" t="n">
        <f aca="false">IF(R1323="","",IF(F1323="BUY",R1323-S1323,S1323-R1323))</f>
        <v>0.0300000000002001</v>
      </c>
      <c r="V1323" s="39" t="n">
        <f aca="false">IF(F1323="BUY",S1323-J1323,J1323-S1323)</f>
        <v>0.4699999999998</v>
      </c>
      <c r="W1323" s="6" t="n">
        <v>2.82</v>
      </c>
      <c r="X1323" s="26" t="n">
        <f aca="false">IFERROR(W1323/N1323,0)</f>
        <v>0.0783333333333333</v>
      </c>
      <c r="Y1323" s="22" t="str">
        <f aca="false">IF(W1323&gt;0,"Win",IF(W1323&lt;0,"Loss","Flat"))</f>
        <v>Win</v>
      </c>
      <c r="Z1323" s="24" t="n">
        <f aca="false">Summary!$C$5+SUM(W$2:W1323)</f>
        <v>3673.23</v>
      </c>
      <c r="AA1323" s="24" t="n">
        <f aca="false">MAX(AA1322,Z1323)</f>
        <v>5000</v>
      </c>
      <c r="AB1323" s="24" t="n">
        <f aca="false">AA1323-Z1323</f>
        <v>1326.77</v>
      </c>
      <c r="AC1323" s="23" t="n">
        <f aca="false">IFERROR(AB1323/AA1323,0)</f>
        <v>0.265354</v>
      </c>
      <c r="AD1323" s="22" t="s">
        <v>1560</v>
      </c>
    </row>
    <row r="1324" customFormat="false" ht="15" hidden="false" customHeight="false" outlineLevel="0" collapsed="false">
      <c r="A1324" s="22" t="n">
        <v>1323</v>
      </c>
      <c r="B1324" s="22" t="s">
        <v>159</v>
      </c>
      <c r="C1324" s="37" t="n">
        <v>45840.3865277778</v>
      </c>
      <c r="D1324" s="22" t="s">
        <v>204</v>
      </c>
      <c r="E1324" s="22" t="n">
        <v>9</v>
      </c>
      <c r="F1324" s="22" t="s">
        <v>182</v>
      </c>
      <c r="G1324" s="22" t="s">
        <v>241</v>
      </c>
      <c r="H1324" s="22" t="n">
        <v>0.06</v>
      </c>
      <c r="I1324" s="38" t="n">
        <v>3336.29</v>
      </c>
      <c r="J1324" s="38" t="n">
        <v>3336.22</v>
      </c>
      <c r="K1324" s="39" t="n">
        <f aca="false">IF(F1324="BUY",J1324-I1324,I1324-J1324)</f>
        <v>0.0700000000001637</v>
      </c>
      <c r="L1324" s="38" t="n">
        <v>3342.29</v>
      </c>
      <c r="M1324" s="39" t="n">
        <f aca="false">ABS(I1324-L1324)</f>
        <v>6</v>
      </c>
      <c r="N1324" s="24" t="n">
        <f aca="false">M1324*H1324*Summary!$C$6</f>
        <v>36</v>
      </c>
      <c r="O1324" s="37" t="n">
        <v>45840.3925462963</v>
      </c>
      <c r="P1324" s="22" t="n">
        <f aca="false">ROUND((O1324-C1324)*86400,0)</f>
        <v>520</v>
      </c>
      <c r="Q1324" s="22" t="str">
        <f aca="false">IF(P1324&lt;10,"a) &lt;10s",IF(P1324&lt;60,"b) 10-60s",IF(P1324&lt;600,"c) 1-10min","d) &gt;10min")))</f>
        <v>c) 1-10min</v>
      </c>
      <c r="R1324" s="38" t="n">
        <v>3335.72</v>
      </c>
      <c r="S1324" s="38" t="n">
        <v>3335.72</v>
      </c>
      <c r="T1324" s="22" t="s">
        <v>189</v>
      </c>
      <c r="U1324" s="39" t="n">
        <f aca="false">IF(R1324="","",IF(F1324="BUY",R1324-S1324,S1324-R1324))</f>
        <v>0</v>
      </c>
      <c r="V1324" s="39" t="n">
        <f aca="false">IF(F1324="BUY",S1324-J1324,J1324-S1324)</f>
        <v>0.5</v>
      </c>
      <c r="W1324" s="6" t="n">
        <v>3</v>
      </c>
      <c r="X1324" s="26" t="n">
        <f aca="false">IFERROR(W1324/N1324,0)</f>
        <v>0.0833333333333333</v>
      </c>
      <c r="Y1324" s="22" t="str">
        <f aca="false">IF(W1324&gt;0,"Win",IF(W1324&lt;0,"Loss","Flat"))</f>
        <v>Win</v>
      </c>
      <c r="Z1324" s="24" t="n">
        <f aca="false">Summary!$C$5+SUM(W$2:W1324)</f>
        <v>3676.23</v>
      </c>
      <c r="AA1324" s="24" t="n">
        <f aca="false">MAX(AA1323,Z1324)</f>
        <v>5000</v>
      </c>
      <c r="AB1324" s="24" t="n">
        <f aca="false">AA1324-Z1324</f>
        <v>1323.77</v>
      </c>
      <c r="AC1324" s="23" t="n">
        <f aca="false">IFERROR(AB1324/AA1324,0)</f>
        <v>0.264754</v>
      </c>
      <c r="AD1324" s="22" t="s">
        <v>1561</v>
      </c>
    </row>
    <row r="1325" customFormat="false" ht="15" hidden="false" customHeight="false" outlineLevel="0" collapsed="false">
      <c r="A1325" s="22" t="n">
        <v>1324</v>
      </c>
      <c r="B1325" s="22" t="s">
        <v>159</v>
      </c>
      <c r="C1325" s="37" t="n">
        <v>45841.3750231482</v>
      </c>
      <c r="D1325" s="22" t="s">
        <v>205</v>
      </c>
      <c r="E1325" s="22" t="n">
        <v>9</v>
      </c>
      <c r="F1325" s="22" t="s">
        <v>181</v>
      </c>
      <c r="G1325" s="22" t="s">
        <v>235</v>
      </c>
      <c r="H1325" s="22" t="n">
        <v>0.06</v>
      </c>
      <c r="I1325" s="38" t="n">
        <v>3360.31</v>
      </c>
      <c r="J1325" s="38" t="n">
        <v>3360.35</v>
      </c>
      <c r="K1325" s="39" t="n">
        <f aca="false">IF(F1325="BUY",J1325-I1325,I1325-J1325)</f>
        <v>0.0399999999999636</v>
      </c>
      <c r="L1325" s="38" t="n">
        <v>3354.31</v>
      </c>
      <c r="M1325" s="39" t="n">
        <f aca="false">ABS(I1325-L1325)</f>
        <v>6</v>
      </c>
      <c r="N1325" s="24" t="n">
        <f aca="false">M1325*H1325*Summary!$C$6</f>
        <v>36</v>
      </c>
      <c r="O1325" s="37" t="n">
        <v>45841.3793055556</v>
      </c>
      <c r="P1325" s="22" t="n">
        <f aca="false">ROUND((O1325-C1325)*86400,0)</f>
        <v>370</v>
      </c>
      <c r="Q1325" s="22" t="str">
        <f aca="false">IF(P1325&lt;10,"a) &lt;10s",IF(P1325&lt;60,"b) 10-60s",IF(P1325&lt;600,"c) 1-10min","d) &gt;10min")))</f>
        <v>c) 1-10min</v>
      </c>
      <c r="R1325" s="38" t="n">
        <v>3360.85</v>
      </c>
      <c r="S1325" s="38" t="n">
        <v>3360.78</v>
      </c>
      <c r="T1325" s="22" t="s">
        <v>189</v>
      </c>
      <c r="U1325" s="39" t="n">
        <f aca="false">IF(R1325="","",IF(F1325="BUY",R1325-S1325,S1325-R1325))</f>
        <v>0.069999999999709</v>
      </c>
      <c r="V1325" s="39" t="n">
        <f aca="false">IF(F1325="BUY",S1325-J1325,J1325-S1325)</f>
        <v>0.430000000000291</v>
      </c>
      <c r="W1325" s="6" t="n">
        <v>2.58</v>
      </c>
      <c r="X1325" s="26" t="n">
        <f aca="false">IFERROR(W1325/N1325,0)</f>
        <v>0.0716666666666667</v>
      </c>
      <c r="Y1325" s="22" t="str">
        <f aca="false">IF(W1325&gt;0,"Win",IF(W1325&lt;0,"Loss","Flat"))</f>
        <v>Win</v>
      </c>
      <c r="Z1325" s="24" t="n">
        <f aca="false">Summary!$C$5+SUM(W$2:W1325)</f>
        <v>3678.81</v>
      </c>
      <c r="AA1325" s="24" t="n">
        <f aca="false">MAX(AA1324,Z1325)</f>
        <v>5000</v>
      </c>
      <c r="AB1325" s="24" t="n">
        <f aca="false">AA1325-Z1325</f>
        <v>1321.19</v>
      </c>
      <c r="AC1325" s="23" t="n">
        <f aca="false">IFERROR(AB1325/AA1325,0)</f>
        <v>0.264238</v>
      </c>
      <c r="AD1325" s="22" t="s">
        <v>1562</v>
      </c>
    </row>
    <row r="1326" customFormat="false" ht="15" hidden="false" customHeight="false" outlineLevel="0" collapsed="false">
      <c r="A1326" s="22" t="n">
        <v>1325</v>
      </c>
      <c r="B1326" s="22" t="s">
        <v>159</v>
      </c>
      <c r="C1326" s="37" t="n">
        <v>45841.6493518519</v>
      </c>
      <c r="D1326" s="22" t="s">
        <v>205</v>
      </c>
      <c r="E1326" s="22" t="n">
        <v>15</v>
      </c>
      <c r="F1326" s="22" t="s">
        <v>182</v>
      </c>
      <c r="G1326" s="22" t="s">
        <v>237</v>
      </c>
      <c r="H1326" s="22" t="n">
        <v>0.06</v>
      </c>
      <c r="I1326" s="38" t="n">
        <v>3327.28</v>
      </c>
      <c r="J1326" s="38" t="n">
        <v>3327.15</v>
      </c>
      <c r="K1326" s="39" t="n">
        <f aca="false">IF(F1326="BUY",J1326-I1326,I1326-J1326)</f>
        <v>0.130000000000109</v>
      </c>
      <c r="L1326" s="38" t="n">
        <v>3333.28</v>
      </c>
      <c r="M1326" s="39" t="n">
        <f aca="false">ABS(I1326-L1326)</f>
        <v>6</v>
      </c>
      <c r="N1326" s="24" t="n">
        <f aca="false">M1326*H1326*Summary!$C$6</f>
        <v>36</v>
      </c>
      <c r="O1326" s="37" t="n">
        <v>45841.6687962963</v>
      </c>
      <c r="P1326" s="22" t="n">
        <f aca="false">ROUND((O1326-C1326)*86400,0)</f>
        <v>1680</v>
      </c>
      <c r="Q1326" s="22" t="str">
        <f aca="false">IF(P1326&lt;10,"a) &lt;10s",IF(P1326&lt;60,"b) 10-60s",IF(P1326&lt;600,"c) 1-10min","d) &gt;10min")))</f>
        <v>d) &gt;10min</v>
      </c>
      <c r="R1326" s="38" t="n">
        <v>3326.65</v>
      </c>
      <c r="S1326" s="38" t="n">
        <v>3326.67</v>
      </c>
      <c r="T1326" s="22" t="s">
        <v>189</v>
      </c>
      <c r="U1326" s="39" t="n">
        <f aca="false">IF(R1326="","",IF(F1326="BUY",R1326-S1326,S1326-R1326))</f>
        <v>0.0199999999999818</v>
      </c>
      <c r="V1326" s="39" t="n">
        <f aca="false">IF(F1326="BUY",S1326-J1326,J1326-S1326)</f>
        <v>0.480000000000018</v>
      </c>
      <c r="W1326" s="6" t="n">
        <v>2.88</v>
      </c>
      <c r="X1326" s="26" t="n">
        <f aca="false">IFERROR(W1326/N1326,0)</f>
        <v>0.08</v>
      </c>
      <c r="Y1326" s="22" t="str">
        <f aca="false">IF(W1326&gt;0,"Win",IF(W1326&lt;0,"Loss","Flat"))</f>
        <v>Win</v>
      </c>
      <c r="Z1326" s="24" t="n">
        <f aca="false">Summary!$C$5+SUM(W$2:W1326)</f>
        <v>3681.69</v>
      </c>
      <c r="AA1326" s="24" t="n">
        <f aca="false">MAX(AA1325,Z1326)</f>
        <v>5000</v>
      </c>
      <c r="AB1326" s="24" t="n">
        <f aca="false">AA1326-Z1326</f>
        <v>1318.31</v>
      </c>
      <c r="AC1326" s="23" t="n">
        <f aca="false">IFERROR(AB1326/AA1326,0)</f>
        <v>0.263662</v>
      </c>
      <c r="AD1326" s="22" t="s">
        <v>1563</v>
      </c>
    </row>
    <row r="1327" customFormat="false" ht="15" hidden="false" customHeight="false" outlineLevel="0" collapsed="false">
      <c r="A1327" s="22" t="n">
        <v>1326</v>
      </c>
      <c r="B1327" s="22" t="s">
        <v>159</v>
      </c>
      <c r="C1327" s="37" t="n">
        <v>45842.3785532407</v>
      </c>
      <c r="D1327" s="22" t="s">
        <v>206</v>
      </c>
      <c r="E1327" s="22" t="n">
        <v>9</v>
      </c>
      <c r="F1327" s="22" t="s">
        <v>181</v>
      </c>
      <c r="G1327" s="22" t="s">
        <v>235</v>
      </c>
      <c r="H1327" s="22" t="n">
        <v>0.06</v>
      </c>
      <c r="I1327" s="38" t="n">
        <v>3342.05</v>
      </c>
      <c r="J1327" s="38" t="n">
        <v>3342.07</v>
      </c>
      <c r="K1327" s="39" t="n">
        <f aca="false">IF(F1327="BUY",J1327-I1327,I1327-J1327)</f>
        <v>0.0199999999999818</v>
      </c>
      <c r="L1327" s="38" t="n">
        <v>3336.05</v>
      </c>
      <c r="M1327" s="39" t="n">
        <f aca="false">ABS(I1327-L1327)</f>
        <v>6</v>
      </c>
      <c r="N1327" s="24" t="n">
        <f aca="false">M1327*H1327*Summary!$C$6</f>
        <v>36</v>
      </c>
      <c r="O1327" s="37" t="n">
        <v>45842.3810532407</v>
      </c>
      <c r="P1327" s="22" t="n">
        <f aca="false">ROUND((O1327-C1327)*86400,0)</f>
        <v>216</v>
      </c>
      <c r="Q1327" s="22" t="str">
        <f aca="false">IF(P1327&lt;10,"a) &lt;10s",IF(P1327&lt;60,"b) 10-60s",IF(P1327&lt;600,"c) 1-10min","d) &gt;10min")))</f>
        <v>c) 1-10min</v>
      </c>
      <c r="R1327" s="38" t="n">
        <v>3342.57</v>
      </c>
      <c r="S1327" s="38" t="n">
        <v>3342.55</v>
      </c>
      <c r="T1327" s="22" t="s">
        <v>189</v>
      </c>
      <c r="U1327" s="39" t="n">
        <f aca="false">IF(R1327="","",IF(F1327="BUY",R1327-S1327,S1327-R1327))</f>
        <v>0.0199999999999818</v>
      </c>
      <c r="V1327" s="39" t="n">
        <f aca="false">IF(F1327="BUY",S1327-J1327,J1327-S1327)</f>
        <v>0.480000000000018</v>
      </c>
      <c r="W1327" s="6" t="n">
        <v>2.88</v>
      </c>
      <c r="X1327" s="26" t="n">
        <f aca="false">IFERROR(W1327/N1327,0)</f>
        <v>0.08</v>
      </c>
      <c r="Y1327" s="22" t="str">
        <f aca="false">IF(W1327&gt;0,"Win",IF(W1327&lt;0,"Loss","Flat"))</f>
        <v>Win</v>
      </c>
      <c r="Z1327" s="24" t="n">
        <f aca="false">Summary!$C$5+SUM(W$2:W1327)</f>
        <v>3684.57</v>
      </c>
      <c r="AA1327" s="24" t="n">
        <f aca="false">MAX(AA1326,Z1327)</f>
        <v>5000</v>
      </c>
      <c r="AB1327" s="24" t="n">
        <f aca="false">AA1327-Z1327</f>
        <v>1315.43</v>
      </c>
      <c r="AC1327" s="23" t="n">
        <f aca="false">IFERROR(AB1327/AA1327,0)</f>
        <v>0.263086</v>
      </c>
      <c r="AD1327" s="22" t="s">
        <v>1564</v>
      </c>
    </row>
    <row r="1328" customFormat="false" ht="15" hidden="false" customHeight="false" outlineLevel="0" collapsed="false">
      <c r="A1328" s="22" t="n">
        <v>1327</v>
      </c>
      <c r="B1328" s="22" t="s">
        <v>159</v>
      </c>
      <c r="C1328" s="37" t="n">
        <v>45845.1328935185</v>
      </c>
      <c r="D1328" s="22" t="s">
        <v>202</v>
      </c>
      <c r="E1328" s="22" t="n">
        <v>3</v>
      </c>
      <c r="F1328" s="22" t="s">
        <v>182</v>
      </c>
      <c r="G1328" s="22" t="s">
        <v>237</v>
      </c>
      <c r="H1328" s="22" t="n">
        <v>0.06</v>
      </c>
      <c r="I1328" s="38" t="n">
        <v>3323.35</v>
      </c>
      <c r="J1328" s="38" t="n">
        <v>3323.09</v>
      </c>
      <c r="K1328" s="39" t="n">
        <f aca="false">IF(F1328="BUY",J1328-I1328,I1328-J1328)</f>
        <v>0.259999999999764</v>
      </c>
      <c r="L1328" s="38" t="n">
        <v>3329.35</v>
      </c>
      <c r="M1328" s="39" t="n">
        <f aca="false">ABS(I1328-L1328)</f>
        <v>6</v>
      </c>
      <c r="N1328" s="24" t="n">
        <f aca="false">M1328*H1328*Summary!$C$6</f>
        <v>36</v>
      </c>
      <c r="O1328" s="37" t="n">
        <v>45845.1684375</v>
      </c>
      <c r="P1328" s="22" t="n">
        <f aca="false">ROUND((O1328-C1328)*86400,0)</f>
        <v>3071</v>
      </c>
      <c r="Q1328" s="22" t="str">
        <f aca="false">IF(P1328&lt;10,"a) &lt;10s",IF(P1328&lt;60,"b) 10-60s",IF(P1328&lt;600,"c) 1-10min","d) &gt;10min")))</f>
        <v>d) &gt;10min</v>
      </c>
      <c r="R1328" s="38" t="n">
        <v>3322.59</v>
      </c>
      <c r="S1328" s="38" t="n">
        <v>3322.76</v>
      </c>
      <c r="T1328" s="22" t="s">
        <v>189</v>
      </c>
      <c r="U1328" s="39" t="n">
        <f aca="false">IF(R1328="","",IF(F1328="BUY",R1328-S1328,S1328-R1328))</f>
        <v>0.170000000000073</v>
      </c>
      <c r="V1328" s="39" t="n">
        <f aca="false">IF(F1328="BUY",S1328-J1328,J1328-S1328)</f>
        <v>0.329999999999927</v>
      </c>
      <c r="W1328" s="6" t="n">
        <v>1.98</v>
      </c>
      <c r="X1328" s="26" t="n">
        <f aca="false">IFERROR(W1328/N1328,0)</f>
        <v>0.055</v>
      </c>
      <c r="Y1328" s="22" t="str">
        <f aca="false">IF(W1328&gt;0,"Win",IF(W1328&lt;0,"Loss","Flat"))</f>
        <v>Win</v>
      </c>
      <c r="Z1328" s="24" t="n">
        <f aca="false">Summary!$C$5+SUM(W$2:W1328)</f>
        <v>3686.55</v>
      </c>
      <c r="AA1328" s="24" t="n">
        <f aca="false">MAX(AA1327,Z1328)</f>
        <v>5000</v>
      </c>
      <c r="AB1328" s="24" t="n">
        <f aca="false">AA1328-Z1328</f>
        <v>1313.45</v>
      </c>
      <c r="AC1328" s="23" t="n">
        <f aca="false">IFERROR(AB1328/AA1328,0)</f>
        <v>0.26269</v>
      </c>
      <c r="AD1328" s="22" t="s">
        <v>1565</v>
      </c>
    </row>
    <row r="1329" customFormat="false" ht="15" hidden="false" customHeight="false" outlineLevel="0" collapsed="false">
      <c r="A1329" s="22" t="n">
        <v>1328</v>
      </c>
      <c r="B1329" s="22" t="s">
        <v>159</v>
      </c>
      <c r="C1329" s="37" t="n">
        <v>45845.3758912037</v>
      </c>
      <c r="D1329" s="22" t="s">
        <v>202</v>
      </c>
      <c r="E1329" s="22" t="n">
        <v>9</v>
      </c>
      <c r="F1329" s="22" t="s">
        <v>181</v>
      </c>
      <c r="G1329" s="22" t="s">
        <v>235</v>
      </c>
      <c r="H1329" s="22" t="n">
        <v>0.06</v>
      </c>
      <c r="I1329" s="38" t="n">
        <v>3315</v>
      </c>
      <c r="J1329" s="38" t="n">
        <v>3315.01</v>
      </c>
      <c r="K1329" s="39" t="n">
        <f aca="false">IF(F1329="BUY",J1329-I1329,I1329-J1329)</f>
        <v>0.0100000000002183</v>
      </c>
      <c r="L1329" s="38" t="n">
        <v>3309</v>
      </c>
      <c r="M1329" s="39" t="n">
        <f aca="false">ABS(I1329-L1329)</f>
        <v>6</v>
      </c>
      <c r="N1329" s="24" t="n">
        <f aca="false">M1329*H1329*Summary!$C$6</f>
        <v>36</v>
      </c>
      <c r="O1329" s="37" t="n">
        <v>45845.4009953704</v>
      </c>
      <c r="P1329" s="22" t="n">
        <f aca="false">ROUND((O1329-C1329)*86400,0)</f>
        <v>2169</v>
      </c>
      <c r="Q1329" s="22" t="str">
        <f aca="false">IF(P1329&lt;10,"a) &lt;10s",IF(P1329&lt;60,"b) 10-60s",IF(P1329&lt;600,"c) 1-10min","d) &gt;10min")))</f>
        <v>d) &gt;10min</v>
      </c>
      <c r="R1329" s="38" t="n">
        <v>3309</v>
      </c>
      <c r="S1329" s="38" t="n">
        <v>3309</v>
      </c>
      <c r="T1329" s="22" t="s">
        <v>188</v>
      </c>
      <c r="U1329" s="39" t="n">
        <f aca="false">IF(R1329="","",IF(F1329="BUY",R1329-S1329,S1329-R1329))</f>
        <v>0</v>
      </c>
      <c r="V1329" s="39" t="n">
        <f aca="false">IF(F1329="BUY",S1329-J1329,J1329-S1329)</f>
        <v>-6.01000000000022</v>
      </c>
      <c r="W1329" s="6" t="n">
        <v>-36.06</v>
      </c>
      <c r="X1329" s="26" t="n">
        <f aca="false">IFERROR(W1329/N1329,0)</f>
        <v>-1.00166666666667</v>
      </c>
      <c r="Y1329" s="22" t="str">
        <f aca="false">IF(W1329&gt;0,"Win",IF(W1329&lt;0,"Loss","Flat"))</f>
        <v>Loss</v>
      </c>
      <c r="Z1329" s="24" t="n">
        <f aca="false">Summary!$C$5+SUM(W$2:W1329)</f>
        <v>3650.49</v>
      </c>
      <c r="AA1329" s="24" t="n">
        <f aca="false">MAX(AA1328,Z1329)</f>
        <v>5000</v>
      </c>
      <c r="AB1329" s="24" t="n">
        <f aca="false">AA1329-Z1329</f>
        <v>1349.51</v>
      </c>
      <c r="AC1329" s="23" t="n">
        <f aca="false">IFERROR(AB1329/AA1329,0)</f>
        <v>0.269902</v>
      </c>
      <c r="AD1329" s="22" t="s">
        <v>1566</v>
      </c>
    </row>
    <row r="1330" customFormat="false" ht="15" hidden="false" customHeight="false" outlineLevel="0" collapsed="false">
      <c r="A1330" s="22" t="n">
        <v>1329</v>
      </c>
      <c r="B1330" s="22" t="s">
        <v>159</v>
      </c>
      <c r="C1330" s="37" t="n">
        <v>45846.4166550926</v>
      </c>
      <c r="D1330" s="22" t="s">
        <v>203</v>
      </c>
      <c r="E1330" s="22" t="n">
        <v>9</v>
      </c>
      <c r="F1330" s="22" t="s">
        <v>181</v>
      </c>
      <c r="G1330" s="22" t="s">
        <v>235</v>
      </c>
      <c r="H1330" s="22" t="n">
        <v>0.06</v>
      </c>
      <c r="I1330" s="38" t="n">
        <v>3336.33</v>
      </c>
      <c r="J1330" s="38" t="n">
        <v>3336.34</v>
      </c>
      <c r="K1330" s="39" t="n">
        <f aca="false">IF(F1330="BUY",J1330-I1330,I1330-J1330)</f>
        <v>0.0100000000002183</v>
      </c>
      <c r="L1330" s="38" t="n">
        <v>3330.33</v>
      </c>
      <c r="M1330" s="39" t="n">
        <f aca="false">ABS(I1330-L1330)</f>
        <v>6</v>
      </c>
      <c r="N1330" s="24" t="n">
        <f aca="false">M1330*H1330*Summary!$C$6</f>
        <v>36</v>
      </c>
      <c r="O1330" s="37" t="n">
        <v>45846.4292939815</v>
      </c>
      <c r="P1330" s="22" t="n">
        <f aca="false">ROUND((O1330-C1330)*86400,0)</f>
        <v>1092</v>
      </c>
      <c r="Q1330" s="22" t="str">
        <f aca="false">IF(P1330&lt;10,"a) &lt;10s",IF(P1330&lt;60,"b) 10-60s",IF(P1330&lt;600,"c) 1-10min","d) &gt;10min")))</f>
        <v>d) &gt;10min</v>
      </c>
      <c r="R1330" s="38" t="n">
        <v>3336.84</v>
      </c>
      <c r="S1330" s="38" t="n">
        <v>3336.84</v>
      </c>
      <c r="T1330" s="22" t="s">
        <v>189</v>
      </c>
      <c r="U1330" s="39" t="n">
        <f aca="false">IF(R1330="","",IF(F1330="BUY",R1330-S1330,S1330-R1330))</f>
        <v>0</v>
      </c>
      <c r="V1330" s="39" t="n">
        <f aca="false">IF(F1330="BUY",S1330-J1330,J1330-S1330)</f>
        <v>0.5</v>
      </c>
      <c r="W1330" s="6" t="n">
        <v>3</v>
      </c>
      <c r="X1330" s="26" t="n">
        <f aca="false">IFERROR(W1330/N1330,0)</f>
        <v>0.0833333333333333</v>
      </c>
      <c r="Y1330" s="22" t="str">
        <f aca="false">IF(W1330&gt;0,"Win",IF(W1330&lt;0,"Loss","Flat"))</f>
        <v>Win</v>
      </c>
      <c r="Z1330" s="24" t="n">
        <f aca="false">Summary!$C$5+SUM(W$2:W1330)</f>
        <v>3653.49</v>
      </c>
      <c r="AA1330" s="24" t="n">
        <f aca="false">MAX(AA1329,Z1330)</f>
        <v>5000</v>
      </c>
      <c r="AB1330" s="24" t="n">
        <f aca="false">AA1330-Z1330</f>
        <v>1346.51</v>
      </c>
      <c r="AC1330" s="23" t="n">
        <f aca="false">IFERROR(AB1330/AA1330,0)</f>
        <v>0.269302</v>
      </c>
      <c r="AD1330" s="22" t="s">
        <v>1567</v>
      </c>
    </row>
    <row r="1331" customFormat="false" ht="15" hidden="false" customHeight="false" outlineLevel="0" collapsed="false">
      <c r="A1331" s="22" t="n">
        <v>1330</v>
      </c>
      <c r="B1331" s="22" t="s">
        <v>159</v>
      </c>
      <c r="C1331" s="37" t="n">
        <v>45846.7381712963</v>
      </c>
      <c r="D1331" s="22" t="s">
        <v>203</v>
      </c>
      <c r="E1331" s="22" t="n">
        <v>17</v>
      </c>
      <c r="F1331" s="22" t="s">
        <v>182</v>
      </c>
      <c r="G1331" s="22" t="s">
        <v>237</v>
      </c>
      <c r="H1331" s="22" t="n">
        <v>0.06</v>
      </c>
      <c r="I1331" s="38" t="n">
        <v>3296.2</v>
      </c>
      <c r="J1331" s="38" t="n">
        <v>3296.15</v>
      </c>
      <c r="K1331" s="39" t="n">
        <f aca="false">IF(F1331="BUY",J1331-I1331,I1331-J1331)</f>
        <v>0.0499999999997272</v>
      </c>
      <c r="L1331" s="38" t="n">
        <v>3302.2</v>
      </c>
      <c r="M1331" s="39" t="n">
        <f aca="false">ABS(I1331-L1331)</f>
        <v>6</v>
      </c>
      <c r="N1331" s="24" t="n">
        <f aca="false">M1331*H1331*Summary!$C$6</f>
        <v>36</v>
      </c>
      <c r="O1331" s="37" t="n">
        <v>45846.762337963</v>
      </c>
      <c r="P1331" s="22" t="n">
        <f aca="false">ROUND((O1331-C1331)*86400,0)</f>
        <v>2088</v>
      </c>
      <c r="Q1331" s="22" t="str">
        <f aca="false">IF(P1331&lt;10,"a) &lt;10s",IF(P1331&lt;60,"b) 10-60s",IF(P1331&lt;600,"c) 1-10min","d) &gt;10min")))</f>
        <v>d) &gt;10min</v>
      </c>
      <c r="R1331" s="38" t="n">
        <v>3295.65</v>
      </c>
      <c r="S1331" s="38" t="n">
        <v>3295.74</v>
      </c>
      <c r="T1331" s="22" t="s">
        <v>189</v>
      </c>
      <c r="U1331" s="39" t="n">
        <f aca="false">IF(R1331="","",IF(F1331="BUY",R1331-S1331,S1331-R1331))</f>
        <v>0.0899999999996908</v>
      </c>
      <c r="V1331" s="39" t="n">
        <f aca="false">IF(F1331="BUY",S1331-J1331,J1331-S1331)</f>
        <v>0.410000000000309</v>
      </c>
      <c r="W1331" s="6" t="n">
        <v>2.46</v>
      </c>
      <c r="X1331" s="26" t="n">
        <f aca="false">IFERROR(W1331/N1331,0)</f>
        <v>0.0683333333333333</v>
      </c>
      <c r="Y1331" s="22" t="str">
        <f aca="false">IF(W1331&gt;0,"Win",IF(W1331&lt;0,"Loss","Flat"))</f>
        <v>Win</v>
      </c>
      <c r="Z1331" s="24" t="n">
        <f aca="false">Summary!$C$5+SUM(W$2:W1331)</f>
        <v>3655.95</v>
      </c>
      <c r="AA1331" s="24" t="n">
        <f aca="false">MAX(AA1330,Z1331)</f>
        <v>5000</v>
      </c>
      <c r="AB1331" s="24" t="n">
        <f aca="false">AA1331-Z1331</f>
        <v>1344.05</v>
      </c>
      <c r="AC1331" s="23" t="n">
        <f aca="false">IFERROR(AB1331/AA1331,0)</f>
        <v>0.26881</v>
      </c>
      <c r="AD1331" s="22" t="s">
        <v>1568</v>
      </c>
    </row>
    <row r="1332" customFormat="false" ht="15" hidden="false" customHeight="false" outlineLevel="0" collapsed="false">
      <c r="A1332" s="22" t="n">
        <v>1331</v>
      </c>
      <c r="B1332" s="22" t="s">
        <v>159</v>
      </c>
      <c r="C1332" s="37" t="n">
        <v>45847.2435763889</v>
      </c>
      <c r="D1332" s="22" t="s">
        <v>204</v>
      </c>
      <c r="E1332" s="22" t="n">
        <v>5</v>
      </c>
      <c r="F1332" s="22" t="s">
        <v>182</v>
      </c>
      <c r="G1332" s="22" t="s">
        <v>237</v>
      </c>
      <c r="H1332" s="22" t="n">
        <v>0.06</v>
      </c>
      <c r="I1332" s="38" t="n">
        <v>3286.91</v>
      </c>
      <c r="J1332" s="38" t="n">
        <v>3286.7</v>
      </c>
      <c r="K1332" s="39" t="n">
        <f aca="false">IF(F1332="BUY",J1332-I1332,I1332-J1332)</f>
        <v>0.210000000000036</v>
      </c>
      <c r="L1332" s="38" t="n">
        <v>3292.91</v>
      </c>
      <c r="M1332" s="39" t="n">
        <f aca="false">ABS(I1332-L1332)</f>
        <v>6</v>
      </c>
      <c r="N1332" s="24" t="n">
        <f aca="false">M1332*H1332*Summary!$C$6</f>
        <v>36</v>
      </c>
      <c r="O1332" s="37" t="n">
        <v>45847.2450462963</v>
      </c>
      <c r="P1332" s="22" t="n">
        <f aca="false">ROUND((O1332-C1332)*86400,0)</f>
        <v>127</v>
      </c>
      <c r="Q1332" s="22" t="str">
        <f aca="false">IF(P1332&lt;10,"a) &lt;10s",IF(P1332&lt;60,"b) 10-60s",IF(P1332&lt;600,"c) 1-10min","d) &gt;10min")))</f>
        <v>c) 1-10min</v>
      </c>
      <c r="R1332" s="38" t="n">
        <v>3292.91</v>
      </c>
      <c r="S1332" s="38" t="n">
        <v>3292.95</v>
      </c>
      <c r="T1332" s="22" t="s">
        <v>188</v>
      </c>
      <c r="U1332" s="39" t="n">
        <f aca="false">IF(R1332="","",IF(F1332="BUY",R1332-S1332,S1332-R1332))</f>
        <v>0.0399999999999636</v>
      </c>
      <c r="V1332" s="39" t="n">
        <f aca="false">IF(F1332="BUY",S1332-J1332,J1332-S1332)</f>
        <v>-6.25</v>
      </c>
      <c r="W1332" s="6" t="n">
        <v>-37.5</v>
      </c>
      <c r="X1332" s="26" t="n">
        <f aca="false">IFERROR(W1332/N1332,0)</f>
        <v>-1.04166666666667</v>
      </c>
      <c r="Y1332" s="22" t="str">
        <f aca="false">IF(W1332&gt;0,"Win",IF(W1332&lt;0,"Loss","Flat"))</f>
        <v>Loss</v>
      </c>
      <c r="Z1332" s="24" t="n">
        <f aca="false">Summary!$C$5+SUM(W$2:W1332)</f>
        <v>3618.45</v>
      </c>
      <c r="AA1332" s="24" t="n">
        <f aca="false">MAX(AA1331,Z1332)</f>
        <v>5000</v>
      </c>
      <c r="AB1332" s="24" t="n">
        <f aca="false">AA1332-Z1332</f>
        <v>1381.55</v>
      </c>
      <c r="AC1332" s="23" t="n">
        <f aca="false">IFERROR(AB1332/AA1332,0)</f>
        <v>0.27631</v>
      </c>
      <c r="AD1332" s="22" t="s">
        <v>1569</v>
      </c>
    </row>
    <row r="1333" customFormat="false" ht="15" hidden="false" customHeight="false" outlineLevel="0" collapsed="false">
      <c r="A1333" s="22" t="n">
        <v>1332</v>
      </c>
      <c r="B1333" s="22" t="s">
        <v>159</v>
      </c>
      <c r="C1333" s="37" t="n">
        <v>45847.3752546296</v>
      </c>
      <c r="D1333" s="22" t="s">
        <v>204</v>
      </c>
      <c r="E1333" s="22" t="n">
        <v>9</v>
      </c>
      <c r="F1333" s="22" t="s">
        <v>182</v>
      </c>
      <c r="G1333" s="22" t="s">
        <v>241</v>
      </c>
      <c r="H1333" s="22" t="n">
        <v>0.06</v>
      </c>
      <c r="I1333" s="38" t="n">
        <v>3288.75</v>
      </c>
      <c r="J1333" s="38" t="n">
        <v>3288.75</v>
      </c>
      <c r="K1333" s="39" t="n">
        <f aca="false">IF(F1333="BUY",J1333-I1333,I1333-J1333)</f>
        <v>0</v>
      </c>
      <c r="L1333" s="38" t="n">
        <v>3294.75</v>
      </c>
      <c r="M1333" s="39" t="n">
        <f aca="false">ABS(I1333-L1333)</f>
        <v>6</v>
      </c>
      <c r="N1333" s="24" t="n">
        <f aca="false">M1333*H1333*Summary!$C$6</f>
        <v>36</v>
      </c>
      <c r="O1333" s="37" t="n">
        <v>45847.4008912037</v>
      </c>
      <c r="P1333" s="22" t="n">
        <f aca="false">ROUND((O1333-C1333)*86400,0)</f>
        <v>2215</v>
      </c>
      <c r="Q1333" s="22" t="str">
        <f aca="false">IF(P1333&lt;10,"a) &lt;10s",IF(P1333&lt;60,"b) 10-60s",IF(P1333&lt;600,"c) 1-10min","d) &gt;10min")))</f>
        <v>d) &gt;10min</v>
      </c>
      <c r="R1333" s="38" t="n">
        <v>3288.25</v>
      </c>
      <c r="S1333" s="38" t="n">
        <v>3288.25</v>
      </c>
      <c r="T1333" s="22" t="s">
        <v>189</v>
      </c>
      <c r="U1333" s="39" t="n">
        <f aca="false">IF(R1333="","",IF(F1333="BUY",R1333-S1333,S1333-R1333))</f>
        <v>0</v>
      </c>
      <c r="V1333" s="39" t="n">
        <f aca="false">IF(F1333="BUY",S1333-J1333,J1333-S1333)</f>
        <v>0.5</v>
      </c>
      <c r="W1333" s="6" t="n">
        <v>3</v>
      </c>
      <c r="X1333" s="26" t="n">
        <f aca="false">IFERROR(W1333/N1333,0)</f>
        <v>0.0833333333333333</v>
      </c>
      <c r="Y1333" s="22" t="str">
        <f aca="false">IF(W1333&gt;0,"Win",IF(W1333&lt;0,"Loss","Flat"))</f>
        <v>Win</v>
      </c>
      <c r="Z1333" s="24" t="n">
        <f aca="false">Summary!$C$5+SUM(W$2:W1333)</f>
        <v>3621.45</v>
      </c>
      <c r="AA1333" s="24" t="n">
        <f aca="false">MAX(AA1332,Z1333)</f>
        <v>5000</v>
      </c>
      <c r="AB1333" s="24" t="n">
        <f aca="false">AA1333-Z1333</f>
        <v>1378.55</v>
      </c>
      <c r="AC1333" s="23" t="n">
        <f aca="false">IFERROR(AB1333/AA1333,0)</f>
        <v>0.27571</v>
      </c>
      <c r="AD1333" s="22" t="s">
        <v>1570</v>
      </c>
    </row>
    <row r="1334" customFormat="false" ht="15" hidden="false" customHeight="false" outlineLevel="0" collapsed="false">
      <c r="A1334" s="22" t="n">
        <v>1333</v>
      </c>
      <c r="B1334" s="22" t="s">
        <v>159</v>
      </c>
      <c r="C1334" s="37" t="n">
        <v>45848.3824768519</v>
      </c>
      <c r="D1334" s="22" t="s">
        <v>205</v>
      </c>
      <c r="E1334" s="22" t="n">
        <v>9</v>
      </c>
      <c r="F1334" s="22" t="s">
        <v>181</v>
      </c>
      <c r="G1334" s="22" t="s">
        <v>235</v>
      </c>
      <c r="H1334" s="22" t="n">
        <v>0.06</v>
      </c>
      <c r="I1334" s="38" t="n">
        <v>3324.85</v>
      </c>
      <c r="J1334" s="38" t="n">
        <v>3324.87</v>
      </c>
      <c r="K1334" s="39" t="n">
        <f aca="false">IF(F1334="BUY",J1334-I1334,I1334-J1334)</f>
        <v>0.0199999999999818</v>
      </c>
      <c r="L1334" s="38" t="n">
        <v>3318.85</v>
      </c>
      <c r="M1334" s="39" t="n">
        <f aca="false">ABS(I1334-L1334)</f>
        <v>6</v>
      </c>
      <c r="N1334" s="24" t="n">
        <f aca="false">M1334*H1334*Summary!$C$6</f>
        <v>36</v>
      </c>
      <c r="O1334" s="37" t="n">
        <v>45848.3909375</v>
      </c>
      <c r="P1334" s="22" t="n">
        <f aca="false">ROUND((O1334-C1334)*86400,0)</f>
        <v>731</v>
      </c>
      <c r="Q1334" s="22" t="str">
        <f aca="false">IF(P1334&lt;10,"a) &lt;10s",IF(P1334&lt;60,"b) 10-60s",IF(P1334&lt;600,"c) 1-10min","d) &gt;10min")))</f>
        <v>d) &gt;10min</v>
      </c>
      <c r="R1334" s="38" t="n">
        <v>3325.37</v>
      </c>
      <c r="S1334" s="38" t="n">
        <v>3325.37</v>
      </c>
      <c r="T1334" s="22" t="s">
        <v>189</v>
      </c>
      <c r="U1334" s="39" t="n">
        <f aca="false">IF(R1334="","",IF(F1334="BUY",R1334-S1334,S1334-R1334))</f>
        <v>0</v>
      </c>
      <c r="V1334" s="39" t="n">
        <f aca="false">IF(F1334="BUY",S1334-J1334,J1334-S1334)</f>
        <v>0.5</v>
      </c>
      <c r="W1334" s="6" t="n">
        <v>3</v>
      </c>
      <c r="X1334" s="26" t="n">
        <f aca="false">IFERROR(W1334/N1334,0)</f>
        <v>0.0833333333333333</v>
      </c>
      <c r="Y1334" s="22" t="str">
        <f aca="false">IF(W1334&gt;0,"Win",IF(W1334&lt;0,"Loss","Flat"))</f>
        <v>Win</v>
      </c>
      <c r="Z1334" s="24" t="n">
        <f aca="false">Summary!$C$5+SUM(W$2:W1334)</f>
        <v>3624.45</v>
      </c>
      <c r="AA1334" s="24" t="n">
        <f aca="false">MAX(AA1333,Z1334)</f>
        <v>5000</v>
      </c>
      <c r="AB1334" s="24" t="n">
        <f aca="false">AA1334-Z1334</f>
        <v>1375.55</v>
      </c>
      <c r="AC1334" s="23" t="n">
        <f aca="false">IFERROR(AB1334/AA1334,0)</f>
        <v>0.27511</v>
      </c>
      <c r="AD1334" s="22" t="s">
        <v>1571</v>
      </c>
    </row>
    <row r="1335" customFormat="false" ht="15" hidden="false" customHeight="false" outlineLevel="0" collapsed="false">
      <c r="A1335" s="22" t="n">
        <v>1334</v>
      </c>
      <c r="B1335" s="22" t="s">
        <v>159</v>
      </c>
      <c r="C1335" s="37" t="n">
        <v>45849.1464467593</v>
      </c>
      <c r="D1335" s="22" t="s">
        <v>206</v>
      </c>
      <c r="E1335" s="22" t="n">
        <v>3</v>
      </c>
      <c r="F1335" s="22" t="s">
        <v>181</v>
      </c>
      <c r="G1335" s="22" t="s">
        <v>243</v>
      </c>
      <c r="H1335" s="22" t="n">
        <v>0.06</v>
      </c>
      <c r="I1335" s="38" t="n">
        <v>3330.09</v>
      </c>
      <c r="J1335" s="38" t="n">
        <v>3330.14</v>
      </c>
      <c r="K1335" s="39" t="n">
        <f aca="false">IF(F1335="BUY",J1335-I1335,I1335-J1335)</f>
        <v>0.0499999999997272</v>
      </c>
      <c r="L1335" s="38" t="n">
        <v>3324.09</v>
      </c>
      <c r="M1335" s="39" t="n">
        <f aca="false">ABS(I1335-L1335)</f>
        <v>6</v>
      </c>
      <c r="N1335" s="24" t="n">
        <f aca="false">M1335*H1335*Summary!$C$6</f>
        <v>36</v>
      </c>
      <c r="O1335" s="37" t="n">
        <v>45849.1660069445</v>
      </c>
      <c r="P1335" s="22" t="n">
        <f aca="false">ROUND((O1335-C1335)*86400,0)</f>
        <v>1690</v>
      </c>
      <c r="Q1335" s="22" t="str">
        <f aca="false">IF(P1335&lt;10,"a) &lt;10s",IF(P1335&lt;60,"b) 10-60s",IF(P1335&lt;600,"c) 1-10min","d) &gt;10min")))</f>
        <v>d) &gt;10min</v>
      </c>
      <c r="R1335" s="38" t="n">
        <v>3330.64</v>
      </c>
      <c r="S1335" s="38" t="n">
        <v>3330.57</v>
      </c>
      <c r="T1335" s="22" t="s">
        <v>189</v>
      </c>
      <c r="U1335" s="39" t="n">
        <f aca="false">IF(R1335="","",IF(F1335="BUY",R1335-S1335,S1335-R1335))</f>
        <v>0.069999999999709</v>
      </c>
      <c r="V1335" s="39" t="n">
        <f aca="false">IF(F1335="BUY",S1335-J1335,J1335-S1335)</f>
        <v>0.430000000000291</v>
      </c>
      <c r="W1335" s="6" t="n">
        <v>2.58</v>
      </c>
      <c r="X1335" s="26" t="n">
        <f aca="false">IFERROR(W1335/N1335,0)</f>
        <v>0.0716666666666667</v>
      </c>
      <c r="Y1335" s="22" t="str">
        <f aca="false">IF(W1335&gt;0,"Win",IF(W1335&lt;0,"Loss","Flat"))</f>
        <v>Win</v>
      </c>
      <c r="Z1335" s="24" t="n">
        <f aca="false">Summary!$C$5+SUM(W$2:W1335)</f>
        <v>3627.03</v>
      </c>
      <c r="AA1335" s="24" t="n">
        <f aca="false">MAX(AA1334,Z1335)</f>
        <v>5000</v>
      </c>
      <c r="AB1335" s="24" t="n">
        <f aca="false">AA1335-Z1335</f>
        <v>1372.97</v>
      </c>
      <c r="AC1335" s="23" t="n">
        <f aca="false">IFERROR(AB1335/AA1335,0)</f>
        <v>0.274594</v>
      </c>
      <c r="AD1335" s="22" t="s">
        <v>1572</v>
      </c>
    </row>
    <row r="1336" customFormat="false" ht="15" hidden="false" customHeight="false" outlineLevel="0" collapsed="false">
      <c r="A1336" s="22" t="n">
        <v>1335</v>
      </c>
      <c r="B1336" s="22" t="s">
        <v>159</v>
      </c>
      <c r="C1336" s="37" t="n">
        <v>45849.3869675926</v>
      </c>
      <c r="D1336" s="22" t="s">
        <v>206</v>
      </c>
      <c r="E1336" s="22" t="n">
        <v>9</v>
      </c>
      <c r="F1336" s="22" t="s">
        <v>181</v>
      </c>
      <c r="G1336" s="22" t="s">
        <v>235</v>
      </c>
      <c r="H1336" s="22" t="n">
        <v>0.06</v>
      </c>
      <c r="I1336" s="38" t="n">
        <v>3341.51</v>
      </c>
      <c r="J1336" s="38" t="n">
        <v>3341.55</v>
      </c>
      <c r="K1336" s="39" t="n">
        <f aca="false">IF(F1336="BUY",J1336-I1336,I1336-J1336)</f>
        <v>0.0399999999999636</v>
      </c>
      <c r="L1336" s="38" t="n">
        <v>3335.51</v>
      </c>
      <c r="M1336" s="39" t="n">
        <f aca="false">ABS(I1336-L1336)</f>
        <v>6</v>
      </c>
      <c r="N1336" s="24" t="n">
        <f aca="false">M1336*H1336*Summary!$C$6</f>
        <v>36</v>
      </c>
      <c r="O1336" s="37" t="n">
        <v>45849.4095601852</v>
      </c>
      <c r="P1336" s="22" t="n">
        <f aca="false">ROUND((O1336-C1336)*86400,0)</f>
        <v>1952</v>
      </c>
      <c r="Q1336" s="22" t="str">
        <f aca="false">IF(P1336&lt;10,"a) &lt;10s",IF(P1336&lt;60,"b) 10-60s",IF(P1336&lt;600,"c) 1-10min","d) &gt;10min")))</f>
        <v>d) &gt;10min</v>
      </c>
      <c r="R1336" s="38" t="n">
        <v>3335.51</v>
      </c>
      <c r="S1336" s="38" t="n">
        <v>3335.51</v>
      </c>
      <c r="T1336" s="22" t="s">
        <v>188</v>
      </c>
      <c r="U1336" s="39" t="n">
        <f aca="false">IF(R1336="","",IF(F1336="BUY",R1336-S1336,S1336-R1336))</f>
        <v>0</v>
      </c>
      <c r="V1336" s="39" t="n">
        <f aca="false">IF(F1336="BUY",S1336-J1336,J1336-S1336)</f>
        <v>-6.03999999999996</v>
      </c>
      <c r="W1336" s="6" t="n">
        <v>-36.24</v>
      </c>
      <c r="X1336" s="26" t="n">
        <f aca="false">IFERROR(W1336/N1336,0)</f>
        <v>-1.00666666666667</v>
      </c>
      <c r="Y1336" s="22" t="str">
        <f aca="false">IF(W1336&gt;0,"Win",IF(W1336&lt;0,"Loss","Flat"))</f>
        <v>Loss</v>
      </c>
      <c r="Z1336" s="24" t="n">
        <f aca="false">Summary!$C$5+SUM(W$2:W1336)</f>
        <v>3590.79</v>
      </c>
      <c r="AA1336" s="24" t="n">
        <f aca="false">MAX(AA1335,Z1336)</f>
        <v>5000</v>
      </c>
      <c r="AB1336" s="24" t="n">
        <f aca="false">AA1336-Z1336</f>
        <v>1409.21</v>
      </c>
      <c r="AC1336" s="23" t="n">
        <f aca="false">IFERROR(AB1336/AA1336,0)</f>
        <v>0.281842</v>
      </c>
      <c r="AD1336" s="22" t="s">
        <v>1573</v>
      </c>
    </row>
    <row r="1337" customFormat="false" ht="15" hidden="false" customHeight="false" outlineLevel="0" collapsed="false">
      <c r="A1337" s="22" t="n">
        <v>1336</v>
      </c>
      <c r="B1337" s="22" t="s">
        <v>159</v>
      </c>
      <c r="C1337" s="37" t="n">
        <v>45852.0605439815</v>
      </c>
      <c r="D1337" s="22" t="s">
        <v>202</v>
      </c>
      <c r="E1337" s="22" t="n">
        <v>1</v>
      </c>
      <c r="F1337" s="22" t="s">
        <v>181</v>
      </c>
      <c r="G1337" s="22" t="s">
        <v>243</v>
      </c>
      <c r="H1337" s="22" t="n">
        <v>0.05</v>
      </c>
      <c r="I1337" s="38" t="n">
        <v>3368.56</v>
      </c>
      <c r="J1337" s="38" t="n">
        <v>3368.56</v>
      </c>
      <c r="K1337" s="39" t="n">
        <f aca="false">IF(F1337="BUY",J1337-I1337,I1337-J1337)</f>
        <v>0</v>
      </c>
      <c r="L1337" s="38" t="n">
        <v>3362.56</v>
      </c>
      <c r="M1337" s="39" t="n">
        <f aca="false">ABS(I1337-L1337)</f>
        <v>6</v>
      </c>
      <c r="N1337" s="24" t="n">
        <f aca="false">M1337*H1337*Summary!$C$6</f>
        <v>30</v>
      </c>
      <c r="O1337" s="37" t="n">
        <v>45852.0739236111</v>
      </c>
      <c r="P1337" s="22" t="n">
        <f aca="false">ROUND((O1337-C1337)*86400,0)</f>
        <v>1156</v>
      </c>
      <c r="Q1337" s="22" t="str">
        <f aca="false">IF(P1337&lt;10,"a) &lt;10s",IF(P1337&lt;60,"b) 10-60s",IF(P1337&lt;600,"c) 1-10min","d) &gt;10min")))</f>
        <v>d) &gt;10min</v>
      </c>
      <c r="R1337" s="38" t="n">
        <v>3369.06</v>
      </c>
      <c r="S1337" s="38" t="n">
        <v>3369</v>
      </c>
      <c r="T1337" s="22" t="s">
        <v>189</v>
      </c>
      <c r="U1337" s="39" t="n">
        <f aca="false">IF(R1337="","",IF(F1337="BUY",R1337-S1337,S1337-R1337))</f>
        <v>0.0599999999999454</v>
      </c>
      <c r="V1337" s="39" t="n">
        <f aca="false">IF(F1337="BUY",S1337-J1337,J1337-S1337)</f>
        <v>0.440000000000055</v>
      </c>
      <c r="W1337" s="6" t="n">
        <v>2.2</v>
      </c>
      <c r="X1337" s="26" t="n">
        <f aca="false">IFERROR(W1337/N1337,0)</f>
        <v>0.0733333333333333</v>
      </c>
      <c r="Y1337" s="22" t="str">
        <f aca="false">IF(W1337&gt;0,"Win",IF(W1337&lt;0,"Loss","Flat"))</f>
        <v>Win</v>
      </c>
      <c r="Z1337" s="24" t="n">
        <f aca="false">Summary!$C$5+SUM(W$2:W1337)</f>
        <v>3592.99</v>
      </c>
      <c r="AA1337" s="24" t="n">
        <f aca="false">MAX(AA1336,Z1337)</f>
        <v>5000</v>
      </c>
      <c r="AB1337" s="24" t="n">
        <f aca="false">AA1337-Z1337</f>
        <v>1407.01</v>
      </c>
      <c r="AC1337" s="23" t="n">
        <f aca="false">IFERROR(AB1337/AA1337,0)</f>
        <v>0.281402</v>
      </c>
      <c r="AD1337" s="22" t="s">
        <v>1574</v>
      </c>
    </row>
    <row r="1338" customFormat="false" ht="15" hidden="false" customHeight="false" outlineLevel="0" collapsed="false">
      <c r="A1338" s="22" t="n">
        <v>1337</v>
      </c>
      <c r="B1338" s="22" t="s">
        <v>159</v>
      </c>
      <c r="C1338" s="37" t="n">
        <v>45852.3883912037</v>
      </c>
      <c r="D1338" s="22" t="s">
        <v>202</v>
      </c>
      <c r="E1338" s="22" t="n">
        <v>9</v>
      </c>
      <c r="F1338" s="22" t="s">
        <v>181</v>
      </c>
      <c r="G1338" s="22" t="s">
        <v>235</v>
      </c>
      <c r="H1338" s="22" t="n">
        <v>0.05</v>
      </c>
      <c r="I1338" s="38" t="n">
        <v>3361.48</v>
      </c>
      <c r="J1338" s="38" t="n">
        <v>3361.57</v>
      </c>
      <c r="K1338" s="39" t="n">
        <f aca="false">IF(F1338="BUY",J1338-I1338,I1338-J1338)</f>
        <v>0.0900000000001455</v>
      </c>
      <c r="L1338" s="38" t="n">
        <v>3355.48</v>
      </c>
      <c r="M1338" s="39" t="n">
        <f aca="false">ABS(I1338-L1338)</f>
        <v>6</v>
      </c>
      <c r="N1338" s="24" t="n">
        <f aca="false">M1338*H1338*Summary!$C$6</f>
        <v>30</v>
      </c>
      <c r="O1338" s="37" t="n">
        <v>45852.4077314815</v>
      </c>
      <c r="P1338" s="22" t="n">
        <f aca="false">ROUND((O1338-C1338)*86400,0)</f>
        <v>1671</v>
      </c>
      <c r="Q1338" s="22" t="str">
        <f aca="false">IF(P1338&lt;10,"a) &lt;10s",IF(P1338&lt;60,"b) 10-60s",IF(P1338&lt;600,"c) 1-10min","d) &gt;10min")))</f>
        <v>d) &gt;10min</v>
      </c>
      <c r="R1338" s="38" t="n">
        <v>3362.07</v>
      </c>
      <c r="S1338" s="38" t="n">
        <v>3362.05</v>
      </c>
      <c r="T1338" s="22" t="s">
        <v>189</v>
      </c>
      <c r="U1338" s="39" t="n">
        <f aca="false">IF(R1338="","",IF(F1338="BUY",R1338-S1338,S1338-R1338))</f>
        <v>0.0199999999999818</v>
      </c>
      <c r="V1338" s="39" t="n">
        <f aca="false">IF(F1338="BUY",S1338-J1338,J1338-S1338)</f>
        <v>0.480000000000018</v>
      </c>
      <c r="W1338" s="6" t="n">
        <v>2.4</v>
      </c>
      <c r="X1338" s="26" t="n">
        <f aca="false">IFERROR(W1338/N1338,0)</f>
        <v>0.08</v>
      </c>
      <c r="Y1338" s="22" t="str">
        <f aca="false">IF(W1338&gt;0,"Win",IF(W1338&lt;0,"Loss","Flat"))</f>
        <v>Win</v>
      </c>
      <c r="Z1338" s="24" t="n">
        <f aca="false">Summary!$C$5+SUM(W$2:W1338)</f>
        <v>3595.39</v>
      </c>
      <c r="AA1338" s="24" t="n">
        <f aca="false">MAX(AA1337,Z1338)</f>
        <v>5000</v>
      </c>
      <c r="AB1338" s="24" t="n">
        <f aca="false">AA1338-Z1338</f>
        <v>1404.61</v>
      </c>
      <c r="AC1338" s="23" t="n">
        <f aca="false">IFERROR(AB1338/AA1338,0)</f>
        <v>0.280922</v>
      </c>
      <c r="AD1338" s="22" t="s">
        <v>1575</v>
      </c>
    </row>
    <row r="1339" customFormat="false" ht="15" hidden="false" customHeight="false" outlineLevel="0" collapsed="false">
      <c r="A1339" s="22" t="n">
        <v>1338</v>
      </c>
      <c r="B1339" s="22" t="s">
        <v>159</v>
      </c>
      <c r="C1339" s="37" t="n">
        <v>45853.4146296296</v>
      </c>
      <c r="D1339" s="22" t="s">
        <v>203</v>
      </c>
      <c r="E1339" s="22" t="n">
        <v>9</v>
      </c>
      <c r="F1339" s="22" t="s">
        <v>182</v>
      </c>
      <c r="G1339" s="22" t="s">
        <v>241</v>
      </c>
      <c r="H1339" s="22" t="n">
        <v>0.05</v>
      </c>
      <c r="I1339" s="38" t="n">
        <v>3357.45</v>
      </c>
      <c r="J1339" s="38" t="n">
        <v>3357.39</v>
      </c>
      <c r="K1339" s="39" t="n">
        <f aca="false">IF(F1339="BUY",J1339-I1339,I1339-J1339)</f>
        <v>0.0599999999999454</v>
      </c>
      <c r="L1339" s="38" t="n">
        <v>3363.45</v>
      </c>
      <c r="M1339" s="39" t="n">
        <f aca="false">ABS(I1339-L1339)</f>
        <v>6</v>
      </c>
      <c r="N1339" s="24" t="n">
        <f aca="false">M1339*H1339*Summary!$C$6</f>
        <v>30</v>
      </c>
      <c r="O1339" s="37" t="n">
        <v>45853.4334027778</v>
      </c>
      <c r="P1339" s="22" t="n">
        <f aca="false">ROUND((O1339-C1339)*86400,0)</f>
        <v>1622</v>
      </c>
      <c r="Q1339" s="22" t="str">
        <f aca="false">IF(P1339&lt;10,"a) &lt;10s",IF(P1339&lt;60,"b) 10-60s",IF(P1339&lt;600,"c) 1-10min","d) &gt;10min")))</f>
        <v>d) &gt;10min</v>
      </c>
      <c r="R1339" s="38" t="n">
        <v>3363.45</v>
      </c>
      <c r="S1339" s="38" t="n">
        <v>3363.5</v>
      </c>
      <c r="T1339" s="22" t="s">
        <v>188</v>
      </c>
      <c r="U1339" s="39" t="n">
        <f aca="false">IF(R1339="","",IF(F1339="BUY",R1339-S1339,S1339-R1339))</f>
        <v>0.0500000000001819</v>
      </c>
      <c r="V1339" s="39" t="n">
        <f aca="false">IF(F1339="BUY",S1339-J1339,J1339-S1339)</f>
        <v>-6.11000000000013</v>
      </c>
      <c r="W1339" s="6" t="n">
        <v>-30.55</v>
      </c>
      <c r="X1339" s="26" t="n">
        <f aca="false">IFERROR(W1339/N1339,0)</f>
        <v>-1.01833333333333</v>
      </c>
      <c r="Y1339" s="22" t="str">
        <f aca="false">IF(W1339&gt;0,"Win",IF(W1339&lt;0,"Loss","Flat"))</f>
        <v>Loss</v>
      </c>
      <c r="Z1339" s="24" t="n">
        <f aca="false">Summary!$C$5+SUM(W$2:W1339)</f>
        <v>3564.84</v>
      </c>
      <c r="AA1339" s="24" t="n">
        <f aca="false">MAX(AA1338,Z1339)</f>
        <v>5000</v>
      </c>
      <c r="AB1339" s="24" t="n">
        <f aca="false">AA1339-Z1339</f>
        <v>1435.16</v>
      </c>
      <c r="AC1339" s="23" t="n">
        <f aca="false">IFERROR(AB1339/AA1339,0)</f>
        <v>0.287032</v>
      </c>
      <c r="AD1339" s="22" t="s">
        <v>1576</v>
      </c>
    </row>
    <row r="1340" customFormat="false" ht="15" hidden="false" customHeight="false" outlineLevel="0" collapsed="false">
      <c r="A1340" s="22" t="n">
        <v>1339</v>
      </c>
      <c r="B1340" s="22" t="s">
        <v>159</v>
      </c>
      <c r="C1340" s="37" t="n">
        <v>45853.6853587963</v>
      </c>
      <c r="D1340" s="22" t="s">
        <v>203</v>
      </c>
      <c r="E1340" s="22" t="n">
        <v>16</v>
      </c>
      <c r="F1340" s="22" t="s">
        <v>182</v>
      </c>
      <c r="G1340" s="22" t="s">
        <v>237</v>
      </c>
      <c r="H1340" s="22" t="n">
        <v>0.05</v>
      </c>
      <c r="I1340" s="38" t="n">
        <v>3340.76</v>
      </c>
      <c r="J1340" s="38" t="n">
        <v>3340.76</v>
      </c>
      <c r="K1340" s="39" t="n">
        <f aca="false">IF(F1340="BUY",J1340-I1340,I1340-J1340)</f>
        <v>0</v>
      </c>
      <c r="L1340" s="38" t="n">
        <v>3346.76</v>
      </c>
      <c r="M1340" s="39" t="n">
        <f aca="false">ABS(I1340-L1340)</f>
        <v>6</v>
      </c>
      <c r="N1340" s="24" t="n">
        <f aca="false">M1340*H1340*Summary!$C$6</f>
        <v>30</v>
      </c>
      <c r="O1340" s="37" t="n">
        <v>45853.6898611111</v>
      </c>
      <c r="P1340" s="22" t="n">
        <f aca="false">ROUND((O1340-C1340)*86400,0)</f>
        <v>389</v>
      </c>
      <c r="Q1340" s="22" t="str">
        <f aca="false">IF(P1340&lt;10,"a) &lt;10s",IF(P1340&lt;60,"b) 10-60s",IF(P1340&lt;600,"c) 1-10min","d) &gt;10min")))</f>
        <v>c) 1-10min</v>
      </c>
      <c r="R1340" s="38" t="n">
        <v>3340.26</v>
      </c>
      <c r="S1340" s="38" t="n">
        <v>3340.26</v>
      </c>
      <c r="T1340" s="22" t="s">
        <v>189</v>
      </c>
      <c r="U1340" s="39" t="n">
        <f aca="false">IF(R1340="","",IF(F1340="BUY",R1340-S1340,S1340-R1340))</f>
        <v>0</v>
      </c>
      <c r="V1340" s="39" t="n">
        <f aca="false">IF(F1340="BUY",S1340-J1340,J1340-S1340)</f>
        <v>0.5</v>
      </c>
      <c r="W1340" s="6" t="n">
        <v>2.5</v>
      </c>
      <c r="X1340" s="26" t="n">
        <f aca="false">IFERROR(W1340/N1340,0)</f>
        <v>0.0833333333333333</v>
      </c>
      <c r="Y1340" s="22" t="str">
        <f aca="false">IF(W1340&gt;0,"Win",IF(W1340&lt;0,"Loss","Flat"))</f>
        <v>Win</v>
      </c>
      <c r="Z1340" s="24" t="n">
        <f aca="false">Summary!$C$5+SUM(W$2:W1340)</f>
        <v>3567.34</v>
      </c>
      <c r="AA1340" s="24" t="n">
        <f aca="false">MAX(AA1339,Z1340)</f>
        <v>5000</v>
      </c>
      <c r="AB1340" s="24" t="n">
        <f aca="false">AA1340-Z1340</f>
        <v>1432.66</v>
      </c>
      <c r="AC1340" s="23" t="n">
        <f aca="false">IFERROR(AB1340/AA1340,0)</f>
        <v>0.286532</v>
      </c>
      <c r="AD1340" s="22" t="s">
        <v>1577</v>
      </c>
    </row>
    <row r="1341" customFormat="false" ht="15" hidden="false" customHeight="false" outlineLevel="0" collapsed="false">
      <c r="A1341" s="22" t="n">
        <v>1340</v>
      </c>
      <c r="B1341" s="22" t="s">
        <v>159</v>
      </c>
      <c r="C1341" s="37" t="n">
        <v>45854.3777777778</v>
      </c>
      <c r="D1341" s="22" t="s">
        <v>204</v>
      </c>
      <c r="E1341" s="22" t="n">
        <v>9</v>
      </c>
      <c r="F1341" s="22" t="s">
        <v>181</v>
      </c>
      <c r="G1341" s="22" t="s">
        <v>235</v>
      </c>
      <c r="H1341" s="22" t="n">
        <v>0.05</v>
      </c>
      <c r="I1341" s="38" t="n">
        <v>3339.7</v>
      </c>
      <c r="J1341" s="38" t="n">
        <v>3339.83</v>
      </c>
      <c r="K1341" s="39" t="n">
        <f aca="false">IF(F1341="BUY",J1341-I1341,I1341-J1341)</f>
        <v>0.130000000000109</v>
      </c>
      <c r="L1341" s="38" t="n">
        <v>3333.7</v>
      </c>
      <c r="M1341" s="39" t="n">
        <f aca="false">ABS(I1341-L1341)</f>
        <v>6</v>
      </c>
      <c r="N1341" s="24" t="n">
        <f aca="false">M1341*H1341*Summary!$C$6</f>
        <v>30</v>
      </c>
      <c r="O1341" s="37" t="n">
        <v>45854.3928587963</v>
      </c>
      <c r="P1341" s="22" t="n">
        <f aca="false">ROUND((O1341-C1341)*86400,0)</f>
        <v>1303</v>
      </c>
      <c r="Q1341" s="22" t="str">
        <f aca="false">IF(P1341&lt;10,"a) &lt;10s",IF(P1341&lt;60,"b) 10-60s",IF(P1341&lt;600,"c) 1-10min","d) &gt;10min")))</f>
        <v>d) &gt;10min</v>
      </c>
      <c r="R1341" s="38" t="n">
        <v>3340.33</v>
      </c>
      <c r="S1341" s="38" t="n">
        <v>3340.25</v>
      </c>
      <c r="T1341" s="22" t="s">
        <v>189</v>
      </c>
      <c r="U1341" s="39" t="n">
        <f aca="false">IF(R1341="","",IF(F1341="BUY",R1341-S1341,S1341-R1341))</f>
        <v>0.0799999999999272</v>
      </c>
      <c r="V1341" s="39" t="n">
        <f aca="false">IF(F1341="BUY",S1341-J1341,J1341-S1341)</f>
        <v>0.420000000000073</v>
      </c>
      <c r="W1341" s="6" t="n">
        <v>2.1</v>
      </c>
      <c r="X1341" s="26" t="n">
        <f aca="false">IFERROR(W1341/N1341,0)</f>
        <v>0.07</v>
      </c>
      <c r="Y1341" s="22" t="str">
        <f aca="false">IF(W1341&gt;0,"Win",IF(W1341&lt;0,"Loss","Flat"))</f>
        <v>Win</v>
      </c>
      <c r="Z1341" s="24" t="n">
        <f aca="false">Summary!$C$5+SUM(W$2:W1341)</f>
        <v>3569.44</v>
      </c>
      <c r="AA1341" s="24" t="n">
        <f aca="false">MAX(AA1340,Z1341)</f>
        <v>5000</v>
      </c>
      <c r="AB1341" s="24" t="n">
        <f aca="false">AA1341-Z1341</f>
        <v>1430.56</v>
      </c>
      <c r="AC1341" s="23" t="n">
        <f aca="false">IFERROR(AB1341/AA1341,0)</f>
        <v>0.286112</v>
      </c>
      <c r="AD1341" s="22" t="s">
        <v>1578</v>
      </c>
    </row>
    <row r="1342" customFormat="false" ht="15" hidden="false" customHeight="false" outlineLevel="0" collapsed="false">
      <c r="A1342" s="22" t="n">
        <v>1341</v>
      </c>
      <c r="B1342" s="22" t="s">
        <v>159</v>
      </c>
      <c r="C1342" s="37" t="n">
        <v>45854.7314236111</v>
      </c>
      <c r="D1342" s="22" t="s">
        <v>204</v>
      </c>
      <c r="E1342" s="22" t="n">
        <v>17</v>
      </c>
      <c r="F1342" s="22" t="s">
        <v>182</v>
      </c>
      <c r="G1342" s="22" t="s">
        <v>237</v>
      </c>
      <c r="H1342" s="22" t="n">
        <v>0.05</v>
      </c>
      <c r="I1342" s="38" t="n">
        <v>3320.06</v>
      </c>
      <c r="J1342" s="38" t="n">
        <v>3320.02</v>
      </c>
      <c r="K1342" s="39" t="n">
        <f aca="false">IF(F1342="BUY",J1342-I1342,I1342-J1342)</f>
        <v>0.0399999999999636</v>
      </c>
      <c r="L1342" s="38" t="n">
        <v>3326.06</v>
      </c>
      <c r="M1342" s="39" t="n">
        <f aca="false">ABS(I1342-L1342)</f>
        <v>6</v>
      </c>
      <c r="N1342" s="24" t="n">
        <f aca="false">M1342*H1342*Summary!$C$6</f>
        <v>30</v>
      </c>
      <c r="O1342" s="37" t="n">
        <v>45854.733912037</v>
      </c>
      <c r="P1342" s="22" t="n">
        <f aca="false">ROUND((O1342-C1342)*86400,0)</f>
        <v>215</v>
      </c>
      <c r="Q1342" s="22" t="str">
        <f aca="false">IF(P1342&lt;10,"a) &lt;10s",IF(P1342&lt;60,"b) 10-60s",IF(P1342&lt;600,"c) 1-10min","d) &gt;10min")))</f>
        <v>c) 1-10min</v>
      </c>
      <c r="R1342" s="38" t="n">
        <v>3326.06</v>
      </c>
      <c r="S1342" s="38" t="n">
        <v>3326.12</v>
      </c>
      <c r="T1342" s="22" t="s">
        <v>188</v>
      </c>
      <c r="U1342" s="39" t="n">
        <f aca="false">IF(R1342="","",IF(F1342="BUY",R1342-S1342,S1342-R1342))</f>
        <v>0.0599999999999454</v>
      </c>
      <c r="V1342" s="39" t="n">
        <f aca="false">IF(F1342="BUY",S1342-J1342,J1342-S1342)</f>
        <v>-6.09999999999991</v>
      </c>
      <c r="W1342" s="6" t="n">
        <v>-30.5</v>
      </c>
      <c r="X1342" s="26" t="n">
        <f aca="false">IFERROR(W1342/N1342,0)</f>
        <v>-1.01666666666667</v>
      </c>
      <c r="Y1342" s="22" t="str">
        <f aca="false">IF(W1342&gt;0,"Win",IF(W1342&lt;0,"Loss","Flat"))</f>
        <v>Loss</v>
      </c>
      <c r="Z1342" s="24" t="n">
        <f aca="false">Summary!$C$5+SUM(W$2:W1342)</f>
        <v>3538.94</v>
      </c>
      <c r="AA1342" s="24" t="n">
        <f aca="false">MAX(AA1341,Z1342)</f>
        <v>5000</v>
      </c>
      <c r="AB1342" s="24" t="n">
        <f aca="false">AA1342-Z1342</f>
        <v>1461.06</v>
      </c>
      <c r="AC1342" s="23" t="n">
        <f aca="false">IFERROR(AB1342/AA1342,0)</f>
        <v>0.292212</v>
      </c>
      <c r="AD1342" s="22" t="s">
        <v>1579</v>
      </c>
    </row>
    <row r="1343" customFormat="false" ht="15" hidden="false" customHeight="false" outlineLevel="0" collapsed="false">
      <c r="A1343" s="22" t="n">
        <v>1342</v>
      </c>
      <c r="B1343" s="22" t="s">
        <v>159</v>
      </c>
      <c r="C1343" s="37" t="n">
        <v>45855.3797106482</v>
      </c>
      <c r="D1343" s="22" t="s">
        <v>205</v>
      </c>
      <c r="E1343" s="22" t="n">
        <v>9</v>
      </c>
      <c r="F1343" s="22" t="s">
        <v>182</v>
      </c>
      <c r="G1343" s="22" t="s">
        <v>241</v>
      </c>
      <c r="H1343" s="22" t="n">
        <v>0.05</v>
      </c>
      <c r="I1343" s="38" t="n">
        <v>3335.7</v>
      </c>
      <c r="J1343" s="38" t="n">
        <v>3335.24</v>
      </c>
      <c r="K1343" s="39" t="n">
        <f aca="false">IF(F1343="BUY",J1343-I1343,I1343-J1343)</f>
        <v>0.460000000000036</v>
      </c>
      <c r="L1343" s="38" t="n">
        <v>3341.7</v>
      </c>
      <c r="M1343" s="39" t="n">
        <f aca="false">ABS(I1343-L1343)</f>
        <v>6</v>
      </c>
      <c r="N1343" s="24" t="n">
        <f aca="false">M1343*H1343*Summary!$C$6</f>
        <v>30</v>
      </c>
      <c r="O1343" s="37" t="n">
        <v>45855.3871527778</v>
      </c>
      <c r="P1343" s="22" t="n">
        <f aca="false">ROUND((O1343-C1343)*86400,0)</f>
        <v>643</v>
      </c>
      <c r="Q1343" s="22" t="str">
        <f aca="false">IF(P1343&lt;10,"a) &lt;10s",IF(P1343&lt;60,"b) 10-60s",IF(P1343&lt;600,"c) 1-10min","d) &gt;10min")))</f>
        <v>d) &gt;10min</v>
      </c>
      <c r="R1343" s="38" t="n">
        <v>3334.74</v>
      </c>
      <c r="S1343" s="38" t="n">
        <v>3334.8</v>
      </c>
      <c r="T1343" s="22" t="s">
        <v>189</v>
      </c>
      <c r="U1343" s="39" t="n">
        <f aca="false">IF(R1343="","",IF(F1343="BUY",R1343-S1343,S1343-R1343))</f>
        <v>0.0600000000004002</v>
      </c>
      <c r="V1343" s="39" t="n">
        <f aca="false">IF(F1343="BUY",S1343-J1343,J1343-S1343)</f>
        <v>0.4399999999996</v>
      </c>
      <c r="W1343" s="6" t="n">
        <v>2.2</v>
      </c>
      <c r="X1343" s="26" t="n">
        <f aca="false">IFERROR(W1343/N1343,0)</f>
        <v>0.0733333333333333</v>
      </c>
      <c r="Y1343" s="22" t="str">
        <f aca="false">IF(W1343&gt;0,"Win",IF(W1343&lt;0,"Loss","Flat"))</f>
        <v>Win</v>
      </c>
      <c r="Z1343" s="24" t="n">
        <f aca="false">Summary!$C$5+SUM(W$2:W1343)</f>
        <v>3541.14</v>
      </c>
      <c r="AA1343" s="24" t="n">
        <f aca="false">MAX(AA1342,Z1343)</f>
        <v>5000</v>
      </c>
      <c r="AB1343" s="24" t="n">
        <f aca="false">AA1343-Z1343</f>
        <v>1458.86</v>
      </c>
      <c r="AC1343" s="23" t="n">
        <f aca="false">IFERROR(AB1343/AA1343,0)</f>
        <v>0.291772</v>
      </c>
      <c r="AD1343" s="22" t="s">
        <v>1580</v>
      </c>
    </row>
    <row r="1344" customFormat="false" ht="15" hidden="false" customHeight="false" outlineLevel="0" collapsed="false">
      <c r="A1344" s="22" t="n">
        <v>1343</v>
      </c>
      <c r="B1344" s="22" t="s">
        <v>159</v>
      </c>
      <c r="C1344" s="37" t="n">
        <v>45855.6462268519</v>
      </c>
      <c r="D1344" s="22" t="s">
        <v>205</v>
      </c>
      <c r="E1344" s="22" t="n">
        <v>15</v>
      </c>
      <c r="F1344" s="22" t="s">
        <v>182</v>
      </c>
      <c r="G1344" s="22" t="s">
        <v>237</v>
      </c>
      <c r="H1344" s="22" t="n">
        <v>0.05</v>
      </c>
      <c r="I1344" s="38" t="n">
        <v>3319.5</v>
      </c>
      <c r="J1344" s="38" t="n">
        <v>3317.53</v>
      </c>
      <c r="K1344" s="39" t="n">
        <f aca="false">IF(F1344="BUY",J1344-I1344,I1344-J1344)</f>
        <v>1.9699999999998</v>
      </c>
      <c r="L1344" s="38" t="n">
        <v>3325.5</v>
      </c>
      <c r="M1344" s="39" t="n">
        <f aca="false">ABS(I1344-L1344)</f>
        <v>6</v>
      </c>
      <c r="N1344" s="24" t="n">
        <f aca="false">M1344*H1344*Summary!$C$6</f>
        <v>30</v>
      </c>
      <c r="O1344" s="37" t="n">
        <v>45855.646400463</v>
      </c>
      <c r="P1344" s="22" t="n">
        <f aca="false">ROUND((O1344-C1344)*86400,0)</f>
        <v>15</v>
      </c>
      <c r="Q1344" s="22" t="str">
        <f aca="false">IF(P1344&lt;10,"a) &lt;10s",IF(P1344&lt;60,"b) 10-60s",IF(P1344&lt;600,"c) 1-10min","d) &gt;10min")))</f>
        <v>b) 10-60s</v>
      </c>
      <c r="R1344" s="38" t="n">
        <v>3317.03</v>
      </c>
      <c r="S1344" s="38" t="n">
        <v>3317.04</v>
      </c>
      <c r="T1344" s="22" t="s">
        <v>189</v>
      </c>
      <c r="U1344" s="39" t="n">
        <f aca="false">IF(R1344="","",IF(F1344="BUY",R1344-S1344,S1344-R1344))</f>
        <v>0.00999999999976353</v>
      </c>
      <c r="V1344" s="39" t="n">
        <f aca="false">IF(F1344="BUY",S1344-J1344,J1344-S1344)</f>
        <v>0.490000000000236</v>
      </c>
      <c r="W1344" s="6" t="n">
        <v>2.45</v>
      </c>
      <c r="X1344" s="26" t="n">
        <f aca="false">IFERROR(W1344/N1344,0)</f>
        <v>0.0816666666666667</v>
      </c>
      <c r="Y1344" s="22" t="str">
        <f aca="false">IF(W1344&gt;0,"Win",IF(W1344&lt;0,"Loss","Flat"))</f>
        <v>Win</v>
      </c>
      <c r="Z1344" s="24" t="n">
        <f aca="false">Summary!$C$5+SUM(W$2:W1344)</f>
        <v>3543.59</v>
      </c>
      <c r="AA1344" s="24" t="n">
        <f aca="false">MAX(AA1343,Z1344)</f>
        <v>5000</v>
      </c>
      <c r="AB1344" s="24" t="n">
        <f aca="false">AA1344-Z1344</f>
        <v>1456.41</v>
      </c>
      <c r="AC1344" s="23" t="n">
        <f aca="false">IFERROR(AB1344/AA1344,0)</f>
        <v>0.291282</v>
      </c>
      <c r="AD1344" s="22" t="s">
        <v>1581</v>
      </c>
    </row>
    <row r="1345" customFormat="false" ht="15" hidden="false" customHeight="false" outlineLevel="0" collapsed="false">
      <c r="A1345" s="22" t="n">
        <v>1344</v>
      </c>
      <c r="B1345" s="22" t="s">
        <v>159</v>
      </c>
      <c r="C1345" s="37" t="n">
        <v>45856.3750231482</v>
      </c>
      <c r="D1345" s="22" t="s">
        <v>206</v>
      </c>
      <c r="E1345" s="22" t="n">
        <v>9</v>
      </c>
      <c r="F1345" s="22" t="s">
        <v>182</v>
      </c>
      <c r="G1345" s="22" t="s">
        <v>241</v>
      </c>
      <c r="H1345" s="22" t="n">
        <v>0.05</v>
      </c>
      <c r="I1345" s="38" t="n">
        <v>3333.17</v>
      </c>
      <c r="J1345" s="38" t="n">
        <v>3333.11</v>
      </c>
      <c r="K1345" s="39" t="n">
        <f aca="false">IF(F1345="BUY",J1345-I1345,I1345-J1345)</f>
        <v>0.0599999999999454</v>
      </c>
      <c r="L1345" s="38" t="n">
        <v>3339.17</v>
      </c>
      <c r="M1345" s="39" t="n">
        <f aca="false">ABS(I1345-L1345)</f>
        <v>6</v>
      </c>
      <c r="N1345" s="24" t="n">
        <f aca="false">M1345*H1345*Summary!$C$6</f>
        <v>30</v>
      </c>
      <c r="O1345" s="37" t="n">
        <v>45856.3930787037</v>
      </c>
      <c r="P1345" s="22" t="n">
        <f aca="false">ROUND((O1345-C1345)*86400,0)</f>
        <v>1560</v>
      </c>
      <c r="Q1345" s="22" t="str">
        <f aca="false">IF(P1345&lt;10,"a) &lt;10s",IF(P1345&lt;60,"b) 10-60s",IF(P1345&lt;600,"c) 1-10min","d) &gt;10min")))</f>
        <v>d) &gt;10min</v>
      </c>
      <c r="R1345" s="38" t="n">
        <v>3339.17</v>
      </c>
      <c r="S1345" s="38" t="n">
        <v>3339.2</v>
      </c>
      <c r="T1345" s="22" t="s">
        <v>188</v>
      </c>
      <c r="U1345" s="39" t="n">
        <f aca="false">IF(R1345="","",IF(F1345="BUY",R1345-S1345,S1345-R1345))</f>
        <v>0.0299999999997453</v>
      </c>
      <c r="V1345" s="39" t="n">
        <f aca="false">IF(F1345="BUY",S1345-J1345,J1345-S1345)</f>
        <v>-6.08999999999969</v>
      </c>
      <c r="W1345" s="6" t="n">
        <v>-30.45</v>
      </c>
      <c r="X1345" s="26" t="n">
        <f aca="false">IFERROR(W1345/N1345,0)</f>
        <v>-1.015</v>
      </c>
      <c r="Y1345" s="22" t="str">
        <f aca="false">IF(W1345&gt;0,"Win",IF(W1345&lt;0,"Loss","Flat"))</f>
        <v>Loss</v>
      </c>
      <c r="Z1345" s="24" t="n">
        <f aca="false">Summary!$C$5+SUM(W$2:W1345)</f>
        <v>3513.14</v>
      </c>
      <c r="AA1345" s="24" t="n">
        <f aca="false">MAX(AA1344,Z1345)</f>
        <v>5000</v>
      </c>
      <c r="AB1345" s="24" t="n">
        <f aca="false">AA1345-Z1345</f>
        <v>1486.86</v>
      </c>
      <c r="AC1345" s="23" t="n">
        <f aca="false">IFERROR(AB1345/AA1345,0)</f>
        <v>0.297372</v>
      </c>
      <c r="AD1345" s="22" t="s">
        <v>1582</v>
      </c>
    </row>
    <row r="1346" customFormat="false" ht="15" hidden="false" customHeight="false" outlineLevel="0" collapsed="false">
      <c r="A1346" s="22" t="n">
        <v>1345</v>
      </c>
      <c r="B1346" s="22" t="s">
        <v>159</v>
      </c>
      <c r="C1346" s="37" t="n">
        <v>45856.5056365741</v>
      </c>
      <c r="D1346" s="22" t="s">
        <v>206</v>
      </c>
      <c r="E1346" s="22" t="n">
        <v>12</v>
      </c>
      <c r="F1346" s="22" t="s">
        <v>181</v>
      </c>
      <c r="G1346" s="22" t="s">
        <v>243</v>
      </c>
      <c r="H1346" s="22" t="n">
        <v>0.05</v>
      </c>
      <c r="I1346" s="38" t="n">
        <v>3352.03</v>
      </c>
      <c r="J1346" s="38" t="n">
        <v>3352.03</v>
      </c>
      <c r="K1346" s="39" t="n">
        <f aca="false">IF(F1346="BUY",J1346-I1346,I1346-J1346)</f>
        <v>0</v>
      </c>
      <c r="L1346" s="38" t="n">
        <v>3346.03</v>
      </c>
      <c r="M1346" s="39" t="n">
        <f aca="false">ABS(I1346-L1346)</f>
        <v>6</v>
      </c>
      <c r="N1346" s="24" t="n">
        <f aca="false">M1346*H1346*Summary!$C$6</f>
        <v>30</v>
      </c>
      <c r="O1346" s="37" t="n">
        <v>45856.5066203704</v>
      </c>
      <c r="P1346" s="22" t="n">
        <f aca="false">ROUND((O1346-C1346)*86400,0)</f>
        <v>85</v>
      </c>
      <c r="Q1346" s="22" t="str">
        <f aca="false">IF(P1346&lt;10,"a) &lt;10s",IF(P1346&lt;60,"b) 10-60s",IF(P1346&lt;600,"c) 1-10min","d) &gt;10min")))</f>
        <v>c) 1-10min</v>
      </c>
      <c r="R1346" s="38" t="n">
        <v>3352.53</v>
      </c>
      <c r="S1346" s="38" t="n">
        <v>3352.53</v>
      </c>
      <c r="T1346" s="22" t="s">
        <v>189</v>
      </c>
      <c r="U1346" s="39" t="n">
        <f aca="false">IF(R1346="","",IF(F1346="BUY",R1346-S1346,S1346-R1346))</f>
        <v>0</v>
      </c>
      <c r="V1346" s="39" t="n">
        <f aca="false">IF(F1346="BUY",S1346-J1346,J1346-S1346)</f>
        <v>0.5</v>
      </c>
      <c r="W1346" s="6" t="n">
        <v>2.5</v>
      </c>
      <c r="X1346" s="26" t="n">
        <f aca="false">IFERROR(W1346/N1346,0)</f>
        <v>0.0833333333333333</v>
      </c>
      <c r="Y1346" s="22" t="str">
        <f aca="false">IF(W1346&gt;0,"Win",IF(W1346&lt;0,"Loss","Flat"))</f>
        <v>Win</v>
      </c>
      <c r="Z1346" s="24" t="n">
        <f aca="false">Summary!$C$5+SUM(W$2:W1346)</f>
        <v>3515.64</v>
      </c>
      <c r="AA1346" s="24" t="n">
        <f aca="false">MAX(AA1345,Z1346)</f>
        <v>5000</v>
      </c>
      <c r="AB1346" s="24" t="n">
        <f aca="false">AA1346-Z1346</f>
        <v>1484.36</v>
      </c>
      <c r="AC1346" s="23" t="n">
        <f aca="false">IFERROR(AB1346/AA1346,0)</f>
        <v>0.296872</v>
      </c>
      <c r="AD1346" s="22" t="s">
        <v>1583</v>
      </c>
    </row>
    <row r="1347" customFormat="false" ht="15" hidden="false" customHeight="false" outlineLevel="0" collapsed="false">
      <c r="A1347" s="22" t="n">
        <v>1346</v>
      </c>
      <c r="B1347" s="22" t="s">
        <v>159</v>
      </c>
      <c r="C1347" s="37" t="n">
        <v>45859.3407986111</v>
      </c>
      <c r="D1347" s="22" t="s">
        <v>202</v>
      </c>
      <c r="E1347" s="22" t="n">
        <v>8</v>
      </c>
      <c r="F1347" s="22" t="s">
        <v>181</v>
      </c>
      <c r="G1347" s="22" t="s">
        <v>243</v>
      </c>
      <c r="H1347" s="22" t="n">
        <v>0.05</v>
      </c>
      <c r="I1347" s="38" t="n">
        <v>3361.04</v>
      </c>
      <c r="J1347" s="38" t="n">
        <v>3361.07</v>
      </c>
      <c r="K1347" s="39" t="n">
        <f aca="false">IF(F1347="BUY",J1347-I1347,I1347-J1347)</f>
        <v>0.0300000000002001</v>
      </c>
      <c r="L1347" s="38" t="n">
        <v>3355.04</v>
      </c>
      <c r="M1347" s="39" t="n">
        <f aca="false">ABS(I1347-L1347)</f>
        <v>6</v>
      </c>
      <c r="N1347" s="24" t="n">
        <f aca="false">M1347*H1347*Summary!$C$6</f>
        <v>30</v>
      </c>
      <c r="O1347" s="37" t="n">
        <v>45859.698599537</v>
      </c>
      <c r="P1347" s="22" t="n">
        <f aca="false">ROUND((O1347-C1347)*86400,0)</f>
        <v>30914</v>
      </c>
      <c r="Q1347" s="22" t="str">
        <f aca="false">IF(P1347&lt;10,"a) &lt;10s",IF(P1347&lt;60,"b) 10-60s",IF(P1347&lt;600,"c) 1-10min","d) &gt;10min")))</f>
        <v>d) &gt;10min</v>
      </c>
      <c r="R1347" s="38"/>
      <c r="S1347" s="38" t="n">
        <v>3391.05</v>
      </c>
      <c r="T1347" s="22" t="s">
        <v>187</v>
      </c>
      <c r="U1347" s="39" t="str">
        <f aca="false">IF(R1347="","",IF(F1347="BUY",R1347-S1347,S1347-R1347))</f>
        <v/>
      </c>
      <c r="V1347" s="39" t="n">
        <f aca="false">IF(F1347="BUY",S1347-J1347,J1347-S1347)</f>
        <v>29.98</v>
      </c>
      <c r="W1347" s="6" t="n">
        <v>149.9</v>
      </c>
      <c r="X1347" s="26" t="n">
        <f aca="false">IFERROR(W1347/N1347,0)</f>
        <v>4.99666666666667</v>
      </c>
      <c r="Y1347" s="22" t="str">
        <f aca="false">IF(W1347&gt;0,"Win",IF(W1347&lt;0,"Loss","Flat"))</f>
        <v>Win</v>
      </c>
      <c r="Z1347" s="24" t="n">
        <f aca="false">Summary!$C$5+SUM(W$2:W1347)</f>
        <v>3665.54</v>
      </c>
      <c r="AA1347" s="24" t="n">
        <f aca="false">MAX(AA1346,Z1347)</f>
        <v>5000</v>
      </c>
      <c r="AB1347" s="24" t="n">
        <f aca="false">AA1347-Z1347</f>
        <v>1334.46</v>
      </c>
      <c r="AC1347" s="23" t="n">
        <f aca="false">IFERROR(AB1347/AA1347,0)</f>
        <v>0.266892</v>
      </c>
      <c r="AD1347" s="22" t="s">
        <v>1584</v>
      </c>
    </row>
    <row r="1348" customFormat="false" ht="15" hidden="false" customHeight="false" outlineLevel="0" collapsed="false">
      <c r="A1348" s="22" t="n">
        <v>1347</v>
      </c>
      <c r="B1348" s="22" t="s">
        <v>159</v>
      </c>
      <c r="C1348" s="37" t="n">
        <v>45860.0682060185</v>
      </c>
      <c r="D1348" s="22" t="s">
        <v>203</v>
      </c>
      <c r="E1348" s="22" t="n">
        <v>1</v>
      </c>
      <c r="F1348" s="22" t="s">
        <v>181</v>
      </c>
      <c r="G1348" s="22" t="s">
        <v>243</v>
      </c>
      <c r="H1348" s="22" t="n">
        <v>0.06</v>
      </c>
      <c r="I1348" s="38" t="n">
        <v>3401.34</v>
      </c>
      <c r="J1348" s="38" t="n">
        <v>3401.47</v>
      </c>
      <c r="K1348" s="39" t="n">
        <f aca="false">IF(F1348="BUY",J1348-I1348,I1348-J1348)</f>
        <v>0.129999999999654</v>
      </c>
      <c r="L1348" s="38" t="n">
        <v>3395.34</v>
      </c>
      <c r="M1348" s="39" t="n">
        <f aca="false">ABS(I1348-L1348)</f>
        <v>6</v>
      </c>
      <c r="N1348" s="24" t="n">
        <f aca="false">M1348*H1348*Summary!$C$6</f>
        <v>36</v>
      </c>
      <c r="O1348" s="37" t="n">
        <v>45860.1090046296</v>
      </c>
      <c r="P1348" s="22" t="n">
        <f aca="false">ROUND((O1348-C1348)*86400,0)</f>
        <v>3525</v>
      </c>
      <c r="Q1348" s="22" t="str">
        <f aca="false">IF(P1348&lt;10,"a) &lt;10s",IF(P1348&lt;60,"b) 10-60s",IF(P1348&lt;600,"c) 1-10min","d) &gt;10min")))</f>
        <v>d) &gt;10min</v>
      </c>
      <c r="R1348" s="38" t="n">
        <v>3395.34</v>
      </c>
      <c r="S1348" s="38" t="n">
        <v>3395.33</v>
      </c>
      <c r="T1348" s="22" t="s">
        <v>188</v>
      </c>
      <c r="U1348" s="39" t="n">
        <f aca="false">IF(R1348="","",IF(F1348="BUY",R1348-S1348,S1348-R1348))</f>
        <v>0.0100000000002183</v>
      </c>
      <c r="V1348" s="39" t="n">
        <f aca="false">IF(F1348="BUY",S1348-J1348,J1348-S1348)</f>
        <v>-6.13999999999987</v>
      </c>
      <c r="W1348" s="6" t="n">
        <v>-36.84</v>
      </c>
      <c r="X1348" s="26" t="n">
        <f aca="false">IFERROR(W1348/N1348,0)</f>
        <v>-1.02333333333333</v>
      </c>
      <c r="Y1348" s="22" t="str">
        <f aca="false">IF(W1348&gt;0,"Win",IF(W1348&lt;0,"Loss","Flat"))</f>
        <v>Loss</v>
      </c>
      <c r="Z1348" s="24" t="n">
        <f aca="false">Summary!$C$5+SUM(W$2:W1348)</f>
        <v>3628.7</v>
      </c>
      <c r="AA1348" s="24" t="n">
        <f aca="false">MAX(AA1347,Z1348)</f>
        <v>5000</v>
      </c>
      <c r="AB1348" s="24" t="n">
        <f aca="false">AA1348-Z1348</f>
        <v>1371.3</v>
      </c>
      <c r="AC1348" s="23" t="n">
        <f aca="false">IFERROR(AB1348/AA1348,0)</f>
        <v>0.27426</v>
      </c>
      <c r="AD1348" s="22" t="s">
        <v>1585</v>
      </c>
    </row>
    <row r="1349" customFormat="false" ht="15" hidden="false" customHeight="false" outlineLevel="0" collapsed="false">
      <c r="A1349" s="22" t="n">
        <v>1348</v>
      </c>
      <c r="B1349" s="22" t="s">
        <v>159</v>
      </c>
      <c r="C1349" s="37" t="n">
        <v>45860.3757638889</v>
      </c>
      <c r="D1349" s="22" t="s">
        <v>203</v>
      </c>
      <c r="E1349" s="22" t="n">
        <v>9</v>
      </c>
      <c r="F1349" s="22" t="s">
        <v>182</v>
      </c>
      <c r="G1349" s="22" t="s">
        <v>241</v>
      </c>
      <c r="H1349" s="22" t="n">
        <v>0.06</v>
      </c>
      <c r="I1349" s="38" t="n">
        <v>3384.5</v>
      </c>
      <c r="J1349" s="38" t="n">
        <v>3384.4</v>
      </c>
      <c r="K1349" s="39" t="n">
        <f aca="false">IF(F1349="BUY",J1349-I1349,I1349-J1349)</f>
        <v>0.0999999999999091</v>
      </c>
      <c r="L1349" s="38" t="n">
        <v>3390.5</v>
      </c>
      <c r="M1349" s="39" t="n">
        <f aca="false">ABS(I1349-L1349)</f>
        <v>6</v>
      </c>
      <c r="N1349" s="24" t="n">
        <f aca="false">M1349*H1349*Summary!$C$6</f>
        <v>36</v>
      </c>
      <c r="O1349" s="37" t="n">
        <v>45860.4942361111</v>
      </c>
      <c r="P1349" s="22" t="n">
        <f aca="false">ROUND((O1349-C1349)*86400,0)</f>
        <v>10236</v>
      </c>
      <c r="Q1349" s="22" t="str">
        <f aca="false">IF(P1349&lt;10,"a) &lt;10s",IF(P1349&lt;60,"b) 10-60s",IF(P1349&lt;600,"c) 1-10min","d) &gt;10min")))</f>
        <v>d) &gt;10min</v>
      </c>
      <c r="R1349" s="38" t="n">
        <v>3390.5</v>
      </c>
      <c r="S1349" s="38" t="n">
        <v>3390.53</v>
      </c>
      <c r="T1349" s="22" t="s">
        <v>188</v>
      </c>
      <c r="U1349" s="39" t="n">
        <f aca="false">IF(R1349="","",IF(F1349="BUY",R1349-S1349,S1349-R1349))</f>
        <v>0.0300000000002001</v>
      </c>
      <c r="V1349" s="39" t="n">
        <f aca="false">IF(F1349="BUY",S1349-J1349,J1349-S1349)</f>
        <v>-6.13000000000011</v>
      </c>
      <c r="W1349" s="6" t="n">
        <v>-36.78</v>
      </c>
      <c r="X1349" s="26" t="n">
        <f aca="false">IFERROR(W1349/N1349,0)</f>
        <v>-1.02166666666667</v>
      </c>
      <c r="Y1349" s="22" t="str">
        <f aca="false">IF(W1349&gt;0,"Win",IF(W1349&lt;0,"Loss","Flat"))</f>
        <v>Loss</v>
      </c>
      <c r="Z1349" s="24" t="n">
        <f aca="false">Summary!$C$5+SUM(W$2:W1349)</f>
        <v>3591.92</v>
      </c>
      <c r="AA1349" s="24" t="n">
        <f aca="false">MAX(AA1348,Z1349)</f>
        <v>5000</v>
      </c>
      <c r="AB1349" s="24" t="n">
        <f aca="false">AA1349-Z1349</f>
        <v>1408.08</v>
      </c>
      <c r="AC1349" s="23" t="n">
        <f aca="false">IFERROR(AB1349/AA1349,0)</f>
        <v>0.281616</v>
      </c>
      <c r="AD1349" s="22" t="s">
        <v>1586</v>
      </c>
    </row>
    <row r="1350" customFormat="false" ht="15" hidden="false" customHeight="false" outlineLevel="0" collapsed="false">
      <c r="A1350" s="22" t="n">
        <v>1349</v>
      </c>
      <c r="B1350" s="22" t="s">
        <v>159</v>
      </c>
      <c r="C1350" s="37" t="n">
        <v>45861.0928587963</v>
      </c>
      <c r="D1350" s="22" t="s">
        <v>204</v>
      </c>
      <c r="E1350" s="22" t="n">
        <v>2</v>
      </c>
      <c r="F1350" s="22" t="s">
        <v>181</v>
      </c>
      <c r="G1350" s="22" t="s">
        <v>243</v>
      </c>
      <c r="H1350" s="22" t="n">
        <v>0.05</v>
      </c>
      <c r="I1350" s="38" t="n">
        <v>3433.28</v>
      </c>
      <c r="J1350" s="38" t="n">
        <v>3433.3</v>
      </c>
      <c r="K1350" s="39" t="n">
        <f aca="false">IF(F1350="BUY",J1350-I1350,I1350-J1350)</f>
        <v>0.0199999999999818</v>
      </c>
      <c r="L1350" s="38" t="n">
        <v>3427.28</v>
      </c>
      <c r="M1350" s="39" t="n">
        <f aca="false">ABS(I1350-L1350)</f>
        <v>6</v>
      </c>
      <c r="N1350" s="24" t="n">
        <f aca="false">M1350*H1350*Summary!$C$6</f>
        <v>30</v>
      </c>
      <c r="O1350" s="37" t="n">
        <v>45861.1161226852</v>
      </c>
      <c r="P1350" s="22" t="n">
        <f aca="false">ROUND((O1350-C1350)*86400,0)</f>
        <v>2010</v>
      </c>
      <c r="Q1350" s="22" t="str">
        <f aca="false">IF(P1350&lt;10,"a) &lt;10s",IF(P1350&lt;60,"b) 10-60s",IF(P1350&lt;600,"c) 1-10min","d) &gt;10min")))</f>
        <v>d) &gt;10min</v>
      </c>
      <c r="R1350" s="38" t="n">
        <v>3427.28</v>
      </c>
      <c r="S1350" s="38" t="n">
        <v>3427.18</v>
      </c>
      <c r="T1350" s="22" t="s">
        <v>188</v>
      </c>
      <c r="U1350" s="39" t="n">
        <f aca="false">IF(R1350="","",IF(F1350="BUY",R1350-S1350,S1350-R1350))</f>
        <v>0.100000000000364</v>
      </c>
      <c r="V1350" s="39" t="n">
        <f aca="false">IF(F1350="BUY",S1350-J1350,J1350-S1350)</f>
        <v>-6.12000000000035</v>
      </c>
      <c r="W1350" s="6" t="n">
        <v>-30.6</v>
      </c>
      <c r="X1350" s="26" t="n">
        <f aca="false">IFERROR(W1350/N1350,0)</f>
        <v>-1.02</v>
      </c>
      <c r="Y1350" s="22" t="str">
        <f aca="false">IF(W1350&gt;0,"Win",IF(W1350&lt;0,"Loss","Flat"))</f>
        <v>Loss</v>
      </c>
      <c r="Z1350" s="24" t="n">
        <f aca="false">Summary!$C$5+SUM(W$2:W1350)</f>
        <v>3561.32</v>
      </c>
      <c r="AA1350" s="24" t="n">
        <f aca="false">MAX(AA1349,Z1350)</f>
        <v>5000</v>
      </c>
      <c r="AB1350" s="24" t="n">
        <f aca="false">AA1350-Z1350</f>
        <v>1438.68</v>
      </c>
      <c r="AC1350" s="23" t="n">
        <f aca="false">IFERROR(AB1350/AA1350,0)</f>
        <v>0.287736</v>
      </c>
      <c r="AD1350" s="22" t="s">
        <v>1587</v>
      </c>
    </row>
    <row r="1351" customFormat="false" ht="15" hidden="false" customHeight="false" outlineLevel="0" collapsed="false">
      <c r="A1351" s="22" t="n">
        <v>1350</v>
      </c>
      <c r="B1351" s="22" t="s">
        <v>159</v>
      </c>
      <c r="C1351" s="37" t="n">
        <v>45861.4082291667</v>
      </c>
      <c r="D1351" s="22" t="s">
        <v>204</v>
      </c>
      <c r="E1351" s="22" t="n">
        <v>9</v>
      </c>
      <c r="F1351" s="22" t="s">
        <v>181</v>
      </c>
      <c r="G1351" s="22" t="s">
        <v>235</v>
      </c>
      <c r="H1351" s="22" t="n">
        <v>0.05</v>
      </c>
      <c r="I1351" s="38" t="n">
        <v>3425.06</v>
      </c>
      <c r="J1351" s="38" t="n">
        <v>3425.12</v>
      </c>
      <c r="K1351" s="39" t="n">
        <f aca="false">IF(F1351="BUY",J1351-I1351,I1351-J1351)</f>
        <v>0.0599999999999454</v>
      </c>
      <c r="L1351" s="38" t="n">
        <v>3419.06</v>
      </c>
      <c r="M1351" s="39" t="n">
        <f aca="false">ABS(I1351-L1351)</f>
        <v>6</v>
      </c>
      <c r="N1351" s="24" t="n">
        <f aca="false">M1351*H1351*Summary!$C$6</f>
        <v>30</v>
      </c>
      <c r="O1351" s="37" t="n">
        <v>45861.4388425926</v>
      </c>
      <c r="P1351" s="22" t="n">
        <f aca="false">ROUND((O1351-C1351)*86400,0)</f>
        <v>2645</v>
      </c>
      <c r="Q1351" s="22" t="str">
        <f aca="false">IF(P1351&lt;10,"a) &lt;10s",IF(P1351&lt;60,"b) 10-60s",IF(P1351&lt;600,"c) 1-10min","d) &gt;10min")))</f>
        <v>d) &gt;10min</v>
      </c>
      <c r="R1351" s="38" t="n">
        <v>3425.62</v>
      </c>
      <c r="S1351" s="38" t="n">
        <v>3425.56</v>
      </c>
      <c r="T1351" s="22" t="s">
        <v>189</v>
      </c>
      <c r="U1351" s="39" t="n">
        <f aca="false">IF(R1351="","",IF(F1351="BUY",R1351-S1351,S1351-R1351))</f>
        <v>0.0599999999999454</v>
      </c>
      <c r="V1351" s="39" t="n">
        <f aca="false">IF(F1351="BUY",S1351-J1351,J1351-S1351)</f>
        <v>0.440000000000055</v>
      </c>
      <c r="W1351" s="6" t="n">
        <v>2.2</v>
      </c>
      <c r="X1351" s="26" t="n">
        <f aca="false">IFERROR(W1351/N1351,0)</f>
        <v>0.0733333333333333</v>
      </c>
      <c r="Y1351" s="22" t="str">
        <f aca="false">IF(W1351&gt;0,"Win",IF(W1351&lt;0,"Loss","Flat"))</f>
        <v>Win</v>
      </c>
      <c r="Z1351" s="24" t="n">
        <f aca="false">Summary!$C$5+SUM(W$2:W1351)</f>
        <v>3563.52</v>
      </c>
      <c r="AA1351" s="24" t="n">
        <f aca="false">MAX(AA1350,Z1351)</f>
        <v>5000</v>
      </c>
      <c r="AB1351" s="24" t="n">
        <f aca="false">AA1351-Z1351</f>
        <v>1436.48</v>
      </c>
      <c r="AC1351" s="23" t="n">
        <f aca="false">IFERROR(AB1351/AA1351,0)</f>
        <v>0.287296</v>
      </c>
      <c r="AD1351" s="22" t="s">
        <v>1588</v>
      </c>
    </row>
    <row r="1352" customFormat="false" ht="15" hidden="false" customHeight="false" outlineLevel="0" collapsed="false">
      <c r="A1352" s="22" t="n">
        <v>1351</v>
      </c>
      <c r="B1352" s="22" t="s">
        <v>159</v>
      </c>
      <c r="C1352" s="37" t="n">
        <v>45862.2174884259</v>
      </c>
      <c r="D1352" s="22" t="s">
        <v>205</v>
      </c>
      <c r="E1352" s="22" t="n">
        <v>5</v>
      </c>
      <c r="F1352" s="22" t="s">
        <v>182</v>
      </c>
      <c r="G1352" s="22" t="s">
        <v>237</v>
      </c>
      <c r="H1352" s="22" t="n">
        <v>0.05</v>
      </c>
      <c r="I1352" s="38" t="n">
        <v>3381.22</v>
      </c>
      <c r="J1352" s="38" t="n">
        <v>3381.02</v>
      </c>
      <c r="K1352" s="39" t="n">
        <f aca="false">IF(F1352="BUY",J1352-I1352,I1352-J1352)</f>
        <v>0.199999999999818</v>
      </c>
      <c r="L1352" s="38" t="n">
        <v>3387.22</v>
      </c>
      <c r="M1352" s="39" t="n">
        <f aca="false">ABS(I1352-L1352)</f>
        <v>6</v>
      </c>
      <c r="N1352" s="24" t="n">
        <f aca="false">M1352*H1352*Summary!$C$6</f>
        <v>30</v>
      </c>
      <c r="O1352" s="37" t="n">
        <v>45862.2220023148</v>
      </c>
      <c r="P1352" s="22" t="n">
        <f aca="false">ROUND((O1352-C1352)*86400,0)</f>
        <v>390</v>
      </c>
      <c r="Q1352" s="22" t="str">
        <f aca="false">IF(P1352&lt;10,"a) &lt;10s",IF(P1352&lt;60,"b) 10-60s",IF(P1352&lt;600,"c) 1-10min","d) &gt;10min")))</f>
        <v>c) 1-10min</v>
      </c>
      <c r="R1352" s="38" t="n">
        <v>3387.22</v>
      </c>
      <c r="S1352" s="38" t="n">
        <v>3387.25</v>
      </c>
      <c r="T1352" s="22" t="s">
        <v>188</v>
      </c>
      <c r="U1352" s="39" t="n">
        <f aca="false">IF(R1352="","",IF(F1352="BUY",R1352-S1352,S1352-R1352))</f>
        <v>0.0300000000002001</v>
      </c>
      <c r="V1352" s="39" t="n">
        <f aca="false">IF(F1352="BUY",S1352-J1352,J1352-S1352)</f>
        <v>-6.23000000000002</v>
      </c>
      <c r="W1352" s="6" t="n">
        <v>-31.15</v>
      </c>
      <c r="X1352" s="26" t="n">
        <f aca="false">IFERROR(W1352/N1352,0)</f>
        <v>-1.03833333333333</v>
      </c>
      <c r="Y1352" s="22" t="str">
        <f aca="false">IF(W1352&gt;0,"Win",IF(W1352&lt;0,"Loss","Flat"))</f>
        <v>Loss</v>
      </c>
      <c r="Z1352" s="24" t="n">
        <f aca="false">Summary!$C$5+SUM(W$2:W1352)</f>
        <v>3532.37</v>
      </c>
      <c r="AA1352" s="24" t="n">
        <f aca="false">MAX(AA1351,Z1352)</f>
        <v>5000</v>
      </c>
      <c r="AB1352" s="24" t="n">
        <f aca="false">AA1352-Z1352</f>
        <v>1467.63</v>
      </c>
      <c r="AC1352" s="23" t="n">
        <f aca="false">IFERROR(AB1352/AA1352,0)</f>
        <v>0.293526</v>
      </c>
      <c r="AD1352" s="22" t="s">
        <v>1589</v>
      </c>
    </row>
    <row r="1353" customFormat="false" ht="15" hidden="false" customHeight="false" outlineLevel="0" collapsed="false">
      <c r="A1353" s="22" t="n">
        <v>1352</v>
      </c>
      <c r="B1353" s="22" t="s">
        <v>159</v>
      </c>
      <c r="C1353" s="37" t="n">
        <v>45862.3857523148</v>
      </c>
      <c r="D1353" s="22" t="s">
        <v>205</v>
      </c>
      <c r="E1353" s="22" t="n">
        <v>9</v>
      </c>
      <c r="F1353" s="22" t="s">
        <v>182</v>
      </c>
      <c r="G1353" s="22" t="s">
        <v>241</v>
      </c>
      <c r="H1353" s="22" t="n">
        <v>0.05</v>
      </c>
      <c r="I1353" s="38" t="n">
        <v>3374.22</v>
      </c>
      <c r="J1353" s="38" t="n">
        <v>3374.16</v>
      </c>
      <c r="K1353" s="39" t="n">
        <f aca="false">IF(F1353="BUY",J1353-I1353,I1353-J1353)</f>
        <v>0.0599999999999454</v>
      </c>
      <c r="L1353" s="38" t="n">
        <v>3380.22</v>
      </c>
      <c r="M1353" s="39" t="n">
        <f aca="false">ABS(I1353-L1353)</f>
        <v>6</v>
      </c>
      <c r="N1353" s="24" t="n">
        <f aca="false">M1353*H1353*Summary!$C$6</f>
        <v>30</v>
      </c>
      <c r="O1353" s="37" t="n">
        <v>45862.3972685185</v>
      </c>
      <c r="P1353" s="22" t="n">
        <f aca="false">ROUND((O1353-C1353)*86400,0)</f>
        <v>995</v>
      </c>
      <c r="Q1353" s="22" t="str">
        <f aca="false">IF(P1353&lt;10,"a) &lt;10s",IF(P1353&lt;60,"b) 10-60s",IF(P1353&lt;600,"c) 1-10min","d) &gt;10min")))</f>
        <v>d) &gt;10min</v>
      </c>
      <c r="R1353" s="38" t="n">
        <v>3373.66</v>
      </c>
      <c r="S1353" s="38" t="n">
        <v>3373.73</v>
      </c>
      <c r="T1353" s="22" t="s">
        <v>189</v>
      </c>
      <c r="U1353" s="39" t="n">
        <f aca="false">IF(R1353="","",IF(F1353="BUY",R1353-S1353,S1353-R1353))</f>
        <v>0.0700000000001637</v>
      </c>
      <c r="V1353" s="39" t="n">
        <f aca="false">IF(F1353="BUY",S1353-J1353,J1353-S1353)</f>
        <v>0.429999999999836</v>
      </c>
      <c r="W1353" s="6" t="n">
        <v>2.15</v>
      </c>
      <c r="X1353" s="26" t="n">
        <f aca="false">IFERROR(W1353/N1353,0)</f>
        <v>0.0716666666666667</v>
      </c>
      <c r="Y1353" s="22" t="str">
        <f aca="false">IF(W1353&gt;0,"Win",IF(W1353&lt;0,"Loss","Flat"))</f>
        <v>Win</v>
      </c>
      <c r="Z1353" s="24" t="n">
        <f aca="false">Summary!$C$5+SUM(W$2:W1353)</f>
        <v>3534.52</v>
      </c>
      <c r="AA1353" s="24" t="n">
        <f aca="false">MAX(AA1352,Z1353)</f>
        <v>5000</v>
      </c>
      <c r="AB1353" s="24" t="n">
        <f aca="false">AA1353-Z1353</f>
        <v>1465.48</v>
      </c>
      <c r="AC1353" s="23" t="n">
        <f aca="false">IFERROR(AB1353/AA1353,0)</f>
        <v>0.293096</v>
      </c>
      <c r="AD1353" s="22" t="s">
        <v>1590</v>
      </c>
    </row>
    <row r="1354" customFormat="false" ht="15" hidden="false" customHeight="false" outlineLevel="0" collapsed="false">
      <c r="A1354" s="22" t="n">
        <v>1353</v>
      </c>
      <c r="B1354" s="22" t="s">
        <v>159</v>
      </c>
      <c r="C1354" s="37" t="n">
        <v>45863.3820601852</v>
      </c>
      <c r="D1354" s="22" t="s">
        <v>206</v>
      </c>
      <c r="E1354" s="22" t="n">
        <v>9</v>
      </c>
      <c r="F1354" s="22" t="s">
        <v>182</v>
      </c>
      <c r="G1354" s="22" t="s">
        <v>241</v>
      </c>
      <c r="H1354" s="22" t="n">
        <v>0.05</v>
      </c>
      <c r="I1354" s="38" t="n">
        <v>3355.09</v>
      </c>
      <c r="J1354" s="38" t="n">
        <v>3355.05</v>
      </c>
      <c r="K1354" s="39" t="n">
        <f aca="false">IF(F1354="BUY",J1354-I1354,I1354-J1354)</f>
        <v>0.0399999999999636</v>
      </c>
      <c r="L1354" s="38" t="n">
        <v>3361.09</v>
      </c>
      <c r="M1354" s="39" t="n">
        <f aca="false">ABS(I1354-L1354)</f>
        <v>6</v>
      </c>
      <c r="N1354" s="24" t="n">
        <f aca="false">M1354*H1354*Summary!$C$6</f>
        <v>30</v>
      </c>
      <c r="O1354" s="37" t="n">
        <v>45863.9270833333</v>
      </c>
      <c r="P1354" s="22" t="n">
        <f aca="false">ROUND((O1354-C1354)*86400,0)</f>
        <v>47090</v>
      </c>
      <c r="Q1354" s="22" t="str">
        <f aca="false">IF(P1354&lt;10,"a) &lt;10s",IF(P1354&lt;60,"b) 10-60s",IF(P1354&lt;600,"c) 1-10min","d) &gt;10min")))</f>
        <v>d) &gt;10min</v>
      </c>
      <c r="R1354" s="38"/>
      <c r="S1354" s="38" t="n">
        <v>3340.45</v>
      </c>
      <c r="T1354" s="22" t="s">
        <v>191</v>
      </c>
      <c r="U1354" s="39" t="str">
        <f aca="false">IF(R1354="","",IF(F1354="BUY",R1354-S1354,S1354-R1354))</f>
        <v/>
      </c>
      <c r="V1354" s="39" t="n">
        <f aca="false">IF(F1354="BUY",S1354-J1354,J1354-S1354)</f>
        <v>14.6000000000004</v>
      </c>
      <c r="W1354" s="6" t="n">
        <v>73</v>
      </c>
      <c r="X1354" s="26" t="n">
        <f aca="false">IFERROR(W1354/N1354,0)</f>
        <v>2.43333333333333</v>
      </c>
      <c r="Y1354" s="22" t="str">
        <f aca="false">IF(W1354&gt;0,"Win",IF(W1354&lt;0,"Loss","Flat"))</f>
        <v>Win</v>
      </c>
      <c r="Z1354" s="24" t="n">
        <f aca="false">Summary!$C$5+SUM(W$2:W1354)</f>
        <v>3607.52</v>
      </c>
      <c r="AA1354" s="24" t="n">
        <f aca="false">MAX(AA1353,Z1354)</f>
        <v>5000</v>
      </c>
      <c r="AB1354" s="24" t="n">
        <f aca="false">AA1354-Z1354</f>
        <v>1392.48</v>
      </c>
      <c r="AC1354" s="23" t="n">
        <f aca="false">IFERROR(AB1354/AA1354,0)</f>
        <v>0.278496</v>
      </c>
      <c r="AD1354" s="22" t="s">
        <v>1591</v>
      </c>
    </row>
    <row r="1355" customFormat="false" ht="15" hidden="false" customHeight="false" outlineLevel="0" collapsed="false">
      <c r="A1355" s="22" t="n">
        <v>1354</v>
      </c>
      <c r="B1355" s="22" t="s">
        <v>159</v>
      </c>
      <c r="C1355" s="37" t="n">
        <v>45866.375150463</v>
      </c>
      <c r="D1355" s="22" t="s">
        <v>202</v>
      </c>
      <c r="E1355" s="22" t="n">
        <v>9</v>
      </c>
      <c r="F1355" s="22" t="s">
        <v>181</v>
      </c>
      <c r="G1355" s="22" t="s">
        <v>235</v>
      </c>
      <c r="H1355" s="22" t="n">
        <v>0.06</v>
      </c>
      <c r="I1355" s="38" t="n">
        <v>3343.9</v>
      </c>
      <c r="J1355" s="38" t="n">
        <v>3343.92</v>
      </c>
      <c r="K1355" s="39" t="n">
        <f aca="false">IF(F1355="BUY",J1355-I1355,I1355-J1355)</f>
        <v>0.0199999999999818</v>
      </c>
      <c r="L1355" s="38" t="n">
        <v>3337.9</v>
      </c>
      <c r="M1355" s="39" t="n">
        <f aca="false">ABS(I1355-L1355)</f>
        <v>6</v>
      </c>
      <c r="N1355" s="24" t="n">
        <f aca="false">M1355*H1355*Summary!$C$6</f>
        <v>36</v>
      </c>
      <c r="O1355" s="37" t="n">
        <v>45866.3967476852</v>
      </c>
      <c r="P1355" s="22" t="n">
        <f aca="false">ROUND((O1355-C1355)*86400,0)</f>
        <v>1866</v>
      </c>
      <c r="Q1355" s="22" t="str">
        <f aca="false">IF(P1355&lt;10,"a) &lt;10s",IF(P1355&lt;60,"b) 10-60s",IF(P1355&lt;600,"c) 1-10min","d) &gt;10min")))</f>
        <v>d) &gt;10min</v>
      </c>
      <c r="R1355" s="38" t="n">
        <v>3337.9</v>
      </c>
      <c r="S1355" s="38" t="n">
        <v>3337.85</v>
      </c>
      <c r="T1355" s="22" t="s">
        <v>188</v>
      </c>
      <c r="U1355" s="39" t="n">
        <f aca="false">IF(R1355="","",IF(F1355="BUY",R1355-S1355,S1355-R1355))</f>
        <v>0.0500000000001819</v>
      </c>
      <c r="V1355" s="39" t="n">
        <f aca="false">IF(F1355="BUY",S1355-J1355,J1355-S1355)</f>
        <v>-6.07000000000016</v>
      </c>
      <c r="W1355" s="6" t="n">
        <v>-36.42</v>
      </c>
      <c r="X1355" s="26" t="n">
        <f aca="false">IFERROR(W1355/N1355,0)</f>
        <v>-1.01166666666667</v>
      </c>
      <c r="Y1355" s="22" t="str">
        <f aca="false">IF(W1355&gt;0,"Win",IF(W1355&lt;0,"Loss","Flat"))</f>
        <v>Loss</v>
      </c>
      <c r="Z1355" s="24" t="n">
        <f aca="false">Summary!$C$5+SUM(W$2:W1355)</f>
        <v>3571.1</v>
      </c>
      <c r="AA1355" s="24" t="n">
        <f aca="false">MAX(AA1354,Z1355)</f>
        <v>5000</v>
      </c>
      <c r="AB1355" s="24" t="n">
        <f aca="false">AA1355-Z1355</f>
        <v>1428.9</v>
      </c>
      <c r="AC1355" s="23" t="n">
        <f aca="false">IFERROR(AB1355/AA1355,0)</f>
        <v>0.28578</v>
      </c>
      <c r="AD1355" s="22" t="s">
        <v>1592</v>
      </c>
    </row>
    <row r="1356" customFormat="false" ht="15" hidden="false" customHeight="false" outlineLevel="0" collapsed="false">
      <c r="A1356" s="22" t="n">
        <v>1355</v>
      </c>
      <c r="B1356" s="22" t="s">
        <v>159</v>
      </c>
      <c r="C1356" s="37" t="n">
        <v>45868.1608796296</v>
      </c>
      <c r="D1356" s="22" t="s">
        <v>204</v>
      </c>
      <c r="E1356" s="22" t="n">
        <v>3</v>
      </c>
      <c r="F1356" s="22" t="s">
        <v>181</v>
      </c>
      <c r="G1356" s="22" t="s">
        <v>243</v>
      </c>
      <c r="H1356" s="22" t="n">
        <v>0.05</v>
      </c>
      <c r="I1356" s="38" t="n">
        <v>3333.91</v>
      </c>
      <c r="J1356" s="38" t="n">
        <v>3333.91</v>
      </c>
      <c r="K1356" s="39" t="n">
        <f aca="false">IF(F1356="BUY",J1356-I1356,I1356-J1356)</f>
        <v>0</v>
      </c>
      <c r="L1356" s="38" t="n">
        <v>3327.91</v>
      </c>
      <c r="M1356" s="39" t="n">
        <f aca="false">ABS(I1356-L1356)</f>
        <v>6</v>
      </c>
      <c r="N1356" s="24" t="n">
        <f aca="false">M1356*H1356*Summary!$C$6</f>
        <v>30</v>
      </c>
      <c r="O1356" s="37" t="n">
        <v>45868.1700810185</v>
      </c>
      <c r="P1356" s="22" t="n">
        <f aca="false">ROUND((O1356-C1356)*86400,0)</f>
        <v>795</v>
      </c>
      <c r="Q1356" s="22" t="str">
        <f aca="false">IF(P1356&lt;10,"a) &lt;10s",IF(P1356&lt;60,"b) 10-60s",IF(P1356&lt;600,"c) 1-10min","d) &gt;10min")))</f>
        <v>d) &gt;10min</v>
      </c>
      <c r="R1356" s="38" t="n">
        <v>3327.91</v>
      </c>
      <c r="S1356" s="38" t="n">
        <v>3327.91</v>
      </c>
      <c r="T1356" s="22" t="s">
        <v>188</v>
      </c>
      <c r="U1356" s="39" t="n">
        <f aca="false">IF(R1356="","",IF(F1356="BUY",R1356-S1356,S1356-R1356))</f>
        <v>0</v>
      </c>
      <c r="V1356" s="39" t="n">
        <f aca="false">IF(F1356="BUY",S1356-J1356,J1356-S1356)</f>
        <v>-6</v>
      </c>
      <c r="W1356" s="6" t="n">
        <v>-30</v>
      </c>
      <c r="X1356" s="26" t="n">
        <f aca="false">IFERROR(W1356/N1356,0)</f>
        <v>-1</v>
      </c>
      <c r="Y1356" s="22" t="str">
        <f aca="false">IF(W1356&gt;0,"Win",IF(W1356&lt;0,"Loss","Flat"))</f>
        <v>Loss</v>
      </c>
      <c r="Z1356" s="24" t="n">
        <f aca="false">Summary!$C$5+SUM(W$2:W1356)</f>
        <v>3541.1</v>
      </c>
      <c r="AA1356" s="24" t="n">
        <f aca="false">MAX(AA1355,Z1356)</f>
        <v>5000</v>
      </c>
      <c r="AB1356" s="24" t="n">
        <f aca="false">AA1356-Z1356</f>
        <v>1458.9</v>
      </c>
      <c r="AC1356" s="23" t="n">
        <f aca="false">IFERROR(AB1356/AA1356,0)</f>
        <v>0.29178</v>
      </c>
      <c r="AD1356" s="22" t="s">
        <v>1593</v>
      </c>
    </row>
    <row r="1357" customFormat="false" ht="15" hidden="false" customHeight="false" outlineLevel="0" collapsed="false">
      <c r="A1357" s="22" t="n">
        <v>1356</v>
      </c>
      <c r="B1357" s="22" t="s">
        <v>159</v>
      </c>
      <c r="C1357" s="37" t="n">
        <v>45868.3751388889</v>
      </c>
      <c r="D1357" s="22" t="s">
        <v>204</v>
      </c>
      <c r="E1357" s="22" t="n">
        <v>9</v>
      </c>
      <c r="F1357" s="22" t="s">
        <v>182</v>
      </c>
      <c r="G1357" s="22" t="s">
        <v>241</v>
      </c>
      <c r="H1357" s="22" t="n">
        <v>0.05</v>
      </c>
      <c r="I1357" s="38" t="n">
        <v>3324.17</v>
      </c>
      <c r="J1357" s="38" t="n">
        <v>3324.13</v>
      </c>
      <c r="K1357" s="39" t="n">
        <f aca="false">IF(F1357="BUY",J1357-I1357,I1357-J1357)</f>
        <v>0.0399999999999636</v>
      </c>
      <c r="L1357" s="38" t="n">
        <v>3330.17</v>
      </c>
      <c r="M1357" s="39" t="n">
        <f aca="false">ABS(I1357-L1357)</f>
        <v>6</v>
      </c>
      <c r="N1357" s="24" t="n">
        <f aca="false">M1357*H1357*Summary!$C$6</f>
        <v>30</v>
      </c>
      <c r="O1357" s="37" t="n">
        <v>45868.4203935185</v>
      </c>
      <c r="P1357" s="22" t="n">
        <f aca="false">ROUND((O1357-C1357)*86400,0)</f>
        <v>3910</v>
      </c>
      <c r="Q1357" s="22" t="str">
        <f aca="false">IF(P1357&lt;10,"a) &lt;10s",IF(P1357&lt;60,"b) 10-60s",IF(P1357&lt;600,"c) 1-10min","d) &gt;10min")))</f>
        <v>d) &gt;10min</v>
      </c>
      <c r="R1357" s="38" t="n">
        <v>3330.17</v>
      </c>
      <c r="S1357" s="38" t="n">
        <v>3330.2</v>
      </c>
      <c r="T1357" s="22" t="s">
        <v>188</v>
      </c>
      <c r="U1357" s="39" t="n">
        <f aca="false">IF(R1357="","",IF(F1357="BUY",R1357-S1357,S1357-R1357))</f>
        <v>0.0299999999997453</v>
      </c>
      <c r="V1357" s="39" t="n">
        <f aca="false">IF(F1357="BUY",S1357-J1357,J1357-S1357)</f>
        <v>-6.06999999999971</v>
      </c>
      <c r="W1357" s="6" t="n">
        <v>-30.35</v>
      </c>
      <c r="X1357" s="26" t="n">
        <f aca="false">IFERROR(W1357/N1357,0)</f>
        <v>-1.01166666666667</v>
      </c>
      <c r="Y1357" s="22" t="str">
        <f aca="false">IF(W1357&gt;0,"Win",IF(W1357&lt;0,"Loss","Flat"))</f>
        <v>Loss</v>
      </c>
      <c r="Z1357" s="24" t="n">
        <f aca="false">Summary!$C$5+SUM(W$2:W1357)</f>
        <v>3510.75</v>
      </c>
      <c r="AA1357" s="24" t="n">
        <f aca="false">MAX(AA1356,Z1357)</f>
        <v>5000</v>
      </c>
      <c r="AB1357" s="24" t="n">
        <f aca="false">AA1357-Z1357</f>
        <v>1489.25</v>
      </c>
      <c r="AC1357" s="23" t="n">
        <f aca="false">IFERROR(AB1357/AA1357,0)</f>
        <v>0.29785</v>
      </c>
      <c r="AD1357" s="22" t="s">
        <v>1594</v>
      </c>
    </row>
    <row r="1358" customFormat="false" ht="15" hidden="false" customHeight="false" outlineLevel="0" collapsed="false">
      <c r="A1358" s="22" t="n">
        <v>1357</v>
      </c>
      <c r="B1358" s="22" t="s">
        <v>159</v>
      </c>
      <c r="C1358" s="37" t="n">
        <v>45869.3790972222</v>
      </c>
      <c r="D1358" s="22" t="s">
        <v>205</v>
      </c>
      <c r="E1358" s="22" t="n">
        <v>9</v>
      </c>
      <c r="F1358" s="22" t="s">
        <v>181</v>
      </c>
      <c r="G1358" s="22" t="s">
        <v>235</v>
      </c>
      <c r="H1358" s="22" t="n">
        <v>0.05</v>
      </c>
      <c r="I1358" s="38" t="n">
        <v>3301.39</v>
      </c>
      <c r="J1358" s="38" t="n">
        <v>3301.47</v>
      </c>
      <c r="K1358" s="39" t="n">
        <f aca="false">IF(F1358="BUY",J1358-I1358,I1358-J1358)</f>
        <v>0.0799999999999272</v>
      </c>
      <c r="L1358" s="38" t="n">
        <v>3295.39</v>
      </c>
      <c r="M1358" s="39" t="n">
        <f aca="false">ABS(I1358-L1358)</f>
        <v>6</v>
      </c>
      <c r="N1358" s="24" t="n">
        <f aca="false">M1358*H1358*Summary!$C$6</f>
        <v>30</v>
      </c>
      <c r="O1358" s="37" t="n">
        <v>45869.3833449074</v>
      </c>
      <c r="P1358" s="22" t="n">
        <f aca="false">ROUND((O1358-C1358)*86400,0)</f>
        <v>367</v>
      </c>
      <c r="Q1358" s="22" t="str">
        <f aca="false">IF(P1358&lt;10,"a) &lt;10s",IF(P1358&lt;60,"b) 10-60s",IF(P1358&lt;600,"c) 1-10min","d) &gt;10min")))</f>
        <v>c) 1-10min</v>
      </c>
      <c r="R1358" s="38" t="n">
        <v>3301.97</v>
      </c>
      <c r="S1358" s="38" t="n">
        <v>3301.96</v>
      </c>
      <c r="T1358" s="22" t="s">
        <v>189</v>
      </c>
      <c r="U1358" s="39" t="n">
        <f aca="false">IF(R1358="","",IF(F1358="BUY",R1358-S1358,S1358-R1358))</f>
        <v>0.00999999999976353</v>
      </c>
      <c r="V1358" s="39" t="n">
        <f aca="false">IF(F1358="BUY",S1358-J1358,J1358-S1358)</f>
        <v>0.490000000000236</v>
      </c>
      <c r="W1358" s="6" t="n">
        <v>2.45</v>
      </c>
      <c r="X1358" s="26" t="n">
        <f aca="false">IFERROR(W1358/N1358,0)</f>
        <v>0.0816666666666667</v>
      </c>
      <c r="Y1358" s="22" t="str">
        <f aca="false">IF(W1358&gt;0,"Win",IF(W1358&lt;0,"Loss","Flat"))</f>
        <v>Win</v>
      </c>
      <c r="Z1358" s="24" t="n">
        <f aca="false">Summary!$C$5+SUM(W$2:W1358)</f>
        <v>3513.2</v>
      </c>
      <c r="AA1358" s="24" t="n">
        <f aca="false">MAX(AA1357,Z1358)</f>
        <v>5000</v>
      </c>
      <c r="AB1358" s="24" t="n">
        <f aca="false">AA1358-Z1358</f>
        <v>1486.8</v>
      </c>
      <c r="AC1358" s="23" t="n">
        <f aca="false">IFERROR(AB1358/AA1358,0)</f>
        <v>0.29736</v>
      </c>
      <c r="AD1358" s="22" t="s">
        <v>1595</v>
      </c>
    </row>
    <row r="1359" customFormat="false" ht="15" hidden="false" customHeight="false" outlineLevel="0" collapsed="false">
      <c r="A1359" s="22" t="n">
        <v>1358</v>
      </c>
      <c r="B1359" s="22" t="s">
        <v>160</v>
      </c>
      <c r="C1359" s="37" t="n">
        <v>45870.4195833333</v>
      </c>
      <c r="D1359" s="22" t="s">
        <v>206</v>
      </c>
      <c r="E1359" s="22" t="n">
        <v>10</v>
      </c>
      <c r="F1359" s="22" t="s">
        <v>182</v>
      </c>
      <c r="G1359" s="22" t="s">
        <v>241</v>
      </c>
      <c r="H1359" s="22" t="n">
        <v>0.05</v>
      </c>
      <c r="I1359" s="38" t="n">
        <v>3289.84</v>
      </c>
      <c r="J1359" s="38" t="n">
        <v>3289.69</v>
      </c>
      <c r="K1359" s="39" t="n">
        <f aca="false">IF(F1359="BUY",J1359-I1359,I1359-J1359)</f>
        <v>0.150000000000091</v>
      </c>
      <c r="L1359" s="38" t="n">
        <v>3295.84</v>
      </c>
      <c r="M1359" s="39" t="n">
        <f aca="false">ABS(I1359-L1359)</f>
        <v>6</v>
      </c>
      <c r="N1359" s="24" t="n">
        <f aca="false">M1359*H1359*Summary!$C$6</f>
        <v>30</v>
      </c>
      <c r="O1359" s="37" t="n">
        <v>45870.4486458333</v>
      </c>
      <c r="P1359" s="22" t="n">
        <f aca="false">ROUND((O1359-C1359)*86400,0)</f>
        <v>2511</v>
      </c>
      <c r="Q1359" s="22" t="str">
        <f aca="false">IF(P1359&lt;10,"a) &lt;10s",IF(P1359&lt;60,"b) 10-60s",IF(P1359&lt;600,"c) 1-10min","d) &gt;10min")))</f>
        <v>d) &gt;10min</v>
      </c>
      <c r="R1359" s="38" t="n">
        <v>3289.19</v>
      </c>
      <c r="S1359" s="38" t="n">
        <v>3289.23</v>
      </c>
      <c r="T1359" s="22" t="s">
        <v>189</v>
      </c>
      <c r="U1359" s="39" t="n">
        <f aca="false">IF(R1359="","",IF(F1359="BUY",R1359-S1359,S1359-R1359))</f>
        <v>0.0399999999999636</v>
      </c>
      <c r="V1359" s="39" t="n">
        <f aca="false">IF(F1359="BUY",S1359-J1359,J1359-S1359)</f>
        <v>0.460000000000036</v>
      </c>
      <c r="W1359" s="6" t="n">
        <v>2.3</v>
      </c>
      <c r="X1359" s="26" t="n">
        <f aca="false">IFERROR(W1359/N1359,0)</f>
        <v>0.0766666666666667</v>
      </c>
      <c r="Y1359" s="22" t="str">
        <f aca="false">IF(W1359&gt;0,"Win",IF(W1359&lt;0,"Loss","Flat"))</f>
        <v>Win</v>
      </c>
      <c r="Z1359" s="24" t="n">
        <f aca="false">Summary!$C$5+SUM(W$2:W1359)</f>
        <v>3515.5</v>
      </c>
      <c r="AA1359" s="24" t="n">
        <f aca="false">MAX(AA1358,Z1359)</f>
        <v>5000</v>
      </c>
      <c r="AB1359" s="24" t="n">
        <f aca="false">AA1359-Z1359</f>
        <v>1484.5</v>
      </c>
      <c r="AC1359" s="23" t="n">
        <f aca="false">IFERROR(AB1359/AA1359,0)</f>
        <v>0.2969</v>
      </c>
      <c r="AD1359" s="22" t="s">
        <v>1596</v>
      </c>
    </row>
    <row r="1360" customFormat="false" ht="15" hidden="false" customHeight="false" outlineLevel="0" collapsed="false">
      <c r="A1360" s="22" t="n">
        <v>1359</v>
      </c>
      <c r="B1360" s="22" t="s">
        <v>160</v>
      </c>
      <c r="C1360" s="37" t="n">
        <v>45870.6461226852</v>
      </c>
      <c r="D1360" s="22" t="s">
        <v>206</v>
      </c>
      <c r="E1360" s="22" t="n">
        <v>15</v>
      </c>
      <c r="F1360" s="22" t="s">
        <v>181</v>
      </c>
      <c r="G1360" s="22" t="s">
        <v>243</v>
      </c>
      <c r="H1360" s="22" t="n">
        <v>0.05</v>
      </c>
      <c r="I1360" s="38" t="n">
        <v>3314.71</v>
      </c>
      <c r="J1360" s="38" t="n">
        <v>3314.8</v>
      </c>
      <c r="K1360" s="39" t="n">
        <f aca="false">IF(F1360="BUY",J1360-I1360,I1360-J1360)</f>
        <v>0.0900000000001455</v>
      </c>
      <c r="L1360" s="38" t="n">
        <v>3308.71</v>
      </c>
      <c r="M1360" s="39" t="n">
        <f aca="false">ABS(I1360-L1360)</f>
        <v>6</v>
      </c>
      <c r="N1360" s="24" t="n">
        <f aca="false">M1360*H1360*Summary!$C$6</f>
        <v>30</v>
      </c>
      <c r="O1360" s="37" t="n">
        <v>45870.6468055556</v>
      </c>
      <c r="P1360" s="22" t="n">
        <f aca="false">ROUND((O1360-C1360)*86400,0)</f>
        <v>59</v>
      </c>
      <c r="Q1360" s="22" t="str">
        <f aca="false">IF(P1360&lt;10,"a) &lt;10s",IF(P1360&lt;60,"b) 10-60s",IF(P1360&lt;600,"c) 1-10min","d) &gt;10min")))</f>
        <v>b) 10-60s</v>
      </c>
      <c r="R1360" s="38" t="n">
        <v>3315.3</v>
      </c>
      <c r="S1360" s="38" t="n">
        <v>3314.93</v>
      </c>
      <c r="T1360" s="22" t="s">
        <v>189</v>
      </c>
      <c r="U1360" s="39" t="n">
        <f aca="false">IF(R1360="","",IF(F1360="BUY",R1360-S1360,S1360-R1360))</f>
        <v>0.370000000000346</v>
      </c>
      <c r="V1360" s="39" t="n">
        <f aca="false">IF(F1360="BUY",S1360-J1360,J1360-S1360)</f>
        <v>0.129999999999654</v>
      </c>
      <c r="W1360" s="6" t="n">
        <v>0.65</v>
      </c>
      <c r="X1360" s="26" t="n">
        <f aca="false">IFERROR(W1360/N1360,0)</f>
        <v>0.0216666666666667</v>
      </c>
      <c r="Y1360" s="22" t="str">
        <f aca="false">IF(W1360&gt;0,"Win",IF(W1360&lt;0,"Loss","Flat"))</f>
        <v>Win</v>
      </c>
      <c r="Z1360" s="24" t="n">
        <f aca="false">Summary!$C$5+SUM(W$2:W1360)</f>
        <v>3516.15</v>
      </c>
      <c r="AA1360" s="24" t="n">
        <f aca="false">MAX(AA1359,Z1360)</f>
        <v>5000</v>
      </c>
      <c r="AB1360" s="24" t="n">
        <f aca="false">AA1360-Z1360</f>
        <v>1483.85</v>
      </c>
      <c r="AC1360" s="23" t="n">
        <f aca="false">IFERROR(AB1360/AA1360,0)</f>
        <v>0.29677</v>
      </c>
      <c r="AD1360" s="22" t="s">
        <v>1597</v>
      </c>
    </row>
    <row r="1361" customFormat="false" ht="15" hidden="false" customHeight="false" outlineLevel="0" collapsed="false">
      <c r="A1361" s="22" t="n">
        <v>1360</v>
      </c>
      <c r="B1361" s="22" t="s">
        <v>160</v>
      </c>
      <c r="C1361" s="37" t="n">
        <v>45873.3943171296</v>
      </c>
      <c r="D1361" s="22" t="s">
        <v>202</v>
      </c>
      <c r="E1361" s="22" t="n">
        <v>9</v>
      </c>
      <c r="F1361" s="22" t="s">
        <v>182</v>
      </c>
      <c r="G1361" s="22" t="s">
        <v>241</v>
      </c>
      <c r="H1361" s="22" t="n">
        <v>0.05</v>
      </c>
      <c r="I1361" s="38" t="n">
        <v>3355.3</v>
      </c>
      <c r="J1361" s="38" t="n">
        <v>3355.3</v>
      </c>
      <c r="K1361" s="39" t="n">
        <f aca="false">IF(F1361="BUY",J1361-I1361,I1361-J1361)</f>
        <v>0</v>
      </c>
      <c r="L1361" s="38" t="n">
        <v>3361.3</v>
      </c>
      <c r="M1361" s="39" t="n">
        <f aca="false">ABS(I1361-L1361)</f>
        <v>6</v>
      </c>
      <c r="N1361" s="24" t="n">
        <f aca="false">M1361*H1361*Summary!$C$6</f>
        <v>30</v>
      </c>
      <c r="O1361" s="37" t="n">
        <v>45873.4068518519</v>
      </c>
      <c r="P1361" s="22" t="n">
        <f aca="false">ROUND((O1361-C1361)*86400,0)</f>
        <v>1083</v>
      </c>
      <c r="Q1361" s="22" t="str">
        <f aca="false">IF(P1361&lt;10,"a) &lt;10s",IF(P1361&lt;60,"b) 10-60s",IF(P1361&lt;600,"c) 1-10min","d) &gt;10min")))</f>
        <v>d) &gt;10min</v>
      </c>
      <c r="R1361" s="38" t="n">
        <v>3361.3</v>
      </c>
      <c r="S1361" s="38" t="n">
        <v>3361.38</v>
      </c>
      <c r="T1361" s="22" t="s">
        <v>188</v>
      </c>
      <c r="U1361" s="39" t="n">
        <f aca="false">IF(R1361="","",IF(F1361="BUY",R1361-S1361,S1361-R1361))</f>
        <v>0.0799999999999272</v>
      </c>
      <c r="V1361" s="39" t="n">
        <f aca="false">IF(F1361="BUY",S1361-J1361,J1361-S1361)</f>
        <v>-6.07999999999993</v>
      </c>
      <c r="W1361" s="6" t="n">
        <v>-30.4</v>
      </c>
      <c r="X1361" s="26" t="n">
        <f aca="false">IFERROR(W1361/N1361,0)</f>
        <v>-1.01333333333333</v>
      </c>
      <c r="Y1361" s="22" t="str">
        <f aca="false">IF(W1361&gt;0,"Win",IF(W1361&lt;0,"Loss","Flat"))</f>
        <v>Loss</v>
      </c>
      <c r="Z1361" s="24" t="n">
        <f aca="false">Summary!$C$5+SUM(W$2:W1361)</f>
        <v>3485.75</v>
      </c>
      <c r="AA1361" s="24" t="n">
        <f aca="false">MAX(AA1360,Z1361)</f>
        <v>5000</v>
      </c>
      <c r="AB1361" s="24" t="n">
        <f aca="false">AA1361-Z1361</f>
        <v>1514.25</v>
      </c>
      <c r="AC1361" s="23" t="n">
        <f aca="false">IFERROR(AB1361/AA1361,0)</f>
        <v>0.30285</v>
      </c>
      <c r="AD1361" s="22" t="s">
        <v>1598</v>
      </c>
    </row>
    <row r="1362" customFormat="false" ht="15" hidden="false" customHeight="false" outlineLevel="0" collapsed="false">
      <c r="A1362" s="22" t="n">
        <v>1361</v>
      </c>
      <c r="B1362" s="22" t="s">
        <v>160</v>
      </c>
      <c r="C1362" s="37" t="n">
        <v>45874.4033680556</v>
      </c>
      <c r="D1362" s="22" t="s">
        <v>203</v>
      </c>
      <c r="E1362" s="22" t="n">
        <v>9</v>
      </c>
      <c r="F1362" s="22" t="s">
        <v>182</v>
      </c>
      <c r="G1362" s="22" t="s">
        <v>241</v>
      </c>
      <c r="H1362" s="22" t="n">
        <v>0.05</v>
      </c>
      <c r="I1362" s="38" t="n">
        <v>3367.5</v>
      </c>
      <c r="J1362" s="38" t="n">
        <v>3367.5</v>
      </c>
      <c r="K1362" s="39" t="n">
        <f aca="false">IF(F1362="BUY",J1362-I1362,I1362-J1362)</f>
        <v>0</v>
      </c>
      <c r="L1362" s="38" t="n">
        <v>3373.5</v>
      </c>
      <c r="M1362" s="39" t="n">
        <f aca="false">ABS(I1362-L1362)</f>
        <v>6</v>
      </c>
      <c r="N1362" s="24" t="n">
        <f aca="false">M1362*H1362*Summary!$C$6</f>
        <v>30</v>
      </c>
      <c r="O1362" s="37" t="n">
        <v>45874.4322569444</v>
      </c>
      <c r="P1362" s="22" t="n">
        <f aca="false">ROUND((O1362-C1362)*86400,0)</f>
        <v>2496</v>
      </c>
      <c r="Q1362" s="22" t="str">
        <f aca="false">IF(P1362&lt;10,"a) &lt;10s",IF(P1362&lt;60,"b) 10-60s",IF(P1362&lt;600,"c) 1-10min","d) &gt;10min")))</f>
        <v>d) &gt;10min</v>
      </c>
      <c r="R1362" s="38" t="n">
        <v>3373.5</v>
      </c>
      <c r="S1362" s="38" t="n">
        <v>3373.5</v>
      </c>
      <c r="T1362" s="22" t="s">
        <v>188</v>
      </c>
      <c r="U1362" s="39" t="n">
        <f aca="false">IF(R1362="","",IF(F1362="BUY",R1362-S1362,S1362-R1362))</f>
        <v>0</v>
      </c>
      <c r="V1362" s="39" t="n">
        <f aca="false">IF(F1362="BUY",S1362-J1362,J1362-S1362)</f>
        <v>-6</v>
      </c>
      <c r="W1362" s="6" t="n">
        <v>-30</v>
      </c>
      <c r="X1362" s="26" t="n">
        <f aca="false">IFERROR(W1362/N1362,0)</f>
        <v>-1</v>
      </c>
      <c r="Y1362" s="22" t="str">
        <f aca="false">IF(W1362&gt;0,"Win",IF(W1362&lt;0,"Loss","Flat"))</f>
        <v>Loss</v>
      </c>
      <c r="Z1362" s="24" t="n">
        <f aca="false">Summary!$C$5+SUM(W$2:W1362)</f>
        <v>3455.75</v>
      </c>
      <c r="AA1362" s="24" t="n">
        <f aca="false">MAX(AA1361,Z1362)</f>
        <v>5000</v>
      </c>
      <c r="AB1362" s="24" t="n">
        <f aca="false">AA1362-Z1362</f>
        <v>1544.25</v>
      </c>
      <c r="AC1362" s="23" t="n">
        <f aca="false">IFERROR(AB1362/AA1362,0)</f>
        <v>0.30885</v>
      </c>
      <c r="AD1362" s="22" t="s">
        <v>1599</v>
      </c>
    </row>
    <row r="1363" customFormat="false" ht="15" hidden="false" customHeight="false" outlineLevel="0" collapsed="false">
      <c r="A1363" s="22" t="n">
        <v>1362</v>
      </c>
      <c r="B1363" s="22" t="s">
        <v>160</v>
      </c>
      <c r="C1363" s="37" t="n">
        <v>45874.7438310185</v>
      </c>
      <c r="D1363" s="22" t="s">
        <v>203</v>
      </c>
      <c r="E1363" s="22" t="n">
        <v>17</v>
      </c>
      <c r="F1363" s="22" t="s">
        <v>181</v>
      </c>
      <c r="G1363" s="22" t="s">
        <v>243</v>
      </c>
      <c r="H1363" s="22" t="n">
        <v>0.05</v>
      </c>
      <c r="I1363" s="38" t="n">
        <v>3385.21</v>
      </c>
      <c r="J1363" s="38" t="n">
        <v>3385.21</v>
      </c>
      <c r="K1363" s="39" t="n">
        <f aca="false">IF(F1363="BUY",J1363-I1363,I1363-J1363)</f>
        <v>0</v>
      </c>
      <c r="L1363" s="38" t="n">
        <v>3379.21</v>
      </c>
      <c r="M1363" s="39" t="n">
        <f aca="false">ABS(I1363-L1363)</f>
        <v>6</v>
      </c>
      <c r="N1363" s="24" t="n">
        <f aca="false">M1363*H1363*Summary!$C$6</f>
        <v>30</v>
      </c>
      <c r="O1363" s="37" t="n">
        <v>45874.7667824074</v>
      </c>
      <c r="P1363" s="22" t="n">
        <f aca="false">ROUND((O1363-C1363)*86400,0)</f>
        <v>1983</v>
      </c>
      <c r="Q1363" s="22" t="str">
        <f aca="false">IF(P1363&lt;10,"a) &lt;10s",IF(P1363&lt;60,"b) 10-60s",IF(P1363&lt;600,"c) 1-10min","d) &gt;10min")))</f>
        <v>d) &gt;10min</v>
      </c>
      <c r="R1363" s="38" t="n">
        <v>3385.71</v>
      </c>
      <c r="S1363" s="38" t="n">
        <v>3385.63</v>
      </c>
      <c r="T1363" s="22" t="s">
        <v>189</v>
      </c>
      <c r="U1363" s="39" t="n">
        <f aca="false">IF(R1363="","",IF(F1363="BUY",R1363-S1363,S1363-R1363))</f>
        <v>0.0799999999999272</v>
      </c>
      <c r="V1363" s="39" t="n">
        <f aca="false">IF(F1363="BUY",S1363-J1363,J1363-S1363)</f>
        <v>0.420000000000073</v>
      </c>
      <c r="W1363" s="6" t="n">
        <v>2.1</v>
      </c>
      <c r="X1363" s="26" t="n">
        <f aca="false">IFERROR(W1363/N1363,0)</f>
        <v>0.07</v>
      </c>
      <c r="Y1363" s="22" t="str">
        <f aca="false">IF(W1363&gt;0,"Win",IF(W1363&lt;0,"Loss","Flat"))</f>
        <v>Win</v>
      </c>
      <c r="Z1363" s="24" t="n">
        <f aca="false">Summary!$C$5+SUM(W$2:W1363)</f>
        <v>3457.85</v>
      </c>
      <c r="AA1363" s="24" t="n">
        <f aca="false">MAX(AA1362,Z1363)</f>
        <v>5000</v>
      </c>
      <c r="AB1363" s="24" t="n">
        <f aca="false">AA1363-Z1363</f>
        <v>1542.15</v>
      </c>
      <c r="AC1363" s="23" t="n">
        <f aca="false">IFERROR(AB1363/AA1363,0)</f>
        <v>0.30843</v>
      </c>
      <c r="AD1363" s="22" t="s">
        <v>1600</v>
      </c>
    </row>
    <row r="1364" customFormat="false" ht="15" hidden="false" customHeight="false" outlineLevel="0" collapsed="false">
      <c r="A1364" s="22" t="n">
        <v>1363</v>
      </c>
      <c r="B1364" s="22" t="s">
        <v>160</v>
      </c>
      <c r="C1364" s="37" t="n">
        <v>45875.3778125</v>
      </c>
      <c r="D1364" s="22" t="s">
        <v>204</v>
      </c>
      <c r="E1364" s="22" t="n">
        <v>9</v>
      </c>
      <c r="F1364" s="22" t="s">
        <v>181</v>
      </c>
      <c r="G1364" s="22" t="s">
        <v>235</v>
      </c>
      <c r="H1364" s="22" t="n">
        <v>0.05</v>
      </c>
      <c r="I1364" s="38" t="n">
        <v>3376.3</v>
      </c>
      <c r="J1364" s="38" t="n">
        <v>3376.3</v>
      </c>
      <c r="K1364" s="39" t="n">
        <f aca="false">IF(F1364="BUY",J1364-I1364,I1364-J1364)</f>
        <v>0</v>
      </c>
      <c r="L1364" s="38" t="n">
        <v>3370.3</v>
      </c>
      <c r="M1364" s="39" t="n">
        <f aca="false">ABS(I1364-L1364)</f>
        <v>6</v>
      </c>
      <c r="N1364" s="24" t="n">
        <f aca="false">M1364*H1364*Summary!$C$6</f>
        <v>30</v>
      </c>
      <c r="O1364" s="37" t="n">
        <v>45875.4055439815</v>
      </c>
      <c r="P1364" s="22" t="n">
        <f aca="false">ROUND((O1364-C1364)*86400,0)</f>
        <v>2396</v>
      </c>
      <c r="Q1364" s="22" t="str">
        <f aca="false">IF(P1364&lt;10,"a) &lt;10s",IF(P1364&lt;60,"b) 10-60s",IF(P1364&lt;600,"c) 1-10min","d) &gt;10min")))</f>
        <v>d) &gt;10min</v>
      </c>
      <c r="R1364" s="38" t="n">
        <v>3376.8</v>
      </c>
      <c r="S1364" s="38" t="n">
        <v>3376.8</v>
      </c>
      <c r="T1364" s="22" t="s">
        <v>189</v>
      </c>
      <c r="U1364" s="39" t="n">
        <f aca="false">IF(R1364="","",IF(F1364="BUY",R1364-S1364,S1364-R1364))</f>
        <v>0</v>
      </c>
      <c r="V1364" s="39" t="n">
        <f aca="false">IF(F1364="BUY",S1364-J1364,J1364-S1364)</f>
        <v>0.5</v>
      </c>
      <c r="W1364" s="6" t="n">
        <v>2.5</v>
      </c>
      <c r="X1364" s="26" t="n">
        <f aca="false">IFERROR(W1364/N1364,0)</f>
        <v>0.0833333333333333</v>
      </c>
      <c r="Y1364" s="22" t="str">
        <f aca="false">IF(W1364&gt;0,"Win",IF(W1364&lt;0,"Loss","Flat"))</f>
        <v>Win</v>
      </c>
      <c r="Z1364" s="24" t="n">
        <f aca="false">Summary!$C$5+SUM(W$2:W1364)</f>
        <v>3460.35</v>
      </c>
      <c r="AA1364" s="24" t="n">
        <f aca="false">MAX(AA1363,Z1364)</f>
        <v>5000</v>
      </c>
      <c r="AB1364" s="24" t="n">
        <f aca="false">AA1364-Z1364</f>
        <v>1539.65</v>
      </c>
      <c r="AC1364" s="23" t="n">
        <f aca="false">IFERROR(AB1364/AA1364,0)</f>
        <v>0.30793</v>
      </c>
      <c r="AD1364" s="22" t="s">
        <v>1601</v>
      </c>
    </row>
    <row r="1365" customFormat="false" ht="15" hidden="false" customHeight="false" outlineLevel="0" collapsed="false">
      <c r="A1365" s="22" t="n">
        <v>1364</v>
      </c>
      <c r="B1365" s="22" t="s">
        <v>160</v>
      </c>
      <c r="C1365" s="37" t="n">
        <v>45876.3945949074</v>
      </c>
      <c r="D1365" s="22" t="s">
        <v>205</v>
      </c>
      <c r="E1365" s="22" t="n">
        <v>9</v>
      </c>
      <c r="F1365" s="22" t="s">
        <v>181</v>
      </c>
      <c r="G1365" s="22" t="s">
        <v>235</v>
      </c>
      <c r="H1365" s="22" t="n">
        <v>0.05</v>
      </c>
      <c r="I1365" s="38" t="n">
        <v>3380.83</v>
      </c>
      <c r="J1365" s="38" t="n">
        <v>3380.91</v>
      </c>
      <c r="K1365" s="39" t="n">
        <f aca="false">IF(F1365="BUY",J1365-I1365,I1365-J1365)</f>
        <v>0.0799999999999272</v>
      </c>
      <c r="L1365" s="38" t="n">
        <v>3374.83</v>
      </c>
      <c r="M1365" s="39" t="n">
        <f aca="false">ABS(I1365-L1365)</f>
        <v>6</v>
      </c>
      <c r="N1365" s="24" t="n">
        <f aca="false">M1365*H1365*Summary!$C$6</f>
        <v>30</v>
      </c>
      <c r="O1365" s="37" t="n">
        <v>45876.4639583333</v>
      </c>
      <c r="P1365" s="22" t="n">
        <f aca="false">ROUND((O1365-C1365)*86400,0)</f>
        <v>5993</v>
      </c>
      <c r="Q1365" s="22" t="str">
        <f aca="false">IF(P1365&lt;10,"a) &lt;10s",IF(P1365&lt;60,"b) 10-60s",IF(P1365&lt;600,"c) 1-10min","d) &gt;10min")))</f>
        <v>d) &gt;10min</v>
      </c>
      <c r="R1365" s="38" t="n">
        <v>3381.41</v>
      </c>
      <c r="S1365" s="38" t="n">
        <v>3381.36</v>
      </c>
      <c r="T1365" s="22" t="s">
        <v>189</v>
      </c>
      <c r="U1365" s="39" t="n">
        <f aca="false">IF(R1365="","",IF(F1365="BUY",R1365-S1365,S1365-R1365))</f>
        <v>0.0499999999997272</v>
      </c>
      <c r="V1365" s="39" t="n">
        <f aca="false">IF(F1365="BUY",S1365-J1365,J1365-S1365)</f>
        <v>0.450000000000273</v>
      </c>
      <c r="W1365" s="6" t="n">
        <v>2.25</v>
      </c>
      <c r="X1365" s="26" t="n">
        <f aca="false">IFERROR(W1365/N1365,0)</f>
        <v>0.075</v>
      </c>
      <c r="Y1365" s="22" t="str">
        <f aca="false">IF(W1365&gt;0,"Win",IF(W1365&lt;0,"Loss","Flat"))</f>
        <v>Win</v>
      </c>
      <c r="Z1365" s="24" t="n">
        <f aca="false">Summary!$C$5+SUM(W$2:W1365)</f>
        <v>3462.6</v>
      </c>
      <c r="AA1365" s="24" t="n">
        <f aca="false">MAX(AA1364,Z1365)</f>
        <v>5000</v>
      </c>
      <c r="AB1365" s="24" t="n">
        <f aca="false">AA1365-Z1365</f>
        <v>1537.4</v>
      </c>
      <c r="AC1365" s="23" t="n">
        <f aca="false">IFERROR(AB1365/AA1365,0)</f>
        <v>0.30748</v>
      </c>
      <c r="AD1365" s="22" t="s">
        <v>1602</v>
      </c>
    </row>
    <row r="1366" customFormat="false" ht="15" hidden="false" customHeight="false" outlineLevel="0" collapsed="false">
      <c r="A1366" s="22" t="n">
        <v>1365</v>
      </c>
      <c r="B1366" s="22" t="s">
        <v>160</v>
      </c>
      <c r="C1366" s="37" t="n">
        <v>45877.4005555556</v>
      </c>
      <c r="D1366" s="22" t="s">
        <v>206</v>
      </c>
      <c r="E1366" s="22" t="n">
        <v>9</v>
      </c>
      <c r="F1366" s="22" t="s">
        <v>182</v>
      </c>
      <c r="G1366" s="22" t="s">
        <v>241</v>
      </c>
      <c r="H1366" s="22" t="n">
        <v>0.05</v>
      </c>
      <c r="I1366" s="38" t="n">
        <v>3389.94</v>
      </c>
      <c r="J1366" s="38" t="n">
        <v>3389.94</v>
      </c>
      <c r="K1366" s="39" t="n">
        <f aca="false">IF(F1366="BUY",J1366-I1366,I1366-J1366)</f>
        <v>0</v>
      </c>
      <c r="L1366" s="38" t="n">
        <v>3395.94</v>
      </c>
      <c r="M1366" s="39" t="n">
        <f aca="false">ABS(I1366-L1366)</f>
        <v>6</v>
      </c>
      <c r="N1366" s="24" t="n">
        <f aca="false">M1366*H1366*Summary!$C$6</f>
        <v>30</v>
      </c>
      <c r="O1366" s="37" t="n">
        <v>45877.4170949074</v>
      </c>
      <c r="P1366" s="22" t="n">
        <f aca="false">ROUND((O1366-C1366)*86400,0)</f>
        <v>1429</v>
      </c>
      <c r="Q1366" s="22" t="str">
        <f aca="false">IF(P1366&lt;10,"a) &lt;10s",IF(P1366&lt;60,"b) 10-60s",IF(P1366&lt;600,"c) 1-10min","d) &gt;10min")))</f>
        <v>d) &gt;10min</v>
      </c>
      <c r="R1366" s="38" t="n">
        <v>3395.94</v>
      </c>
      <c r="S1366" s="38" t="n">
        <v>3396.1</v>
      </c>
      <c r="T1366" s="22" t="s">
        <v>188</v>
      </c>
      <c r="U1366" s="39" t="n">
        <f aca="false">IF(R1366="","",IF(F1366="BUY",R1366-S1366,S1366-R1366))</f>
        <v>0.159999999999854</v>
      </c>
      <c r="V1366" s="39" t="n">
        <f aca="false">IF(F1366="BUY",S1366-J1366,J1366-S1366)</f>
        <v>-6.15999999999985</v>
      </c>
      <c r="W1366" s="6" t="n">
        <v>-30.8</v>
      </c>
      <c r="X1366" s="26" t="n">
        <f aca="false">IFERROR(W1366/N1366,0)</f>
        <v>-1.02666666666667</v>
      </c>
      <c r="Y1366" s="22" t="str">
        <f aca="false">IF(W1366&gt;0,"Win",IF(W1366&lt;0,"Loss","Flat"))</f>
        <v>Loss</v>
      </c>
      <c r="Z1366" s="24" t="n">
        <f aca="false">Summary!$C$5+SUM(W$2:W1366)</f>
        <v>3431.8</v>
      </c>
      <c r="AA1366" s="24" t="n">
        <f aca="false">MAX(AA1365,Z1366)</f>
        <v>5000</v>
      </c>
      <c r="AB1366" s="24" t="n">
        <f aca="false">AA1366-Z1366</f>
        <v>1568.2</v>
      </c>
      <c r="AC1366" s="23" t="n">
        <f aca="false">IFERROR(AB1366/AA1366,0)</f>
        <v>0.31364</v>
      </c>
      <c r="AD1366" s="22" t="s">
        <v>1603</v>
      </c>
    </row>
    <row r="1367" customFormat="false" ht="15" hidden="false" customHeight="false" outlineLevel="0" collapsed="false">
      <c r="A1367" s="22" t="n">
        <v>1366</v>
      </c>
      <c r="B1367" s="22" t="s">
        <v>160</v>
      </c>
      <c r="C1367" s="37" t="n">
        <v>45880.1722916667</v>
      </c>
      <c r="D1367" s="22" t="s">
        <v>202</v>
      </c>
      <c r="E1367" s="22" t="n">
        <v>4</v>
      </c>
      <c r="F1367" s="22" t="s">
        <v>182</v>
      </c>
      <c r="G1367" s="22" t="s">
        <v>237</v>
      </c>
      <c r="H1367" s="22" t="n">
        <v>0.05</v>
      </c>
      <c r="I1367" s="38" t="n">
        <v>3373.29</v>
      </c>
      <c r="J1367" s="38" t="n">
        <v>3372.58</v>
      </c>
      <c r="K1367" s="39" t="n">
        <f aca="false">IF(F1367="BUY",J1367-I1367,I1367-J1367)</f>
        <v>0.710000000000036</v>
      </c>
      <c r="L1367" s="38" t="n">
        <v>3379.29</v>
      </c>
      <c r="M1367" s="39" t="n">
        <f aca="false">ABS(I1367-L1367)</f>
        <v>6</v>
      </c>
      <c r="N1367" s="24" t="n">
        <f aca="false">M1367*H1367*Summary!$C$6</f>
        <v>30</v>
      </c>
      <c r="O1367" s="37" t="n">
        <v>45880.1751388889</v>
      </c>
      <c r="P1367" s="22" t="n">
        <f aca="false">ROUND((O1367-C1367)*86400,0)</f>
        <v>246</v>
      </c>
      <c r="Q1367" s="22" t="str">
        <f aca="false">IF(P1367&lt;10,"a) &lt;10s",IF(P1367&lt;60,"b) 10-60s",IF(P1367&lt;600,"c) 1-10min","d) &gt;10min")))</f>
        <v>c) 1-10min</v>
      </c>
      <c r="R1367" s="38" t="n">
        <v>3372.08</v>
      </c>
      <c r="S1367" s="38" t="n">
        <v>3372.1</v>
      </c>
      <c r="T1367" s="22" t="s">
        <v>189</v>
      </c>
      <c r="U1367" s="39" t="n">
        <f aca="false">IF(R1367="","",IF(F1367="BUY",R1367-S1367,S1367-R1367))</f>
        <v>0.0199999999999818</v>
      </c>
      <c r="V1367" s="39" t="n">
        <f aca="false">IF(F1367="BUY",S1367-J1367,J1367-S1367)</f>
        <v>0.480000000000018</v>
      </c>
      <c r="W1367" s="6" t="n">
        <v>2.4</v>
      </c>
      <c r="X1367" s="26" t="n">
        <f aca="false">IFERROR(W1367/N1367,0)</f>
        <v>0.08</v>
      </c>
      <c r="Y1367" s="22" t="str">
        <f aca="false">IF(W1367&gt;0,"Win",IF(W1367&lt;0,"Loss","Flat"))</f>
        <v>Win</v>
      </c>
      <c r="Z1367" s="24" t="n">
        <f aca="false">Summary!$C$5+SUM(W$2:W1367)</f>
        <v>3434.2</v>
      </c>
      <c r="AA1367" s="24" t="n">
        <f aca="false">MAX(AA1366,Z1367)</f>
        <v>5000</v>
      </c>
      <c r="AB1367" s="24" t="n">
        <f aca="false">AA1367-Z1367</f>
        <v>1565.8</v>
      </c>
      <c r="AC1367" s="23" t="n">
        <f aca="false">IFERROR(AB1367/AA1367,0)</f>
        <v>0.31316</v>
      </c>
      <c r="AD1367" s="22" t="s">
        <v>1604</v>
      </c>
    </row>
    <row r="1368" customFormat="false" ht="15" hidden="false" customHeight="false" outlineLevel="0" collapsed="false">
      <c r="A1368" s="22" t="n">
        <v>1367</v>
      </c>
      <c r="B1368" s="22" t="s">
        <v>160</v>
      </c>
      <c r="C1368" s="37" t="n">
        <v>45880.37875</v>
      </c>
      <c r="D1368" s="22" t="s">
        <v>202</v>
      </c>
      <c r="E1368" s="22" t="n">
        <v>9</v>
      </c>
      <c r="F1368" s="22" t="s">
        <v>182</v>
      </c>
      <c r="G1368" s="22" t="s">
        <v>241</v>
      </c>
      <c r="H1368" s="22" t="n">
        <v>0.05</v>
      </c>
      <c r="I1368" s="38" t="n">
        <v>3373.82</v>
      </c>
      <c r="J1368" s="38" t="n">
        <v>3373.78</v>
      </c>
      <c r="K1368" s="39" t="n">
        <f aca="false">IF(F1368="BUY",J1368-I1368,I1368-J1368)</f>
        <v>0.0399999999999636</v>
      </c>
      <c r="L1368" s="38" t="n">
        <v>3379.82</v>
      </c>
      <c r="M1368" s="39" t="n">
        <f aca="false">ABS(I1368-L1368)</f>
        <v>6</v>
      </c>
      <c r="N1368" s="24" t="n">
        <f aca="false">M1368*H1368*Summary!$C$6</f>
        <v>30</v>
      </c>
      <c r="O1368" s="37" t="n">
        <v>45880.7363425926</v>
      </c>
      <c r="P1368" s="22" t="n">
        <f aca="false">ROUND((O1368-C1368)*86400,0)</f>
        <v>30896</v>
      </c>
      <c r="Q1368" s="22" t="str">
        <f aca="false">IF(P1368&lt;10,"a) &lt;10s",IF(P1368&lt;60,"b) 10-60s",IF(P1368&lt;600,"c) 1-10min","d) &gt;10min")))</f>
        <v>d) &gt;10min</v>
      </c>
      <c r="R1368" s="38"/>
      <c r="S1368" s="38" t="n">
        <v>3343.68</v>
      </c>
      <c r="T1368" s="22" t="s">
        <v>187</v>
      </c>
      <c r="U1368" s="39" t="str">
        <f aca="false">IF(R1368="","",IF(F1368="BUY",R1368-S1368,S1368-R1368))</f>
        <v/>
      </c>
      <c r="V1368" s="39" t="n">
        <f aca="false">IF(F1368="BUY",S1368-J1368,J1368-S1368)</f>
        <v>30.1000000000004</v>
      </c>
      <c r="W1368" s="6" t="n">
        <v>150.5</v>
      </c>
      <c r="X1368" s="26" t="n">
        <f aca="false">IFERROR(W1368/N1368,0)</f>
        <v>5.01666666666667</v>
      </c>
      <c r="Y1368" s="22" t="str">
        <f aca="false">IF(W1368&gt;0,"Win",IF(W1368&lt;0,"Loss","Flat"))</f>
        <v>Win</v>
      </c>
      <c r="Z1368" s="24" t="n">
        <f aca="false">Summary!$C$5+SUM(W$2:W1368)</f>
        <v>3584.7</v>
      </c>
      <c r="AA1368" s="24" t="n">
        <f aca="false">MAX(AA1367,Z1368)</f>
        <v>5000</v>
      </c>
      <c r="AB1368" s="24" t="n">
        <f aca="false">AA1368-Z1368</f>
        <v>1415.3</v>
      </c>
      <c r="AC1368" s="23" t="n">
        <f aca="false">IFERROR(AB1368/AA1368,0)</f>
        <v>0.28306</v>
      </c>
      <c r="AD1368" s="22" t="s">
        <v>1605</v>
      </c>
    </row>
    <row r="1369" customFormat="false" ht="15" hidden="false" customHeight="false" outlineLevel="0" collapsed="false">
      <c r="A1369" s="22" t="n">
        <v>1368</v>
      </c>
      <c r="B1369" s="22" t="s">
        <v>160</v>
      </c>
      <c r="C1369" s="37" t="n">
        <v>45881.3828240741</v>
      </c>
      <c r="D1369" s="22" t="s">
        <v>203</v>
      </c>
      <c r="E1369" s="22" t="n">
        <v>9</v>
      </c>
      <c r="F1369" s="22" t="s">
        <v>182</v>
      </c>
      <c r="G1369" s="22" t="s">
        <v>241</v>
      </c>
      <c r="H1369" s="22" t="n">
        <v>0.05</v>
      </c>
      <c r="I1369" s="38" t="n">
        <v>3348.45</v>
      </c>
      <c r="J1369" s="38" t="n">
        <v>3348.45</v>
      </c>
      <c r="K1369" s="39" t="n">
        <f aca="false">IF(F1369="BUY",J1369-I1369,I1369-J1369)</f>
        <v>0</v>
      </c>
      <c r="L1369" s="38" t="n">
        <v>3354.45</v>
      </c>
      <c r="M1369" s="39" t="n">
        <f aca="false">ABS(I1369-L1369)</f>
        <v>6</v>
      </c>
      <c r="N1369" s="24" t="n">
        <f aca="false">M1369*H1369*Summary!$C$6</f>
        <v>30</v>
      </c>
      <c r="O1369" s="37" t="n">
        <v>45881.4008449074</v>
      </c>
      <c r="P1369" s="22" t="n">
        <f aca="false">ROUND((O1369-C1369)*86400,0)</f>
        <v>1557</v>
      </c>
      <c r="Q1369" s="22" t="str">
        <f aca="false">IF(P1369&lt;10,"a) &lt;10s",IF(P1369&lt;60,"b) 10-60s",IF(P1369&lt;600,"c) 1-10min","d) &gt;10min")))</f>
        <v>d) &gt;10min</v>
      </c>
      <c r="R1369" s="38" t="n">
        <v>3347.95</v>
      </c>
      <c r="S1369" s="38" t="n">
        <v>3348.08</v>
      </c>
      <c r="T1369" s="22" t="s">
        <v>189</v>
      </c>
      <c r="U1369" s="39" t="n">
        <f aca="false">IF(R1369="","",IF(F1369="BUY",R1369-S1369,S1369-R1369))</f>
        <v>0.130000000000109</v>
      </c>
      <c r="V1369" s="39" t="n">
        <f aca="false">IF(F1369="BUY",S1369-J1369,J1369-S1369)</f>
        <v>0.369999999999891</v>
      </c>
      <c r="W1369" s="6" t="n">
        <v>1.85</v>
      </c>
      <c r="X1369" s="26" t="n">
        <f aca="false">IFERROR(W1369/N1369,0)</f>
        <v>0.0616666666666667</v>
      </c>
      <c r="Y1369" s="22" t="str">
        <f aca="false">IF(W1369&gt;0,"Win",IF(W1369&lt;0,"Loss","Flat"))</f>
        <v>Win</v>
      </c>
      <c r="Z1369" s="24" t="n">
        <f aca="false">Summary!$C$5+SUM(W$2:W1369)</f>
        <v>3586.55</v>
      </c>
      <c r="AA1369" s="24" t="n">
        <f aca="false">MAX(AA1368,Z1369)</f>
        <v>5000</v>
      </c>
      <c r="AB1369" s="24" t="n">
        <f aca="false">AA1369-Z1369</f>
        <v>1413.45</v>
      </c>
      <c r="AC1369" s="23" t="n">
        <f aca="false">IFERROR(AB1369/AA1369,0)</f>
        <v>0.28269</v>
      </c>
      <c r="AD1369" s="22" t="s">
        <v>1606</v>
      </c>
    </row>
    <row r="1370" customFormat="false" ht="15" hidden="false" customHeight="false" outlineLevel="0" collapsed="false">
      <c r="A1370" s="22" t="n">
        <v>1369</v>
      </c>
      <c r="B1370" s="22" t="s">
        <v>160</v>
      </c>
      <c r="C1370" s="37" t="n">
        <v>45881.5978240741</v>
      </c>
      <c r="D1370" s="22" t="s">
        <v>203</v>
      </c>
      <c r="E1370" s="22" t="n">
        <v>14</v>
      </c>
      <c r="F1370" s="22" t="s">
        <v>182</v>
      </c>
      <c r="G1370" s="22" t="s">
        <v>237</v>
      </c>
      <c r="H1370" s="22" t="n">
        <v>0.05</v>
      </c>
      <c r="I1370" s="38" t="n">
        <v>3340.81</v>
      </c>
      <c r="J1370" s="38" t="n">
        <v>3340.8</v>
      </c>
      <c r="K1370" s="39" t="n">
        <f aca="false">IF(F1370="BUY",J1370-I1370,I1370-J1370)</f>
        <v>0.00999999999976353</v>
      </c>
      <c r="L1370" s="38" t="n">
        <v>3346.81</v>
      </c>
      <c r="M1370" s="39" t="n">
        <f aca="false">ABS(I1370-L1370)</f>
        <v>6</v>
      </c>
      <c r="N1370" s="24" t="n">
        <f aca="false">M1370*H1370*Summary!$C$6</f>
        <v>30</v>
      </c>
      <c r="O1370" s="37" t="n">
        <v>45881.6096990741</v>
      </c>
      <c r="P1370" s="22" t="n">
        <f aca="false">ROUND((O1370-C1370)*86400,0)</f>
        <v>1026</v>
      </c>
      <c r="Q1370" s="22" t="str">
        <f aca="false">IF(P1370&lt;10,"a) &lt;10s",IF(P1370&lt;60,"b) 10-60s",IF(P1370&lt;600,"c) 1-10min","d) &gt;10min")))</f>
        <v>d) &gt;10min</v>
      </c>
      <c r="R1370" s="38" t="n">
        <v>3340.3</v>
      </c>
      <c r="S1370" s="38" t="n">
        <v>3340.35</v>
      </c>
      <c r="T1370" s="22" t="s">
        <v>189</v>
      </c>
      <c r="U1370" s="39" t="n">
        <f aca="false">IF(R1370="","",IF(F1370="BUY",R1370-S1370,S1370-R1370))</f>
        <v>0.0499999999997272</v>
      </c>
      <c r="V1370" s="39" t="n">
        <f aca="false">IF(F1370="BUY",S1370-J1370,J1370-S1370)</f>
        <v>0.450000000000273</v>
      </c>
      <c r="W1370" s="6" t="n">
        <v>2.25</v>
      </c>
      <c r="X1370" s="26" t="n">
        <f aca="false">IFERROR(W1370/N1370,0)</f>
        <v>0.075</v>
      </c>
      <c r="Y1370" s="22" t="str">
        <f aca="false">IF(W1370&gt;0,"Win",IF(W1370&lt;0,"Loss","Flat"))</f>
        <v>Win</v>
      </c>
      <c r="Z1370" s="24" t="n">
        <f aca="false">Summary!$C$5+SUM(W$2:W1370)</f>
        <v>3588.8</v>
      </c>
      <c r="AA1370" s="24" t="n">
        <f aca="false">MAX(AA1369,Z1370)</f>
        <v>5000</v>
      </c>
      <c r="AB1370" s="24" t="n">
        <f aca="false">AA1370-Z1370</f>
        <v>1411.2</v>
      </c>
      <c r="AC1370" s="23" t="n">
        <f aca="false">IFERROR(AB1370/AA1370,0)</f>
        <v>0.28224</v>
      </c>
      <c r="AD1370" s="22" t="s">
        <v>1607</v>
      </c>
    </row>
    <row r="1371" customFormat="false" ht="15" hidden="false" customHeight="false" outlineLevel="0" collapsed="false">
      <c r="A1371" s="22" t="n">
        <v>1370</v>
      </c>
      <c r="B1371" s="22" t="s">
        <v>160</v>
      </c>
      <c r="C1371" s="37" t="n">
        <v>45882.3773032407</v>
      </c>
      <c r="D1371" s="22" t="s">
        <v>204</v>
      </c>
      <c r="E1371" s="22" t="n">
        <v>9</v>
      </c>
      <c r="F1371" s="22" t="s">
        <v>181</v>
      </c>
      <c r="G1371" s="22" t="s">
        <v>235</v>
      </c>
      <c r="H1371" s="22" t="n">
        <v>0.05</v>
      </c>
      <c r="I1371" s="38" t="n">
        <v>3352.15</v>
      </c>
      <c r="J1371" s="38" t="n">
        <v>3352.24</v>
      </c>
      <c r="K1371" s="39" t="n">
        <f aca="false">IF(F1371="BUY",J1371-I1371,I1371-J1371)</f>
        <v>0.0899999999996908</v>
      </c>
      <c r="L1371" s="38" t="n">
        <v>3346.15</v>
      </c>
      <c r="M1371" s="39" t="n">
        <f aca="false">ABS(I1371-L1371)</f>
        <v>6</v>
      </c>
      <c r="N1371" s="24" t="n">
        <f aca="false">M1371*H1371*Summary!$C$6</f>
        <v>30</v>
      </c>
      <c r="O1371" s="37" t="n">
        <v>45882.4615625</v>
      </c>
      <c r="P1371" s="22" t="n">
        <f aca="false">ROUND((O1371-C1371)*86400,0)</f>
        <v>7280</v>
      </c>
      <c r="Q1371" s="22" t="str">
        <f aca="false">IF(P1371&lt;10,"a) &lt;10s",IF(P1371&lt;60,"b) 10-60s",IF(P1371&lt;600,"c) 1-10min","d) &gt;10min")))</f>
        <v>d) &gt;10min</v>
      </c>
      <c r="R1371" s="38" t="n">
        <v>3352.74</v>
      </c>
      <c r="S1371" s="38" t="n">
        <v>3352.71</v>
      </c>
      <c r="T1371" s="22" t="s">
        <v>189</v>
      </c>
      <c r="U1371" s="39" t="n">
        <f aca="false">IF(R1371="","",IF(F1371="BUY",R1371-S1371,S1371-R1371))</f>
        <v>0.0299999999997453</v>
      </c>
      <c r="V1371" s="39" t="n">
        <f aca="false">IF(F1371="BUY",S1371-J1371,J1371-S1371)</f>
        <v>0.470000000000255</v>
      </c>
      <c r="W1371" s="6" t="n">
        <v>2.35</v>
      </c>
      <c r="X1371" s="26" t="n">
        <f aca="false">IFERROR(W1371/N1371,0)</f>
        <v>0.0783333333333333</v>
      </c>
      <c r="Y1371" s="22" t="str">
        <f aca="false">IF(W1371&gt;0,"Win",IF(W1371&lt;0,"Loss","Flat"))</f>
        <v>Win</v>
      </c>
      <c r="Z1371" s="24" t="n">
        <f aca="false">Summary!$C$5+SUM(W$2:W1371)</f>
        <v>3591.15</v>
      </c>
      <c r="AA1371" s="24" t="n">
        <f aca="false">MAX(AA1370,Z1371)</f>
        <v>5000</v>
      </c>
      <c r="AB1371" s="24" t="n">
        <f aca="false">AA1371-Z1371</f>
        <v>1408.85</v>
      </c>
      <c r="AC1371" s="23" t="n">
        <f aca="false">IFERROR(AB1371/AA1371,0)</f>
        <v>0.28177</v>
      </c>
      <c r="AD1371" s="22" t="s">
        <v>1608</v>
      </c>
    </row>
    <row r="1372" customFormat="false" ht="15" hidden="false" customHeight="false" outlineLevel="0" collapsed="false">
      <c r="A1372" s="22" t="n">
        <v>1371</v>
      </c>
      <c r="B1372" s="22" t="s">
        <v>160</v>
      </c>
      <c r="C1372" s="37" t="n">
        <v>45883.1397569445</v>
      </c>
      <c r="D1372" s="22" t="s">
        <v>205</v>
      </c>
      <c r="E1372" s="22" t="n">
        <v>3</v>
      </c>
      <c r="F1372" s="22" t="s">
        <v>181</v>
      </c>
      <c r="G1372" s="22" t="s">
        <v>243</v>
      </c>
      <c r="H1372" s="22" t="n">
        <v>0.05</v>
      </c>
      <c r="I1372" s="38" t="n">
        <v>3370.51</v>
      </c>
      <c r="J1372" s="38" t="n">
        <v>3370.6</v>
      </c>
      <c r="K1372" s="39" t="n">
        <f aca="false">IF(F1372="BUY",J1372-I1372,I1372-J1372)</f>
        <v>0.0899999999996908</v>
      </c>
      <c r="L1372" s="38" t="n">
        <v>3364.51</v>
      </c>
      <c r="M1372" s="39" t="n">
        <f aca="false">ABS(I1372-L1372)</f>
        <v>6</v>
      </c>
      <c r="N1372" s="24" t="n">
        <f aca="false">M1372*H1372*Summary!$C$6</f>
        <v>30</v>
      </c>
      <c r="O1372" s="37" t="n">
        <v>45883.148587963</v>
      </c>
      <c r="P1372" s="22" t="n">
        <f aca="false">ROUND((O1372-C1372)*86400,0)</f>
        <v>763</v>
      </c>
      <c r="Q1372" s="22" t="str">
        <f aca="false">IF(P1372&lt;10,"a) &lt;10s",IF(P1372&lt;60,"b) 10-60s",IF(P1372&lt;600,"c) 1-10min","d) &gt;10min")))</f>
        <v>d) &gt;10min</v>
      </c>
      <c r="R1372" s="38" t="n">
        <v>3371.1</v>
      </c>
      <c r="S1372" s="38" t="n">
        <v>3371.08</v>
      </c>
      <c r="T1372" s="22" t="s">
        <v>189</v>
      </c>
      <c r="U1372" s="39" t="n">
        <f aca="false">IF(R1372="","",IF(F1372="BUY",R1372-S1372,S1372-R1372))</f>
        <v>0.0199999999999818</v>
      </c>
      <c r="V1372" s="39" t="n">
        <f aca="false">IF(F1372="BUY",S1372-J1372,J1372-S1372)</f>
        <v>0.480000000000018</v>
      </c>
      <c r="W1372" s="6" t="n">
        <v>2.4</v>
      </c>
      <c r="X1372" s="26" t="n">
        <f aca="false">IFERROR(W1372/N1372,0)</f>
        <v>0.08</v>
      </c>
      <c r="Y1372" s="22" t="str">
        <f aca="false">IF(W1372&gt;0,"Win",IF(W1372&lt;0,"Loss","Flat"))</f>
        <v>Win</v>
      </c>
      <c r="Z1372" s="24" t="n">
        <f aca="false">Summary!$C$5+SUM(W$2:W1372)</f>
        <v>3593.55</v>
      </c>
      <c r="AA1372" s="24" t="n">
        <f aca="false">MAX(AA1371,Z1372)</f>
        <v>5000</v>
      </c>
      <c r="AB1372" s="24" t="n">
        <f aca="false">AA1372-Z1372</f>
        <v>1406.45</v>
      </c>
      <c r="AC1372" s="23" t="n">
        <f aca="false">IFERROR(AB1372/AA1372,0)</f>
        <v>0.28129</v>
      </c>
      <c r="AD1372" s="22" t="s">
        <v>1609</v>
      </c>
    </row>
    <row r="1373" customFormat="false" ht="15" hidden="false" customHeight="false" outlineLevel="0" collapsed="false">
      <c r="A1373" s="22" t="n">
        <v>1372</v>
      </c>
      <c r="B1373" s="22" t="s">
        <v>160</v>
      </c>
      <c r="C1373" s="37" t="n">
        <v>45883.3786111111</v>
      </c>
      <c r="D1373" s="22" t="s">
        <v>205</v>
      </c>
      <c r="E1373" s="22" t="n">
        <v>9</v>
      </c>
      <c r="F1373" s="22" t="s">
        <v>182</v>
      </c>
      <c r="G1373" s="22" t="s">
        <v>241</v>
      </c>
      <c r="H1373" s="22" t="n">
        <v>0.05</v>
      </c>
      <c r="I1373" s="38" t="n">
        <v>3356.03</v>
      </c>
      <c r="J1373" s="38" t="n">
        <v>3355.95</v>
      </c>
      <c r="K1373" s="39" t="n">
        <f aca="false">IF(F1373="BUY",J1373-I1373,I1373-J1373)</f>
        <v>0.080000000000382</v>
      </c>
      <c r="L1373" s="38" t="n">
        <v>3362.03</v>
      </c>
      <c r="M1373" s="39" t="n">
        <f aca="false">ABS(I1373-L1373)</f>
        <v>6</v>
      </c>
      <c r="N1373" s="24" t="n">
        <f aca="false">M1373*H1373*Summary!$C$6</f>
        <v>30</v>
      </c>
      <c r="O1373" s="37" t="n">
        <v>45883.4152777778</v>
      </c>
      <c r="P1373" s="22" t="n">
        <f aca="false">ROUND((O1373-C1373)*86400,0)</f>
        <v>3168</v>
      </c>
      <c r="Q1373" s="22" t="str">
        <f aca="false">IF(P1373&lt;10,"a) &lt;10s",IF(P1373&lt;60,"b) 10-60s",IF(P1373&lt;600,"c) 1-10min","d) &gt;10min")))</f>
        <v>d) &gt;10min</v>
      </c>
      <c r="R1373" s="38" t="n">
        <v>3362.03</v>
      </c>
      <c r="S1373" s="38" t="n">
        <v>3362.05</v>
      </c>
      <c r="T1373" s="22" t="s">
        <v>188</v>
      </c>
      <c r="U1373" s="39" t="n">
        <f aca="false">IF(R1373="","",IF(F1373="BUY",R1373-S1373,S1373-R1373))</f>
        <v>0.0199999999999818</v>
      </c>
      <c r="V1373" s="39" t="n">
        <f aca="false">IF(F1373="BUY",S1373-J1373,J1373-S1373)</f>
        <v>-6.10000000000036</v>
      </c>
      <c r="W1373" s="6" t="n">
        <v>-30.5</v>
      </c>
      <c r="X1373" s="26" t="n">
        <f aca="false">IFERROR(W1373/N1373,0)</f>
        <v>-1.01666666666667</v>
      </c>
      <c r="Y1373" s="22" t="str">
        <f aca="false">IF(W1373&gt;0,"Win",IF(W1373&lt;0,"Loss","Flat"))</f>
        <v>Loss</v>
      </c>
      <c r="Z1373" s="24" t="n">
        <f aca="false">Summary!$C$5+SUM(W$2:W1373)</f>
        <v>3563.05</v>
      </c>
      <c r="AA1373" s="24" t="n">
        <f aca="false">MAX(AA1372,Z1373)</f>
        <v>5000</v>
      </c>
      <c r="AB1373" s="24" t="n">
        <f aca="false">AA1373-Z1373</f>
        <v>1436.95</v>
      </c>
      <c r="AC1373" s="23" t="n">
        <f aca="false">IFERROR(AB1373/AA1373,0)</f>
        <v>0.28739</v>
      </c>
      <c r="AD1373" s="22" t="s">
        <v>1610</v>
      </c>
    </row>
    <row r="1374" customFormat="false" ht="15" hidden="false" customHeight="false" outlineLevel="0" collapsed="false">
      <c r="A1374" s="22" t="n">
        <v>1373</v>
      </c>
      <c r="B1374" s="22" t="s">
        <v>160</v>
      </c>
      <c r="C1374" s="37" t="n">
        <v>45884.3797800926</v>
      </c>
      <c r="D1374" s="22" t="s">
        <v>206</v>
      </c>
      <c r="E1374" s="22" t="n">
        <v>9</v>
      </c>
      <c r="F1374" s="22" t="s">
        <v>182</v>
      </c>
      <c r="G1374" s="22" t="s">
        <v>241</v>
      </c>
      <c r="H1374" s="22" t="n">
        <v>0.05</v>
      </c>
      <c r="I1374" s="38" t="n">
        <v>3341.75</v>
      </c>
      <c r="J1374" s="38" t="n">
        <v>3341.73</v>
      </c>
      <c r="K1374" s="39" t="n">
        <f aca="false">IF(F1374="BUY",J1374-I1374,I1374-J1374)</f>
        <v>0.0199999999999818</v>
      </c>
      <c r="L1374" s="38" t="n">
        <v>3347.75</v>
      </c>
      <c r="M1374" s="39" t="n">
        <f aca="false">ABS(I1374-L1374)</f>
        <v>6</v>
      </c>
      <c r="N1374" s="24" t="n">
        <f aca="false">M1374*H1374*Summary!$C$6</f>
        <v>30</v>
      </c>
      <c r="O1374" s="37" t="n">
        <v>45884.4603356482</v>
      </c>
      <c r="P1374" s="22" t="n">
        <f aca="false">ROUND((O1374-C1374)*86400,0)</f>
        <v>6960</v>
      </c>
      <c r="Q1374" s="22" t="str">
        <f aca="false">IF(P1374&lt;10,"a) &lt;10s",IF(P1374&lt;60,"b) 10-60s",IF(P1374&lt;600,"c) 1-10min","d) &gt;10min")))</f>
        <v>d) &gt;10min</v>
      </c>
      <c r="R1374" s="38" t="n">
        <v>3347.75</v>
      </c>
      <c r="S1374" s="38" t="n">
        <v>3347.75</v>
      </c>
      <c r="T1374" s="22" t="s">
        <v>188</v>
      </c>
      <c r="U1374" s="39" t="n">
        <f aca="false">IF(R1374="","",IF(F1374="BUY",R1374-S1374,S1374-R1374))</f>
        <v>0</v>
      </c>
      <c r="V1374" s="39" t="n">
        <f aca="false">IF(F1374="BUY",S1374-J1374,J1374-S1374)</f>
        <v>-6.01999999999998</v>
      </c>
      <c r="W1374" s="6" t="n">
        <v>-30.1</v>
      </c>
      <c r="X1374" s="26" t="n">
        <f aca="false">IFERROR(W1374/N1374,0)</f>
        <v>-1.00333333333333</v>
      </c>
      <c r="Y1374" s="22" t="str">
        <f aca="false">IF(W1374&gt;0,"Win",IF(W1374&lt;0,"Loss","Flat"))</f>
        <v>Loss</v>
      </c>
      <c r="Z1374" s="24" t="n">
        <f aca="false">Summary!$C$5+SUM(W$2:W1374)</f>
        <v>3532.95</v>
      </c>
      <c r="AA1374" s="24" t="n">
        <f aca="false">MAX(AA1373,Z1374)</f>
        <v>5000</v>
      </c>
      <c r="AB1374" s="24" t="n">
        <f aca="false">AA1374-Z1374</f>
        <v>1467.05</v>
      </c>
      <c r="AC1374" s="23" t="n">
        <f aca="false">IFERROR(AB1374/AA1374,0)</f>
        <v>0.29341</v>
      </c>
      <c r="AD1374" s="22" t="s">
        <v>1611</v>
      </c>
    </row>
    <row r="1375" customFormat="false" ht="15" hidden="false" customHeight="false" outlineLevel="0" collapsed="false">
      <c r="A1375" s="22" t="n">
        <v>1374</v>
      </c>
      <c r="B1375" s="22" t="s">
        <v>160</v>
      </c>
      <c r="C1375" s="37" t="n">
        <v>45887.0917824074</v>
      </c>
      <c r="D1375" s="22" t="s">
        <v>202</v>
      </c>
      <c r="E1375" s="22" t="n">
        <v>2</v>
      </c>
      <c r="F1375" s="22" t="s">
        <v>182</v>
      </c>
      <c r="G1375" s="22" t="s">
        <v>237</v>
      </c>
      <c r="H1375" s="22" t="n">
        <v>0.05</v>
      </c>
      <c r="I1375" s="38" t="n">
        <v>3331.95</v>
      </c>
      <c r="J1375" s="38" t="n">
        <v>3331.14</v>
      </c>
      <c r="K1375" s="39" t="n">
        <f aca="false">IF(F1375="BUY",J1375-I1375,I1375-J1375)</f>
        <v>0.809999999999945</v>
      </c>
      <c r="L1375" s="38" t="n">
        <v>3337.95</v>
      </c>
      <c r="M1375" s="39" t="n">
        <f aca="false">ABS(I1375-L1375)</f>
        <v>6</v>
      </c>
      <c r="N1375" s="24" t="n">
        <f aca="false">M1375*H1375*Summary!$C$6</f>
        <v>30</v>
      </c>
      <c r="O1375" s="37" t="n">
        <v>45887.1292013889</v>
      </c>
      <c r="P1375" s="22" t="n">
        <f aca="false">ROUND((O1375-C1375)*86400,0)</f>
        <v>3233</v>
      </c>
      <c r="Q1375" s="22" t="str">
        <f aca="false">IF(P1375&lt;10,"a) &lt;10s",IF(P1375&lt;60,"b) 10-60s",IF(P1375&lt;600,"c) 1-10min","d) &gt;10min")))</f>
        <v>d) &gt;10min</v>
      </c>
      <c r="R1375" s="38" t="n">
        <v>3330.64</v>
      </c>
      <c r="S1375" s="38" t="n">
        <v>3330.65</v>
      </c>
      <c r="T1375" s="22" t="s">
        <v>189</v>
      </c>
      <c r="U1375" s="39" t="n">
        <f aca="false">IF(R1375="","",IF(F1375="BUY",R1375-S1375,S1375-R1375))</f>
        <v>0.0100000000002183</v>
      </c>
      <c r="V1375" s="39" t="n">
        <f aca="false">IF(F1375="BUY",S1375-J1375,J1375-S1375)</f>
        <v>0.489999999999782</v>
      </c>
      <c r="W1375" s="6" t="n">
        <v>2.45</v>
      </c>
      <c r="X1375" s="26" t="n">
        <f aca="false">IFERROR(W1375/N1375,0)</f>
        <v>0.0816666666666667</v>
      </c>
      <c r="Y1375" s="22" t="str">
        <f aca="false">IF(W1375&gt;0,"Win",IF(W1375&lt;0,"Loss","Flat"))</f>
        <v>Win</v>
      </c>
      <c r="Z1375" s="24" t="n">
        <f aca="false">Summary!$C$5+SUM(W$2:W1375)</f>
        <v>3535.4</v>
      </c>
      <c r="AA1375" s="24" t="n">
        <f aca="false">MAX(AA1374,Z1375)</f>
        <v>5000</v>
      </c>
      <c r="AB1375" s="24" t="n">
        <f aca="false">AA1375-Z1375</f>
        <v>1464.6</v>
      </c>
      <c r="AC1375" s="23" t="n">
        <f aca="false">IFERROR(AB1375/AA1375,0)</f>
        <v>0.29292</v>
      </c>
      <c r="AD1375" s="22" t="s">
        <v>1612</v>
      </c>
    </row>
    <row r="1376" customFormat="false" ht="15" hidden="false" customHeight="false" outlineLevel="0" collapsed="false">
      <c r="A1376" s="22" t="n">
        <v>1375</v>
      </c>
      <c r="B1376" s="22" t="s">
        <v>160</v>
      </c>
      <c r="C1376" s="37" t="n">
        <v>45887.3875231482</v>
      </c>
      <c r="D1376" s="22" t="s">
        <v>202</v>
      </c>
      <c r="E1376" s="22" t="n">
        <v>9</v>
      </c>
      <c r="F1376" s="22" t="s">
        <v>182</v>
      </c>
      <c r="G1376" s="22" t="s">
        <v>241</v>
      </c>
      <c r="H1376" s="22" t="n">
        <v>0.05</v>
      </c>
      <c r="I1376" s="38" t="n">
        <v>3346.32</v>
      </c>
      <c r="J1376" s="38" t="n">
        <v>3346.32</v>
      </c>
      <c r="K1376" s="39" t="n">
        <f aca="false">IF(F1376="BUY",J1376-I1376,I1376-J1376)</f>
        <v>0</v>
      </c>
      <c r="L1376" s="38" t="n">
        <v>3352.32</v>
      </c>
      <c r="M1376" s="39" t="n">
        <f aca="false">ABS(I1376-L1376)</f>
        <v>6</v>
      </c>
      <c r="N1376" s="24" t="n">
        <f aca="false">M1376*H1376*Summary!$C$6</f>
        <v>30</v>
      </c>
      <c r="O1376" s="37" t="n">
        <v>45887.4212731482</v>
      </c>
      <c r="P1376" s="22" t="n">
        <f aca="false">ROUND((O1376-C1376)*86400,0)</f>
        <v>2916</v>
      </c>
      <c r="Q1376" s="22" t="str">
        <f aca="false">IF(P1376&lt;10,"a) &lt;10s",IF(P1376&lt;60,"b) 10-60s",IF(P1376&lt;600,"c) 1-10min","d) &gt;10min")))</f>
        <v>d) &gt;10min</v>
      </c>
      <c r="R1376" s="38" t="n">
        <v>3352.32</v>
      </c>
      <c r="S1376" s="38" t="n">
        <v>3352.33</v>
      </c>
      <c r="T1376" s="22" t="s">
        <v>188</v>
      </c>
      <c r="U1376" s="39" t="n">
        <f aca="false">IF(R1376="","",IF(F1376="BUY",R1376-S1376,S1376-R1376))</f>
        <v>0.00999999999976353</v>
      </c>
      <c r="V1376" s="39" t="n">
        <f aca="false">IF(F1376="BUY",S1376-J1376,J1376-S1376)</f>
        <v>-6.00999999999976</v>
      </c>
      <c r="W1376" s="6" t="n">
        <v>-30.05</v>
      </c>
      <c r="X1376" s="26" t="n">
        <f aca="false">IFERROR(W1376/N1376,0)</f>
        <v>-1.00166666666667</v>
      </c>
      <c r="Y1376" s="22" t="str">
        <f aca="false">IF(W1376&gt;0,"Win",IF(W1376&lt;0,"Loss","Flat"))</f>
        <v>Loss</v>
      </c>
      <c r="Z1376" s="24" t="n">
        <f aca="false">Summary!$C$5+SUM(W$2:W1376)</f>
        <v>3505.35</v>
      </c>
      <c r="AA1376" s="24" t="n">
        <f aca="false">MAX(AA1375,Z1376)</f>
        <v>5000</v>
      </c>
      <c r="AB1376" s="24" t="n">
        <f aca="false">AA1376-Z1376</f>
        <v>1494.65</v>
      </c>
      <c r="AC1376" s="23" t="n">
        <f aca="false">IFERROR(AB1376/AA1376,0)</f>
        <v>0.29893</v>
      </c>
      <c r="AD1376" s="22" t="s">
        <v>1613</v>
      </c>
    </row>
    <row r="1377" customFormat="false" ht="15" hidden="false" customHeight="false" outlineLevel="0" collapsed="false">
      <c r="A1377" s="22" t="n">
        <v>1376</v>
      </c>
      <c r="B1377" s="22" t="s">
        <v>160</v>
      </c>
      <c r="C1377" s="37" t="n">
        <v>45888.4222337963</v>
      </c>
      <c r="D1377" s="22" t="s">
        <v>203</v>
      </c>
      <c r="E1377" s="22" t="n">
        <v>10</v>
      </c>
      <c r="F1377" s="22" t="s">
        <v>181</v>
      </c>
      <c r="G1377" s="22" t="s">
        <v>235</v>
      </c>
      <c r="H1377" s="22" t="n">
        <v>0.05</v>
      </c>
      <c r="I1377" s="38" t="n">
        <v>3340.47</v>
      </c>
      <c r="J1377" s="38" t="n">
        <v>3340.47</v>
      </c>
      <c r="K1377" s="39" t="n">
        <f aca="false">IF(F1377="BUY",J1377-I1377,I1377-J1377)</f>
        <v>0</v>
      </c>
      <c r="L1377" s="38" t="n">
        <v>3334.47</v>
      </c>
      <c r="M1377" s="39" t="n">
        <f aca="false">ABS(I1377-L1377)</f>
        <v>6</v>
      </c>
      <c r="N1377" s="24" t="n">
        <f aca="false">M1377*H1377*Summary!$C$6</f>
        <v>30</v>
      </c>
      <c r="O1377" s="37" t="n">
        <v>45888.6037615741</v>
      </c>
      <c r="P1377" s="22" t="n">
        <f aca="false">ROUND((O1377-C1377)*86400,0)</f>
        <v>15684</v>
      </c>
      <c r="Q1377" s="22" t="str">
        <f aca="false">IF(P1377&lt;10,"a) &lt;10s",IF(P1377&lt;60,"b) 10-60s",IF(P1377&lt;600,"c) 1-10min","d) &gt;10min")))</f>
        <v>d) &gt;10min</v>
      </c>
      <c r="R1377" s="38" t="n">
        <v>3340.97</v>
      </c>
      <c r="S1377" s="38" t="n">
        <v>3340.92</v>
      </c>
      <c r="T1377" s="22" t="s">
        <v>189</v>
      </c>
      <c r="U1377" s="39" t="n">
        <f aca="false">IF(R1377="","",IF(F1377="BUY",R1377-S1377,S1377-R1377))</f>
        <v>0.0499999999997272</v>
      </c>
      <c r="V1377" s="39" t="n">
        <f aca="false">IF(F1377="BUY",S1377-J1377,J1377-S1377)</f>
        <v>0.450000000000273</v>
      </c>
      <c r="W1377" s="6" t="n">
        <v>2.25</v>
      </c>
      <c r="X1377" s="26" t="n">
        <f aca="false">IFERROR(W1377/N1377,0)</f>
        <v>0.075</v>
      </c>
      <c r="Y1377" s="22" t="str">
        <f aca="false">IF(W1377&gt;0,"Win",IF(W1377&lt;0,"Loss","Flat"))</f>
        <v>Win</v>
      </c>
      <c r="Z1377" s="24" t="n">
        <f aca="false">Summary!$C$5+SUM(W$2:W1377)</f>
        <v>3507.6</v>
      </c>
      <c r="AA1377" s="24" t="n">
        <f aca="false">MAX(AA1376,Z1377)</f>
        <v>5000</v>
      </c>
      <c r="AB1377" s="24" t="n">
        <f aca="false">AA1377-Z1377</f>
        <v>1492.4</v>
      </c>
      <c r="AC1377" s="23" t="n">
        <f aca="false">IFERROR(AB1377/AA1377,0)</f>
        <v>0.29848</v>
      </c>
      <c r="AD1377" s="22" t="s">
        <v>1614</v>
      </c>
    </row>
    <row r="1378" customFormat="false" ht="15" hidden="false" customHeight="false" outlineLevel="0" collapsed="false">
      <c r="A1378" s="22" t="n">
        <v>1377</v>
      </c>
      <c r="B1378" s="22" t="s">
        <v>160</v>
      </c>
      <c r="C1378" s="37" t="n">
        <v>45888.7410185185</v>
      </c>
      <c r="D1378" s="22" t="s">
        <v>203</v>
      </c>
      <c r="E1378" s="22" t="n">
        <v>17</v>
      </c>
      <c r="F1378" s="22" t="s">
        <v>182</v>
      </c>
      <c r="G1378" s="22" t="s">
        <v>237</v>
      </c>
      <c r="H1378" s="22" t="n">
        <v>0.05</v>
      </c>
      <c r="I1378" s="38" t="n">
        <v>3323.34</v>
      </c>
      <c r="J1378" s="38" t="n">
        <v>3323.27</v>
      </c>
      <c r="K1378" s="39" t="n">
        <f aca="false">IF(F1378="BUY",J1378-I1378,I1378-J1378)</f>
        <v>0.0700000000001637</v>
      </c>
      <c r="L1378" s="38" t="n">
        <v>3329.34</v>
      </c>
      <c r="M1378" s="39" t="n">
        <f aca="false">ABS(I1378-L1378)</f>
        <v>6</v>
      </c>
      <c r="N1378" s="24" t="n">
        <f aca="false">M1378*H1378*Summary!$C$6</f>
        <v>30</v>
      </c>
      <c r="O1378" s="37" t="n">
        <v>45888.7445833333</v>
      </c>
      <c r="P1378" s="22" t="n">
        <f aca="false">ROUND((O1378-C1378)*86400,0)</f>
        <v>308</v>
      </c>
      <c r="Q1378" s="22" t="str">
        <f aca="false">IF(P1378&lt;10,"a) &lt;10s",IF(P1378&lt;60,"b) 10-60s",IF(P1378&lt;600,"c) 1-10min","d) &gt;10min")))</f>
        <v>c) 1-10min</v>
      </c>
      <c r="R1378" s="38" t="n">
        <v>3322.77</v>
      </c>
      <c r="S1378" s="38" t="n">
        <v>3322.81</v>
      </c>
      <c r="T1378" s="22" t="s">
        <v>189</v>
      </c>
      <c r="U1378" s="39" t="n">
        <f aca="false">IF(R1378="","",IF(F1378="BUY",R1378-S1378,S1378-R1378))</f>
        <v>0.0399999999999636</v>
      </c>
      <c r="V1378" s="39" t="n">
        <f aca="false">IF(F1378="BUY",S1378-J1378,J1378-S1378)</f>
        <v>0.460000000000036</v>
      </c>
      <c r="W1378" s="6" t="n">
        <v>2.3</v>
      </c>
      <c r="X1378" s="26" t="n">
        <f aca="false">IFERROR(W1378/N1378,0)</f>
        <v>0.0766666666666667</v>
      </c>
      <c r="Y1378" s="22" t="str">
        <f aca="false">IF(W1378&gt;0,"Win",IF(W1378&lt;0,"Loss","Flat"))</f>
        <v>Win</v>
      </c>
      <c r="Z1378" s="24" t="n">
        <f aca="false">Summary!$C$5+SUM(W$2:W1378)</f>
        <v>3509.9</v>
      </c>
      <c r="AA1378" s="24" t="n">
        <f aca="false">MAX(AA1377,Z1378)</f>
        <v>5000</v>
      </c>
      <c r="AB1378" s="24" t="n">
        <f aca="false">AA1378-Z1378</f>
        <v>1490.1</v>
      </c>
      <c r="AC1378" s="23" t="n">
        <f aca="false">IFERROR(AB1378/AA1378,0)</f>
        <v>0.29802</v>
      </c>
      <c r="AD1378" s="22" t="s">
        <v>1615</v>
      </c>
    </row>
    <row r="1379" customFormat="false" ht="15" hidden="false" customHeight="false" outlineLevel="0" collapsed="false">
      <c r="A1379" s="22" t="n">
        <v>1378</v>
      </c>
      <c r="B1379" s="22" t="s">
        <v>160</v>
      </c>
      <c r="C1379" s="37" t="n">
        <v>45889.1193402778</v>
      </c>
      <c r="D1379" s="22" t="s">
        <v>204</v>
      </c>
      <c r="E1379" s="22" t="n">
        <v>2</v>
      </c>
      <c r="F1379" s="22" t="s">
        <v>182</v>
      </c>
      <c r="G1379" s="22" t="s">
        <v>237</v>
      </c>
      <c r="H1379" s="22" t="n">
        <v>0.05</v>
      </c>
      <c r="I1379" s="38" t="n">
        <v>3314.78</v>
      </c>
      <c r="J1379" s="38" t="n">
        <v>3314.74</v>
      </c>
      <c r="K1379" s="39" t="n">
        <f aca="false">IF(F1379="BUY",J1379-I1379,I1379-J1379)</f>
        <v>0.0400000000004184</v>
      </c>
      <c r="L1379" s="38" t="n">
        <v>3320.78</v>
      </c>
      <c r="M1379" s="39" t="n">
        <f aca="false">ABS(I1379-L1379)</f>
        <v>6</v>
      </c>
      <c r="N1379" s="24" t="n">
        <f aca="false">M1379*H1379*Summary!$C$6</f>
        <v>30</v>
      </c>
      <c r="O1379" s="37" t="n">
        <v>45889.1736111111</v>
      </c>
      <c r="P1379" s="22" t="n">
        <f aca="false">ROUND((O1379-C1379)*86400,0)</f>
        <v>4689</v>
      </c>
      <c r="Q1379" s="22" t="str">
        <f aca="false">IF(P1379&lt;10,"a) &lt;10s",IF(P1379&lt;60,"b) 10-60s",IF(P1379&lt;600,"c) 1-10min","d) &gt;10min")))</f>
        <v>d) &gt;10min</v>
      </c>
      <c r="R1379" s="38" t="n">
        <v>3314.24</v>
      </c>
      <c r="S1379" s="38" t="n">
        <v>3314.38</v>
      </c>
      <c r="T1379" s="22" t="s">
        <v>189</v>
      </c>
      <c r="U1379" s="39" t="n">
        <f aca="false">IF(R1379="","",IF(F1379="BUY",R1379-S1379,S1379-R1379))</f>
        <v>0.140000000000327</v>
      </c>
      <c r="V1379" s="39" t="n">
        <f aca="false">IF(F1379="BUY",S1379-J1379,J1379-S1379)</f>
        <v>0.359999999999673</v>
      </c>
      <c r="W1379" s="6" t="n">
        <v>1.8</v>
      </c>
      <c r="X1379" s="26" t="n">
        <f aca="false">IFERROR(W1379/N1379,0)</f>
        <v>0.06</v>
      </c>
      <c r="Y1379" s="22" t="str">
        <f aca="false">IF(W1379&gt;0,"Win",IF(W1379&lt;0,"Loss","Flat"))</f>
        <v>Win</v>
      </c>
      <c r="Z1379" s="24" t="n">
        <f aca="false">Summary!$C$5+SUM(W$2:W1379)</f>
        <v>3511.7</v>
      </c>
      <c r="AA1379" s="24" t="n">
        <f aca="false">MAX(AA1378,Z1379)</f>
        <v>5000</v>
      </c>
      <c r="AB1379" s="24" t="n">
        <f aca="false">AA1379-Z1379</f>
        <v>1488.3</v>
      </c>
      <c r="AC1379" s="23" t="n">
        <f aca="false">IFERROR(AB1379/AA1379,0)</f>
        <v>0.29766</v>
      </c>
      <c r="AD1379" s="22" t="s">
        <v>1616</v>
      </c>
    </row>
    <row r="1380" customFormat="false" ht="15" hidden="false" customHeight="false" outlineLevel="0" collapsed="false">
      <c r="A1380" s="22" t="n">
        <v>1379</v>
      </c>
      <c r="B1380" s="22" t="s">
        <v>160</v>
      </c>
      <c r="C1380" s="37" t="n">
        <v>45890.3860300926</v>
      </c>
      <c r="D1380" s="22" t="s">
        <v>205</v>
      </c>
      <c r="E1380" s="22" t="n">
        <v>9</v>
      </c>
      <c r="F1380" s="22" t="s">
        <v>182</v>
      </c>
      <c r="G1380" s="22" t="s">
        <v>241</v>
      </c>
      <c r="H1380" s="22" t="n">
        <v>0.05</v>
      </c>
      <c r="I1380" s="38" t="n">
        <v>3336.88</v>
      </c>
      <c r="J1380" s="38" t="n">
        <v>3336.86</v>
      </c>
      <c r="K1380" s="39" t="n">
        <f aca="false">IF(F1380="BUY",J1380-I1380,I1380-J1380)</f>
        <v>0.0199999999999818</v>
      </c>
      <c r="L1380" s="38" t="n">
        <v>3342.88</v>
      </c>
      <c r="M1380" s="39" t="n">
        <f aca="false">ABS(I1380-L1380)</f>
        <v>6</v>
      </c>
      <c r="N1380" s="24" t="n">
        <f aca="false">M1380*H1380*Summary!$C$6</f>
        <v>30</v>
      </c>
      <c r="O1380" s="37" t="n">
        <v>45890.3993518519</v>
      </c>
      <c r="P1380" s="22" t="n">
        <f aca="false">ROUND((O1380-C1380)*86400,0)</f>
        <v>1151</v>
      </c>
      <c r="Q1380" s="22" t="str">
        <f aca="false">IF(P1380&lt;10,"a) &lt;10s",IF(P1380&lt;60,"b) 10-60s",IF(P1380&lt;600,"c) 1-10min","d) &gt;10min")))</f>
        <v>d) &gt;10min</v>
      </c>
      <c r="R1380" s="38" t="n">
        <v>3336.36</v>
      </c>
      <c r="S1380" s="38" t="n">
        <v>3336.47</v>
      </c>
      <c r="T1380" s="22" t="s">
        <v>189</v>
      </c>
      <c r="U1380" s="39" t="n">
        <f aca="false">IF(R1380="","",IF(F1380="BUY",R1380-S1380,S1380-R1380))</f>
        <v>0.109999999999673</v>
      </c>
      <c r="V1380" s="39" t="n">
        <f aca="false">IF(F1380="BUY",S1380-J1380,J1380-S1380)</f>
        <v>0.390000000000327</v>
      </c>
      <c r="W1380" s="6" t="n">
        <v>1.95</v>
      </c>
      <c r="X1380" s="26" t="n">
        <f aca="false">IFERROR(W1380/N1380,0)</f>
        <v>0.065</v>
      </c>
      <c r="Y1380" s="22" t="str">
        <f aca="false">IF(W1380&gt;0,"Win",IF(W1380&lt;0,"Loss","Flat"))</f>
        <v>Win</v>
      </c>
      <c r="Z1380" s="24" t="n">
        <f aca="false">Summary!$C$5+SUM(W$2:W1380)</f>
        <v>3513.65</v>
      </c>
      <c r="AA1380" s="24" t="n">
        <f aca="false">MAX(AA1379,Z1380)</f>
        <v>5000</v>
      </c>
      <c r="AB1380" s="24" t="n">
        <f aca="false">AA1380-Z1380</f>
        <v>1486.35</v>
      </c>
      <c r="AC1380" s="23" t="n">
        <f aca="false">IFERROR(AB1380/AA1380,0)</f>
        <v>0.29727</v>
      </c>
      <c r="AD1380" s="22" t="s">
        <v>1617</v>
      </c>
    </row>
    <row r="1381" customFormat="false" ht="15" hidden="false" customHeight="false" outlineLevel="0" collapsed="false">
      <c r="A1381" s="22" t="n">
        <v>1380</v>
      </c>
      <c r="B1381" s="22" t="s">
        <v>160</v>
      </c>
      <c r="C1381" s="37" t="n">
        <v>45891.391724537</v>
      </c>
      <c r="D1381" s="22" t="s">
        <v>206</v>
      </c>
      <c r="E1381" s="22" t="n">
        <v>9</v>
      </c>
      <c r="F1381" s="22" t="s">
        <v>182</v>
      </c>
      <c r="G1381" s="22" t="s">
        <v>241</v>
      </c>
      <c r="H1381" s="22" t="n">
        <v>0.05</v>
      </c>
      <c r="I1381" s="38" t="n">
        <v>3327.02</v>
      </c>
      <c r="J1381" s="38" t="n">
        <v>3326.97</v>
      </c>
      <c r="K1381" s="39" t="n">
        <f aca="false">IF(F1381="BUY",J1381-I1381,I1381-J1381)</f>
        <v>0.0500000000001819</v>
      </c>
      <c r="L1381" s="38" t="n">
        <v>3333.02</v>
      </c>
      <c r="M1381" s="39" t="n">
        <f aca="false">ABS(I1381-L1381)</f>
        <v>6</v>
      </c>
      <c r="N1381" s="24" t="n">
        <f aca="false">M1381*H1381*Summary!$C$6</f>
        <v>30</v>
      </c>
      <c r="O1381" s="37" t="n">
        <v>45891.4210069445</v>
      </c>
      <c r="P1381" s="22" t="n">
        <f aca="false">ROUND((O1381-C1381)*86400,0)</f>
        <v>2530</v>
      </c>
      <c r="Q1381" s="22" t="str">
        <f aca="false">IF(P1381&lt;10,"a) &lt;10s",IF(P1381&lt;60,"b) 10-60s",IF(P1381&lt;600,"c) 1-10min","d) &gt;10min")))</f>
        <v>d) &gt;10min</v>
      </c>
      <c r="R1381" s="38" t="n">
        <v>3333.02</v>
      </c>
      <c r="S1381" s="38" t="n">
        <v>3333.05</v>
      </c>
      <c r="T1381" s="22" t="s">
        <v>188</v>
      </c>
      <c r="U1381" s="39" t="n">
        <f aca="false">IF(R1381="","",IF(F1381="BUY",R1381-S1381,S1381-R1381))</f>
        <v>0.0300000000002001</v>
      </c>
      <c r="V1381" s="39" t="n">
        <f aca="false">IF(F1381="BUY",S1381-J1381,J1381-S1381)</f>
        <v>-6.08000000000038</v>
      </c>
      <c r="W1381" s="6" t="n">
        <v>-30.4</v>
      </c>
      <c r="X1381" s="26" t="n">
        <f aca="false">IFERROR(W1381/N1381,0)</f>
        <v>-1.01333333333333</v>
      </c>
      <c r="Y1381" s="22" t="str">
        <f aca="false">IF(W1381&gt;0,"Win",IF(W1381&lt;0,"Loss","Flat"))</f>
        <v>Loss</v>
      </c>
      <c r="Z1381" s="24" t="n">
        <f aca="false">Summary!$C$5+SUM(W$2:W1381)</f>
        <v>3483.25</v>
      </c>
      <c r="AA1381" s="24" t="n">
        <f aca="false">MAX(AA1380,Z1381)</f>
        <v>5000</v>
      </c>
      <c r="AB1381" s="24" t="n">
        <f aca="false">AA1381-Z1381</f>
        <v>1516.75</v>
      </c>
      <c r="AC1381" s="23" t="n">
        <f aca="false">IFERROR(AB1381/AA1381,0)</f>
        <v>0.30335</v>
      </c>
      <c r="AD1381" s="22" t="s">
        <v>1618</v>
      </c>
    </row>
    <row r="1382" customFormat="false" ht="15" hidden="false" customHeight="false" outlineLevel="0" collapsed="false">
      <c r="A1382" s="22" t="n">
        <v>1381</v>
      </c>
      <c r="B1382" s="22" t="s">
        <v>160</v>
      </c>
      <c r="C1382" s="37" t="n">
        <v>45891.6333564815</v>
      </c>
      <c r="D1382" s="22" t="s">
        <v>206</v>
      </c>
      <c r="E1382" s="22" t="n">
        <v>15</v>
      </c>
      <c r="F1382" s="22" t="s">
        <v>182</v>
      </c>
      <c r="G1382" s="22" t="s">
        <v>237</v>
      </c>
      <c r="H1382" s="22" t="n">
        <v>0.05</v>
      </c>
      <c r="I1382" s="38" t="n">
        <v>3324.95</v>
      </c>
      <c r="J1382" s="38" t="n">
        <v>3324.94</v>
      </c>
      <c r="K1382" s="39" t="n">
        <f aca="false">IF(F1382="BUY",J1382-I1382,I1382-J1382)</f>
        <v>0.00999999999976353</v>
      </c>
      <c r="L1382" s="38" t="n">
        <v>3330.95</v>
      </c>
      <c r="M1382" s="39" t="n">
        <f aca="false">ABS(I1382-L1382)</f>
        <v>6</v>
      </c>
      <c r="N1382" s="24" t="n">
        <f aca="false">M1382*H1382*Summary!$C$6</f>
        <v>30</v>
      </c>
      <c r="O1382" s="37" t="n">
        <v>45891.6497453704</v>
      </c>
      <c r="P1382" s="22" t="n">
        <f aca="false">ROUND((O1382-C1382)*86400,0)</f>
        <v>1416</v>
      </c>
      <c r="Q1382" s="22" t="str">
        <f aca="false">IF(P1382&lt;10,"a) &lt;10s",IF(P1382&lt;60,"b) 10-60s",IF(P1382&lt;600,"c) 1-10min","d) &gt;10min")))</f>
        <v>d) &gt;10min</v>
      </c>
      <c r="R1382" s="38" t="n">
        <v>3324.44</v>
      </c>
      <c r="S1382" s="38" t="n">
        <v>3324.71</v>
      </c>
      <c r="T1382" s="22" t="s">
        <v>189</v>
      </c>
      <c r="U1382" s="39" t="n">
        <f aca="false">IF(R1382="","",IF(F1382="BUY",R1382-S1382,S1382-R1382))</f>
        <v>0.269999999999982</v>
      </c>
      <c r="V1382" s="39" t="n">
        <f aca="false">IF(F1382="BUY",S1382-J1382,J1382-S1382)</f>
        <v>0.230000000000018</v>
      </c>
      <c r="W1382" s="6" t="n">
        <v>1.15</v>
      </c>
      <c r="X1382" s="26" t="n">
        <f aca="false">IFERROR(W1382/N1382,0)</f>
        <v>0.0383333333333333</v>
      </c>
      <c r="Y1382" s="22" t="str">
        <f aca="false">IF(W1382&gt;0,"Win",IF(W1382&lt;0,"Loss","Flat"))</f>
        <v>Win</v>
      </c>
      <c r="Z1382" s="24" t="n">
        <f aca="false">Summary!$C$5+SUM(W$2:W1382)</f>
        <v>3484.4</v>
      </c>
      <c r="AA1382" s="24" t="n">
        <f aca="false">MAX(AA1381,Z1382)</f>
        <v>5000</v>
      </c>
      <c r="AB1382" s="24" t="n">
        <f aca="false">AA1382-Z1382</f>
        <v>1515.6</v>
      </c>
      <c r="AC1382" s="23" t="n">
        <f aca="false">IFERROR(AB1382/AA1382,0)</f>
        <v>0.30312</v>
      </c>
      <c r="AD1382" s="22" t="s">
        <v>1619</v>
      </c>
    </row>
    <row r="1383" customFormat="false" ht="15" hidden="false" customHeight="false" outlineLevel="0" collapsed="false">
      <c r="A1383" s="22" t="n">
        <v>1382</v>
      </c>
      <c r="B1383" s="22" t="s">
        <v>160</v>
      </c>
      <c r="C1383" s="37" t="n">
        <v>45894.3804398148</v>
      </c>
      <c r="D1383" s="22" t="s">
        <v>202</v>
      </c>
      <c r="E1383" s="22" t="n">
        <v>9</v>
      </c>
      <c r="F1383" s="22" t="s">
        <v>181</v>
      </c>
      <c r="G1383" s="22" t="s">
        <v>235</v>
      </c>
      <c r="H1383" s="22" t="n">
        <v>0.05</v>
      </c>
      <c r="I1383" s="38" t="n">
        <v>3367.46</v>
      </c>
      <c r="J1383" s="38" t="n">
        <v>3367.49</v>
      </c>
      <c r="K1383" s="39" t="n">
        <f aca="false">IF(F1383="BUY",J1383-I1383,I1383-J1383)</f>
        <v>0.0299999999997453</v>
      </c>
      <c r="L1383" s="38" t="n">
        <v>3361.46</v>
      </c>
      <c r="M1383" s="39" t="n">
        <f aca="false">ABS(I1383-L1383)</f>
        <v>6</v>
      </c>
      <c r="N1383" s="24" t="n">
        <f aca="false">M1383*H1383*Summary!$C$6</f>
        <v>30</v>
      </c>
      <c r="O1383" s="37" t="n">
        <v>45894.4266550926</v>
      </c>
      <c r="P1383" s="22" t="n">
        <f aca="false">ROUND((O1383-C1383)*86400,0)</f>
        <v>3993</v>
      </c>
      <c r="Q1383" s="22" t="str">
        <f aca="false">IF(P1383&lt;10,"a) &lt;10s",IF(P1383&lt;60,"b) 10-60s",IF(P1383&lt;600,"c) 1-10min","d) &gt;10min")))</f>
        <v>d) &gt;10min</v>
      </c>
      <c r="R1383" s="38" t="n">
        <v>3367.99</v>
      </c>
      <c r="S1383" s="38" t="n">
        <v>3367.98</v>
      </c>
      <c r="T1383" s="22" t="s">
        <v>189</v>
      </c>
      <c r="U1383" s="39" t="n">
        <f aca="false">IF(R1383="","",IF(F1383="BUY",R1383-S1383,S1383-R1383))</f>
        <v>0.00999999999976353</v>
      </c>
      <c r="V1383" s="39" t="n">
        <f aca="false">IF(F1383="BUY",S1383-J1383,J1383-S1383)</f>
        <v>0.490000000000236</v>
      </c>
      <c r="W1383" s="6" t="n">
        <v>2.45</v>
      </c>
      <c r="X1383" s="26" t="n">
        <f aca="false">IFERROR(W1383/N1383,0)</f>
        <v>0.0816666666666667</v>
      </c>
      <c r="Y1383" s="22" t="str">
        <f aca="false">IF(W1383&gt;0,"Win",IF(W1383&lt;0,"Loss","Flat"))</f>
        <v>Win</v>
      </c>
      <c r="Z1383" s="24" t="n">
        <f aca="false">Summary!$C$5+SUM(W$2:W1383)</f>
        <v>3486.85</v>
      </c>
      <c r="AA1383" s="24" t="n">
        <f aca="false">MAX(AA1382,Z1383)</f>
        <v>5000</v>
      </c>
      <c r="AB1383" s="24" t="n">
        <f aca="false">AA1383-Z1383</f>
        <v>1513.15</v>
      </c>
      <c r="AC1383" s="23" t="n">
        <f aca="false">IFERROR(AB1383/AA1383,0)</f>
        <v>0.30263</v>
      </c>
      <c r="AD1383" s="22" t="s">
        <v>1620</v>
      </c>
    </row>
    <row r="1384" customFormat="false" ht="15" hidden="false" customHeight="false" outlineLevel="0" collapsed="false">
      <c r="A1384" s="22" t="n">
        <v>1383</v>
      </c>
      <c r="B1384" s="22" t="s">
        <v>160</v>
      </c>
      <c r="C1384" s="37" t="n">
        <v>45895.092037037</v>
      </c>
      <c r="D1384" s="22" t="s">
        <v>203</v>
      </c>
      <c r="E1384" s="22" t="n">
        <v>2</v>
      </c>
      <c r="F1384" s="22" t="s">
        <v>182</v>
      </c>
      <c r="G1384" s="22" t="s">
        <v>237</v>
      </c>
      <c r="H1384" s="22" t="n">
        <v>0.05</v>
      </c>
      <c r="I1384" s="38" t="n">
        <v>3359.5</v>
      </c>
      <c r="J1384" s="38" t="n">
        <v>3359.4</v>
      </c>
      <c r="K1384" s="39" t="n">
        <f aca="false">IF(F1384="BUY",J1384-I1384,I1384-J1384)</f>
        <v>0.0999999999999091</v>
      </c>
      <c r="L1384" s="38" t="n">
        <v>3365.5</v>
      </c>
      <c r="M1384" s="39" t="n">
        <f aca="false">ABS(I1384-L1384)</f>
        <v>6</v>
      </c>
      <c r="N1384" s="24" t="n">
        <f aca="false">M1384*H1384*Summary!$C$6</f>
        <v>30</v>
      </c>
      <c r="O1384" s="37" t="n">
        <v>45895.1279513889</v>
      </c>
      <c r="P1384" s="22" t="n">
        <f aca="false">ROUND((O1384-C1384)*86400,0)</f>
        <v>3103</v>
      </c>
      <c r="Q1384" s="22" t="str">
        <f aca="false">IF(P1384&lt;10,"a) &lt;10s",IF(P1384&lt;60,"b) 10-60s",IF(P1384&lt;600,"c) 1-10min","d) &gt;10min")))</f>
        <v>d) &gt;10min</v>
      </c>
      <c r="R1384" s="38" t="n">
        <v>3358.9</v>
      </c>
      <c r="S1384" s="38" t="n">
        <v>3358.9</v>
      </c>
      <c r="T1384" s="22" t="s">
        <v>189</v>
      </c>
      <c r="U1384" s="39" t="n">
        <f aca="false">IF(R1384="","",IF(F1384="BUY",R1384-S1384,S1384-R1384))</f>
        <v>0</v>
      </c>
      <c r="V1384" s="39" t="n">
        <f aca="false">IF(F1384="BUY",S1384-J1384,J1384-S1384)</f>
        <v>0.5</v>
      </c>
      <c r="W1384" s="6" t="n">
        <v>2.5</v>
      </c>
      <c r="X1384" s="26" t="n">
        <f aca="false">IFERROR(W1384/N1384,0)</f>
        <v>0.0833333333333333</v>
      </c>
      <c r="Y1384" s="22" t="str">
        <f aca="false">IF(W1384&gt;0,"Win",IF(W1384&lt;0,"Loss","Flat"))</f>
        <v>Win</v>
      </c>
      <c r="Z1384" s="24" t="n">
        <f aca="false">Summary!$C$5+SUM(W$2:W1384)</f>
        <v>3489.35</v>
      </c>
      <c r="AA1384" s="24" t="n">
        <f aca="false">MAX(AA1383,Z1384)</f>
        <v>5000</v>
      </c>
      <c r="AB1384" s="24" t="n">
        <f aca="false">AA1384-Z1384</f>
        <v>1510.65</v>
      </c>
      <c r="AC1384" s="23" t="n">
        <f aca="false">IFERROR(AB1384/AA1384,0)</f>
        <v>0.30213</v>
      </c>
      <c r="AD1384" s="22" t="s">
        <v>1621</v>
      </c>
    </row>
    <row r="1385" customFormat="false" ht="15" hidden="false" customHeight="false" outlineLevel="0" collapsed="false">
      <c r="A1385" s="22" t="n">
        <v>1384</v>
      </c>
      <c r="B1385" s="22" t="s">
        <v>160</v>
      </c>
      <c r="C1385" s="37" t="n">
        <v>45895.4255324074</v>
      </c>
      <c r="D1385" s="22" t="s">
        <v>203</v>
      </c>
      <c r="E1385" s="22" t="n">
        <v>10</v>
      </c>
      <c r="F1385" s="22" t="s">
        <v>182</v>
      </c>
      <c r="G1385" s="22" t="s">
        <v>241</v>
      </c>
      <c r="H1385" s="22" t="n">
        <v>0.05</v>
      </c>
      <c r="I1385" s="38" t="n">
        <v>3371.98</v>
      </c>
      <c r="J1385" s="38" t="n">
        <v>3371.98</v>
      </c>
      <c r="K1385" s="39" t="n">
        <f aca="false">IF(F1385="BUY",J1385-I1385,I1385-J1385)</f>
        <v>0</v>
      </c>
      <c r="L1385" s="38" t="n">
        <v>3377.98</v>
      </c>
      <c r="M1385" s="39" t="n">
        <f aca="false">ABS(I1385-L1385)</f>
        <v>6</v>
      </c>
      <c r="N1385" s="24" t="n">
        <f aca="false">M1385*H1385*Summary!$C$6</f>
        <v>30</v>
      </c>
      <c r="O1385" s="37" t="n">
        <v>45895.4368402778</v>
      </c>
      <c r="P1385" s="22" t="n">
        <f aca="false">ROUND((O1385-C1385)*86400,0)</f>
        <v>977</v>
      </c>
      <c r="Q1385" s="22" t="str">
        <f aca="false">IF(P1385&lt;10,"a) &lt;10s",IF(P1385&lt;60,"b) 10-60s",IF(P1385&lt;600,"c) 1-10min","d) &gt;10min")))</f>
        <v>d) &gt;10min</v>
      </c>
      <c r="R1385" s="38" t="n">
        <v>3371.48</v>
      </c>
      <c r="S1385" s="38" t="n">
        <v>3371.48</v>
      </c>
      <c r="T1385" s="22" t="s">
        <v>189</v>
      </c>
      <c r="U1385" s="39" t="n">
        <f aca="false">IF(R1385="","",IF(F1385="BUY",R1385-S1385,S1385-R1385))</f>
        <v>0</v>
      </c>
      <c r="V1385" s="39" t="n">
        <f aca="false">IF(F1385="BUY",S1385-J1385,J1385-S1385)</f>
        <v>0.5</v>
      </c>
      <c r="W1385" s="6" t="n">
        <v>2.5</v>
      </c>
      <c r="X1385" s="26" t="n">
        <f aca="false">IFERROR(W1385/N1385,0)</f>
        <v>0.0833333333333333</v>
      </c>
      <c r="Y1385" s="22" t="str">
        <f aca="false">IF(W1385&gt;0,"Win",IF(W1385&lt;0,"Loss","Flat"))</f>
        <v>Win</v>
      </c>
      <c r="Z1385" s="24" t="n">
        <f aca="false">Summary!$C$5+SUM(W$2:W1385)</f>
        <v>3491.85</v>
      </c>
      <c r="AA1385" s="24" t="n">
        <f aca="false">MAX(AA1384,Z1385)</f>
        <v>5000</v>
      </c>
      <c r="AB1385" s="24" t="n">
        <f aca="false">AA1385-Z1385</f>
        <v>1508.15</v>
      </c>
      <c r="AC1385" s="23" t="n">
        <f aca="false">IFERROR(AB1385/AA1385,0)</f>
        <v>0.30163</v>
      </c>
      <c r="AD1385" s="22" t="s">
        <v>1622</v>
      </c>
    </row>
    <row r="1386" customFormat="false" ht="15" hidden="false" customHeight="false" outlineLevel="0" collapsed="false">
      <c r="A1386" s="22" t="n">
        <v>1385</v>
      </c>
      <c r="B1386" s="22" t="s">
        <v>160</v>
      </c>
      <c r="C1386" s="37" t="n">
        <v>45896.3874537037</v>
      </c>
      <c r="D1386" s="22" t="s">
        <v>204</v>
      </c>
      <c r="E1386" s="22" t="n">
        <v>9</v>
      </c>
      <c r="F1386" s="22" t="s">
        <v>181</v>
      </c>
      <c r="G1386" s="22" t="s">
        <v>235</v>
      </c>
      <c r="H1386" s="22" t="n">
        <v>0.05</v>
      </c>
      <c r="I1386" s="38" t="n">
        <v>3381.03</v>
      </c>
      <c r="J1386" s="38" t="n">
        <v>3381.04</v>
      </c>
      <c r="K1386" s="39" t="n">
        <f aca="false">IF(F1386="BUY",J1386-I1386,I1386-J1386)</f>
        <v>0.00999999999976353</v>
      </c>
      <c r="L1386" s="38" t="n">
        <v>3375.03</v>
      </c>
      <c r="M1386" s="39" t="n">
        <f aca="false">ABS(I1386-L1386)</f>
        <v>6</v>
      </c>
      <c r="N1386" s="24" t="n">
        <f aca="false">M1386*H1386*Summary!$C$6</f>
        <v>30</v>
      </c>
      <c r="O1386" s="37" t="n">
        <v>45896.4200578704</v>
      </c>
      <c r="P1386" s="22" t="n">
        <f aca="false">ROUND((O1386-C1386)*86400,0)</f>
        <v>2817</v>
      </c>
      <c r="Q1386" s="22" t="str">
        <f aca="false">IF(P1386&lt;10,"a) &lt;10s",IF(P1386&lt;60,"b) 10-60s",IF(P1386&lt;600,"c) 1-10min","d) &gt;10min")))</f>
        <v>d) &gt;10min</v>
      </c>
      <c r="R1386" s="38" t="n">
        <v>3375.03</v>
      </c>
      <c r="S1386" s="38" t="n">
        <v>3374.98</v>
      </c>
      <c r="T1386" s="22" t="s">
        <v>188</v>
      </c>
      <c r="U1386" s="39" t="n">
        <f aca="false">IF(R1386="","",IF(F1386="BUY",R1386-S1386,S1386-R1386))</f>
        <v>0.0500000000001819</v>
      </c>
      <c r="V1386" s="39" t="n">
        <f aca="false">IF(F1386="BUY",S1386-J1386,J1386-S1386)</f>
        <v>-6.05999999999995</v>
      </c>
      <c r="W1386" s="6" t="n">
        <v>-30.3</v>
      </c>
      <c r="X1386" s="26" t="n">
        <f aca="false">IFERROR(W1386/N1386,0)</f>
        <v>-1.01</v>
      </c>
      <c r="Y1386" s="22" t="str">
        <f aca="false">IF(W1386&gt;0,"Win",IF(W1386&lt;0,"Loss","Flat"))</f>
        <v>Loss</v>
      </c>
      <c r="Z1386" s="24" t="n">
        <f aca="false">Summary!$C$5+SUM(W$2:W1386)</f>
        <v>3461.55</v>
      </c>
      <c r="AA1386" s="24" t="n">
        <f aca="false">MAX(AA1385,Z1386)</f>
        <v>5000</v>
      </c>
      <c r="AB1386" s="24" t="n">
        <f aca="false">AA1386-Z1386</f>
        <v>1538.45</v>
      </c>
      <c r="AC1386" s="23" t="n">
        <f aca="false">IFERROR(AB1386/AA1386,0)</f>
        <v>0.30769</v>
      </c>
      <c r="AD1386" s="22" t="s">
        <v>1623</v>
      </c>
    </row>
    <row r="1387" customFormat="false" ht="15" hidden="false" customHeight="false" outlineLevel="0" collapsed="false">
      <c r="A1387" s="22" t="n">
        <v>1386</v>
      </c>
      <c r="B1387" s="22" t="s">
        <v>160</v>
      </c>
      <c r="C1387" s="37" t="n">
        <v>45897.3788078704</v>
      </c>
      <c r="D1387" s="22" t="s">
        <v>205</v>
      </c>
      <c r="E1387" s="22" t="n">
        <v>9</v>
      </c>
      <c r="F1387" s="22" t="s">
        <v>181</v>
      </c>
      <c r="G1387" s="22" t="s">
        <v>235</v>
      </c>
      <c r="H1387" s="22" t="n">
        <v>0.05</v>
      </c>
      <c r="I1387" s="38" t="n">
        <v>3392.06</v>
      </c>
      <c r="J1387" s="38" t="n">
        <v>3392.13</v>
      </c>
      <c r="K1387" s="39" t="n">
        <f aca="false">IF(F1387="BUY",J1387-I1387,I1387-J1387)</f>
        <v>0.0700000000001637</v>
      </c>
      <c r="L1387" s="38" t="n">
        <v>3386.06</v>
      </c>
      <c r="M1387" s="39" t="n">
        <f aca="false">ABS(I1387-L1387)</f>
        <v>6</v>
      </c>
      <c r="N1387" s="24" t="n">
        <f aca="false">M1387*H1387*Summary!$C$6</f>
        <v>30</v>
      </c>
      <c r="O1387" s="37" t="n">
        <v>45897.9270833333</v>
      </c>
      <c r="P1387" s="22" t="n">
        <f aca="false">ROUND((O1387-C1387)*86400,0)</f>
        <v>47371</v>
      </c>
      <c r="Q1387" s="22" t="str">
        <f aca="false">IF(P1387&lt;10,"a) &lt;10s",IF(P1387&lt;60,"b) 10-60s",IF(P1387&lt;600,"c) 1-10min","d) &gt;10min")))</f>
        <v>d) &gt;10min</v>
      </c>
      <c r="R1387" s="38"/>
      <c r="S1387" s="38" t="n">
        <v>3418.31</v>
      </c>
      <c r="T1387" s="22" t="s">
        <v>191</v>
      </c>
      <c r="U1387" s="39" t="str">
        <f aca="false">IF(R1387="","",IF(F1387="BUY",R1387-S1387,S1387-R1387))</f>
        <v/>
      </c>
      <c r="V1387" s="39" t="n">
        <f aca="false">IF(F1387="BUY",S1387-J1387,J1387-S1387)</f>
        <v>26.1799999999998</v>
      </c>
      <c r="W1387" s="6" t="n">
        <v>130.9</v>
      </c>
      <c r="X1387" s="26" t="n">
        <f aca="false">IFERROR(W1387/N1387,0)</f>
        <v>4.36333333333333</v>
      </c>
      <c r="Y1387" s="22" t="str">
        <f aca="false">IF(W1387&gt;0,"Win",IF(W1387&lt;0,"Loss","Flat"))</f>
        <v>Win</v>
      </c>
      <c r="Z1387" s="24" t="n">
        <f aca="false">Summary!$C$5+SUM(W$2:W1387)</f>
        <v>3592.45</v>
      </c>
      <c r="AA1387" s="24" t="n">
        <f aca="false">MAX(AA1386,Z1387)</f>
        <v>5000</v>
      </c>
      <c r="AB1387" s="24" t="n">
        <f aca="false">AA1387-Z1387</f>
        <v>1407.55</v>
      </c>
      <c r="AC1387" s="23" t="n">
        <f aca="false">IFERROR(AB1387/AA1387,0)</f>
        <v>0.28151</v>
      </c>
      <c r="AD1387" s="22" t="s">
        <v>1624</v>
      </c>
    </row>
    <row r="1388" customFormat="false" ht="15" hidden="false" customHeight="false" outlineLevel="0" collapsed="false">
      <c r="A1388" s="22" t="n">
        <v>1387</v>
      </c>
      <c r="B1388" s="22" t="s">
        <v>160</v>
      </c>
      <c r="C1388" s="37" t="n">
        <v>45898.3752430556</v>
      </c>
      <c r="D1388" s="22" t="s">
        <v>206</v>
      </c>
      <c r="E1388" s="22" t="n">
        <v>9</v>
      </c>
      <c r="F1388" s="22" t="s">
        <v>181</v>
      </c>
      <c r="G1388" s="22" t="s">
        <v>235</v>
      </c>
      <c r="H1388" s="22" t="n">
        <v>0.05</v>
      </c>
      <c r="I1388" s="38" t="n">
        <v>3411.19</v>
      </c>
      <c r="J1388" s="38" t="n">
        <v>3411.4</v>
      </c>
      <c r="K1388" s="39" t="n">
        <f aca="false">IF(F1388="BUY",J1388-I1388,I1388-J1388)</f>
        <v>0.210000000000036</v>
      </c>
      <c r="L1388" s="38" t="n">
        <v>3405.19</v>
      </c>
      <c r="M1388" s="39" t="n">
        <f aca="false">ABS(I1388-L1388)</f>
        <v>6</v>
      </c>
      <c r="N1388" s="24" t="n">
        <f aca="false">M1388*H1388*Summary!$C$6</f>
        <v>30</v>
      </c>
      <c r="O1388" s="37" t="n">
        <v>45898.4751736111</v>
      </c>
      <c r="P1388" s="22" t="n">
        <f aca="false">ROUND((O1388-C1388)*86400,0)</f>
        <v>8634</v>
      </c>
      <c r="Q1388" s="22" t="str">
        <f aca="false">IF(P1388&lt;10,"a) &lt;10s",IF(P1388&lt;60,"b) 10-60s",IF(P1388&lt;600,"c) 1-10min","d) &gt;10min")))</f>
        <v>d) &gt;10min</v>
      </c>
      <c r="R1388" s="38" t="n">
        <v>3411.9</v>
      </c>
      <c r="S1388" s="38" t="n">
        <v>3411.83</v>
      </c>
      <c r="T1388" s="22" t="s">
        <v>189</v>
      </c>
      <c r="U1388" s="39" t="n">
        <f aca="false">IF(R1388="","",IF(F1388="BUY",R1388-S1388,S1388-R1388))</f>
        <v>0.0700000000001637</v>
      </c>
      <c r="V1388" s="39" t="n">
        <f aca="false">IF(F1388="BUY",S1388-J1388,J1388-S1388)</f>
        <v>0.429999999999836</v>
      </c>
      <c r="W1388" s="6" t="n">
        <v>2.15</v>
      </c>
      <c r="X1388" s="26" t="n">
        <f aca="false">IFERROR(W1388/N1388,0)</f>
        <v>0.0716666666666667</v>
      </c>
      <c r="Y1388" s="22" t="str">
        <f aca="false">IF(W1388&gt;0,"Win",IF(W1388&lt;0,"Loss","Flat"))</f>
        <v>Win</v>
      </c>
      <c r="Z1388" s="24" t="n">
        <f aca="false">Summary!$C$5+SUM(W$2:W1388)</f>
        <v>3594.6</v>
      </c>
      <c r="AA1388" s="24" t="n">
        <f aca="false">MAX(AA1387,Z1388)</f>
        <v>5000</v>
      </c>
      <c r="AB1388" s="24" t="n">
        <f aca="false">AA1388-Z1388</f>
        <v>1405.4</v>
      </c>
      <c r="AC1388" s="23" t="n">
        <f aca="false">IFERROR(AB1388/AA1388,0)</f>
        <v>0.28108</v>
      </c>
      <c r="AD1388" s="22" t="s">
        <v>1625</v>
      </c>
    </row>
    <row r="1389" customFormat="false" ht="15" hidden="false" customHeight="false" outlineLevel="0" collapsed="false">
      <c r="A1389" s="22" t="n">
        <v>1388</v>
      </c>
      <c r="B1389" s="22" t="s">
        <v>160</v>
      </c>
      <c r="C1389" s="37" t="n">
        <v>45898.6932986111</v>
      </c>
      <c r="D1389" s="22" t="s">
        <v>206</v>
      </c>
      <c r="E1389" s="22" t="n">
        <v>16</v>
      </c>
      <c r="F1389" s="22" t="s">
        <v>181</v>
      </c>
      <c r="G1389" s="22" t="s">
        <v>243</v>
      </c>
      <c r="H1389" s="22" t="n">
        <v>0.05</v>
      </c>
      <c r="I1389" s="38" t="n">
        <v>3423.07</v>
      </c>
      <c r="J1389" s="38" t="n">
        <v>3423.19</v>
      </c>
      <c r="K1389" s="39" t="n">
        <f aca="false">IF(F1389="BUY",J1389-I1389,I1389-J1389)</f>
        <v>0.119999999999891</v>
      </c>
      <c r="L1389" s="38" t="n">
        <v>3417.07</v>
      </c>
      <c r="M1389" s="39" t="n">
        <f aca="false">ABS(I1389-L1389)</f>
        <v>6</v>
      </c>
      <c r="N1389" s="24" t="n">
        <f aca="false">M1389*H1389*Summary!$C$6</f>
        <v>30</v>
      </c>
      <c r="O1389" s="37" t="n">
        <v>45898.6981944444</v>
      </c>
      <c r="P1389" s="22" t="n">
        <f aca="false">ROUND((O1389-C1389)*86400,0)</f>
        <v>423</v>
      </c>
      <c r="Q1389" s="22" t="str">
        <f aca="false">IF(P1389&lt;10,"a) &lt;10s",IF(P1389&lt;60,"b) 10-60s",IF(P1389&lt;600,"c) 1-10min","d) &gt;10min")))</f>
        <v>c) 1-10min</v>
      </c>
      <c r="R1389" s="38" t="n">
        <v>3423.69</v>
      </c>
      <c r="S1389" s="38" t="n">
        <v>3423.68</v>
      </c>
      <c r="T1389" s="22" t="s">
        <v>189</v>
      </c>
      <c r="U1389" s="39" t="n">
        <f aca="false">IF(R1389="","",IF(F1389="BUY",R1389-S1389,S1389-R1389))</f>
        <v>0.0100000000002183</v>
      </c>
      <c r="V1389" s="39" t="n">
        <f aca="false">IF(F1389="BUY",S1389-J1389,J1389-S1389)</f>
        <v>0.489999999999782</v>
      </c>
      <c r="W1389" s="6" t="n">
        <v>2.45</v>
      </c>
      <c r="X1389" s="26" t="n">
        <f aca="false">IFERROR(W1389/N1389,0)</f>
        <v>0.0816666666666667</v>
      </c>
      <c r="Y1389" s="22" t="str">
        <f aca="false">IF(W1389&gt;0,"Win",IF(W1389&lt;0,"Loss","Flat"))</f>
        <v>Win</v>
      </c>
      <c r="Z1389" s="24" t="n">
        <f aca="false">Summary!$C$5+SUM(W$2:W1389)</f>
        <v>3597.05</v>
      </c>
      <c r="AA1389" s="24" t="n">
        <f aca="false">MAX(AA1388,Z1389)</f>
        <v>5000</v>
      </c>
      <c r="AB1389" s="24" t="n">
        <f aca="false">AA1389-Z1389</f>
        <v>1402.95</v>
      </c>
      <c r="AC1389" s="23" t="n">
        <f aca="false">IFERROR(AB1389/AA1389,0)</f>
        <v>0.28059</v>
      </c>
      <c r="AD1389" s="22" t="s">
        <v>1626</v>
      </c>
    </row>
    <row r="1390" customFormat="false" ht="15" hidden="false" customHeight="false" outlineLevel="0" collapsed="false">
      <c r="A1390" s="22" t="n">
        <v>1389</v>
      </c>
      <c r="B1390" s="22" t="s">
        <v>161</v>
      </c>
      <c r="C1390" s="37" t="n">
        <v>45901.2072222222</v>
      </c>
      <c r="D1390" s="22" t="s">
        <v>202</v>
      </c>
      <c r="E1390" s="22" t="n">
        <v>4</v>
      </c>
      <c r="F1390" s="22" t="s">
        <v>181</v>
      </c>
      <c r="G1390" s="22" t="s">
        <v>243</v>
      </c>
      <c r="H1390" s="22" t="n">
        <v>0.05</v>
      </c>
      <c r="I1390" s="38" t="n">
        <v>3453.57</v>
      </c>
      <c r="J1390" s="38" t="n">
        <v>3453.62</v>
      </c>
      <c r="K1390" s="39" t="n">
        <f aca="false">IF(F1390="BUY",J1390-I1390,I1390-J1390)</f>
        <v>0.0499999999997272</v>
      </c>
      <c r="L1390" s="38" t="n">
        <v>3447.57</v>
      </c>
      <c r="M1390" s="39" t="n">
        <f aca="false">ABS(I1390-L1390)</f>
        <v>6</v>
      </c>
      <c r="N1390" s="24" t="n">
        <f aca="false">M1390*H1390*Summary!$C$6</f>
        <v>30</v>
      </c>
      <c r="O1390" s="37" t="n">
        <v>45901.2485532407</v>
      </c>
      <c r="P1390" s="22" t="n">
        <f aca="false">ROUND((O1390-C1390)*86400,0)</f>
        <v>3571</v>
      </c>
      <c r="Q1390" s="22" t="str">
        <f aca="false">IF(P1390&lt;10,"a) &lt;10s",IF(P1390&lt;60,"b) 10-60s",IF(P1390&lt;600,"c) 1-10min","d) &gt;10min")))</f>
        <v>d) &gt;10min</v>
      </c>
      <c r="R1390" s="38"/>
      <c r="S1390" s="38" t="n">
        <v>3483.64</v>
      </c>
      <c r="T1390" s="22" t="s">
        <v>187</v>
      </c>
      <c r="U1390" s="39" t="str">
        <f aca="false">IF(R1390="","",IF(F1390="BUY",R1390-S1390,S1390-R1390))</f>
        <v/>
      </c>
      <c r="V1390" s="39" t="n">
        <f aca="false">IF(F1390="BUY",S1390-J1390,J1390-S1390)</f>
        <v>30.02</v>
      </c>
      <c r="W1390" s="6" t="n">
        <v>150.1</v>
      </c>
      <c r="X1390" s="26" t="n">
        <f aca="false">IFERROR(W1390/N1390,0)</f>
        <v>5.00333333333333</v>
      </c>
      <c r="Y1390" s="22" t="str">
        <f aca="false">IF(W1390&gt;0,"Win",IF(W1390&lt;0,"Loss","Flat"))</f>
        <v>Win</v>
      </c>
      <c r="Z1390" s="24" t="n">
        <f aca="false">Summary!$C$5+SUM(W$2:W1390)</f>
        <v>3747.15</v>
      </c>
      <c r="AA1390" s="24" t="n">
        <f aca="false">MAX(AA1389,Z1390)</f>
        <v>5000</v>
      </c>
      <c r="AB1390" s="24" t="n">
        <f aca="false">AA1390-Z1390</f>
        <v>1252.85</v>
      </c>
      <c r="AC1390" s="23" t="n">
        <f aca="false">IFERROR(AB1390/AA1390,0)</f>
        <v>0.25057</v>
      </c>
      <c r="AD1390" s="22" t="s">
        <v>1627</v>
      </c>
    </row>
    <row r="1391" customFormat="false" ht="15" hidden="false" customHeight="false" outlineLevel="0" collapsed="false">
      <c r="A1391" s="22" t="n">
        <v>1390</v>
      </c>
      <c r="B1391" s="22" t="s">
        <v>161</v>
      </c>
      <c r="C1391" s="37" t="n">
        <v>45901.384212963</v>
      </c>
      <c r="D1391" s="22" t="s">
        <v>202</v>
      </c>
      <c r="E1391" s="22" t="n">
        <v>9</v>
      </c>
      <c r="F1391" s="22" t="s">
        <v>181</v>
      </c>
      <c r="G1391" s="22" t="s">
        <v>235</v>
      </c>
      <c r="H1391" s="22" t="n">
        <v>0.06</v>
      </c>
      <c r="I1391" s="38" t="n">
        <v>3482.49</v>
      </c>
      <c r="J1391" s="38" t="n">
        <v>3482.56</v>
      </c>
      <c r="K1391" s="39" t="n">
        <f aca="false">IF(F1391="BUY",J1391-I1391,I1391-J1391)</f>
        <v>0.0700000000001637</v>
      </c>
      <c r="L1391" s="38" t="n">
        <v>3476.49</v>
      </c>
      <c r="M1391" s="39" t="n">
        <f aca="false">ABS(I1391-L1391)</f>
        <v>6</v>
      </c>
      <c r="N1391" s="24" t="n">
        <f aca="false">M1391*H1391*Summary!$C$6</f>
        <v>36</v>
      </c>
      <c r="O1391" s="37" t="n">
        <v>45901.3969444444</v>
      </c>
      <c r="P1391" s="22" t="n">
        <f aca="false">ROUND((O1391-C1391)*86400,0)</f>
        <v>1100</v>
      </c>
      <c r="Q1391" s="22" t="str">
        <f aca="false">IF(P1391&lt;10,"a) &lt;10s",IF(P1391&lt;60,"b) 10-60s",IF(P1391&lt;600,"c) 1-10min","d) &gt;10min")))</f>
        <v>d) &gt;10min</v>
      </c>
      <c r="R1391" s="38" t="n">
        <v>3483.06</v>
      </c>
      <c r="S1391" s="38" t="n">
        <v>3482.94</v>
      </c>
      <c r="T1391" s="22" t="s">
        <v>189</v>
      </c>
      <c r="U1391" s="39" t="n">
        <f aca="false">IF(R1391="","",IF(F1391="BUY",R1391-S1391,S1391-R1391))</f>
        <v>0.119999999999891</v>
      </c>
      <c r="V1391" s="39" t="n">
        <f aca="false">IF(F1391="BUY",S1391-J1391,J1391-S1391)</f>
        <v>0.380000000000109</v>
      </c>
      <c r="W1391" s="6" t="n">
        <v>2.28</v>
      </c>
      <c r="X1391" s="26" t="n">
        <f aca="false">IFERROR(W1391/N1391,0)</f>
        <v>0.0633333333333333</v>
      </c>
      <c r="Y1391" s="22" t="str">
        <f aca="false">IF(W1391&gt;0,"Win",IF(W1391&lt;0,"Loss","Flat"))</f>
        <v>Win</v>
      </c>
      <c r="Z1391" s="24" t="n">
        <f aca="false">Summary!$C$5+SUM(W$2:W1391)</f>
        <v>3749.43</v>
      </c>
      <c r="AA1391" s="24" t="n">
        <f aca="false">MAX(AA1390,Z1391)</f>
        <v>5000</v>
      </c>
      <c r="AB1391" s="24" t="n">
        <f aca="false">AA1391-Z1391</f>
        <v>1250.57</v>
      </c>
      <c r="AC1391" s="23" t="n">
        <f aca="false">IFERROR(AB1391/AA1391,0)</f>
        <v>0.250114</v>
      </c>
      <c r="AD1391" s="22" t="s">
        <v>1628</v>
      </c>
    </row>
    <row r="1392" customFormat="false" ht="15" hidden="false" customHeight="false" outlineLevel="0" collapsed="false">
      <c r="A1392" s="22" t="n">
        <v>1391</v>
      </c>
      <c r="B1392" s="22" t="s">
        <v>161</v>
      </c>
      <c r="C1392" s="37" t="n">
        <v>45902.1764814815</v>
      </c>
      <c r="D1392" s="22" t="s">
        <v>203</v>
      </c>
      <c r="E1392" s="22" t="n">
        <v>4</v>
      </c>
      <c r="F1392" s="22" t="s">
        <v>181</v>
      </c>
      <c r="G1392" s="22" t="s">
        <v>243</v>
      </c>
      <c r="H1392" s="22" t="n">
        <v>0.06</v>
      </c>
      <c r="I1392" s="38" t="n">
        <v>3489.6</v>
      </c>
      <c r="J1392" s="38" t="n">
        <v>3489.67</v>
      </c>
      <c r="K1392" s="39" t="n">
        <f aca="false">IF(F1392="BUY",J1392-I1392,I1392-J1392)</f>
        <v>0.0700000000001637</v>
      </c>
      <c r="L1392" s="38" t="n">
        <v>3483.6</v>
      </c>
      <c r="M1392" s="39" t="n">
        <f aca="false">ABS(I1392-L1392)</f>
        <v>6</v>
      </c>
      <c r="N1392" s="24" t="n">
        <f aca="false">M1392*H1392*Summary!$C$6</f>
        <v>36</v>
      </c>
      <c r="O1392" s="37" t="n">
        <v>45902.2015509259</v>
      </c>
      <c r="P1392" s="22" t="n">
        <f aca="false">ROUND((O1392-C1392)*86400,0)</f>
        <v>2166</v>
      </c>
      <c r="Q1392" s="22" t="str">
        <f aca="false">IF(P1392&lt;10,"a) &lt;10s",IF(P1392&lt;60,"b) 10-60s",IF(P1392&lt;600,"c) 1-10min","d) &gt;10min")))</f>
        <v>d) &gt;10min</v>
      </c>
      <c r="R1392" s="38" t="n">
        <v>3490.17</v>
      </c>
      <c r="S1392" s="38" t="n">
        <v>3489.63</v>
      </c>
      <c r="T1392" s="22" t="s">
        <v>189</v>
      </c>
      <c r="U1392" s="39" t="n">
        <f aca="false">IF(R1392="","",IF(F1392="BUY",R1392-S1392,S1392-R1392))</f>
        <v>0.539999999999964</v>
      </c>
      <c r="V1392" s="39" t="n">
        <f aca="false">IF(F1392="BUY",S1392-J1392,J1392-S1392)</f>
        <v>-0.0399999999999636</v>
      </c>
      <c r="W1392" s="6" t="n">
        <v>-0.24</v>
      </c>
      <c r="X1392" s="26" t="n">
        <f aca="false">IFERROR(W1392/N1392,0)</f>
        <v>-0.00666666666666667</v>
      </c>
      <c r="Y1392" s="22" t="str">
        <f aca="false">IF(W1392&gt;0,"Win",IF(W1392&lt;0,"Loss","Flat"))</f>
        <v>Loss</v>
      </c>
      <c r="Z1392" s="24" t="n">
        <f aca="false">Summary!$C$5+SUM(W$2:W1392)</f>
        <v>3749.19</v>
      </c>
      <c r="AA1392" s="24" t="n">
        <f aca="false">MAX(AA1391,Z1392)</f>
        <v>5000</v>
      </c>
      <c r="AB1392" s="24" t="n">
        <f aca="false">AA1392-Z1392</f>
        <v>1250.81</v>
      </c>
      <c r="AC1392" s="23" t="n">
        <f aca="false">IFERROR(AB1392/AA1392,0)</f>
        <v>0.250162</v>
      </c>
      <c r="AD1392" s="22" t="s">
        <v>1629</v>
      </c>
    </row>
    <row r="1393" customFormat="false" ht="15" hidden="false" customHeight="false" outlineLevel="0" collapsed="false">
      <c r="A1393" s="22" t="n">
        <v>1392</v>
      </c>
      <c r="B1393" s="22" t="s">
        <v>161</v>
      </c>
      <c r="C1393" s="37" t="n">
        <v>45902.3775694444</v>
      </c>
      <c r="D1393" s="22" t="s">
        <v>203</v>
      </c>
      <c r="E1393" s="22" t="n">
        <v>9</v>
      </c>
      <c r="F1393" s="22" t="s">
        <v>182</v>
      </c>
      <c r="G1393" s="22" t="s">
        <v>241</v>
      </c>
      <c r="H1393" s="22" t="n">
        <v>0.06</v>
      </c>
      <c r="I1393" s="38" t="n">
        <v>3491.56</v>
      </c>
      <c r="J1393" s="38" t="n">
        <v>3491.55</v>
      </c>
      <c r="K1393" s="39" t="n">
        <f aca="false">IF(F1393="BUY",J1393-I1393,I1393-J1393)</f>
        <v>0.00999999999976353</v>
      </c>
      <c r="L1393" s="38" t="n">
        <v>3497.56</v>
      </c>
      <c r="M1393" s="39" t="n">
        <f aca="false">ABS(I1393-L1393)</f>
        <v>6</v>
      </c>
      <c r="N1393" s="24" t="n">
        <f aca="false">M1393*H1393*Summary!$C$6</f>
        <v>36</v>
      </c>
      <c r="O1393" s="37" t="n">
        <v>45902.6257523148</v>
      </c>
      <c r="P1393" s="22" t="n">
        <f aca="false">ROUND((O1393-C1393)*86400,0)</f>
        <v>21443</v>
      </c>
      <c r="Q1393" s="22" t="str">
        <f aca="false">IF(P1393&lt;10,"a) &lt;10s",IF(P1393&lt;60,"b) 10-60s",IF(P1393&lt;600,"c) 1-10min","d) &gt;10min")))</f>
        <v>d) &gt;10min</v>
      </c>
      <c r="R1393" s="38" t="n">
        <v>3491.05</v>
      </c>
      <c r="S1393" s="38" t="n">
        <v>3491.05</v>
      </c>
      <c r="T1393" s="22" t="s">
        <v>189</v>
      </c>
      <c r="U1393" s="39" t="n">
        <f aca="false">IF(R1393="","",IF(F1393="BUY",R1393-S1393,S1393-R1393))</f>
        <v>0</v>
      </c>
      <c r="V1393" s="39" t="n">
        <f aca="false">IF(F1393="BUY",S1393-J1393,J1393-S1393)</f>
        <v>0.5</v>
      </c>
      <c r="W1393" s="6" t="n">
        <v>3</v>
      </c>
      <c r="X1393" s="26" t="n">
        <f aca="false">IFERROR(W1393/N1393,0)</f>
        <v>0.0833333333333333</v>
      </c>
      <c r="Y1393" s="22" t="str">
        <f aca="false">IF(W1393&gt;0,"Win",IF(W1393&lt;0,"Loss","Flat"))</f>
        <v>Win</v>
      </c>
      <c r="Z1393" s="24" t="n">
        <f aca="false">Summary!$C$5+SUM(W$2:W1393)</f>
        <v>3752.19</v>
      </c>
      <c r="AA1393" s="24" t="n">
        <f aca="false">MAX(AA1392,Z1393)</f>
        <v>5000</v>
      </c>
      <c r="AB1393" s="24" t="n">
        <f aca="false">AA1393-Z1393</f>
        <v>1247.81</v>
      </c>
      <c r="AC1393" s="23" t="n">
        <f aca="false">IFERROR(AB1393/AA1393,0)</f>
        <v>0.249562</v>
      </c>
      <c r="AD1393" s="22" t="s">
        <v>1630</v>
      </c>
    </row>
    <row r="1394" customFormat="false" ht="15" hidden="false" customHeight="false" outlineLevel="0" collapsed="false">
      <c r="A1394" s="22" t="n">
        <v>1393</v>
      </c>
      <c r="B1394" s="22" t="s">
        <v>161</v>
      </c>
      <c r="C1394" s="37" t="n">
        <v>45903.1410648148</v>
      </c>
      <c r="D1394" s="22" t="s">
        <v>204</v>
      </c>
      <c r="E1394" s="22" t="n">
        <v>3</v>
      </c>
      <c r="F1394" s="22" t="s">
        <v>181</v>
      </c>
      <c r="G1394" s="22" t="s">
        <v>243</v>
      </c>
      <c r="H1394" s="22" t="n">
        <v>0.06</v>
      </c>
      <c r="I1394" s="38" t="n">
        <v>3539.85</v>
      </c>
      <c r="J1394" s="38" t="n">
        <v>3539.96</v>
      </c>
      <c r="K1394" s="39" t="n">
        <f aca="false">IF(F1394="BUY",J1394-I1394,I1394-J1394)</f>
        <v>0.110000000000127</v>
      </c>
      <c r="L1394" s="38" t="n">
        <v>3533.85</v>
      </c>
      <c r="M1394" s="39" t="n">
        <f aca="false">ABS(I1394-L1394)</f>
        <v>6</v>
      </c>
      <c r="N1394" s="24" t="n">
        <f aca="false">M1394*H1394*Summary!$C$6</f>
        <v>36</v>
      </c>
      <c r="O1394" s="37" t="n">
        <v>45903.1437152778</v>
      </c>
      <c r="P1394" s="22" t="n">
        <f aca="false">ROUND((O1394-C1394)*86400,0)</f>
        <v>229</v>
      </c>
      <c r="Q1394" s="22" t="str">
        <f aca="false">IF(P1394&lt;10,"a) &lt;10s",IF(P1394&lt;60,"b) 10-60s",IF(P1394&lt;600,"c) 1-10min","d) &gt;10min")))</f>
        <v>c) 1-10min</v>
      </c>
      <c r="R1394" s="38" t="n">
        <v>3540.46</v>
      </c>
      <c r="S1394" s="38" t="n">
        <v>3540.23</v>
      </c>
      <c r="T1394" s="22" t="s">
        <v>189</v>
      </c>
      <c r="U1394" s="39" t="n">
        <f aca="false">IF(R1394="","",IF(F1394="BUY",R1394-S1394,S1394-R1394))</f>
        <v>0.230000000000018</v>
      </c>
      <c r="V1394" s="39" t="n">
        <f aca="false">IF(F1394="BUY",S1394-J1394,J1394-S1394)</f>
        <v>0.269999999999982</v>
      </c>
      <c r="W1394" s="6" t="n">
        <v>1.62</v>
      </c>
      <c r="X1394" s="26" t="n">
        <f aca="false">IFERROR(W1394/N1394,0)</f>
        <v>0.045</v>
      </c>
      <c r="Y1394" s="22" t="str">
        <f aca="false">IF(W1394&gt;0,"Win",IF(W1394&lt;0,"Loss","Flat"))</f>
        <v>Win</v>
      </c>
      <c r="Z1394" s="24" t="n">
        <f aca="false">Summary!$C$5+SUM(W$2:W1394)</f>
        <v>3753.81</v>
      </c>
      <c r="AA1394" s="24" t="n">
        <f aca="false">MAX(AA1393,Z1394)</f>
        <v>5000</v>
      </c>
      <c r="AB1394" s="24" t="n">
        <f aca="false">AA1394-Z1394</f>
        <v>1246.19</v>
      </c>
      <c r="AC1394" s="23" t="n">
        <f aca="false">IFERROR(AB1394/AA1394,0)</f>
        <v>0.249238</v>
      </c>
      <c r="AD1394" s="22" t="s">
        <v>1631</v>
      </c>
    </row>
    <row r="1395" customFormat="false" ht="15" hidden="false" customHeight="false" outlineLevel="0" collapsed="false">
      <c r="A1395" s="22" t="n">
        <v>1394</v>
      </c>
      <c r="B1395" s="22" t="s">
        <v>161</v>
      </c>
      <c r="C1395" s="37" t="n">
        <v>45903.4619444445</v>
      </c>
      <c r="D1395" s="22" t="s">
        <v>204</v>
      </c>
      <c r="E1395" s="22" t="n">
        <v>11</v>
      </c>
      <c r="F1395" s="22" t="s">
        <v>181</v>
      </c>
      <c r="G1395" s="22" t="s">
        <v>235</v>
      </c>
      <c r="H1395" s="22" t="n">
        <v>0.06</v>
      </c>
      <c r="I1395" s="38" t="n">
        <v>3538.07</v>
      </c>
      <c r="J1395" s="38" t="n">
        <v>3538.26</v>
      </c>
      <c r="K1395" s="39" t="n">
        <f aca="false">IF(F1395="BUY",J1395-I1395,I1395-J1395)</f>
        <v>0.190000000000055</v>
      </c>
      <c r="L1395" s="38" t="n">
        <v>3532.07</v>
      </c>
      <c r="M1395" s="39" t="n">
        <f aca="false">ABS(I1395-L1395)</f>
        <v>6</v>
      </c>
      <c r="N1395" s="24" t="n">
        <f aca="false">M1395*H1395*Summary!$C$6</f>
        <v>36</v>
      </c>
      <c r="O1395" s="37" t="n">
        <v>45903.479375</v>
      </c>
      <c r="P1395" s="22" t="n">
        <f aca="false">ROUND((O1395-C1395)*86400,0)</f>
        <v>1506</v>
      </c>
      <c r="Q1395" s="22" t="str">
        <f aca="false">IF(P1395&lt;10,"a) &lt;10s",IF(P1395&lt;60,"b) 10-60s",IF(P1395&lt;600,"c) 1-10min","d) &gt;10min")))</f>
        <v>d) &gt;10min</v>
      </c>
      <c r="R1395" s="38" t="n">
        <v>3538.76</v>
      </c>
      <c r="S1395" s="38" t="n">
        <v>3538.48</v>
      </c>
      <c r="T1395" s="22" t="s">
        <v>189</v>
      </c>
      <c r="U1395" s="39" t="n">
        <f aca="false">IF(R1395="","",IF(F1395="BUY",R1395-S1395,S1395-R1395))</f>
        <v>0.2800000000002</v>
      </c>
      <c r="V1395" s="39" t="n">
        <f aca="false">IF(F1395="BUY",S1395-J1395,J1395-S1395)</f>
        <v>0.2199999999998</v>
      </c>
      <c r="W1395" s="6" t="n">
        <v>1.32</v>
      </c>
      <c r="X1395" s="26" t="n">
        <f aca="false">IFERROR(W1395/N1395,0)</f>
        <v>0.0366666666666667</v>
      </c>
      <c r="Y1395" s="22" t="str">
        <f aca="false">IF(W1395&gt;0,"Win",IF(W1395&lt;0,"Loss","Flat"))</f>
        <v>Win</v>
      </c>
      <c r="Z1395" s="24" t="n">
        <f aca="false">Summary!$C$5+SUM(W$2:W1395)</f>
        <v>3755.13</v>
      </c>
      <c r="AA1395" s="24" t="n">
        <f aca="false">MAX(AA1394,Z1395)</f>
        <v>5000</v>
      </c>
      <c r="AB1395" s="24" t="n">
        <f aca="false">AA1395-Z1395</f>
        <v>1244.87</v>
      </c>
      <c r="AC1395" s="23" t="n">
        <f aca="false">IFERROR(AB1395/AA1395,0)</f>
        <v>0.248974</v>
      </c>
      <c r="AD1395" s="22" t="s">
        <v>1632</v>
      </c>
    </row>
    <row r="1396" customFormat="false" ht="15" hidden="false" customHeight="false" outlineLevel="0" collapsed="false">
      <c r="A1396" s="22" t="n">
        <v>1395</v>
      </c>
      <c r="B1396" s="22" t="s">
        <v>161</v>
      </c>
      <c r="C1396" s="37" t="n">
        <v>45904.2576388889</v>
      </c>
      <c r="D1396" s="22" t="s">
        <v>205</v>
      </c>
      <c r="E1396" s="22" t="n">
        <v>6</v>
      </c>
      <c r="F1396" s="22" t="s">
        <v>182</v>
      </c>
      <c r="G1396" s="22" t="s">
        <v>237</v>
      </c>
      <c r="H1396" s="22" t="n">
        <v>0.06</v>
      </c>
      <c r="I1396" s="38" t="n">
        <v>3525.85</v>
      </c>
      <c r="J1396" s="38" t="n">
        <v>3525.83</v>
      </c>
      <c r="K1396" s="39" t="n">
        <f aca="false">IF(F1396="BUY",J1396-I1396,I1396-J1396)</f>
        <v>0.0199999999999818</v>
      </c>
      <c r="L1396" s="38" t="n">
        <v>3531.85</v>
      </c>
      <c r="M1396" s="39" t="n">
        <f aca="false">ABS(I1396-L1396)</f>
        <v>6</v>
      </c>
      <c r="N1396" s="24" t="n">
        <f aca="false">M1396*H1396*Summary!$C$6</f>
        <v>36</v>
      </c>
      <c r="O1396" s="37" t="n">
        <v>45904.2651157407</v>
      </c>
      <c r="P1396" s="22" t="n">
        <f aca="false">ROUND((O1396-C1396)*86400,0)</f>
        <v>646</v>
      </c>
      <c r="Q1396" s="22" t="str">
        <f aca="false">IF(P1396&lt;10,"a) &lt;10s",IF(P1396&lt;60,"b) 10-60s",IF(P1396&lt;600,"c) 1-10min","d) &gt;10min")))</f>
        <v>d) &gt;10min</v>
      </c>
      <c r="R1396" s="38" t="n">
        <v>3525.33</v>
      </c>
      <c r="S1396" s="38" t="n">
        <v>3525.58</v>
      </c>
      <c r="T1396" s="22" t="s">
        <v>189</v>
      </c>
      <c r="U1396" s="39" t="n">
        <f aca="false">IF(R1396="","",IF(F1396="BUY",R1396-S1396,S1396-R1396))</f>
        <v>0.25</v>
      </c>
      <c r="V1396" s="39" t="n">
        <f aca="false">IF(F1396="BUY",S1396-J1396,J1396-S1396)</f>
        <v>0.25</v>
      </c>
      <c r="W1396" s="6" t="n">
        <v>1.5</v>
      </c>
      <c r="X1396" s="26" t="n">
        <f aca="false">IFERROR(W1396/N1396,0)</f>
        <v>0.0416666666666667</v>
      </c>
      <c r="Y1396" s="22" t="str">
        <f aca="false">IF(W1396&gt;0,"Win",IF(W1396&lt;0,"Loss","Flat"))</f>
        <v>Win</v>
      </c>
      <c r="Z1396" s="24" t="n">
        <f aca="false">Summary!$C$5+SUM(W$2:W1396)</f>
        <v>3756.63</v>
      </c>
      <c r="AA1396" s="24" t="n">
        <f aca="false">MAX(AA1395,Z1396)</f>
        <v>5000</v>
      </c>
      <c r="AB1396" s="24" t="n">
        <f aca="false">AA1396-Z1396</f>
        <v>1243.37</v>
      </c>
      <c r="AC1396" s="23" t="n">
        <f aca="false">IFERROR(AB1396/AA1396,0)</f>
        <v>0.248674</v>
      </c>
      <c r="AD1396" s="22" t="s">
        <v>1633</v>
      </c>
    </row>
    <row r="1397" customFormat="false" ht="15" hidden="false" customHeight="false" outlineLevel="0" collapsed="false">
      <c r="A1397" s="22" t="n">
        <v>1396</v>
      </c>
      <c r="B1397" s="22" t="s">
        <v>161</v>
      </c>
      <c r="C1397" s="37" t="n">
        <v>45904.3754050926</v>
      </c>
      <c r="D1397" s="22" t="s">
        <v>205</v>
      </c>
      <c r="E1397" s="22" t="n">
        <v>9</v>
      </c>
      <c r="F1397" s="22" t="s">
        <v>182</v>
      </c>
      <c r="G1397" s="22" t="s">
        <v>241</v>
      </c>
      <c r="H1397" s="22" t="n">
        <v>0.06</v>
      </c>
      <c r="I1397" s="38" t="n">
        <v>3525.18</v>
      </c>
      <c r="J1397" s="38" t="n">
        <v>3525.06</v>
      </c>
      <c r="K1397" s="39" t="n">
        <f aca="false">IF(F1397="BUY",J1397-I1397,I1397-J1397)</f>
        <v>0.119999999999891</v>
      </c>
      <c r="L1397" s="38" t="n">
        <v>3531.18</v>
      </c>
      <c r="M1397" s="39" t="n">
        <f aca="false">ABS(I1397-L1397)</f>
        <v>6</v>
      </c>
      <c r="N1397" s="24" t="n">
        <f aca="false">M1397*H1397*Summary!$C$6</f>
        <v>36</v>
      </c>
      <c r="O1397" s="37" t="n">
        <v>45904.3830324074</v>
      </c>
      <c r="P1397" s="22" t="n">
        <f aca="false">ROUND((O1397-C1397)*86400,0)</f>
        <v>659</v>
      </c>
      <c r="Q1397" s="22" t="str">
        <f aca="false">IF(P1397&lt;10,"a) &lt;10s",IF(P1397&lt;60,"b) 10-60s",IF(P1397&lt;600,"c) 1-10min","d) &gt;10min")))</f>
        <v>d) &gt;10min</v>
      </c>
      <c r="R1397" s="38" t="n">
        <v>3531.18</v>
      </c>
      <c r="S1397" s="38" t="n">
        <v>3531.22</v>
      </c>
      <c r="T1397" s="22" t="s">
        <v>188</v>
      </c>
      <c r="U1397" s="39" t="n">
        <f aca="false">IF(R1397="","",IF(F1397="BUY",R1397-S1397,S1397-R1397))</f>
        <v>0.0399999999999636</v>
      </c>
      <c r="V1397" s="39" t="n">
        <f aca="false">IF(F1397="BUY",S1397-J1397,J1397-S1397)</f>
        <v>-6.15999999999985</v>
      </c>
      <c r="W1397" s="6" t="n">
        <v>-36.96</v>
      </c>
      <c r="X1397" s="26" t="n">
        <f aca="false">IFERROR(W1397/N1397,0)</f>
        <v>-1.02666666666667</v>
      </c>
      <c r="Y1397" s="22" t="str">
        <f aca="false">IF(W1397&gt;0,"Win",IF(W1397&lt;0,"Loss","Flat"))</f>
        <v>Loss</v>
      </c>
      <c r="Z1397" s="24" t="n">
        <f aca="false">Summary!$C$5+SUM(W$2:W1397)</f>
        <v>3719.67</v>
      </c>
      <c r="AA1397" s="24" t="n">
        <f aca="false">MAX(AA1396,Z1397)</f>
        <v>5000</v>
      </c>
      <c r="AB1397" s="24" t="n">
        <f aca="false">AA1397-Z1397</f>
        <v>1280.33</v>
      </c>
      <c r="AC1397" s="23" t="n">
        <f aca="false">IFERROR(AB1397/AA1397,0)</f>
        <v>0.256066</v>
      </c>
      <c r="AD1397" s="22" t="s">
        <v>1634</v>
      </c>
    </row>
    <row r="1398" customFormat="false" ht="15" hidden="false" customHeight="false" outlineLevel="0" collapsed="false">
      <c r="A1398" s="22" t="n">
        <v>1397</v>
      </c>
      <c r="B1398" s="22" t="s">
        <v>161</v>
      </c>
      <c r="C1398" s="37" t="n">
        <v>45905.3781365741</v>
      </c>
      <c r="D1398" s="22" t="s">
        <v>206</v>
      </c>
      <c r="E1398" s="22" t="n">
        <v>9</v>
      </c>
      <c r="F1398" s="22" t="s">
        <v>182</v>
      </c>
      <c r="G1398" s="22" t="s">
        <v>241</v>
      </c>
      <c r="H1398" s="22" t="n">
        <v>0.06</v>
      </c>
      <c r="I1398" s="38" t="n">
        <v>3555.37</v>
      </c>
      <c r="J1398" s="38" t="n">
        <v>3555.37</v>
      </c>
      <c r="K1398" s="39" t="n">
        <f aca="false">IF(F1398="BUY",J1398-I1398,I1398-J1398)</f>
        <v>0</v>
      </c>
      <c r="L1398" s="38" t="n">
        <v>3561.37</v>
      </c>
      <c r="M1398" s="39" t="n">
        <f aca="false">ABS(I1398-L1398)</f>
        <v>6</v>
      </c>
      <c r="N1398" s="24" t="n">
        <f aca="false">M1398*H1398*Summary!$C$6</f>
        <v>36</v>
      </c>
      <c r="O1398" s="37" t="n">
        <v>45905.5916550926</v>
      </c>
      <c r="P1398" s="22" t="n">
        <f aca="false">ROUND((O1398-C1398)*86400,0)</f>
        <v>18448</v>
      </c>
      <c r="Q1398" s="22" t="str">
        <f aca="false">IF(P1398&lt;10,"a) &lt;10s",IF(P1398&lt;60,"b) 10-60s",IF(P1398&lt;600,"c) 1-10min","d) &gt;10min")))</f>
        <v>d) &gt;10min</v>
      </c>
      <c r="R1398" s="38" t="n">
        <v>3554.87</v>
      </c>
      <c r="S1398" s="38" t="n">
        <v>3554.92</v>
      </c>
      <c r="T1398" s="22" t="s">
        <v>189</v>
      </c>
      <c r="U1398" s="39" t="n">
        <f aca="false">IF(R1398="","",IF(F1398="BUY",R1398-S1398,S1398-R1398))</f>
        <v>0.0500000000001819</v>
      </c>
      <c r="V1398" s="39" t="n">
        <f aca="false">IF(F1398="BUY",S1398-J1398,J1398-S1398)</f>
        <v>0.449999999999818</v>
      </c>
      <c r="W1398" s="6" t="n">
        <v>2.7</v>
      </c>
      <c r="X1398" s="26" t="n">
        <f aca="false">IFERROR(W1398/N1398,0)</f>
        <v>0.075</v>
      </c>
      <c r="Y1398" s="22" t="str">
        <f aca="false">IF(W1398&gt;0,"Win",IF(W1398&lt;0,"Loss","Flat"))</f>
        <v>Win</v>
      </c>
      <c r="Z1398" s="24" t="n">
        <f aca="false">Summary!$C$5+SUM(W$2:W1398)</f>
        <v>3722.37</v>
      </c>
      <c r="AA1398" s="24" t="n">
        <f aca="false">MAX(AA1397,Z1398)</f>
        <v>5000</v>
      </c>
      <c r="AB1398" s="24" t="n">
        <f aca="false">AA1398-Z1398</f>
        <v>1277.63</v>
      </c>
      <c r="AC1398" s="23" t="n">
        <f aca="false">IFERROR(AB1398/AA1398,0)</f>
        <v>0.255526</v>
      </c>
      <c r="AD1398" s="22" t="s">
        <v>1635</v>
      </c>
    </row>
    <row r="1399" customFormat="false" ht="15" hidden="false" customHeight="false" outlineLevel="0" collapsed="false">
      <c r="A1399" s="22" t="n">
        <v>1398</v>
      </c>
      <c r="B1399" s="22" t="s">
        <v>161</v>
      </c>
      <c r="C1399" s="37" t="n">
        <v>45905.6458912037</v>
      </c>
      <c r="D1399" s="22" t="s">
        <v>206</v>
      </c>
      <c r="E1399" s="22" t="n">
        <v>15</v>
      </c>
      <c r="F1399" s="22" t="s">
        <v>181</v>
      </c>
      <c r="G1399" s="22" t="s">
        <v>243</v>
      </c>
      <c r="H1399" s="22" t="n">
        <v>0.06</v>
      </c>
      <c r="I1399" s="38" t="n">
        <v>3564</v>
      </c>
      <c r="J1399" s="38" t="n">
        <v>3572.41</v>
      </c>
      <c r="K1399" s="39" t="n">
        <f aca="false">IF(F1399="BUY",J1399-I1399,I1399-J1399)</f>
        <v>8.40999999999985</v>
      </c>
      <c r="L1399" s="38" t="n">
        <v>3558</v>
      </c>
      <c r="M1399" s="39" t="n">
        <f aca="false">ABS(I1399-L1399)</f>
        <v>6</v>
      </c>
      <c r="N1399" s="24" t="n">
        <f aca="false">M1399*H1399*Summary!$C$6</f>
        <v>36</v>
      </c>
      <c r="O1399" s="37" t="n">
        <v>45905.6471064815</v>
      </c>
      <c r="P1399" s="22" t="n">
        <f aca="false">ROUND((O1399-C1399)*86400,0)</f>
        <v>105</v>
      </c>
      <c r="Q1399" s="22" t="str">
        <f aca="false">IF(P1399&lt;10,"a) &lt;10s",IF(P1399&lt;60,"b) 10-60s",IF(P1399&lt;600,"c) 1-10min","d) &gt;10min")))</f>
        <v>c) 1-10min</v>
      </c>
      <c r="R1399" s="38" t="n">
        <v>3572.91</v>
      </c>
      <c r="S1399" s="38" t="n">
        <v>3571.78</v>
      </c>
      <c r="T1399" s="22" t="s">
        <v>189</v>
      </c>
      <c r="U1399" s="39" t="n">
        <f aca="false">IF(R1399="","",IF(F1399="BUY",R1399-S1399,S1399-R1399))</f>
        <v>1.12999999999965</v>
      </c>
      <c r="V1399" s="39" t="n">
        <f aca="false">IF(F1399="BUY",S1399-J1399,J1399-S1399)</f>
        <v>-0.629999999999654</v>
      </c>
      <c r="W1399" s="6" t="n">
        <v>-3.78</v>
      </c>
      <c r="X1399" s="26" t="n">
        <f aca="false">IFERROR(W1399/N1399,0)</f>
        <v>-0.105</v>
      </c>
      <c r="Y1399" s="22" t="str">
        <f aca="false">IF(W1399&gt;0,"Win",IF(W1399&lt;0,"Loss","Flat"))</f>
        <v>Loss</v>
      </c>
      <c r="Z1399" s="24" t="n">
        <f aca="false">Summary!$C$5+SUM(W$2:W1399)</f>
        <v>3718.59</v>
      </c>
      <c r="AA1399" s="24" t="n">
        <f aca="false">MAX(AA1398,Z1399)</f>
        <v>5000</v>
      </c>
      <c r="AB1399" s="24" t="n">
        <f aca="false">AA1399-Z1399</f>
        <v>1281.41</v>
      </c>
      <c r="AC1399" s="23" t="n">
        <f aca="false">IFERROR(AB1399/AA1399,0)</f>
        <v>0.256282</v>
      </c>
      <c r="AD1399" s="22" t="s">
        <v>1636</v>
      </c>
    </row>
    <row r="1400" customFormat="false" ht="15" hidden="false" customHeight="false" outlineLevel="0" collapsed="false">
      <c r="A1400" s="22" t="n">
        <v>1399</v>
      </c>
      <c r="B1400" s="22" t="s">
        <v>161</v>
      </c>
      <c r="C1400" s="37" t="n">
        <v>45908.4197222222</v>
      </c>
      <c r="D1400" s="22" t="s">
        <v>202</v>
      </c>
      <c r="E1400" s="22" t="n">
        <v>10</v>
      </c>
      <c r="F1400" s="22" t="s">
        <v>181</v>
      </c>
      <c r="G1400" s="22" t="s">
        <v>243</v>
      </c>
      <c r="H1400" s="22" t="n">
        <v>0.06</v>
      </c>
      <c r="I1400" s="38" t="n">
        <v>3599.91</v>
      </c>
      <c r="J1400" s="38" t="n">
        <v>3599.93</v>
      </c>
      <c r="K1400" s="39" t="n">
        <f aca="false">IF(F1400="BUY",J1400-I1400,I1400-J1400)</f>
        <v>0.0199999999999818</v>
      </c>
      <c r="L1400" s="38" t="n">
        <v>3593.91</v>
      </c>
      <c r="M1400" s="39" t="n">
        <f aca="false">ABS(I1400-L1400)</f>
        <v>6</v>
      </c>
      <c r="N1400" s="24" t="n">
        <f aca="false">M1400*H1400*Summary!$C$6</f>
        <v>36</v>
      </c>
      <c r="O1400" s="37" t="n">
        <v>45908.6737037037</v>
      </c>
      <c r="P1400" s="22" t="n">
        <f aca="false">ROUND((O1400-C1400)*86400,0)</f>
        <v>21944</v>
      </c>
      <c r="Q1400" s="22" t="str">
        <f aca="false">IF(P1400&lt;10,"a) &lt;10s",IF(P1400&lt;60,"b) 10-60s",IF(P1400&lt;600,"c) 1-10min","d) &gt;10min")))</f>
        <v>d) &gt;10min</v>
      </c>
      <c r="R1400" s="38"/>
      <c r="S1400" s="38" t="n">
        <v>3630.01</v>
      </c>
      <c r="T1400" s="22" t="s">
        <v>187</v>
      </c>
      <c r="U1400" s="39" t="str">
        <f aca="false">IF(R1400="","",IF(F1400="BUY",R1400-S1400,S1400-R1400))</f>
        <v/>
      </c>
      <c r="V1400" s="39" t="n">
        <f aca="false">IF(F1400="BUY",S1400-J1400,J1400-S1400)</f>
        <v>30.0800000000004</v>
      </c>
      <c r="W1400" s="6" t="n">
        <v>180.48</v>
      </c>
      <c r="X1400" s="26" t="n">
        <f aca="false">IFERROR(W1400/N1400,0)</f>
        <v>5.01333333333333</v>
      </c>
      <c r="Y1400" s="22" t="str">
        <f aca="false">IF(W1400&gt;0,"Win",IF(W1400&lt;0,"Loss","Flat"))</f>
        <v>Win</v>
      </c>
      <c r="Z1400" s="24" t="n">
        <f aca="false">Summary!$C$5+SUM(W$2:W1400)</f>
        <v>3899.07</v>
      </c>
      <c r="AA1400" s="24" t="n">
        <f aca="false">MAX(AA1399,Z1400)</f>
        <v>5000</v>
      </c>
      <c r="AB1400" s="24" t="n">
        <f aca="false">AA1400-Z1400</f>
        <v>1100.93</v>
      </c>
      <c r="AC1400" s="23" t="n">
        <f aca="false">IFERROR(AB1400/AA1400,0)</f>
        <v>0.220186</v>
      </c>
      <c r="AD1400" s="22" t="s">
        <v>1637</v>
      </c>
    </row>
    <row r="1401" customFormat="false" ht="15" hidden="false" customHeight="false" outlineLevel="0" collapsed="false">
      <c r="A1401" s="22" t="n">
        <v>1400</v>
      </c>
      <c r="B1401" s="22" t="s">
        <v>161</v>
      </c>
      <c r="C1401" s="37" t="n">
        <v>45909.1815740741</v>
      </c>
      <c r="D1401" s="22" t="s">
        <v>203</v>
      </c>
      <c r="E1401" s="22" t="n">
        <v>4</v>
      </c>
      <c r="F1401" s="22" t="s">
        <v>181</v>
      </c>
      <c r="G1401" s="22" t="s">
        <v>243</v>
      </c>
      <c r="H1401" s="22" t="n">
        <v>0.06</v>
      </c>
      <c r="I1401" s="38" t="n">
        <v>3646.12</v>
      </c>
      <c r="J1401" s="38" t="n">
        <v>3646.16</v>
      </c>
      <c r="K1401" s="39" t="n">
        <f aca="false">IF(F1401="BUY",J1401-I1401,I1401-J1401)</f>
        <v>0.0399999999999636</v>
      </c>
      <c r="L1401" s="38" t="n">
        <v>3640.12</v>
      </c>
      <c r="M1401" s="39" t="n">
        <f aca="false">ABS(I1401-L1401)</f>
        <v>6</v>
      </c>
      <c r="N1401" s="24" t="n">
        <f aca="false">M1401*H1401*Summary!$C$6</f>
        <v>36</v>
      </c>
      <c r="O1401" s="37" t="n">
        <v>45909.2504050926</v>
      </c>
      <c r="P1401" s="22" t="n">
        <f aca="false">ROUND((O1401-C1401)*86400,0)</f>
        <v>5947</v>
      </c>
      <c r="Q1401" s="22" t="str">
        <f aca="false">IF(P1401&lt;10,"a) &lt;10s",IF(P1401&lt;60,"b) 10-60s",IF(P1401&lt;600,"c) 1-10min","d) &gt;10min")))</f>
        <v>d) &gt;10min</v>
      </c>
      <c r="R1401" s="38" t="n">
        <v>3646.66</v>
      </c>
      <c r="S1401" s="38" t="n">
        <v>3646.6</v>
      </c>
      <c r="T1401" s="22" t="s">
        <v>189</v>
      </c>
      <c r="U1401" s="39" t="n">
        <f aca="false">IF(R1401="","",IF(F1401="BUY",R1401-S1401,S1401-R1401))</f>
        <v>0.0599999999999454</v>
      </c>
      <c r="V1401" s="39" t="n">
        <f aca="false">IF(F1401="BUY",S1401-J1401,J1401-S1401)</f>
        <v>0.440000000000055</v>
      </c>
      <c r="W1401" s="6" t="n">
        <v>2.64</v>
      </c>
      <c r="X1401" s="26" t="n">
        <f aca="false">IFERROR(W1401/N1401,0)</f>
        <v>0.0733333333333333</v>
      </c>
      <c r="Y1401" s="22" t="str">
        <f aca="false">IF(W1401&gt;0,"Win",IF(W1401&lt;0,"Loss","Flat"))</f>
        <v>Win</v>
      </c>
      <c r="Z1401" s="24" t="n">
        <f aca="false">Summary!$C$5+SUM(W$2:W1401)</f>
        <v>3901.71</v>
      </c>
      <c r="AA1401" s="24" t="n">
        <f aca="false">MAX(AA1400,Z1401)</f>
        <v>5000</v>
      </c>
      <c r="AB1401" s="24" t="n">
        <f aca="false">AA1401-Z1401</f>
        <v>1098.29</v>
      </c>
      <c r="AC1401" s="23" t="n">
        <f aca="false">IFERROR(AB1401/AA1401,0)</f>
        <v>0.219658</v>
      </c>
      <c r="AD1401" s="22" t="s">
        <v>1638</v>
      </c>
    </row>
    <row r="1402" customFormat="false" ht="15" hidden="false" customHeight="false" outlineLevel="0" collapsed="false">
      <c r="A1402" s="22" t="n">
        <v>1401</v>
      </c>
      <c r="B1402" s="22" t="s">
        <v>161</v>
      </c>
      <c r="C1402" s="37" t="n">
        <v>45909.37875</v>
      </c>
      <c r="D1402" s="22" t="s">
        <v>203</v>
      </c>
      <c r="E1402" s="22" t="n">
        <v>9</v>
      </c>
      <c r="F1402" s="22" t="s">
        <v>182</v>
      </c>
      <c r="G1402" s="22" t="s">
        <v>241</v>
      </c>
      <c r="H1402" s="22" t="n">
        <v>0.06</v>
      </c>
      <c r="I1402" s="38" t="n">
        <v>3645.5</v>
      </c>
      <c r="J1402" s="38" t="n">
        <v>3645.43</v>
      </c>
      <c r="K1402" s="39" t="n">
        <f aca="false">IF(F1402="BUY",J1402-I1402,I1402-J1402)</f>
        <v>0.0700000000001637</v>
      </c>
      <c r="L1402" s="38" t="n">
        <v>3651.5</v>
      </c>
      <c r="M1402" s="39" t="n">
        <f aca="false">ABS(I1402-L1402)</f>
        <v>6</v>
      </c>
      <c r="N1402" s="24" t="n">
        <f aca="false">M1402*H1402*Summary!$C$6</f>
        <v>36</v>
      </c>
      <c r="O1402" s="37" t="n">
        <v>45909.3790393519</v>
      </c>
      <c r="P1402" s="22" t="n">
        <f aca="false">ROUND((O1402-C1402)*86400,0)</f>
        <v>25</v>
      </c>
      <c r="Q1402" s="22" t="str">
        <f aca="false">IF(P1402&lt;10,"a) &lt;10s",IF(P1402&lt;60,"b) 10-60s",IF(P1402&lt;600,"c) 1-10min","d) &gt;10min")))</f>
        <v>b) 10-60s</v>
      </c>
      <c r="R1402" s="38" t="n">
        <v>3644.93</v>
      </c>
      <c r="S1402" s="38" t="n">
        <v>3644.97</v>
      </c>
      <c r="T1402" s="22" t="s">
        <v>189</v>
      </c>
      <c r="U1402" s="39" t="n">
        <f aca="false">IF(R1402="","",IF(F1402="BUY",R1402-S1402,S1402-R1402))</f>
        <v>0.0399999999999636</v>
      </c>
      <c r="V1402" s="39" t="n">
        <f aca="false">IF(F1402="BUY",S1402-J1402,J1402-S1402)</f>
        <v>0.460000000000036</v>
      </c>
      <c r="W1402" s="6" t="n">
        <v>2.76</v>
      </c>
      <c r="X1402" s="26" t="n">
        <f aca="false">IFERROR(W1402/N1402,0)</f>
        <v>0.0766666666666667</v>
      </c>
      <c r="Y1402" s="22" t="str">
        <f aca="false">IF(W1402&gt;0,"Win",IF(W1402&lt;0,"Loss","Flat"))</f>
        <v>Win</v>
      </c>
      <c r="Z1402" s="24" t="n">
        <f aca="false">Summary!$C$5+SUM(W$2:W1402)</f>
        <v>3904.47</v>
      </c>
      <c r="AA1402" s="24" t="n">
        <f aca="false">MAX(AA1401,Z1402)</f>
        <v>5000</v>
      </c>
      <c r="AB1402" s="24" t="n">
        <f aca="false">AA1402-Z1402</f>
        <v>1095.53</v>
      </c>
      <c r="AC1402" s="23" t="n">
        <f aca="false">IFERROR(AB1402/AA1402,0)</f>
        <v>0.219106</v>
      </c>
      <c r="AD1402" s="22" t="s">
        <v>1639</v>
      </c>
    </row>
    <row r="1403" customFormat="false" ht="15" hidden="false" customHeight="false" outlineLevel="0" collapsed="false">
      <c r="A1403" s="22" t="n">
        <v>1402</v>
      </c>
      <c r="B1403" s="22" t="s">
        <v>161</v>
      </c>
      <c r="C1403" s="37" t="n">
        <v>45910.3828935185</v>
      </c>
      <c r="D1403" s="22" t="s">
        <v>204</v>
      </c>
      <c r="E1403" s="22" t="n">
        <v>9</v>
      </c>
      <c r="F1403" s="22" t="s">
        <v>181</v>
      </c>
      <c r="G1403" s="22" t="s">
        <v>235</v>
      </c>
      <c r="H1403" s="22" t="n">
        <v>0.06</v>
      </c>
      <c r="I1403" s="38" t="n">
        <v>3645.06</v>
      </c>
      <c r="J1403" s="38" t="n">
        <v>3645.13</v>
      </c>
      <c r="K1403" s="39" t="n">
        <f aca="false">IF(F1403="BUY",J1403-I1403,I1403-J1403)</f>
        <v>0.0700000000001637</v>
      </c>
      <c r="L1403" s="38" t="n">
        <v>3639.06</v>
      </c>
      <c r="M1403" s="39" t="n">
        <f aca="false">ABS(I1403-L1403)</f>
        <v>6</v>
      </c>
      <c r="N1403" s="24" t="n">
        <f aca="false">M1403*H1403*Summary!$C$6</f>
        <v>36</v>
      </c>
      <c r="O1403" s="37" t="n">
        <v>45910.3916782407</v>
      </c>
      <c r="P1403" s="22" t="n">
        <f aca="false">ROUND((O1403-C1403)*86400,0)</f>
        <v>759</v>
      </c>
      <c r="Q1403" s="22" t="str">
        <f aca="false">IF(P1403&lt;10,"a) &lt;10s",IF(P1403&lt;60,"b) 10-60s",IF(P1403&lt;600,"c) 1-10min","d) &gt;10min")))</f>
        <v>d) &gt;10min</v>
      </c>
      <c r="R1403" s="38" t="n">
        <v>3645.63</v>
      </c>
      <c r="S1403" s="38" t="n">
        <v>3645.61</v>
      </c>
      <c r="T1403" s="22" t="s">
        <v>189</v>
      </c>
      <c r="U1403" s="39" t="n">
        <f aca="false">IF(R1403="","",IF(F1403="BUY",R1403-S1403,S1403-R1403))</f>
        <v>0.0199999999999818</v>
      </c>
      <c r="V1403" s="39" t="n">
        <f aca="false">IF(F1403="BUY",S1403-J1403,J1403-S1403)</f>
        <v>0.480000000000018</v>
      </c>
      <c r="W1403" s="6" t="n">
        <v>2.88</v>
      </c>
      <c r="X1403" s="26" t="n">
        <f aca="false">IFERROR(W1403/N1403,0)</f>
        <v>0.08</v>
      </c>
      <c r="Y1403" s="22" t="str">
        <f aca="false">IF(W1403&gt;0,"Win",IF(W1403&lt;0,"Loss","Flat"))</f>
        <v>Win</v>
      </c>
      <c r="Z1403" s="24" t="n">
        <f aca="false">Summary!$C$5+SUM(W$2:W1403)</f>
        <v>3907.35</v>
      </c>
      <c r="AA1403" s="24" t="n">
        <f aca="false">MAX(AA1402,Z1403)</f>
        <v>5000</v>
      </c>
      <c r="AB1403" s="24" t="n">
        <f aca="false">AA1403-Z1403</f>
        <v>1092.65</v>
      </c>
      <c r="AC1403" s="23" t="n">
        <f aca="false">IFERROR(AB1403/AA1403,0)</f>
        <v>0.21853</v>
      </c>
      <c r="AD1403" s="22" t="s">
        <v>1640</v>
      </c>
    </row>
    <row r="1404" customFormat="false" ht="15" hidden="false" customHeight="false" outlineLevel="0" collapsed="false">
      <c r="A1404" s="22" t="n">
        <v>1403</v>
      </c>
      <c r="B1404" s="22" t="s">
        <v>161</v>
      </c>
      <c r="C1404" s="37" t="n">
        <v>45911.3759027778</v>
      </c>
      <c r="D1404" s="22" t="s">
        <v>205</v>
      </c>
      <c r="E1404" s="22" t="n">
        <v>9</v>
      </c>
      <c r="F1404" s="22" t="s">
        <v>182</v>
      </c>
      <c r="G1404" s="22" t="s">
        <v>241</v>
      </c>
      <c r="H1404" s="22" t="n">
        <v>0.06</v>
      </c>
      <c r="I1404" s="38" t="n">
        <v>3623.23</v>
      </c>
      <c r="J1404" s="38" t="n">
        <v>3623.22</v>
      </c>
      <c r="K1404" s="39" t="n">
        <f aca="false">IF(F1404="BUY",J1404-I1404,I1404-J1404)</f>
        <v>0.0100000000002183</v>
      </c>
      <c r="L1404" s="38" t="n">
        <v>3629.23</v>
      </c>
      <c r="M1404" s="39" t="n">
        <f aca="false">ABS(I1404-L1404)</f>
        <v>6</v>
      </c>
      <c r="N1404" s="24" t="n">
        <f aca="false">M1404*H1404*Summary!$C$6</f>
        <v>36</v>
      </c>
      <c r="O1404" s="37" t="n">
        <v>45911.3793981482</v>
      </c>
      <c r="P1404" s="22" t="n">
        <f aca="false">ROUND((O1404-C1404)*86400,0)</f>
        <v>302</v>
      </c>
      <c r="Q1404" s="22" t="str">
        <f aca="false">IF(P1404&lt;10,"a) &lt;10s",IF(P1404&lt;60,"b) 10-60s",IF(P1404&lt;600,"c) 1-10min","d) &gt;10min")))</f>
        <v>c) 1-10min</v>
      </c>
      <c r="R1404" s="38" t="n">
        <v>3629.23</v>
      </c>
      <c r="S1404" s="38" t="n">
        <v>3629.25</v>
      </c>
      <c r="T1404" s="22" t="s">
        <v>188</v>
      </c>
      <c r="U1404" s="39" t="n">
        <f aca="false">IF(R1404="","",IF(F1404="BUY",R1404-S1404,S1404-R1404))</f>
        <v>0.0199999999999818</v>
      </c>
      <c r="V1404" s="39" t="n">
        <f aca="false">IF(F1404="BUY",S1404-J1404,J1404-S1404)</f>
        <v>-6.0300000000002</v>
      </c>
      <c r="W1404" s="6" t="n">
        <v>-36.18</v>
      </c>
      <c r="X1404" s="26" t="n">
        <f aca="false">IFERROR(W1404/N1404,0)</f>
        <v>-1.005</v>
      </c>
      <c r="Y1404" s="22" t="str">
        <f aca="false">IF(W1404&gt;0,"Win",IF(W1404&lt;0,"Loss","Flat"))</f>
        <v>Loss</v>
      </c>
      <c r="Z1404" s="24" t="n">
        <f aca="false">Summary!$C$5+SUM(W$2:W1404)</f>
        <v>3871.17</v>
      </c>
      <c r="AA1404" s="24" t="n">
        <f aca="false">MAX(AA1403,Z1404)</f>
        <v>5000</v>
      </c>
      <c r="AB1404" s="24" t="n">
        <f aca="false">AA1404-Z1404</f>
        <v>1128.83</v>
      </c>
      <c r="AC1404" s="23" t="n">
        <f aca="false">IFERROR(AB1404/AA1404,0)</f>
        <v>0.225766</v>
      </c>
      <c r="AD1404" s="22" t="s">
        <v>1641</v>
      </c>
    </row>
    <row r="1405" customFormat="false" ht="15" hidden="false" customHeight="false" outlineLevel="0" collapsed="false">
      <c r="A1405" s="22" t="n">
        <v>1404</v>
      </c>
      <c r="B1405" s="22" t="s">
        <v>161</v>
      </c>
      <c r="C1405" s="37" t="n">
        <v>45911.5100925926</v>
      </c>
      <c r="D1405" s="22" t="s">
        <v>205</v>
      </c>
      <c r="E1405" s="22" t="n">
        <v>12</v>
      </c>
      <c r="F1405" s="22" t="s">
        <v>182</v>
      </c>
      <c r="G1405" s="22" t="s">
        <v>237</v>
      </c>
      <c r="H1405" s="22" t="n">
        <v>0.06</v>
      </c>
      <c r="I1405" s="38" t="n">
        <v>3618.51</v>
      </c>
      <c r="J1405" s="38" t="n">
        <v>3618.48</v>
      </c>
      <c r="K1405" s="39" t="n">
        <f aca="false">IF(F1405="BUY",J1405-I1405,I1405-J1405)</f>
        <v>0.0300000000002001</v>
      </c>
      <c r="L1405" s="38" t="n">
        <v>3624.51</v>
      </c>
      <c r="M1405" s="39" t="n">
        <f aca="false">ABS(I1405-L1405)</f>
        <v>6</v>
      </c>
      <c r="N1405" s="24" t="n">
        <f aca="false">M1405*H1405*Summary!$C$6</f>
        <v>36</v>
      </c>
      <c r="O1405" s="37" t="n">
        <v>45911.5127546296</v>
      </c>
      <c r="P1405" s="22" t="n">
        <f aca="false">ROUND((O1405-C1405)*86400,0)</f>
        <v>230</v>
      </c>
      <c r="Q1405" s="22" t="str">
        <f aca="false">IF(P1405&lt;10,"a) &lt;10s",IF(P1405&lt;60,"b) 10-60s",IF(P1405&lt;600,"c) 1-10min","d) &gt;10min")))</f>
        <v>c) 1-10min</v>
      </c>
      <c r="R1405" s="38" t="n">
        <v>3617.98</v>
      </c>
      <c r="S1405" s="38" t="n">
        <v>3618.01</v>
      </c>
      <c r="T1405" s="22" t="s">
        <v>189</v>
      </c>
      <c r="U1405" s="39" t="n">
        <f aca="false">IF(R1405="","",IF(F1405="BUY",R1405-S1405,S1405-R1405))</f>
        <v>0.0300000000002001</v>
      </c>
      <c r="V1405" s="39" t="n">
        <f aca="false">IF(F1405="BUY",S1405-J1405,J1405-S1405)</f>
        <v>0.4699999999998</v>
      </c>
      <c r="W1405" s="6" t="n">
        <v>2.82</v>
      </c>
      <c r="X1405" s="26" t="n">
        <f aca="false">IFERROR(W1405/N1405,0)</f>
        <v>0.0783333333333333</v>
      </c>
      <c r="Y1405" s="22" t="str">
        <f aca="false">IF(W1405&gt;0,"Win",IF(W1405&lt;0,"Loss","Flat"))</f>
        <v>Win</v>
      </c>
      <c r="Z1405" s="24" t="n">
        <f aca="false">Summary!$C$5+SUM(W$2:W1405)</f>
        <v>3873.99</v>
      </c>
      <c r="AA1405" s="24" t="n">
        <f aca="false">MAX(AA1404,Z1405)</f>
        <v>5000</v>
      </c>
      <c r="AB1405" s="24" t="n">
        <f aca="false">AA1405-Z1405</f>
        <v>1126.01</v>
      </c>
      <c r="AC1405" s="23" t="n">
        <f aca="false">IFERROR(AB1405/AA1405,0)</f>
        <v>0.225202</v>
      </c>
      <c r="AD1405" s="22" t="s">
        <v>1642</v>
      </c>
    </row>
    <row r="1406" customFormat="false" ht="15" hidden="false" customHeight="false" outlineLevel="0" collapsed="false">
      <c r="A1406" s="22" t="n">
        <v>1405</v>
      </c>
      <c r="B1406" s="22" t="s">
        <v>161</v>
      </c>
      <c r="C1406" s="37" t="n">
        <v>45912.2144907407</v>
      </c>
      <c r="D1406" s="22" t="s">
        <v>206</v>
      </c>
      <c r="E1406" s="22" t="n">
        <v>5</v>
      </c>
      <c r="F1406" s="22" t="s">
        <v>181</v>
      </c>
      <c r="G1406" s="22" t="s">
        <v>243</v>
      </c>
      <c r="H1406" s="22" t="n">
        <v>0.06</v>
      </c>
      <c r="I1406" s="38" t="n">
        <v>3648.9</v>
      </c>
      <c r="J1406" s="38" t="n">
        <v>3648.9</v>
      </c>
      <c r="K1406" s="39" t="n">
        <f aca="false">IF(F1406="BUY",J1406-I1406,I1406-J1406)</f>
        <v>0</v>
      </c>
      <c r="L1406" s="38" t="n">
        <v>3642.9</v>
      </c>
      <c r="M1406" s="39" t="n">
        <f aca="false">ABS(I1406-L1406)</f>
        <v>6</v>
      </c>
      <c r="N1406" s="24" t="n">
        <f aca="false">M1406*H1406*Summary!$C$6</f>
        <v>36</v>
      </c>
      <c r="O1406" s="37" t="n">
        <v>45912.263900463</v>
      </c>
      <c r="P1406" s="22" t="n">
        <f aca="false">ROUND((O1406-C1406)*86400,0)</f>
        <v>4269</v>
      </c>
      <c r="Q1406" s="22" t="str">
        <f aca="false">IF(P1406&lt;10,"a) &lt;10s",IF(P1406&lt;60,"b) 10-60s",IF(P1406&lt;600,"c) 1-10min","d) &gt;10min")))</f>
        <v>d) &gt;10min</v>
      </c>
      <c r="R1406" s="38" t="n">
        <v>3649.4</v>
      </c>
      <c r="S1406" s="38" t="n">
        <v>3649.39</v>
      </c>
      <c r="T1406" s="22" t="s">
        <v>189</v>
      </c>
      <c r="U1406" s="39" t="n">
        <f aca="false">IF(R1406="","",IF(F1406="BUY",R1406-S1406,S1406-R1406))</f>
        <v>0.0100000000002183</v>
      </c>
      <c r="V1406" s="39" t="n">
        <f aca="false">IF(F1406="BUY",S1406-J1406,J1406-S1406)</f>
        <v>0.489999999999782</v>
      </c>
      <c r="W1406" s="6" t="n">
        <v>2.94</v>
      </c>
      <c r="X1406" s="26" t="n">
        <f aca="false">IFERROR(W1406/N1406,0)</f>
        <v>0.0816666666666667</v>
      </c>
      <c r="Y1406" s="22" t="str">
        <f aca="false">IF(W1406&gt;0,"Win",IF(W1406&lt;0,"Loss","Flat"))</f>
        <v>Win</v>
      </c>
      <c r="Z1406" s="24" t="n">
        <f aca="false">Summary!$C$5+SUM(W$2:W1406)</f>
        <v>3876.93</v>
      </c>
      <c r="AA1406" s="24" t="n">
        <f aca="false">MAX(AA1405,Z1406)</f>
        <v>5000</v>
      </c>
      <c r="AB1406" s="24" t="n">
        <f aca="false">AA1406-Z1406</f>
        <v>1123.07</v>
      </c>
      <c r="AC1406" s="23" t="n">
        <f aca="false">IFERROR(AB1406/AA1406,0)</f>
        <v>0.224614</v>
      </c>
      <c r="AD1406" s="22" t="s">
        <v>1643</v>
      </c>
    </row>
    <row r="1407" customFormat="false" ht="15" hidden="false" customHeight="false" outlineLevel="0" collapsed="false">
      <c r="A1407" s="22" t="n">
        <v>1406</v>
      </c>
      <c r="B1407" s="22" t="s">
        <v>161</v>
      </c>
      <c r="C1407" s="37" t="n">
        <v>45912.3826041667</v>
      </c>
      <c r="D1407" s="22" t="s">
        <v>206</v>
      </c>
      <c r="E1407" s="22" t="n">
        <v>9</v>
      </c>
      <c r="F1407" s="22" t="s">
        <v>182</v>
      </c>
      <c r="G1407" s="22" t="s">
        <v>241</v>
      </c>
      <c r="H1407" s="22" t="n">
        <v>0.06</v>
      </c>
      <c r="I1407" s="38" t="n">
        <v>3651.39</v>
      </c>
      <c r="J1407" s="38" t="n">
        <v>3651.37</v>
      </c>
      <c r="K1407" s="39" t="n">
        <f aca="false">IF(F1407="BUY",J1407-I1407,I1407-J1407)</f>
        <v>0.0199999999999818</v>
      </c>
      <c r="L1407" s="38" t="n">
        <v>3657.39</v>
      </c>
      <c r="M1407" s="39" t="n">
        <f aca="false">ABS(I1407-L1407)</f>
        <v>6</v>
      </c>
      <c r="N1407" s="24" t="n">
        <f aca="false">M1407*H1407*Summary!$C$6</f>
        <v>36</v>
      </c>
      <c r="O1407" s="37" t="n">
        <v>45912.414537037</v>
      </c>
      <c r="P1407" s="22" t="n">
        <f aca="false">ROUND((O1407-C1407)*86400,0)</f>
        <v>2759</v>
      </c>
      <c r="Q1407" s="22" t="str">
        <f aca="false">IF(P1407&lt;10,"a) &lt;10s",IF(P1407&lt;60,"b) 10-60s",IF(P1407&lt;600,"c) 1-10min","d) &gt;10min")))</f>
        <v>d) &gt;10min</v>
      </c>
      <c r="R1407" s="38" t="n">
        <v>3650.87</v>
      </c>
      <c r="S1407" s="38" t="n">
        <v>3650.87</v>
      </c>
      <c r="T1407" s="22" t="s">
        <v>189</v>
      </c>
      <c r="U1407" s="39" t="n">
        <f aca="false">IF(R1407="","",IF(F1407="BUY",R1407-S1407,S1407-R1407))</f>
        <v>0</v>
      </c>
      <c r="V1407" s="39" t="n">
        <f aca="false">IF(F1407="BUY",S1407-J1407,J1407-S1407)</f>
        <v>0.5</v>
      </c>
      <c r="W1407" s="6" t="n">
        <v>3</v>
      </c>
      <c r="X1407" s="26" t="n">
        <f aca="false">IFERROR(W1407/N1407,0)</f>
        <v>0.0833333333333333</v>
      </c>
      <c r="Y1407" s="22" t="str">
        <f aca="false">IF(W1407&gt;0,"Win",IF(W1407&lt;0,"Loss","Flat"))</f>
        <v>Win</v>
      </c>
      <c r="Z1407" s="24" t="n">
        <f aca="false">Summary!$C$5+SUM(W$2:W1407)</f>
        <v>3879.93</v>
      </c>
      <c r="AA1407" s="24" t="n">
        <f aca="false">MAX(AA1406,Z1407)</f>
        <v>5000</v>
      </c>
      <c r="AB1407" s="24" t="n">
        <f aca="false">AA1407-Z1407</f>
        <v>1120.07</v>
      </c>
      <c r="AC1407" s="23" t="n">
        <f aca="false">IFERROR(AB1407/AA1407,0)</f>
        <v>0.224014</v>
      </c>
      <c r="AD1407" s="22" t="s">
        <v>1644</v>
      </c>
    </row>
    <row r="1408" customFormat="false" ht="15" hidden="false" customHeight="false" outlineLevel="0" collapsed="false">
      <c r="A1408" s="22" t="n">
        <v>1407</v>
      </c>
      <c r="B1408" s="22" t="s">
        <v>161</v>
      </c>
      <c r="C1408" s="37" t="n">
        <v>45915.1673842593</v>
      </c>
      <c r="D1408" s="22" t="s">
        <v>202</v>
      </c>
      <c r="E1408" s="22" t="n">
        <v>4</v>
      </c>
      <c r="F1408" s="22" t="s">
        <v>182</v>
      </c>
      <c r="G1408" s="22" t="s">
        <v>237</v>
      </c>
      <c r="H1408" s="22" t="n">
        <v>0.06</v>
      </c>
      <c r="I1408" s="38" t="n">
        <v>3630.3</v>
      </c>
      <c r="J1408" s="38" t="n">
        <v>3630.24</v>
      </c>
      <c r="K1408" s="39" t="n">
        <f aca="false">IF(F1408="BUY",J1408-I1408,I1408-J1408)</f>
        <v>0.0600000000004002</v>
      </c>
      <c r="L1408" s="38" t="n">
        <v>3636.3</v>
      </c>
      <c r="M1408" s="39" t="n">
        <f aca="false">ABS(I1408-L1408)</f>
        <v>6</v>
      </c>
      <c r="N1408" s="24" t="n">
        <f aca="false">M1408*H1408*Summary!$C$6</f>
        <v>36</v>
      </c>
      <c r="O1408" s="37" t="n">
        <v>45915.1762847222</v>
      </c>
      <c r="P1408" s="22" t="n">
        <f aca="false">ROUND((O1408-C1408)*86400,0)</f>
        <v>769</v>
      </c>
      <c r="Q1408" s="22" t="str">
        <f aca="false">IF(P1408&lt;10,"a) &lt;10s",IF(P1408&lt;60,"b) 10-60s",IF(P1408&lt;600,"c) 1-10min","d) &gt;10min")))</f>
        <v>d) &gt;10min</v>
      </c>
      <c r="R1408" s="38" t="n">
        <v>3629.74</v>
      </c>
      <c r="S1408" s="38" t="n">
        <v>3629.79</v>
      </c>
      <c r="T1408" s="22" t="s">
        <v>189</v>
      </c>
      <c r="U1408" s="39" t="n">
        <f aca="false">IF(R1408="","",IF(F1408="BUY",R1408-S1408,S1408-R1408))</f>
        <v>0.0500000000001819</v>
      </c>
      <c r="V1408" s="39" t="n">
        <f aca="false">IF(F1408="BUY",S1408-J1408,J1408-S1408)</f>
        <v>0.449999999999818</v>
      </c>
      <c r="W1408" s="6" t="n">
        <v>2.7</v>
      </c>
      <c r="X1408" s="26" t="n">
        <f aca="false">IFERROR(W1408/N1408,0)</f>
        <v>0.075</v>
      </c>
      <c r="Y1408" s="22" t="str">
        <f aca="false">IF(W1408&gt;0,"Win",IF(W1408&lt;0,"Loss","Flat"))</f>
        <v>Win</v>
      </c>
      <c r="Z1408" s="24" t="n">
        <f aca="false">Summary!$C$5+SUM(W$2:W1408)</f>
        <v>3882.63</v>
      </c>
      <c r="AA1408" s="24" t="n">
        <f aca="false">MAX(AA1407,Z1408)</f>
        <v>5000</v>
      </c>
      <c r="AB1408" s="24" t="n">
        <f aca="false">AA1408-Z1408</f>
        <v>1117.37</v>
      </c>
      <c r="AC1408" s="23" t="n">
        <f aca="false">IFERROR(AB1408/AA1408,0)</f>
        <v>0.223474</v>
      </c>
      <c r="AD1408" s="22" t="s">
        <v>1645</v>
      </c>
    </row>
    <row r="1409" customFormat="false" ht="15" hidden="false" customHeight="false" outlineLevel="0" collapsed="false">
      <c r="A1409" s="22" t="n">
        <v>1408</v>
      </c>
      <c r="B1409" s="22" t="s">
        <v>161</v>
      </c>
      <c r="C1409" s="37" t="n">
        <v>45915.3764699074</v>
      </c>
      <c r="D1409" s="22" t="s">
        <v>202</v>
      </c>
      <c r="E1409" s="22" t="n">
        <v>9</v>
      </c>
      <c r="F1409" s="22" t="s">
        <v>182</v>
      </c>
      <c r="G1409" s="22" t="s">
        <v>241</v>
      </c>
      <c r="H1409" s="22" t="n">
        <v>0.06</v>
      </c>
      <c r="I1409" s="38" t="n">
        <v>3641.98</v>
      </c>
      <c r="J1409" s="38" t="n">
        <v>3641.97</v>
      </c>
      <c r="K1409" s="39" t="n">
        <f aca="false">IF(F1409="BUY",J1409-I1409,I1409-J1409)</f>
        <v>0.0100000000002183</v>
      </c>
      <c r="L1409" s="38" t="n">
        <v>3647.98</v>
      </c>
      <c r="M1409" s="39" t="n">
        <f aca="false">ABS(I1409-L1409)</f>
        <v>6</v>
      </c>
      <c r="N1409" s="24" t="n">
        <f aca="false">M1409*H1409*Summary!$C$6</f>
        <v>36</v>
      </c>
      <c r="O1409" s="37" t="n">
        <v>45915.4437731481</v>
      </c>
      <c r="P1409" s="22" t="n">
        <f aca="false">ROUND((O1409-C1409)*86400,0)</f>
        <v>5815</v>
      </c>
      <c r="Q1409" s="22" t="str">
        <f aca="false">IF(P1409&lt;10,"a) &lt;10s",IF(P1409&lt;60,"b) 10-60s",IF(P1409&lt;600,"c) 1-10min","d) &gt;10min")))</f>
        <v>d) &gt;10min</v>
      </c>
      <c r="R1409" s="38" t="n">
        <v>3641.47</v>
      </c>
      <c r="S1409" s="38" t="n">
        <v>3641.53</v>
      </c>
      <c r="T1409" s="22" t="s">
        <v>189</v>
      </c>
      <c r="U1409" s="39" t="n">
        <f aca="false">IF(R1409="","",IF(F1409="BUY",R1409-S1409,S1409-R1409))</f>
        <v>0.0600000000004002</v>
      </c>
      <c r="V1409" s="39" t="n">
        <f aca="false">IF(F1409="BUY",S1409-J1409,J1409-S1409)</f>
        <v>0.4399999999996</v>
      </c>
      <c r="W1409" s="6" t="n">
        <v>2.64</v>
      </c>
      <c r="X1409" s="26" t="n">
        <f aca="false">IFERROR(W1409/N1409,0)</f>
        <v>0.0733333333333333</v>
      </c>
      <c r="Y1409" s="22" t="str">
        <f aca="false">IF(W1409&gt;0,"Win",IF(W1409&lt;0,"Loss","Flat"))</f>
        <v>Win</v>
      </c>
      <c r="Z1409" s="24" t="n">
        <f aca="false">Summary!$C$5+SUM(W$2:W1409)</f>
        <v>3885.27</v>
      </c>
      <c r="AA1409" s="24" t="n">
        <f aca="false">MAX(AA1408,Z1409)</f>
        <v>5000</v>
      </c>
      <c r="AB1409" s="24" t="n">
        <f aca="false">AA1409-Z1409</f>
        <v>1114.73</v>
      </c>
      <c r="AC1409" s="23" t="n">
        <f aca="false">IFERROR(AB1409/AA1409,0)</f>
        <v>0.222946</v>
      </c>
      <c r="AD1409" s="22" t="s">
        <v>1646</v>
      </c>
    </row>
    <row r="1410" customFormat="false" ht="15" hidden="false" customHeight="false" outlineLevel="0" collapsed="false">
      <c r="A1410" s="22" t="n">
        <v>1409</v>
      </c>
      <c r="B1410" s="22" t="s">
        <v>161</v>
      </c>
      <c r="C1410" s="37" t="n">
        <v>45916.1463194444</v>
      </c>
      <c r="D1410" s="22" t="s">
        <v>203</v>
      </c>
      <c r="E1410" s="22" t="n">
        <v>3</v>
      </c>
      <c r="F1410" s="22" t="s">
        <v>181</v>
      </c>
      <c r="G1410" s="22" t="s">
        <v>243</v>
      </c>
      <c r="H1410" s="22" t="n">
        <v>0.06</v>
      </c>
      <c r="I1410" s="38" t="n">
        <v>3685.35</v>
      </c>
      <c r="J1410" s="38" t="n">
        <v>3685.35</v>
      </c>
      <c r="K1410" s="39" t="n">
        <f aca="false">IF(F1410="BUY",J1410-I1410,I1410-J1410)</f>
        <v>0</v>
      </c>
      <c r="L1410" s="38" t="n">
        <v>3679.35</v>
      </c>
      <c r="M1410" s="39" t="n">
        <f aca="false">ABS(I1410-L1410)</f>
        <v>6</v>
      </c>
      <c r="N1410" s="24" t="n">
        <f aca="false">M1410*H1410*Summary!$C$6</f>
        <v>36</v>
      </c>
      <c r="O1410" s="37" t="n">
        <v>45916.1672106482</v>
      </c>
      <c r="P1410" s="22" t="n">
        <f aca="false">ROUND((O1410-C1410)*86400,0)</f>
        <v>1805</v>
      </c>
      <c r="Q1410" s="22" t="str">
        <f aca="false">IF(P1410&lt;10,"a) &lt;10s",IF(P1410&lt;60,"b) 10-60s",IF(P1410&lt;600,"c) 1-10min","d) &gt;10min")))</f>
        <v>d) &gt;10min</v>
      </c>
      <c r="R1410" s="38" t="n">
        <v>3685.85</v>
      </c>
      <c r="S1410" s="38" t="n">
        <v>3685.77</v>
      </c>
      <c r="T1410" s="22" t="s">
        <v>189</v>
      </c>
      <c r="U1410" s="39" t="n">
        <f aca="false">IF(R1410="","",IF(F1410="BUY",R1410-S1410,S1410-R1410))</f>
        <v>0.0799999999999272</v>
      </c>
      <c r="V1410" s="39" t="n">
        <f aca="false">IF(F1410="BUY",S1410-J1410,J1410-S1410)</f>
        <v>0.420000000000073</v>
      </c>
      <c r="W1410" s="6" t="n">
        <v>2.52</v>
      </c>
      <c r="X1410" s="26" t="n">
        <f aca="false">IFERROR(W1410/N1410,0)</f>
        <v>0.07</v>
      </c>
      <c r="Y1410" s="22" t="str">
        <f aca="false">IF(W1410&gt;0,"Win",IF(W1410&lt;0,"Loss","Flat"))</f>
        <v>Win</v>
      </c>
      <c r="Z1410" s="24" t="n">
        <f aca="false">Summary!$C$5+SUM(W$2:W1410)</f>
        <v>3887.79</v>
      </c>
      <c r="AA1410" s="24" t="n">
        <f aca="false">MAX(AA1409,Z1410)</f>
        <v>5000</v>
      </c>
      <c r="AB1410" s="24" t="n">
        <f aca="false">AA1410-Z1410</f>
        <v>1112.21</v>
      </c>
      <c r="AC1410" s="23" t="n">
        <f aca="false">IFERROR(AB1410/AA1410,0)</f>
        <v>0.222442</v>
      </c>
      <c r="AD1410" s="22" t="s">
        <v>1647</v>
      </c>
    </row>
    <row r="1411" customFormat="false" ht="15" hidden="false" customHeight="false" outlineLevel="0" collapsed="false">
      <c r="A1411" s="22" t="n">
        <v>1410</v>
      </c>
      <c r="B1411" s="22" t="s">
        <v>161</v>
      </c>
      <c r="C1411" s="37" t="n">
        <v>45916.3875115741</v>
      </c>
      <c r="D1411" s="22" t="s">
        <v>203</v>
      </c>
      <c r="E1411" s="22" t="n">
        <v>9</v>
      </c>
      <c r="F1411" s="22" t="s">
        <v>181</v>
      </c>
      <c r="G1411" s="22" t="s">
        <v>235</v>
      </c>
      <c r="H1411" s="22" t="n">
        <v>0.06</v>
      </c>
      <c r="I1411" s="38" t="n">
        <v>3685.27</v>
      </c>
      <c r="J1411" s="38" t="n">
        <v>3685.32</v>
      </c>
      <c r="K1411" s="39" t="n">
        <f aca="false">IF(F1411="BUY",J1411-I1411,I1411-J1411)</f>
        <v>0.0500000000001819</v>
      </c>
      <c r="L1411" s="38" t="n">
        <v>3679.27</v>
      </c>
      <c r="M1411" s="39" t="n">
        <f aca="false">ABS(I1411-L1411)</f>
        <v>6</v>
      </c>
      <c r="N1411" s="24" t="n">
        <f aca="false">M1411*H1411*Summary!$C$6</f>
        <v>36</v>
      </c>
      <c r="O1411" s="37" t="n">
        <v>45916.6686111111</v>
      </c>
      <c r="P1411" s="22" t="n">
        <f aca="false">ROUND((O1411-C1411)*86400,0)</f>
        <v>24287</v>
      </c>
      <c r="Q1411" s="22" t="str">
        <f aca="false">IF(P1411&lt;10,"a) &lt;10s",IF(P1411&lt;60,"b) 10-60s",IF(P1411&lt;600,"c) 1-10min","d) &gt;10min")))</f>
        <v>d) &gt;10min</v>
      </c>
      <c r="R1411" s="38" t="n">
        <v>3685.82</v>
      </c>
      <c r="S1411" s="38" t="n">
        <v>3685.82</v>
      </c>
      <c r="T1411" s="22" t="s">
        <v>189</v>
      </c>
      <c r="U1411" s="39" t="n">
        <f aca="false">IF(R1411="","",IF(F1411="BUY",R1411-S1411,S1411-R1411))</f>
        <v>0</v>
      </c>
      <c r="V1411" s="39" t="n">
        <f aca="false">IF(F1411="BUY",S1411-J1411,J1411-S1411)</f>
        <v>0.5</v>
      </c>
      <c r="W1411" s="6" t="n">
        <v>3</v>
      </c>
      <c r="X1411" s="26" t="n">
        <f aca="false">IFERROR(W1411/N1411,0)</f>
        <v>0.0833333333333333</v>
      </c>
      <c r="Y1411" s="22" t="str">
        <f aca="false">IF(W1411&gt;0,"Win",IF(W1411&lt;0,"Loss","Flat"))</f>
        <v>Win</v>
      </c>
      <c r="Z1411" s="24" t="n">
        <f aca="false">Summary!$C$5+SUM(W$2:W1411)</f>
        <v>3890.79</v>
      </c>
      <c r="AA1411" s="24" t="n">
        <f aca="false">MAX(AA1410,Z1411)</f>
        <v>5000</v>
      </c>
      <c r="AB1411" s="24" t="n">
        <f aca="false">AA1411-Z1411</f>
        <v>1109.21</v>
      </c>
      <c r="AC1411" s="23" t="n">
        <f aca="false">IFERROR(AB1411/AA1411,0)</f>
        <v>0.221842</v>
      </c>
      <c r="AD1411" s="22" t="s">
        <v>1648</v>
      </c>
    </row>
    <row r="1412" customFormat="false" ht="15" hidden="false" customHeight="false" outlineLevel="0" collapsed="false">
      <c r="A1412" s="22" t="n">
        <v>1411</v>
      </c>
      <c r="B1412" s="22" t="s">
        <v>161</v>
      </c>
      <c r="C1412" s="37" t="n">
        <v>45917.2348032407</v>
      </c>
      <c r="D1412" s="22" t="s">
        <v>204</v>
      </c>
      <c r="E1412" s="22" t="n">
        <v>5</v>
      </c>
      <c r="F1412" s="22" t="s">
        <v>182</v>
      </c>
      <c r="G1412" s="22" t="s">
        <v>237</v>
      </c>
      <c r="H1412" s="22" t="n">
        <v>0.06</v>
      </c>
      <c r="I1412" s="38" t="n">
        <v>3674.46</v>
      </c>
      <c r="J1412" s="38" t="n">
        <v>3674.46</v>
      </c>
      <c r="K1412" s="39" t="n">
        <f aca="false">IF(F1412="BUY",J1412-I1412,I1412-J1412)</f>
        <v>0</v>
      </c>
      <c r="L1412" s="38" t="n">
        <v>3680.46</v>
      </c>
      <c r="M1412" s="39" t="n">
        <f aca="false">ABS(I1412-L1412)</f>
        <v>6</v>
      </c>
      <c r="N1412" s="24" t="n">
        <f aca="false">M1412*H1412*Summary!$C$6</f>
        <v>36</v>
      </c>
      <c r="O1412" s="37" t="n">
        <v>45917.2377777778</v>
      </c>
      <c r="P1412" s="22" t="n">
        <f aca="false">ROUND((O1412-C1412)*86400,0)</f>
        <v>257</v>
      </c>
      <c r="Q1412" s="22" t="str">
        <f aca="false">IF(P1412&lt;10,"a) &lt;10s",IF(P1412&lt;60,"b) 10-60s",IF(P1412&lt;600,"c) 1-10min","d) &gt;10min")))</f>
        <v>c) 1-10min</v>
      </c>
      <c r="R1412" s="38" t="n">
        <v>3680.46</v>
      </c>
      <c r="S1412" s="38" t="n">
        <v>3680.46</v>
      </c>
      <c r="T1412" s="22" t="s">
        <v>188</v>
      </c>
      <c r="U1412" s="39" t="n">
        <f aca="false">IF(R1412="","",IF(F1412="BUY",R1412-S1412,S1412-R1412))</f>
        <v>0</v>
      </c>
      <c r="V1412" s="39" t="n">
        <f aca="false">IF(F1412="BUY",S1412-J1412,J1412-S1412)</f>
        <v>-6</v>
      </c>
      <c r="W1412" s="6" t="n">
        <v>-36</v>
      </c>
      <c r="X1412" s="26" t="n">
        <f aca="false">IFERROR(W1412/N1412,0)</f>
        <v>-1</v>
      </c>
      <c r="Y1412" s="22" t="str">
        <f aca="false">IF(W1412&gt;0,"Win",IF(W1412&lt;0,"Loss","Flat"))</f>
        <v>Loss</v>
      </c>
      <c r="Z1412" s="24" t="n">
        <f aca="false">Summary!$C$5+SUM(W$2:W1412)</f>
        <v>3854.79</v>
      </c>
      <c r="AA1412" s="24" t="n">
        <f aca="false">MAX(AA1411,Z1412)</f>
        <v>5000</v>
      </c>
      <c r="AB1412" s="24" t="n">
        <f aca="false">AA1412-Z1412</f>
        <v>1145.21</v>
      </c>
      <c r="AC1412" s="23" t="n">
        <f aca="false">IFERROR(AB1412/AA1412,0)</f>
        <v>0.229042</v>
      </c>
      <c r="AD1412" s="22" t="s">
        <v>1649</v>
      </c>
    </row>
    <row r="1413" customFormat="false" ht="15" hidden="false" customHeight="false" outlineLevel="0" collapsed="false">
      <c r="A1413" s="22" t="n">
        <v>1412</v>
      </c>
      <c r="B1413" s="22" t="s">
        <v>161</v>
      </c>
      <c r="C1413" s="37" t="n">
        <v>45917.3822453704</v>
      </c>
      <c r="D1413" s="22" t="s">
        <v>204</v>
      </c>
      <c r="E1413" s="22" t="n">
        <v>9</v>
      </c>
      <c r="F1413" s="22" t="s">
        <v>182</v>
      </c>
      <c r="G1413" s="22" t="s">
        <v>241</v>
      </c>
      <c r="H1413" s="22" t="n">
        <v>0.06</v>
      </c>
      <c r="I1413" s="38" t="n">
        <v>3675.59</v>
      </c>
      <c r="J1413" s="38" t="n">
        <v>3675.58</v>
      </c>
      <c r="K1413" s="39" t="n">
        <f aca="false">IF(F1413="BUY",J1413-I1413,I1413-J1413)</f>
        <v>0.0100000000002183</v>
      </c>
      <c r="L1413" s="38" t="n">
        <v>3681.59</v>
      </c>
      <c r="M1413" s="39" t="n">
        <f aca="false">ABS(I1413-L1413)</f>
        <v>6</v>
      </c>
      <c r="N1413" s="24" t="n">
        <f aca="false">M1413*H1413*Summary!$C$6</f>
        <v>36</v>
      </c>
      <c r="O1413" s="37" t="n">
        <v>45917.4105092593</v>
      </c>
      <c r="P1413" s="22" t="n">
        <f aca="false">ROUND((O1413-C1413)*86400,0)</f>
        <v>2442</v>
      </c>
      <c r="Q1413" s="22" t="str">
        <f aca="false">IF(P1413&lt;10,"a) &lt;10s",IF(P1413&lt;60,"b) 10-60s",IF(P1413&lt;600,"c) 1-10min","d) &gt;10min")))</f>
        <v>d) &gt;10min</v>
      </c>
      <c r="R1413" s="38" t="n">
        <v>3675.08</v>
      </c>
      <c r="S1413" s="38" t="n">
        <v>3675.08</v>
      </c>
      <c r="T1413" s="22" t="s">
        <v>189</v>
      </c>
      <c r="U1413" s="39" t="n">
        <f aca="false">IF(R1413="","",IF(F1413="BUY",R1413-S1413,S1413-R1413))</f>
        <v>0</v>
      </c>
      <c r="V1413" s="39" t="n">
        <f aca="false">IF(F1413="BUY",S1413-J1413,J1413-S1413)</f>
        <v>0.5</v>
      </c>
      <c r="W1413" s="6" t="n">
        <v>3</v>
      </c>
      <c r="X1413" s="26" t="n">
        <f aca="false">IFERROR(W1413/N1413,0)</f>
        <v>0.0833333333333333</v>
      </c>
      <c r="Y1413" s="22" t="str">
        <f aca="false">IF(W1413&gt;0,"Win",IF(W1413&lt;0,"Loss","Flat"))</f>
        <v>Win</v>
      </c>
      <c r="Z1413" s="24" t="n">
        <f aca="false">Summary!$C$5+SUM(W$2:W1413)</f>
        <v>3857.79</v>
      </c>
      <c r="AA1413" s="24" t="n">
        <f aca="false">MAX(AA1412,Z1413)</f>
        <v>5000</v>
      </c>
      <c r="AB1413" s="24" t="n">
        <f aca="false">AA1413-Z1413</f>
        <v>1142.21</v>
      </c>
      <c r="AC1413" s="23" t="n">
        <f aca="false">IFERROR(AB1413/AA1413,0)</f>
        <v>0.228442</v>
      </c>
      <c r="AD1413" s="22" t="s">
        <v>1650</v>
      </c>
    </row>
    <row r="1414" customFormat="false" ht="15" hidden="false" customHeight="false" outlineLevel="0" collapsed="false">
      <c r="A1414" s="22" t="n">
        <v>1413</v>
      </c>
      <c r="B1414" s="22" t="s">
        <v>161</v>
      </c>
      <c r="C1414" s="37" t="n">
        <v>45918.3761921296</v>
      </c>
      <c r="D1414" s="22" t="s">
        <v>205</v>
      </c>
      <c r="E1414" s="22" t="n">
        <v>9</v>
      </c>
      <c r="F1414" s="22" t="s">
        <v>182</v>
      </c>
      <c r="G1414" s="22" t="s">
        <v>241</v>
      </c>
      <c r="H1414" s="22" t="n">
        <v>0.06</v>
      </c>
      <c r="I1414" s="38" t="n">
        <v>3649.09</v>
      </c>
      <c r="J1414" s="38" t="n">
        <v>3649.05</v>
      </c>
      <c r="K1414" s="39" t="n">
        <f aca="false">IF(F1414="BUY",J1414-I1414,I1414-J1414)</f>
        <v>0.0399999999999636</v>
      </c>
      <c r="L1414" s="38" t="n">
        <v>3655.09</v>
      </c>
      <c r="M1414" s="39" t="n">
        <f aca="false">ABS(I1414-L1414)</f>
        <v>6</v>
      </c>
      <c r="N1414" s="24" t="n">
        <f aca="false">M1414*H1414*Summary!$C$6</f>
        <v>36</v>
      </c>
      <c r="O1414" s="37" t="n">
        <v>45918.4304398148</v>
      </c>
      <c r="P1414" s="22" t="n">
        <f aca="false">ROUND((O1414-C1414)*86400,0)</f>
        <v>4687</v>
      </c>
      <c r="Q1414" s="22" t="str">
        <f aca="false">IF(P1414&lt;10,"a) &lt;10s",IF(P1414&lt;60,"b) 10-60s",IF(P1414&lt;600,"c) 1-10min","d) &gt;10min")))</f>
        <v>d) &gt;10min</v>
      </c>
      <c r="R1414" s="38" t="n">
        <v>3648.55</v>
      </c>
      <c r="S1414" s="38" t="n">
        <v>3648.57</v>
      </c>
      <c r="T1414" s="22" t="s">
        <v>189</v>
      </c>
      <c r="U1414" s="39" t="n">
        <f aca="false">IF(R1414="","",IF(F1414="BUY",R1414-S1414,S1414-R1414))</f>
        <v>0.0199999999999818</v>
      </c>
      <c r="V1414" s="39" t="n">
        <f aca="false">IF(F1414="BUY",S1414-J1414,J1414-S1414)</f>
        <v>0.480000000000018</v>
      </c>
      <c r="W1414" s="6" t="n">
        <v>2.88</v>
      </c>
      <c r="X1414" s="26" t="n">
        <f aca="false">IFERROR(W1414/N1414,0)</f>
        <v>0.08</v>
      </c>
      <c r="Y1414" s="22" t="str">
        <f aca="false">IF(W1414&gt;0,"Win",IF(W1414&lt;0,"Loss","Flat"))</f>
        <v>Win</v>
      </c>
      <c r="Z1414" s="24" t="n">
        <f aca="false">Summary!$C$5+SUM(W$2:W1414)</f>
        <v>3860.67</v>
      </c>
      <c r="AA1414" s="24" t="n">
        <f aca="false">MAX(AA1413,Z1414)</f>
        <v>5000</v>
      </c>
      <c r="AB1414" s="24" t="n">
        <f aca="false">AA1414-Z1414</f>
        <v>1139.33</v>
      </c>
      <c r="AC1414" s="23" t="n">
        <f aca="false">IFERROR(AB1414/AA1414,0)</f>
        <v>0.227866</v>
      </c>
      <c r="AD1414" s="22" t="s">
        <v>1651</v>
      </c>
    </row>
    <row r="1415" customFormat="false" ht="15" hidden="false" customHeight="false" outlineLevel="0" collapsed="false">
      <c r="A1415" s="22" t="n">
        <v>1414</v>
      </c>
      <c r="B1415" s="22" t="s">
        <v>161</v>
      </c>
      <c r="C1415" s="37" t="n">
        <v>45919.3751851852</v>
      </c>
      <c r="D1415" s="22" t="s">
        <v>206</v>
      </c>
      <c r="E1415" s="22" t="n">
        <v>9</v>
      </c>
      <c r="F1415" s="22" t="s">
        <v>182</v>
      </c>
      <c r="G1415" s="22" t="s">
        <v>241</v>
      </c>
      <c r="H1415" s="22" t="n">
        <v>0.06</v>
      </c>
      <c r="I1415" s="38" t="n">
        <v>3651.07</v>
      </c>
      <c r="J1415" s="38" t="n">
        <v>3651.05</v>
      </c>
      <c r="K1415" s="39" t="n">
        <f aca="false">IF(F1415="BUY",J1415-I1415,I1415-J1415)</f>
        <v>0.0199999999999818</v>
      </c>
      <c r="L1415" s="38" t="n">
        <v>3657.07</v>
      </c>
      <c r="M1415" s="39" t="n">
        <f aca="false">ABS(I1415-L1415)</f>
        <v>6</v>
      </c>
      <c r="N1415" s="24" t="n">
        <f aca="false">M1415*H1415*Summary!$C$6</f>
        <v>36</v>
      </c>
      <c r="O1415" s="37" t="n">
        <v>45919.3926388889</v>
      </c>
      <c r="P1415" s="22" t="n">
        <f aca="false">ROUND((O1415-C1415)*86400,0)</f>
        <v>1508</v>
      </c>
      <c r="Q1415" s="22" t="str">
        <f aca="false">IF(P1415&lt;10,"a) &lt;10s",IF(P1415&lt;60,"b) 10-60s",IF(P1415&lt;600,"c) 1-10min","d) &gt;10min")))</f>
        <v>d) &gt;10min</v>
      </c>
      <c r="R1415" s="38" t="n">
        <v>3650.55</v>
      </c>
      <c r="S1415" s="38" t="n">
        <v>3650.58</v>
      </c>
      <c r="T1415" s="22" t="s">
        <v>189</v>
      </c>
      <c r="U1415" s="39" t="n">
        <f aca="false">IF(R1415="","",IF(F1415="BUY",R1415-S1415,S1415-R1415))</f>
        <v>0.0299999999997453</v>
      </c>
      <c r="V1415" s="39" t="n">
        <f aca="false">IF(F1415="BUY",S1415-J1415,J1415-S1415)</f>
        <v>0.470000000000255</v>
      </c>
      <c r="W1415" s="6" t="n">
        <v>2.82</v>
      </c>
      <c r="X1415" s="26" t="n">
        <f aca="false">IFERROR(W1415/N1415,0)</f>
        <v>0.0783333333333333</v>
      </c>
      <c r="Y1415" s="22" t="str">
        <f aca="false">IF(W1415&gt;0,"Win",IF(W1415&lt;0,"Loss","Flat"))</f>
        <v>Win</v>
      </c>
      <c r="Z1415" s="24" t="n">
        <f aca="false">Summary!$C$5+SUM(W$2:W1415)</f>
        <v>3863.49</v>
      </c>
      <c r="AA1415" s="24" t="n">
        <f aca="false">MAX(AA1414,Z1415)</f>
        <v>5000</v>
      </c>
      <c r="AB1415" s="24" t="n">
        <f aca="false">AA1415-Z1415</f>
        <v>1136.51</v>
      </c>
      <c r="AC1415" s="23" t="n">
        <f aca="false">IFERROR(AB1415/AA1415,0)</f>
        <v>0.227302</v>
      </c>
      <c r="AD1415" s="22" t="s">
        <v>1652</v>
      </c>
    </row>
    <row r="1416" customFormat="false" ht="15" hidden="false" customHeight="false" outlineLevel="0" collapsed="false">
      <c r="A1416" s="22" t="n">
        <v>1415</v>
      </c>
      <c r="B1416" s="22" t="s">
        <v>161</v>
      </c>
      <c r="C1416" s="37" t="n">
        <v>45919.7604166667</v>
      </c>
      <c r="D1416" s="22" t="s">
        <v>206</v>
      </c>
      <c r="E1416" s="22" t="n">
        <v>18</v>
      </c>
      <c r="F1416" s="22" t="s">
        <v>181</v>
      </c>
      <c r="G1416" s="22" t="s">
        <v>243</v>
      </c>
      <c r="H1416" s="22" t="n">
        <v>0.06</v>
      </c>
      <c r="I1416" s="38" t="n">
        <v>3672.79</v>
      </c>
      <c r="J1416" s="38" t="n">
        <v>3672.97</v>
      </c>
      <c r="K1416" s="39" t="n">
        <f aca="false">IF(F1416="BUY",J1416-I1416,I1416-J1416)</f>
        <v>0.179999999999836</v>
      </c>
      <c r="L1416" s="38" t="n">
        <v>3666.79</v>
      </c>
      <c r="M1416" s="39" t="n">
        <f aca="false">ABS(I1416-L1416)</f>
        <v>6</v>
      </c>
      <c r="N1416" s="24" t="n">
        <f aca="false">M1416*H1416*Summary!$C$6</f>
        <v>36</v>
      </c>
      <c r="O1416" s="37" t="n">
        <v>45919.7680787037</v>
      </c>
      <c r="P1416" s="22" t="n">
        <f aca="false">ROUND((O1416-C1416)*86400,0)</f>
        <v>662</v>
      </c>
      <c r="Q1416" s="22" t="str">
        <f aca="false">IF(P1416&lt;10,"a) &lt;10s",IF(P1416&lt;60,"b) 10-60s",IF(P1416&lt;600,"c) 1-10min","d) &gt;10min")))</f>
        <v>d) &gt;10min</v>
      </c>
      <c r="R1416" s="38" t="n">
        <v>3673.47</v>
      </c>
      <c r="S1416" s="38" t="n">
        <v>3673.45</v>
      </c>
      <c r="T1416" s="22" t="s">
        <v>189</v>
      </c>
      <c r="U1416" s="39" t="n">
        <f aca="false">IF(R1416="","",IF(F1416="BUY",R1416-S1416,S1416-R1416))</f>
        <v>0.0199999999999818</v>
      </c>
      <c r="V1416" s="39" t="n">
        <f aca="false">IF(F1416="BUY",S1416-J1416,J1416-S1416)</f>
        <v>0.480000000000018</v>
      </c>
      <c r="W1416" s="6" t="n">
        <v>2.88</v>
      </c>
      <c r="X1416" s="26" t="n">
        <f aca="false">IFERROR(W1416/N1416,0)</f>
        <v>0.08</v>
      </c>
      <c r="Y1416" s="22" t="str">
        <f aca="false">IF(W1416&gt;0,"Win",IF(W1416&lt;0,"Loss","Flat"))</f>
        <v>Win</v>
      </c>
      <c r="Z1416" s="24" t="n">
        <f aca="false">Summary!$C$5+SUM(W$2:W1416)</f>
        <v>3866.37</v>
      </c>
      <c r="AA1416" s="24" t="n">
        <f aca="false">MAX(AA1415,Z1416)</f>
        <v>5000</v>
      </c>
      <c r="AB1416" s="24" t="n">
        <f aca="false">AA1416-Z1416</f>
        <v>1133.63</v>
      </c>
      <c r="AC1416" s="23" t="n">
        <f aca="false">IFERROR(AB1416/AA1416,0)</f>
        <v>0.226726</v>
      </c>
      <c r="AD1416" s="22" t="s">
        <v>1653</v>
      </c>
    </row>
    <row r="1417" customFormat="false" ht="15" hidden="false" customHeight="false" outlineLevel="0" collapsed="false">
      <c r="A1417" s="22" t="n">
        <v>1416</v>
      </c>
      <c r="B1417" s="22" t="s">
        <v>161</v>
      </c>
      <c r="C1417" s="37" t="n">
        <v>45922.3804166667</v>
      </c>
      <c r="D1417" s="22" t="s">
        <v>202</v>
      </c>
      <c r="E1417" s="22" t="n">
        <v>9</v>
      </c>
      <c r="F1417" s="22" t="s">
        <v>181</v>
      </c>
      <c r="G1417" s="22" t="s">
        <v>235</v>
      </c>
      <c r="H1417" s="22" t="n">
        <v>0.06</v>
      </c>
      <c r="I1417" s="38" t="n">
        <v>3700.05</v>
      </c>
      <c r="J1417" s="38" t="n">
        <v>3700.27</v>
      </c>
      <c r="K1417" s="39" t="n">
        <f aca="false">IF(F1417="BUY",J1417-I1417,I1417-J1417)</f>
        <v>0.2199999999998</v>
      </c>
      <c r="L1417" s="38" t="n">
        <v>3694.05</v>
      </c>
      <c r="M1417" s="39" t="n">
        <f aca="false">ABS(I1417-L1417)</f>
        <v>6</v>
      </c>
      <c r="N1417" s="24" t="n">
        <f aca="false">M1417*H1417*Summary!$C$6</f>
        <v>36</v>
      </c>
      <c r="O1417" s="37" t="n">
        <v>45922.7700694444</v>
      </c>
      <c r="P1417" s="22" t="n">
        <f aca="false">ROUND((O1417-C1417)*86400,0)</f>
        <v>33666</v>
      </c>
      <c r="Q1417" s="22" t="str">
        <f aca="false">IF(P1417&lt;10,"a) &lt;10s",IF(P1417&lt;60,"b) 10-60s",IF(P1417&lt;600,"c) 1-10min","d) &gt;10min")))</f>
        <v>d) &gt;10min</v>
      </c>
      <c r="R1417" s="38"/>
      <c r="S1417" s="38" t="n">
        <v>3730.05</v>
      </c>
      <c r="T1417" s="22" t="s">
        <v>187</v>
      </c>
      <c r="U1417" s="39" t="str">
        <f aca="false">IF(R1417="","",IF(F1417="BUY",R1417-S1417,S1417-R1417))</f>
        <v/>
      </c>
      <c r="V1417" s="39" t="n">
        <f aca="false">IF(F1417="BUY",S1417-J1417,J1417-S1417)</f>
        <v>29.7800000000002</v>
      </c>
      <c r="W1417" s="6" t="n">
        <v>178.68</v>
      </c>
      <c r="X1417" s="26" t="n">
        <f aca="false">IFERROR(W1417/N1417,0)</f>
        <v>4.96333333333333</v>
      </c>
      <c r="Y1417" s="22" t="str">
        <f aca="false">IF(W1417&gt;0,"Win",IF(W1417&lt;0,"Loss","Flat"))</f>
        <v>Win</v>
      </c>
      <c r="Z1417" s="24" t="n">
        <f aca="false">Summary!$C$5+SUM(W$2:W1417)</f>
        <v>4045.05</v>
      </c>
      <c r="AA1417" s="24" t="n">
        <f aca="false">MAX(AA1416,Z1417)</f>
        <v>5000</v>
      </c>
      <c r="AB1417" s="24" t="n">
        <f aca="false">AA1417-Z1417</f>
        <v>954.95</v>
      </c>
      <c r="AC1417" s="23" t="n">
        <f aca="false">IFERROR(AB1417/AA1417,0)</f>
        <v>0.19099</v>
      </c>
      <c r="AD1417" s="22" t="s">
        <v>1654</v>
      </c>
    </row>
    <row r="1418" customFormat="false" ht="15" hidden="false" customHeight="false" outlineLevel="0" collapsed="false">
      <c r="A1418" s="22" t="n">
        <v>1417</v>
      </c>
      <c r="B1418" s="22" t="s">
        <v>161</v>
      </c>
      <c r="C1418" s="37" t="n">
        <v>45923.0988888889</v>
      </c>
      <c r="D1418" s="22" t="s">
        <v>203</v>
      </c>
      <c r="E1418" s="22" t="n">
        <v>2</v>
      </c>
      <c r="F1418" s="22" t="s">
        <v>181</v>
      </c>
      <c r="G1418" s="22" t="s">
        <v>243</v>
      </c>
      <c r="H1418" s="22" t="n">
        <v>0.06</v>
      </c>
      <c r="I1418" s="38" t="n">
        <v>3748.54</v>
      </c>
      <c r="J1418" s="38" t="n">
        <v>3748.7</v>
      </c>
      <c r="K1418" s="39" t="n">
        <f aca="false">IF(F1418="BUY",J1418-I1418,I1418-J1418)</f>
        <v>0.159999999999854</v>
      </c>
      <c r="L1418" s="38" t="n">
        <v>3742.54</v>
      </c>
      <c r="M1418" s="39" t="n">
        <f aca="false">ABS(I1418-L1418)</f>
        <v>6</v>
      </c>
      <c r="N1418" s="24" t="n">
        <f aca="false">M1418*H1418*Summary!$C$6</f>
        <v>36</v>
      </c>
      <c r="O1418" s="37" t="n">
        <v>45923.1854282407</v>
      </c>
      <c r="P1418" s="22" t="n">
        <f aca="false">ROUND((O1418-C1418)*86400,0)</f>
        <v>7477</v>
      </c>
      <c r="Q1418" s="22" t="str">
        <f aca="false">IF(P1418&lt;10,"a) &lt;10s",IF(P1418&lt;60,"b) 10-60s",IF(P1418&lt;600,"c) 1-10min","d) &gt;10min")))</f>
        <v>d) &gt;10min</v>
      </c>
      <c r="R1418" s="38" t="n">
        <v>3749.2</v>
      </c>
      <c r="S1418" s="38" t="n">
        <v>3749.18</v>
      </c>
      <c r="T1418" s="22" t="s">
        <v>189</v>
      </c>
      <c r="U1418" s="39" t="n">
        <f aca="false">IF(R1418="","",IF(F1418="BUY",R1418-S1418,S1418-R1418))</f>
        <v>0.0199999999999818</v>
      </c>
      <c r="V1418" s="39" t="n">
        <f aca="false">IF(F1418="BUY",S1418-J1418,J1418-S1418)</f>
        <v>0.480000000000018</v>
      </c>
      <c r="W1418" s="6" t="n">
        <v>2.88</v>
      </c>
      <c r="X1418" s="26" t="n">
        <f aca="false">IFERROR(W1418/N1418,0)</f>
        <v>0.08</v>
      </c>
      <c r="Y1418" s="22" t="str">
        <f aca="false">IF(W1418&gt;0,"Win",IF(W1418&lt;0,"Loss","Flat"))</f>
        <v>Win</v>
      </c>
      <c r="Z1418" s="24" t="n">
        <f aca="false">Summary!$C$5+SUM(W$2:W1418)</f>
        <v>4047.93</v>
      </c>
      <c r="AA1418" s="24" t="n">
        <f aca="false">MAX(AA1417,Z1418)</f>
        <v>5000</v>
      </c>
      <c r="AB1418" s="24" t="n">
        <f aca="false">AA1418-Z1418</f>
        <v>952.07</v>
      </c>
      <c r="AC1418" s="23" t="n">
        <f aca="false">IFERROR(AB1418/AA1418,0)</f>
        <v>0.190414</v>
      </c>
      <c r="AD1418" s="22" t="s">
        <v>1655</v>
      </c>
    </row>
    <row r="1419" customFormat="false" ht="15" hidden="false" customHeight="false" outlineLevel="0" collapsed="false">
      <c r="A1419" s="22" t="n">
        <v>1418</v>
      </c>
      <c r="B1419" s="22" t="s">
        <v>161</v>
      </c>
      <c r="C1419" s="37" t="n">
        <v>45923.4719212963</v>
      </c>
      <c r="D1419" s="22" t="s">
        <v>203</v>
      </c>
      <c r="E1419" s="22" t="n">
        <v>11</v>
      </c>
      <c r="F1419" s="22" t="s">
        <v>181</v>
      </c>
      <c r="G1419" s="22" t="s">
        <v>235</v>
      </c>
      <c r="H1419" s="22" t="n">
        <v>0.06</v>
      </c>
      <c r="I1419" s="38" t="n">
        <v>3758.62</v>
      </c>
      <c r="J1419" s="38" t="n">
        <v>3758.68</v>
      </c>
      <c r="K1419" s="39" t="n">
        <f aca="false">IF(F1419="BUY",J1419-I1419,I1419-J1419)</f>
        <v>0.0599999999999454</v>
      </c>
      <c r="L1419" s="38" t="n">
        <v>3752.62</v>
      </c>
      <c r="M1419" s="39" t="n">
        <f aca="false">ABS(I1419-L1419)</f>
        <v>6</v>
      </c>
      <c r="N1419" s="24" t="n">
        <f aca="false">M1419*H1419*Summary!$C$6</f>
        <v>36</v>
      </c>
      <c r="O1419" s="37" t="n">
        <v>45923.5164930556</v>
      </c>
      <c r="P1419" s="22" t="n">
        <f aca="false">ROUND((O1419-C1419)*86400,0)</f>
        <v>3851</v>
      </c>
      <c r="Q1419" s="22" t="str">
        <f aca="false">IF(P1419&lt;10,"a) &lt;10s",IF(P1419&lt;60,"b) 10-60s",IF(P1419&lt;600,"c) 1-10min","d) &gt;10min")))</f>
        <v>d) &gt;10min</v>
      </c>
      <c r="R1419" s="38"/>
      <c r="S1419" s="38" t="n">
        <v>3788.65</v>
      </c>
      <c r="T1419" s="22" t="s">
        <v>187</v>
      </c>
      <c r="U1419" s="39" t="str">
        <f aca="false">IF(R1419="","",IF(F1419="BUY",R1419-S1419,S1419-R1419))</f>
        <v/>
      </c>
      <c r="V1419" s="39" t="n">
        <f aca="false">IF(F1419="BUY",S1419-J1419,J1419-S1419)</f>
        <v>29.9700000000003</v>
      </c>
      <c r="W1419" s="6" t="n">
        <v>179.82</v>
      </c>
      <c r="X1419" s="26" t="n">
        <f aca="false">IFERROR(W1419/N1419,0)</f>
        <v>4.995</v>
      </c>
      <c r="Y1419" s="22" t="str">
        <f aca="false">IF(W1419&gt;0,"Win",IF(W1419&lt;0,"Loss","Flat"))</f>
        <v>Win</v>
      </c>
      <c r="Z1419" s="24" t="n">
        <f aca="false">Summary!$C$5+SUM(W$2:W1419)</f>
        <v>4227.75</v>
      </c>
      <c r="AA1419" s="24" t="n">
        <f aca="false">MAX(AA1418,Z1419)</f>
        <v>5000</v>
      </c>
      <c r="AB1419" s="24" t="n">
        <f aca="false">AA1419-Z1419</f>
        <v>772.25</v>
      </c>
      <c r="AC1419" s="23" t="n">
        <f aca="false">IFERROR(AB1419/AA1419,0)</f>
        <v>0.15445</v>
      </c>
      <c r="AD1419" s="22" t="s">
        <v>1656</v>
      </c>
    </row>
    <row r="1420" customFormat="false" ht="15" hidden="false" customHeight="false" outlineLevel="0" collapsed="false">
      <c r="A1420" s="22" t="n">
        <v>1419</v>
      </c>
      <c r="B1420" s="22" t="s">
        <v>161</v>
      </c>
      <c r="C1420" s="37" t="n">
        <v>45924.4313310185</v>
      </c>
      <c r="D1420" s="22" t="s">
        <v>204</v>
      </c>
      <c r="E1420" s="22" t="n">
        <v>10</v>
      </c>
      <c r="F1420" s="22" t="s">
        <v>181</v>
      </c>
      <c r="G1420" s="22" t="s">
        <v>235</v>
      </c>
      <c r="H1420" s="22" t="n">
        <v>0.07</v>
      </c>
      <c r="I1420" s="38" t="n">
        <v>3776.8</v>
      </c>
      <c r="J1420" s="38" t="n">
        <v>3776.81</v>
      </c>
      <c r="K1420" s="39" t="n">
        <f aca="false">IF(F1420="BUY",J1420-I1420,I1420-J1420)</f>
        <v>0.00999999999976353</v>
      </c>
      <c r="L1420" s="38" t="n">
        <v>3770.8</v>
      </c>
      <c r="M1420" s="39" t="n">
        <f aca="false">ABS(I1420-L1420)</f>
        <v>6</v>
      </c>
      <c r="N1420" s="24" t="n">
        <f aca="false">M1420*H1420*Summary!$C$6</f>
        <v>42</v>
      </c>
      <c r="O1420" s="37" t="n">
        <v>45924.4478356482</v>
      </c>
      <c r="P1420" s="22" t="n">
        <f aca="false">ROUND((O1420-C1420)*86400,0)</f>
        <v>1426</v>
      </c>
      <c r="Q1420" s="22" t="str">
        <f aca="false">IF(P1420&lt;10,"a) &lt;10s",IF(P1420&lt;60,"b) 10-60s",IF(P1420&lt;600,"c) 1-10min","d) &gt;10min")))</f>
        <v>d) &gt;10min</v>
      </c>
      <c r="R1420" s="38" t="n">
        <v>3777.31</v>
      </c>
      <c r="S1420" s="38" t="n">
        <v>3777.19</v>
      </c>
      <c r="T1420" s="22" t="s">
        <v>189</v>
      </c>
      <c r="U1420" s="39" t="n">
        <f aca="false">IF(R1420="","",IF(F1420="BUY",R1420-S1420,S1420-R1420))</f>
        <v>0.119999999999891</v>
      </c>
      <c r="V1420" s="39" t="n">
        <f aca="false">IF(F1420="BUY",S1420-J1420,J1420-S1420)</f>
        <v>0.380000000000109</v>
      </c>
      <c r="W1420" s="6" t="n">
        <v>2.66</v>
      </c>
      <c r="X1420" s="26" t="n">
        <f aca="false">IFERROR(W1420/N1420,0)</f>
        <v>0.0633333333333333</v>
      </c>
      <c r="Y1420" s="22" t="str">
        <f aca="false">IF(W1420&gt;0,"Win",IF(W1420&lt;0,"Loss","Flat"))</f>
        <v>Win</v>
      </c>
      <c r="Z1420" s="24" t="n">
        <f aca="false">Summary!$C$5+SUM(W$2:W1420)</f>
        <v>4230.41</v>
      </c>
      <c r="AA1420" s="24" t="n">
        <f aca="false">MAX(AA1419,Z1420)</f>
        <v>5000</v>
      </c>
      <c r="AB1420" s="24" t="n">
        <f aca="false">AA1420-Z1420</f>
        <v>769.59</v>
      </c>
      <c r="AC1420" s="23" t="n">
        <f aca="false">IFERROR(AB1420/AA1420,0)</f>
        <v>0.153918</v>
      </c>
      <c r="AD1420" s="22" t="s">
        <v>1657</v>
      </c>
    </row>
    <row r="1421" customFormat="false" ht="15" hidden="false" customHeight="false" outlineLevel="0" collapsed="false">
      <c r="A1421" s="22" t="n">
        <v>1420</v>
      </c>
      <c r="B1421" s="22" t="s">
        <v>161</v>
      </c>
      <c r="C1421" s="37" t="n">
        <v>45924.8216203704</v>
      </c>
      <c r="D1421" s="22" t="s">
        <v>204</v>
      </c>
      <c r="E1421" s="22" t="n">
        <v>19</v>
      </c>
      <c r="F1421" s="22" t="s">
        <v>182</v>
      </c>
      <c r="G1421" s="22" t="s">
        <v>237</v>
      </c>
      <c r="H1421" s="22" t="n">
        <v>0.07</v>
      </c>
      <c r="I1421" s="38" t="n">
        <v>3736.46</v>
      </c>
      <c r="J1421" s="38" t="n">
        <v>3736.43</v>
      </c>
      <c r="K1421" s="39" t="n">
        <f aca="false">IF(F1421="BUY",J1421-I1421,I1421-J1421)</f>
        <v>0.0300000000002001</v>
      </c>
      <c r="L1421" s="38" t="n">
        <v>3742.46</v>
      </c>
      <c r="M1421" s="39" t="n">
        <f aca="false">ABS(I1421-L1421)</f>
        <v>6</v>
      </c>
      <c r="N1421" s="24" t="n">
        <f aca="false">M1421*H1421*Summary!$C$6</f>
        <v>42</v>
      </c>
      <c r="O1421" s="37" t="n">
        <v>45924.8289583333</v>
      </c>
      <c r="P1421" s="22" t="n">
        <f aca="false">ROUND((O1421-C1421)*86400,0)</f>
        <v>634</v>
      </c>
      <c r="Q1421" s="22" t="str">
        <f aca="false">IF(P1421&lt;10,"a) &lt;10s",IF(P1421&lt;60,"b) 10-60s",IF(P1421&lt;600,"c) 1-10min","d) &gt;10min")))</f>
        <v>d) &gt;10min</v>
      </c>
      <c r="R1421" s="38" t="n">
        <v>3735.93</v>
      </c>
      <c r="S1421" s="38" t="n">
        <v>3735.98</v>
      </c>
      <c r="T1421" s="22" t="s">
        <v>189</v>
      </c>
      <c r="U1421" s="39" t="n">
        <f aca="false">IF(R1421="","",IF(F1421="BUY",R1421-S1421,S1421-R1421))</f>
        <v>0.0500000000001819</v>
      </c>
      <c r="V1421" s="39" t="n">
        <f aca="false">IF(F1421="BUY",S1421-J1421,J1421-S1421)</f>
        <v>0.449999999999818</v>
      </c>
      <c r="W1421" s="6" t="n">
        <v>3.15</v>
      </c>
      <c r="X1421" s="26" t="n">
        <f aca="false">IFERROR(W1421/N1421,0)</f>
        <v>0.075</v>
      </c>
      <c r="Y1421" s="22" t="str">
        <f aca="false">IF(W1421&gt;0,"Win",IF(W1421&lt;0,"Loss","Flat"))</f>
        <v>Win</v>
      </c>
      <c r="Z1421" s="24" t="n">
        <f aca="false">Summary!$C$5+SUM(W$2:W1421)</f>
        <v>4233.56</v>
      </c>
      <c r="AA1421" s="24" t="n">
        <f aca="false">MAX(AA1420,Z1421)</f>
        <v>5000</v>
      </c>
      <c r="AB1421" s="24" t="n">
        <f aca="false">AA1421-Z1421</f>
        <v>766.440000000001</v>
      </c>
      <c r="AC1421" s="23" t="n">
        <f aca="false">IFERROR(AB1421/AA1421,0)</f>
        <v>0.153288</v>
      </c>
      <c r="AD1421" s="22" t="s">
        <v>1658</v>
      </c>
    </row>
    <row r="1422" customFormat="false" ht="15" hidden="false" customHeight="false" outlineLevel="0" collapsed="false">
      <c r="A1422" s="22" t="n">
        <v>1421</v>
      </c>
      <c r="B1422" s="22" t="s">
        <v>161</v>
      </c>
      <c r="C1422" s="37" t="n">
        <v>45925.3817013889</v>
      </c>
      <c r="D1422" s="22" t="s">
        <v>205</v>
      </c>
      <c r="E1422" s="22" t="n">
        <v>9</v>
      </c>
      <c r="F1422" s="22" t="s">
        <v>181</v>
      </c>
      <c r="G1422" s="22" t="s">
        <v>235</v>
      </c>
      <c r="H1422" s="22" t="n">
        <v>0.07</v>
      </c>
      <c r="I1422" s="38" t="n">
        <v>3741.14</v>
      </c>
      <c r="J1422" s="38" t="n">
        <v>3741.22</v>
      </c>
      <c r="K1422" s="39" t="n">
        <f aca="false">IF(F1422="BUY",J1422-I1422,I1422-J1422)</f>
        <v>0.0799999999999272</v>
      </c>
      <c r="L1422" s="38" t="n">
        <v>3735.14</v>
      </c>
      <c r="M1422" s="39" t="n">
        <f aca="false">ABS(I1422-L1422)</f>
        <v>6</v>
      </c>
      <c r="N1422" s="24" t="n">
        <f aca="false">M1422*H1422*Summary!$C$6</f>
        <v>42</v>
      </c>
      <c r="O1422" s="37" t="n">
        <v>45925.4033796296</v>
      </c>
      <c r="P1422" s="22" t="n">
        <f aca="false">ROUND((O1422-C1422)*86400,0)</f>
        <v>1873</v>
      </c>
      <c r="Q1422" s="22" t="str">
        <f aca="false">IF(P1422&lt;10,"a) &lt;10s",IF(P1422&lt;60,"b) 10-60s",IF(P1422&lt;600,"c) 1-10min","d) &gt;10min")))</f>
        <v>d) &gt;10min</v>
      </c>
      <c r="R1422" s="38" t="n">
        <v>3741.72</v>
      </c>
      <c r="S1422" s="38" t="n">
        <v>3741.71</v>
      </c>
      <c r="T1422" s="22" t="s">
        <v>189</v>
      </c>
      <c r="U1422" s="39" t="n">
        <f aca="false">IF(R1422="","",IF(F1422="BUY",R1422-S1422,S1422-R1422))</f>
        <v>0.00999999999976353</v>
      </c>
      <c r="V1422" s="39" t="n">
        <f aca="false">IF(F1422="BUY",S1422-J1422,J1422-S1422)</f>
        <v>0.490000000000236</v>
      </c>
      <c r="W1422" s="6" t="n">
        <v>3.43</v>
      </c>
      <c r="X1422" s="26" t="n">
        <f aca="false">IFERROR(W1422/N1422,0)</f>
        <v>0.0816666666666667</v>
      </c>
      <c r="Y1422" s="22" t="str">
        <f aca="false">IF(W1422&gt;0,"Win",IF(W1422&lt;0,"Loss","Flat"))</f>
        <v>Win</v>
      </c>
      <c r="Z1422" s="24" t="n">
        <f aca="false">Summary!$C$5+SUM(W$2:W1422)</f>
        <v>4236.99</v>
      </c>
      <c r="AA1422" s="24" t="n">
        <f aca="false">MAX(AA1421,Z1422)</f>
        <v>5000</v>
      </c>
      <c r="AB1422" s="24" t="n">
        <f aca="false">AA1422-Z1422</f>
        <v>763.01</v>
      </c>
      <c r="AC1422" s="23" t="n">
        <f aca="false">IFERROR(AB1422/AA1422,0)</f>
        <v>0.152602</v>
      </c>
      <c r="AD1422" s="22" t="s">
        <v>1659</v>
      </c>
    </row>
    <row r="1423" customFormat="false" ht="15" hidden="false" customHeight="false" outlineLevel="0" collapsed="false">
      <c r="A1423" s="22" t="n">
        <v>1422</v>
      </c>
      <c r="B1423" s="22" t="s">
        <v>161</v>
      </c>
      <c r="C1423" s="37" t="n">
        <v>45926.375</v>
      </c>
      <c r="D1423" s="22" t="s">
        <v>206</v>
      </c>
      <c r="E1423" s="22" t="n">
        <v>9</v>
      </c>
      <c r="F1423" s="22" t="s">
        <v>182</v>
      </c>
      <c r="G1423" s="22" t="s">
        <v>241</v>
      </c>
      <c r="H1423" s="22" t="n">
        <v>0.07</v>
      </c>
      <c r="I1423" s="38" t="n">
        <v>3741.38</v>
      </c>
      <c r="J1423" s="38" t="n">
        <v>3741.11</v>
      </c>
      <c r="K1423" s="39" t="n">
        <f aca="false">IF(F1423="BUY",J1423-I1423,I1423-J1423)</f>
        <v>0.269999999999982</v>
      </c>
      <c r="L1423" s="38" t="n">
        <v>3747.38</v>
      </c>
      <c r="M1423" s="39" t="n">
        <f aca="false">ABS(I1423-L1423)</f>
        <v>6</v>
      </c>
      <c r="N1423" s="24" t="n">
        <f aca="false">M1423*H1423*Summary!$C$6</f>
        <v>42</v>
      </c>
      <c r="O1423" s="37" t="n">
        <v>45926.3809143519</v>
      </c>
      <c r="P1423" s="22" t="n">
        <f aca="false">ROUND((O1423-C1423)*86400,0)</f>
        <v>511</v>
      </c>
      <c r="Q1423" s="22" t="str">
        <f aca="false">IF(P1423&lt;10,"a) &lt;10s",IF(P1423&lt;60,"b) 10-60s",IF(P1423&lt;600,"c) 1-10min","d) &gt;10min")))</f>
        <v>c) 1-10min</v>
      </c>
      <c r="R1423" s="38" t="n">
        <v>3747.38</v>
      </c>
      <c r="S1423" s="38" t="n">
        <v>3747.48</v>
      </c>
      <c r="T1423" s="22" t="s">
        <v>188</v>
      </c>
      <c r="U1423" s="39" t="n">
        <f aca="false">IF(R1423="","",IF(F1423="BUY",R1423-S1423,S1423-R1423))</f>
        <v>0.0999999999999091</v>
      </c>
      <c r="V1423" s="39" t="n">
        <f aca="false">IF(F1423="BUY",S1423-J1423,J1423-S1423)</f>
        <v>-6.36999999999989</v>
      </c>
      <c r="W1423" s="6" t="n">
        <v>-44.59</v>
      </c>
      <c r="X1423" s="26" t="n">
        <f aca="false">IFERROR(W1423/N1423,0)</f>
        <v>-1.06166666666667</v>
      </c>
      <c r="Y1423" s="22" t="str">
        <f aca="false">IF(W1423&gt;0,"Win",IF(W1423&lt;0,"Loss","Flat"))</f>
        <v>Loss</v>
      </c>
      <c r="Z1423" s="24" t="n">
        <f aca="false">Summary!$C$5+SUM(W$2:W1423)</f>
        <v>4192.4</v>
      </c>
      <c r="AA1423" s="24" t="n">
        <f aca="false">MAX(AA1422,Z1423)</f>
        <v>5000</v>
      </c>
      <c r="AB1423" s="24" t="n">
        <f aca="false">AA1423-Z1423</f>
        <v>807.6</v>
      </c>
      <c r="AC1423" s="23" t="n">
        <f aca="false">IFERROR(AB1423/AA1423,0)</f>
        <v>0.16152</v>
      </c>
      <c r="AD1423" s="22" t="s">
        <v>1660</v>
      </c>
    </row>
    <row r="1424" customFormat="false" ht="15" hidden="false" customHeight="false" outlineLevel="0" collapsed="false">
      <c r="A1424" s="22" t="n">
        <v>1423</v>
      </c>
      <c r="B1424" s="22" t="s">
        <v>161</v>
      </c>
      <c r="C1424" s="37" t="n">
        <v>45926.6728472222</v>
      </c>
      <c r="D1424" s="22" t="s">
        <v>206</v>
      </c>
      <c r="E1424" s="22" t="n">
        <v>16</v>
      </c>
      <c r="F1424" s="22" t="s">
        <v>181</v>
      </c>
      <c r="G1424" s="22" t="s">
        <v>243</v>
      </c>
      <c r="H1424" s="22" t="n">
        <v>0.06</v>
      </c>
      <c r="I1424" s="38" t="n">
        <v>3761.43</v>
      </c>
      <c r="J1424" s="38" t="n">
        <v>3761.53</v>
      </c>
      <c r="K1424" s="39" t="n">
        <f aca="false">IF(F1424="BUY",J1424-I1424,I1424-J1424)</f>
        <v>0.100000000000364</v>
      </c>
      <c r="L1424" s="38" t="n">
        <v>3755.43</v>
      </c>
      <c r="M1424" s="39" t="n">
        <f aca="false">ABS(I1424-L1424)</f>
        <v>6</v>
      </c>
      <c r="N1424" s="24" t="n">
        <f aca="false">M1424*H1424*Summary!$C$6</f>
        <v>36</v>
      </c>
      <c r="O1424" s="37" t="n">
        <v>45926.6794444445</v>
      </c>
      <c r="P1424" s="22" t="n">
        <f aca="false">ROUND((O1424-C1424)*86400,0)</f>
        <v>570</v>
      </c>
      <c r="Q1424" s="22" t="str">
        <f aca="false">IF(P1424&lt;10,"a) &lt;10s",IF(P1424&lt;60,"b) 10-60s",IF(P1424&lt;600,"c) 1-10min","d) &gt;10min")))</f>
        <v>c) 1-10min</v>
      </c>
      <c r="R1424" s="38" t="n">
        <v>3762.03</v>
      </c>
      <c r="S1424" s="38" t="n">
        <v>3761.79</v>
      </c>
      <c r="T1424" s="22" t="s">
        <v>189</v>
      </c>
      <c r="U1424" s="39" t="n">
        <f aca="false">IF(R1424="","",IF(F1424="BUY",R1424-S1424,S1424-R1424))</f>
        <v>0.240000000000236</v>
      </c>
      <c r="V1424" s="39" t="n">
        <f aca="false">IF(F1424="BUY",S1424-J1424,J1424-S1424)</f>
        <v>0.259999999999764</v>
      </c>
      <c r="W1424" s="6" t="n">
        <v>1.56</v>
      </c>
      <c r="X1424" s="26" t="n">
        <f aca="false">IFERROR(W1424/N1424,0)</f>
        <v>0.0433333333333333</v>
      </c>
      <c r="Y1424" s="22" t="str">
        <f aca="false">IF(W1424&gt;0,"Win",IF(W1424&lt;0,"Loss","Flat"))</f>
        <v>Win</v>
      </c>
      <c r="Z1424" s="24" t="n">
        <f aca="false">Summary!$C$5+SUM(W$2:W1424)</f>
        <v>4193.96</v>
      </c>
      <c r="AA1424" s="24" t="n">
        <f aca="false">MAX(AA1423,Z1424)</f>
        <v>5000</v>
      </c>
      <c r="AB1424" s="24" t="n">
        <f aca="false">AA1424-Z1424</f>
        <v>806.04</v>
      </c>
      <c r="AC1424" s="23" t="n">
        <f aca="false">IFERROR(AB1424/AA1424,0)</f>
        <v>0.161208</v>
      </c>
      <c r="AD1424" s="22" t="s">
        <v>1661</v>
      </c>
    </row>
    <row r="1425" customFormat="false" ht="15" hidden="false" customHeight="false" outlineLevel="0" collapsed="false">
      <c r="A1425" s="22" t="n">
        <v>1424</v>
      </c>
      <c r="B1425" s="22" t="s">
        <v>161</v>
      </c>
      <c r="C1425" s="37" t="n">
        <v>45929.154525463</v>
      </c>
      <c r="D1425" s="22" t="s">
        <v>202</v>
      </c>
      <c r="E1425" s="22" t="n">
        <v>3</v>
      </c>
      <c r="F1425" s="22" t="s">
        <v>181</v>
      </c>
      <c r="G1425" s="22" t="s">
        <v>243</v>
      </c>
      <c r="H1425" s="22" t="n">
        <v>0.06</v>
      </c>
      <c r="I1425" s="38" t="n">
        <v>3783.6</v>
      </c>
      <c r="J1425" s="38" t="n">
        <v>3783.6</v>
      </c>
      <c r="K1425" s="39" t="n">
        <f aca="false">IF(F1425="BUY",J1425-I1425,I1425-J1425)</f>
        <v>0</v>
      </c>
      <c r="L1425" s="38" t="n">
        <v>3777.6</v>
      </c>
      <c r="M1425" s="39" t="n">
        <f aca="false">ABS(I1425-L1425)</f>
        <v>6</v>
      </c>
      <c r="N1425" s="24" t="n">
        <f aca="false">M1425*H1425*Summary!$C$6</f>
        <v>36</v>
      </c>
      <c r="O1425" s="37" t="n">
        <v>45929.1577546296</v>
      </c>
      <c r="P1425" s="22" t="n">
        <f aca="false">ROUND((O1425-C1425)*86400,0)</f>
        <v>279</v>
      </c>
      <c r="Q1425" s="22" t="str">
        <f aca="false">IF(P1425&lt;10,"a) &lt;10s",IF(P1425&lt;60,"b) 10-60s",IF(P1425&lt;600,"c) 1-10min","d) &gt;10min")))</f>
        <v>c) 1-10min</v>
      </c>
      <c r="R1425" s="38" t="n">
        <v>3784.1</v>
      </c>
      <c r="S1425" s="38" t="n">
        <v>3783.98</v>
      </c>
      <c r="T1425" s="22" t="s">
        <v>189</v>
      </c>
      <c r="U1425" s="39" t="n">
        <f aca="false">IF(R1425="","",IF(F1425="BUY",R1425-S1425,S1425-R1425))</f>
        <v>0.119999999999891</v>
      </c>
      <c r="V1425" s="39" t="n">
        <f aca="false">IF(F1425="BUY",S1425-J1425,J1425-S1425)</f>
        <v>0.380000000000109</v>
      </c>
      <c r="W1425" s="6" t="n">
        <v>2.28</v>
      </c>
      <c r="X1425" s="26" t="n">
        <f aca="false">IFERROR(W1425/N1425,0)</f>
        <v>0.0633333333333333</v>
      </c>
      <c r="Y1425" s="22" t="str">
        <f aca="false">IF(W1425&gt;0,"Win",IF(W1425&lt;0,"Loss","Flat"))</f>
        <v>Win</v>
      </c>
      <c r="Z1425" s="24" t="n">
        <f aca="false">Summary!$C$5+SUM(W$2:W1425)</f>
        <v>4196.24</v>
      </c>
      <c r="AA1425" s="24" t="n">
        <f aca="false">MAX(AA1424,Z1425)</f>
        <v>5000</v>
      </c>
      <c r="AB1425" s="24" t="n">
        <f aca="false">AA1425-Z1425</f>
        <v>803.76</v>
      </c>
      <c r="AC1425" s="23" t="n">
        <f aca="false">IFERROR(AB1425/AA1425,0)</f>
        <v>0.160752</v>
      </c>
      <c r="AD1425" s="22" t="s">
        <v>1662</v>
      </c>
    </row>
    <row r="1426" customFormat="false" ht="15" hidden="false" customHeight="false" outlineLevel="0" collapsed="false">
      <c r="A1426" s="22" t="n">
        <v>1425</v>
      </c>
      <c r="B1426" s="22" t="s">
        <v>161</v>
      </c>
      <c r="C1426" s="37" t="n">
        <v>45929.3751736111</v>
      </c>
      <c r="D1426" s="22" t="s">
        <v>202</v>
      </c>
      <c r="E1426" s="22" t="n">
        <v>9</v>
      </c>
      <c r="F1426" s="22" t="s">
        <v>181</v>
      </c>
      <c r="G1426" s="22" t="s">
        <v>235</v>
      </c>
      <c r="H1426" s="22" t="n">
        <v>0.06</v>
      </c>
      <c r="I1426" s="38" t="n">
        <v>3814.31</v>
      </c>
      <c r="J1426" s="38" t="n">
        <v>3814.35</v>
      </c>
      <c r="K1426" s="39" t="n">
        <f aca="false">IF(F1426="BUY",J1426-I1426,I1426-J1426)</f>
        <v>0.0399999999999636</v>
      </c>
      <c r="L1426" s="38" t="n">
        <v>3808.31</v>
      </c>
      <c r="M1426" s="39" t="n">
        <f aca="false">ABS(I1426-L1426)</f>
        <v>6</v>
      </c>
      <c r="N1426" s="24" t="n">
        <f aca="false">M1426*H1426*Summary!$C$6</f>
        <v>36</v>
      </c>
      <c r="O1426" s="37" t="n">
        <v>45929.3878472222</v>
      </c>
      <c r="P1426" s="22" t="n">
        <f aca="false">ROUND((O1426-C1426)*86400,0)</f>
        <v>1095</v>
      </c>
      <c r="Q1426" s="22" t="str">
        <f aca="false">IF(P1426&lt;10,"a) &lt;10s",IF(P1426&lt;60,"b) 10-60s",IF(P1426&lt;600,"c) 1-10min","d) &gt;10min")))</f>
        <v>d) &gt;10min</v>
      </c>
      <c r="R1426" s="38" t="n">
        <v>3814.85</v>
      </c>
      <c r="S1426" s="38" t="n">
        <v>3814.68</v>
      </c>
      <c r="T1426" s="22" t="s">
        <v>189</v>
      </c>
      <c r="U1426" s="39" t="n">
        <f aca="false">IF(R1426="","",IF(F1426="BUY",R1426-S1426,S1426-R1426))</f>
        <v>0.170000000000073</v>
      </c>
      <c r="V1426" s="39" t="n">
        <f aca="false">IF(F1426="BUY",S1426-J1426,J1426-S1426)</f>
        <v>0.329999999999927</v>
      </c>
      <c r="W1426" s="6" t="n">
        <v>1.98</v>
      </c>
      <c r="X1426" s="26" t="n">
        <f aca="false">IFERROR(W1426/N1426,0)</f>
        <v>0.055</v>
      </c>
      <c r="Y1426" s="22" t="str">
        <f aca="false">IF(W1426&gt;0,"Win",IF(W1426&lt;0,"Loss","Flat"))</f>
        <v>Win</v>
      </c>
      <c r="Z1426" s="24" t="n">
        <f aca="false">Summary!$C$5+SUM(W$2:W1426)</f>
        <v>4198.22</v>
      </c>
      <c r="AA1426" s="24" t="n">
        <f aca="false">MAX(AA1425,Z1426)</f>
        <v>5000</v>
      </c>
      <c r="AB1426" s="24" t="n">
        <f aca="false">AA1426-Z1426</f>
        <v>801.78</v>
      </c>
      <c r="AC1426" s="23" t="n">
        <f aca="false">IFERROR(AB1426/AA1426,0)</f>
        <v>0.160356</v>
      </c>
      <c r="AD1426" s="22" t="s">
        <v>1663</v>
      </c>
    </row>
    <row r="1427" customFormat="false" ht="15" hidden="false" customHeight="false" outlineLevel="0" collapsed="false">
      <c r="A1427" s="22" t="n">
        <v>1426</v>
      </c>
      <c r="B1427" s="22" t="s">
        <v>161</v>
      </c>
      <c r="C1427" s="37" t="n">
        <v>45930.1261226852</v>
      </c>
      <c r="D1427" s="22" t="s">
        <v>203</v>
      </c>
      <c r="E1427" s="22" t="n">
        <v>3</v>
      </c>
      <c r="F1427" s="22" t="s">
        <v>181</v>
      </c>
      <c r="G1427" s="22" t="s">
        <v>243</v>
      </c>
      <c r="H1427" s="22" t="n">
        <v>0.06</v>
      </c>
      <c r="I1427" s="38" t="n">
        <v>3834.01</v>
      </c>
      <c r="J1427" s="38" t="n">
        <v>3834.16</v>
      </c>
      <c r="K1427" s="39" t="n">
        <f aca="false">IF(F1427="BUY",J1427-I1427,I1427-J1427)</f>
        <v>0.149999999999636</v>
      </c>
      <c r="L1427" s="38" t="n">
        <v>3828.01</v>
      </c>
      <c r="M1427" s="39" t="n">
        <f aca="false">ABS(I1427-L1427)</f>
        <v>6</v>
      </c>
      <c r="N1427" s="24" t="n">
        <f aca="false">M1427*H1427*Summary!$C$6</f>
        <v>36</v>
      </c>
      <c r="O1427" s="37" t="n">
        <v>45930.1294675926</v>
      </c>
      <c r="P1427" s="22" t="n">
        <f aca="false">ROUND((O1427-C1427)*86400,0)</f>
        <v>289</v>
      </c>
      <c r="Q1427" s="22" t="str">
        <f aca="false">IF(P1427&lt;10,"a) &lt;10s",IF(P1427&lt;60,"b) 10-60s",IF(P1427&lt;600,"c) 1-10min","d) &gt;10min")))</f>
        <v>c) 1-10min</v>
      </c>
      <c r="R1427" s="38" t="n">
        <v>3834.66</v>
      </c>
      <c r="S1427" s="38" t="n">
        <v>3834.54</v>
      </c>
      <c r="T1427" s="22" t="s">
        <v>189</v>
      </c>
      <c r="U1427" s="39" t="n">
        <f aca="false">IF(R1427="","",IF(F1427="BUY",R1427-S1427,S1427-R1427))</f>
        <v>0.119999999999891</v>
      </c>
      <c r="V1427" s="39" t="n">
        <f aca="false">IF(F1427="BUY",S1427-J1427,J1427-S1427)</f>
        <v>0.380000000000109</v>
      </c>
      <c r="W1427" s="6" t="n">
        <v>2.28</v>
      </c>
      <c r="X1427" s="26" t="n">
        <f aca="false">IFERROR(W1427/N1427,0)</f>
        <v>0.0633333333333333</v>
      </c>
      <c r="Y1427" s="22" t="str">
        <f aca="false">IF(W1427&gt;0,"Win",IF(W1427&lt;0,"Loss","Flat"))</f>
        <v>Win</v>
      </c>
      <c r="Z1427" s="24" t="n">
        <f aca="false">Summary!$C$5+SUM(W$2:W1427)</f>
        <v>4200.5</v>
      </c>
      <c r="AA1427" s="24" t="n">
        <f aca="false">MAX(AA1426,Z1427)</f>
        <v>5000</v>
      </c>
      <c r="AB1427" s="24" t="n">
        <f aca="false">AA1427-Z1427</f>
        <v>799.5</v>
      </c>
      <c r="AC1427" s="23" t="n">
        <f aca="false">IFERROR(AB1427/AA1427,0)</f>
        <v>0.1599</v>
      </c>
      <c r="AD1427" s="22" t="s">
        <v>1664</v>
      </c>
    </row>
    <row r="1428" customFormat="false" ht="15" hidden="false" customHeight="false" outlineLevel="0" collapsed="false">
      <c r="A1428" s="22" t="n">
        <v>1427</v>
      </c>
      <c r="B1428" s="22" t="s">
        <v>161</v>
      </c>
      <c r="C1428" s="37" t="n">
        <v>45930.375</v>
      </c>
      <c r="D1428" s="22" t="s">
        <v>203</v>
      </c>
      <c r="E1428" s="22" t="n">
        <v>9</v>
      </c>
      <c r="F1428" s="22" t="s">
        <v>181</v>
      </c>
      <c r="G1428" s="22" t="s">
        <v>235</v>
      </c>
      <c r="H1428" s="22" t="n">
        <v>0.07</v>
      </c>
      <c r="I1428" s="38" t="n">
        <v>3870.17</v>
      </c>
      <c r="J1428" s="38" t="n">
        <v>3870.17</v>
      </c>
      <c r="K1428" s="39" t="n">
        <f aca="false">IF(F1428="BUY",J1428-I1428,I1428-J1428)</f>
        <v>0</v>
      </c>
      <c r="L1428" s="38" t="n">
        <v>3864.17</v>
      </c>
      <c r="M1428" s="39" t="n">
        <f aca="false">ABS(I1428-L1428)</f>
        <v>6</v>
      </c>
      <c r="N1428" s="24" t="n">
        <f aca="false">M1428*H1428*Summary!$C$6</f>
        <v>42</v>
      </c>
      <c r="O1428" s="37" t="n">
        <v>45930.3874074074</v>
      </c>
      <c r="P1428" s="22" t="n">
        <f aca="false">ROUND((O1428-C1428)*86400,0)</f>
        <v>1072</v>
      </c>
      <c r="Q1428" s="22" t="str">
        <f aca="false">IF(P1428&lt;10,"a) &lt;10s",IF(P1428&lt;60,"b) 10-60s",IF(P1428&lt;600,"c) 1-10min","d) &gt;10min")))</f>
        <v>d) &gt;10min</v>
      </c>
      <c r="R1428" s="38" t="n">
        <v>3864.17</v>
      </c>
      <c r="S1428" s="38" t="n">
        <v>3864.1</v>
      </c>
      <c r="T1428" s="22" t="s">
        <v>188</v>
      </c>
      <c r="U1428" s="39" t="n">
        <f aca="false">IF(R1428="","",IF(F1428="BUY",R1428-S1428,S1428-R1428))</f>
        <v>0.0700000000001637</v>
      </c>
      <c r="V1428" s="39" t="n">
        <f aca="false">IF(F1428="BUY",S1428-J1428,J1428-S1428)</f>
        <v>-6.07000000000016</v>
      </c>
      <c r="W1428" s="6" t="n">
        <v>-42.49</v>
      </c>
      <c r="X1428" s="26" t="n">
        <f aca="false">IFERROR(W1428/N1428,0)</f>
        <v>-1.01166666666667</v>
      </c>
      <c r="Y1428" s="22" t="str">
        <f aca="false">IF(W1428&gt;0,"Win",IF(W1428&lt;0,"Loss","Flat"))</f>
        <v>Loss</v>
      </c>
      <c r="Z1428" s="24" t="n">
        <f aca="false">Summary!$C$5+SUM(W$2:W1428)</f>
        <v>4158.01</v>
      </c>
      <c r="AA1428" s="24" t="n">
        <f aca="false">MAX(AA1427,Z1428)</f>
        <v>5000</v>
      </c>
      <c r="AB1428" s="24" t="n">
        <f aca="false">AA1428-Z1428</f>
        <v>841.99</v>
      </c>
      <c r="AC1428" s="23" t="n">
        <f aca="false">IFERROR(AB1428/AA1428,0)</f>
        <v>0.168398</v>
      </c>
      <c r="AD1428" s="22" t="s">
        <v>1665</v>
      </c>
    </row>
    <row r="1429" customFormat="false" ht="15" hidden="false" customHeight="false" outlineLevel="0" collapsed="false">
      <c r="A1429" s="22" t="n">
        <v>1428</v>
      </c>
      <c r="B1429" s="22" t="s">
        <v>162</v>
      </c>
      <c r="C1429" s="37" t="n">
        <v>45931.2117013889</v>
      </c>
      <c r="D1429" s="22" t="s">
        <v>204</v>
      </c>
      <c r="E1429" s="22" t="n">
        <v>5</v>
      </c>
      <c r="F1429" s="22" t="s">
        <v>181</v>
      </c>
      <c r="G1429" s="22" t="s">
        <v>243</v>
      </c>
      <c r="H1429" s="22" t="n">
        <v>0.06</v>
      </c>
      <c r="I1429" s="38" t="n">
        <v>3871.51</v>
      </c>
      <c r="J1429" s="38" t="n">
        <v>3871.52</v>
      </c>
      <c r="K1429" s="39" t="n">
        <f aca="false">IF(F1429="BUY",J1429-I1429,I1429-J1429)</f>
        <v>0.00999999999976353</v>
      </c>
      <c r="L1429" s="38" t="n">
        <v>3865.51</v>
      </c>
      <c r="M1429" s="39" t="n">
        <f aca="false">ABS(I1429-L1429)</f>
        <v>6</v>
      </c>
      <c r="N1429" s="24" t="n">
        <f aca="false">M1429*H1429*Summary!$C$6</f>
        <v>36</v>
      </c>
      <c r="O1429" s="37" t="n">
        <v>45931.2134375</v>
      </c>
      <c r="P1429" s="22" t="n">
        <f aca="false">ROUND((O1429-C1429)*86400,0)</f>
        <v>150</v>
      </c>
      <c r="Q1429" s="22" t="str">
        <f aca="false">IF(P1429&lt;10,"a) &lt;10s",IF(P1429&lt;60,"b) 10-60s",IF(P1429&lt;600,"c) 1-10min","d) &gt;10min")))</f>
        <v>c) 1-10min</v>
      </c>
      <c r="R1429" s="38" t="n">
        <v>3872.02</v>
      </c>
      <c r="S1429" s="38" t="n">
        <v>3871.95</v>
      </c>
      <c r="T1429" s="22" t="s">
        <v>189</v>
      </c>
      <c r="U1429" s="39" t="n">
        <f aca="false">IF(R1429="","",IF(F1429="BUY",R1429-S1429,S1429-R1429))</f>
        <v>0.0700000000001637</v>
      </c>
      <c r="V1429" s="39" t="n">
        <f aca="false">IF(F1429="BUY",S1429-J1429,J1429-S1429)</f>
        <v>0.429999999999836</v>
      </c>
      <c r="W1429" s="6" t="n">
        <v>2.58</v>
      </c>
      <c r="X1429" s="26" t="n">
        <f aca="false">IFERROR(W1429/N1429,0)</f>
        <v>0.0716666666666667</v>
      </c>
      <c r="Y1429" s="22" t="str">
        <f aca="false">IF(W1429&gt;0,"Win",IF(W1429&lt;0,"Loss","Flat"))</f>
        <v>Win</v>
      </c>
      <c r="Z1429" s="24" t="n">
        <f aca="false">Summary!$C$5+SUM(W$2:W1429)</f>
        <v>4160.59</v>
      </c>
      <c r="AA1429" s="24" t="n">
        <f aca="false">MAX(AA1428,Z1429)</f>
        <v>5000</v>
      </c>
      <c r="AB1429" s="24" t="n">
        <f aca="false">AA1429-Z1429</f>
        <v>839.41</v>
      </c>
      <c r="AC1429" s="23" t="n">
        <f aca="false">IFERROR(AB1429/AA1429,0)</f>
        <v>0.167882</v>
      </c>
      <c r="AD1429" s="22" t="s">
        <v>1666</v>
      </c>
    </row>
    <row r="1430" customFormat="false" ht="15" hidden="false" customHeight="false" outlineLevel="0" collapsed="false">
      <c r="A1430" s="22" t="n">
        <v>1429</v>
      </c>
      <c r="B1430" s="22" t="s">
        <v>162</v>
      </c>
      <c r="C1430" s="37" t="n">
        <v>45931.3876388889</v>
      </c>
      <c r="D1430" s="22" t="s">
        <v>204</v>
      </c>
      <c r="E1430" s="22" t="n">
        <v>9</v>
      </c>
      <c r="F1430" s="22" t="s">
        <v>182</v>
      </c>
      <c r="G1430" s="22" t="s">
        <v>241</v>
      </c>
      <c r="H1430" s="22" t="n">
        <v>0.06</v>
      </c>
      <c r="I1430" s="38" t="n">
        <v>3857.3</v>
      </c>
      <c r="J1430" s="38" t="n">
        <v>3857.29</v>
      </c>
      <c r="K1430" s="39" t="n">
        <f aca="false">IF(F1430="BUY",J1430-I1430,I1430-J1430)</f>
        <v>0.0100000000002183</v>
      </c>
      <c r="L1430" s="38" t="n">
        <v>3863.3</v>
      </c>
      <c r="M1430" s="39" t="n">
        <f aca="false">ABS(I1430-L1430)</f>
        <v>6</v>
      </c>
      <c r="N1430" s="24" t="n">
        <f aca="false">M1430*H1430*Summary!$C$6</f>
        <v>36</v>
      </c>
      <c r="O1430" s="37" t="n">
        <v>45931.391712963</v>
      </c>
      <c r="P1430" s="22" t="n">
        <f aca="false">ROUND((O1430-C1430)*86400,0)</f>
        <v>352</v>
      </c>
      <c r="Q1430" s="22" t="str">
        <f aca="false">IF(P1430&lt;10,"a) &lt;10s",IF(P1430&lt;60,"b) 10-60s",IF(P1430&lt;600,"c) 1-10min","d) &gt;10min")))</f>
        <v>c) 1-10min</v>
      </c>
      <c r="R1430" s="38" t="n">
        <v>3856.79</v>
      </c>
      <c r="S1430" s="38" t="n">
        <v>3856.79</v>
      </c>
      <c r="T1430" s="22" t="s">
        <v>189</v>
      </c>
      <c r="U1430" s="39" t="n">
        <f aca="false">IF(R1430="","",IF(F1430="BUY",R1430-S1430,S1430-R1430))</f>
        <v>0</v>
      </c>
      <c r="V1430" s="39" t="n">
        <f aca="false">IF(F1430="BUY",S1430-J1430,J1430-S1430)</f>
        <v>0.5</v>
      </c>
      <c r="W1430" s="6" t="n">
        <v>3</v>
      </c>
      <c r="X1430" s="26" t="n">
        <f aca="false">IFERROR(W1430/N1430,0)</f>
        <v>0.0833333333333333</v>
      </c>
      <c r="Y1430" s="22" t="str">
        <f aca="false">IF(W1430&gt;0,"Win",IF(W1430&lt;0,"Loss","Flat"))</f>
        <v>Win</v>
      </c>
      <c r="Z1430" s="24" t="n">
        <f aca="false">Summary!$C$5+SUM(W$2:W1430)</f>
        <v>4163.59</v>
      </c>
      <c r="AA1430" s="24" t="n">
        <f aca="false">MAX(AA1429,Z1430)</f>
        <v>5000</v>
      </c>
      <c r="AB1430" s="24" t="n">
        <f aca="false">AA1430-Z1430</f>
        <v>836.41</v>
      </c>
      <c r="AC1430" s="23" t="n">
        <f aca="false">IFERROR(AB1430/AA1430,0)</f>
        <v>0.167282</v>
      </c>
      <c r="AD1430" s="22" t="s">
        <v>1667</v>
      </c>
    </row>
    <row r="1431" customFormat="false" ht="15" hidden="false" customHeight="false" outlineLevel="0" collapsed="false">
      <c r="A1431" s="22" t="n">
        <v>1430</v>
      </c>
      <c r="B1431" s="22" t="s">
        <v>162</v>
      </c>
      <c r="C1431" s="37" t="n">
        <v>45932.1667013889</v>
      </c>
      <c r="D1431" s="22" t="s">
        <v>205</v>
      </c>
      <c r="E1431" s="22" t="n">
        <v>4</v>
      </c>
      <c r="F1431" s="22" t="s">
        <v>182</v>
      </c>
      <c r="G1431" s="22" t="s">
        <v>237</v>
      </c>
      <c r="H1431" s="22" t="n">
        <v>0.06</v>
      </c>
      <c r="I1431" s="38" t="n">
        <v>3853.06</v>
      </c>
      <c r="J1431" s="38" t="n">
        <v>3852.98</v>
      </c>
      <c r="K1431" s="39" t="n">
        <f aca="false">IF(F1431="BUY",J1431-I1431,I1431-J1431)</f>
        <v>0.0799999999999272</v>
      </c>
      <c r="L1431" s="38" t="n">
        <v>3859.06</v>
      </c>
      <c r="M1431" s="39" t="n">
        <f aca="false">ABS(I1431-L1431)</f>
        <v>6</v>
      </c>
      <c r="N1431" s="24" t="n">
        <f aca="false">M1431*H1431*Summary!$C$6</f>
        <v>36</v>
      </c>
      <c r="O1431" s="37" t="n">
        <v>45932.1740856482</v>
      </c>
      <c r="P1431" s="22" t="n">
        <f aca="false">ROUND((O1431-C1431)*86400,0)</f>
        <v>638</v>
      </c>
      <c r="Q1431" s="22" t="str">
        <f aca="false">IF(P1431&lt;10,"a) &lt;10s",IF(P1431&lt;60,"b) 10-60s",IF(P1431&lt;600,"c) 1-10min","d) &gt;10min")))</f>
        <v>d) &gt;10min</v>
      </c>
      <c r="R1431" s="38" t="n">
        <v>3859.06</v>
      </c>
      <c r="S1431" s="38" t="n">
        <v>3859.42</v>
      </c>
      <c r="T1431" s="22" t="s">
        <v>188</v>
      </c>
      <c r="U1431" s="39" t="n">
        <f aca="false">IF(R1431="","",IF(F1431="BUY",R1431-S1431,S1431-R1431))</f>
        <v>0.360000000000127</v>
      </c>
      <c r="V1431" s="39" t="n">
        <f aca="false">IF(F1431="BUY",S1431-J1431,J1431-S1431)</f>
        <v>-6.44000000000006</v>
      </c>
      <c r="W1431" s="6" t="n">
        <v>-38.64</v>
      </c>
      <c r="X1431" s="26" t="n">
        <f aca="false">IFERROR(W1431/N1431,0)</f>
        <v>-1.07333333333333</v>
      </c>
      <c r="Y1431" s="22" t="str">
        <f aca="false">IF(W1431&gt;0,"Win",IF(W1431&lt;0,"Loss","Flat"))</f>
        <v>Loss</v>
      </c>
      <c r="Z1431" s="24" t="n">
        <f aca="false">Summary!$C$5+SUM(W$2:W1431)</f>
        <v>4124.95</v>
      </c>
      <c r="AA1431" s="24" t="n">
        <f aca="false">MAX(AA1430,Z1431)</f>
        <v>5000</v>
      </c>
      <c r="AB1431" s="24" t="n">
        <f aca="false">AA1431-Z1431</f>
        <v>875.05</v>
      </c>
      <c r="AC1431" s="23" t="n">
        <f aca="false">IFERROR(AB1431/AA1431,0)</f>
        <v>0.17501</v>
      </c>
      <c r="AD1431" s="22" t="s">
        <v>1668</v>
      </c>
    </row>
    <row r="1432" customFormat="false" ht="15" hidden="false" customHeight="false" outlineLevel="0" collapsed="false">
      <c r="A1432" s="22" t="n">
        <v>1431</v>
      </c>
      <c r="B1432" s="22" t="s">
        <v>162</v>
      </c>
      <c r="C1432" s="37" t="n">
        <v>45932.3786111111</v>
      </c>
      <c r="D1432" s="22" t="s">
        <v>205</v>
      </c>
      <c r="E1432" s="22" t="n">
        <v>9</v>
      </c>
      <c r="F1432" s="22" t="s">
        <v>181</v>
      </c>
      <c r="G1432" s="22" t="s">
        <v>235</v>
      </c>
      <c r="H1432" s="22" t="n">
        <v>0.06</v>
      </c>
      <c r="I1432" s="38" t="n">
        <v>3870.91</v>
      </c>
      <c r="J1432" s="38" t="n">
        <v>3870.94</v>
      </c>
      <c r="K1432" s="39" t="n">
        <f aca="false">IF(F1432="BUY",J1432-I1432,I1432-J1432)</f>
        <v>0.0300000000002001</v>
      </c>
      <c r="L1432" s="38" t="n">
        <v>3864.91</v>
      </c>
      <c r="M1432" s="39" t="n">
        <f aca="false">ABS(I1432-L1432)</f>
        <v>6</v>
      </c>
      <c r="N1432" s="24" t="n">
        <f aca="false">M1432*H1432*Summary!$C$6</f>
        <v>36</v>
      </c>
      <c r="O1432" s="37" t="n">
        <v>45932.3986574074</v>
      </c>
      <c r="P1432" s="22" t="n">
        <f aca="false">ROUND((O1432-C1432)*86400,0)</f>
        <v>1732</v>
      </c>
      <c r="Q1432" s="22" t="str">
        <f aca="false">IF(P1432&lt;10,"a) &lt;10s",IF(P1432&lt;60,"b) 10-60s",IF(P1432&lt;600,"c) 1-10min","d) &gt;10min")))</f>
        <v>d) &gt;10min</v>
      </c>
      <c r="R1432" s="38" t="n">
        <v>3871.44</v>
      </c>
      <c r="S1432" s="38" t="n">
        <v>3871.43</v>
      </c>
      <c r="T1432" s="22" t="s">
        <v>189</v>
      </c>
      <c r="U1432" s="39" t="n">
        <f aca="false">IF(R1432="","",IF(F1432="BUY",R1432-S1432,S1432-R1432))</f>
        <v>0.0100000000002183</v>
      </c>
      <c r="V1432" s="39" t="n">
        <f aca="false">IF(F1432="BUY",S1432-J1432,J1432-S1432)</f>
        <v>0.489999999999782</v>
      </c>
      <c r="W1432" s="6" t="n">
        <v>2.94</v>
      </c>
      <c r="X1432" s="26" t="n">
        <f aca="false">IFERROR(W1432/N1432,0)</f>
        <v>0.0816666666666667</v>
      </c>
      <c r="Y1432" s="22" t="str">
        <f aca="false">IF(W1432&gt;0,"Win",IF(W1432&lt;0,"Loss","Flat"))</f>
        <v>Win</v>
      </c>
      <c r="Z1432" s="24" t="n">
        <f aca="false">Summary!$C$5+SUM(W$2:W1432)</f>
        <v>4127.89</v>
      </c>
      <c r="AA1432" s="24" t="n">
        <f aca="false">MAX(AA1431,Z1432)</f>
        <v>5000</v>
      </c>
      <c r="AB1432" s="24" t="n">
        <f aca="false">AA1432-Z1432</f>
        <v>872.11</v>
      </c>
      <c r="AC1432" s="23" t="n">
        <f aca="false">IFERROR(AB1432/AA1432,0)</f>
        <v>0.174422</v>
      </c>
      <c r="AD1432" s="22" t="s">
        <v>1669</v>
      </c>
    </row>
    <row r="1433" customFormat="false" ht="15" hidden="false" customHeight="false" outlineLevel="0" collapsed="false">
      <c r="A1433" s="22" t="n">
        <v>1432</v>
      </c>
      <c r="B1433" s="22" t="s">
        <v>162</v>
      </c>
      <c r="C1433" s="37" t="n">
        <v>45933.3818402778</v>
      </c>
      <c r="D1433" s="22" t="s">
        <v>206</v>
      </c>
      <c r="E1433" s="22" t="n">
        <v>9</v>
      </c>
      <c r="F1433" s="22" t="s">
        <v>181</v>
      </c>
      <c r="G1433" s="22" t="s">
        <v>235</v>
      </c>
      <c r="H1433" s="22" t="n">
        <v>0.06</v>
      </c>
      <c r="I1433" s="38" t="n">
        <v>3858.97</v>
      </c>
      <c r="J1433" s="38" t="n">
        <v>3858.98</v>
      </c>
      <c r="K1433" s="39" t="n">
        <f aca="false">IF(F1433="BUY",J1433-I1433,I1433-J1433)</f>
        <v>0.0100000000002183</v>
      </c>
      <c r="L1433" s="38" t="n">
        <v>3852.97</v>
      </c>
      <c r="M1433" s="39" t="n">
        <f aca="false">ABS(I1433-L1433)</f>
        <v>6</v>
      </c>
      <c r="N1433" s="24" t="n">
        <f aca="false">M1433*H1433*Summary!$C$6</f>
        <v>36</v>
      </c>
      <c r="O1433" s="37" t="n">
        <v>45933.595150463</v>
      </c>
      <c r="P1433" s="22" t="n">
        <f aca="false">ROUND((O1433-C1433)*86400,0)</f>
        <v>18430</v>
      </c>
      <c r="Q1433" s="22" t="str">
        <f aca="false">IF(P1433&lt;10,"a) &lt;10s",IF(P1433&lt;60,"b) 10-60s",IF(P1433&lt;600,"c) 1-10min","d) &gt;10min")))</f>
        <v>d) &gt;10min</v>
      </c>
      <c r="R1433" s="38" t="n">
        <v>3859.48</v>
      </c>
      <c r="S1433" s="38" t="n">
        <v>3859.46</v>
      </c>
      <c r="T1433" s="22" t="s">
        <v>189</v>
      </c>
      <c r="U1433" s="39" t="n">
        <f aca="false">IF(R1433="","",IF(F1433="BUY",R1433-S1433,S1433-R1433))</f>
        <v>0.0199999999999818</v>
      </c>
      <c r="V1433" s="39" t="n">
        <f aca="false">IF(F1433="BUY",S1433-J1433,J1433-S1433)</f>
        <v>0.480000000000018</v>
      </c>
      <c r="W1433" s="6" t="n">
        <v>2.88</v>
      </c>
      <c r="X1433" s="26" t="n">
        <f aca="false">IFERROR(W1433/N1433,0)</f>
        <v>0.08</v>
      </c>
      <c r="Y1433" s="22" t="str">
        <f aca="false">IF(W1433&gt;0,"Win",IF(W1433&lt;0,"Loss","Flat"))</f>
        <v>Win</v>
      </c>
      <c r="Z1433" s="24" t="n">
        <f aca="false">Summary!$C$5+SUM(W$2:W1433)</f>
        <v>4130.77</v>
      </c>
      <c r="AA1433" s="24" t="n">
        <f aca="false">MAX(AA1432,Z1433)</f>
        <v>5000</v>
      </c>
      <c r="AB1433" s="24" t="n">
        <f aca="false">AA1433-Z1433</f>
        <v>869.23</v>
      </c>
      <c r="AC1433" s="23" t="n">
        <f aca="false">IFERROR(AB1433/AA1433,0)</f>
        <v>0.173846</v>
      </c>
      <c r="AD1433" s="22" t="s">
        <v>1670</v>
      </c>
    </row>
    <row r="1434" customFormat="false" ht="15" hidden="false" customHeight="false" outlineLevel="0" collapsed="false">
      <c r="A1434" s="22" t="n">
        <v>1433</v>
      </c>
      <c r="B1434" s="22" t="s">
        <v>162</v>
      </c>
      <c r="C1434" s="37" t="n">
        <v>45936.3791666667</v>
      </c>
      <c r="D1434" s="22" t="s">
        <v>202</v>
      </c>
      <c r="E1434" s="22" t="n">
        <v>9</v>
      </c>
      <c r="F1434" s="22" t="s">
        <v>182</v>
      </c>
      <c r="G1434" s="22" t="s">
        <v>241</v>
      </c>
      <c r="H1434" s="22" t="n">
        <v>0.06</v>
      </c>
      <c r="I1434" s="38" t="n">
        <v>3927.07</v>
      </c>
      <c r="J1434" s="38" t="n">
        <v>3927.06</v>
      </c>
      <c r="K1434" s="39" t="n">
        <f aca="false">IF(F1434="BUY",J1434-I1434,I1434-J1434)</f>
        <v>0.0100000000002183</v>
      </c>
      <c r="L1434" s="38" t="n">
        <v>3933.07</v>
      </c>
      <c r="M1434" s="39" t="n">
        <f aca="false">ABS(I1434-L1434)</f>
        <v>6</v>
      </c>
      <c r="N1434" s="24" t="n">
        <f aca="false">M1434*H1434*Summary!$C$6</f>
        <v>36</v>
      </c>
      <c r="O1434" s="37" t="n">
        <v>45936.3798032407</v>
      </c>
      <c r="P1434" s="22" t="n">
        <f aca="false">ROUND((O1434-C1434)*86400,0)</f>
        <v>55</v>
      </c>
      <c r="Q1434" s="22" t="str">
        <f aca="false">IF(P1434&lt;10,"a) &lt;10s",IF(P1434&lt;60,"b) 10-60s",IF(P1434&lt;600,"c) 1-10min","d) &gt;10min")))</f>
        <v>b) 10-60s</v>
      </c>
      <c r="R1434" s="38" t="n">
        <v>3926.56</v>
      </c>
      <c r="S1434" s="38" t="n">
        <v>3926.75</v>
      </c>
      <c r="T1434" s="22" t="s">
        <v>189</v>
      </c>
      <c r="U1434" s="39" t="n">
        <f aca="false">IF(R1434="","",IF(F1434="BUY",R1434-S1434,S1434-R1434))</f>
        <v>0.190000000000055</v>
      </c>
      <c r="V1434" s="39" t="n">
        <f aca="false">IF(F1434="BUY",S1434-J1434,J1434-S1434)</f>
        <v>0.309999999999945</v>
      </c>
      <c r="W1434" s="6" t="n">
        <v>1.86</v>
      </c>
      <c r="X1434" s="26" t="n">
        <f aca="false">IFERROR(W1434/N1434,0)</f>
        <v>0.0516666666666667</v>
      </c>
      <c r="Y1434" s="22" t="str">
        <f aca="false">IF(W1434&gt;0,"Win",IF(W1434&lt;0,"Loss","Flat"))</f>
        <v>Win</v>
      </c>
      <c r="Z1434" s="24" t="n">
        <f aca="false">Summary!$C$5+SUM(W$2:W1434)</f>
        <v>4132.63</v>
      </c>
      <c r="AA1434" s="24" t="n">
        <f aca="false">MAX(AA1433,Z1434)</f>
        <v>5000</v>
      </c>
      <c r="AB1434" s="24" t="n">
        <f aca="false">AA1434-Z1434</f>
        <v>867.37</v>
      </c>
      <c r="AC1434" s="23" t="n">
        <f aca="false">IFERROR(AB1434/AA1434,0)</f>
        <v>0.173474</v>
      </c>
      <c r="AD1434" s="22" t="s">
        <v>1671</v>
      </c>
    </row>
    <row r="1435" customFormat="false" ht="15" hidden="false" customHeight="false" outlineLevel="0" collapsed="false">
      <c r="A1435" s="22" t="n">
        <v>1434</v>
      </c>
      <c r="B1435" s="22" t="s">
        <v>162</v>
      </c>
      <c r="C1435" s="37" t="n">
        <v>45937.3786921296</v>
      </c>
      <c r="D1435" s="22" t="s">
        <v>203</v>
      </c>
      <c r="E1435" s="22" t="n">
        <v>9</v>
      </c>
      <c r="F1435" s="22" t="s">
        <v>182</v>
      </c>
      <c r="G1435" s="22" t="s">
        <v>241</v>
      </c>
      <c r="H1435" s="22" t="n">
        <v>0.06</v>
      </c>
      <c r="I1435" s="38" t="n">
        <v>3959.75</v>
      </c>
      <c r="J1435" s="38" t="n">
        <v>3959.66</v>
      </c>
      <c r="K1435" s="39" t="n">
        <f aca="false">IF(F1435="BUY",J1435-I1435,I1435-J1435)</f>
        <v>0.0900000000001455</v>
      </c>
      <c r="L1435" s="38" t="n">
        <v>3965.75</v>
      </c>
      <c r="M1435" s="39" t="n">
        <f aca="false">ABS(I1435-L1435)</f>
        <v>6</v>
      </c>
      <c r="N1435" s="24" t="n">
        <f aca="false">M1435*H1435*Summary!$C$6</f>
        <v>36</v>
      </c>
      <c r="O1435" s="37" t="n">
        <v>45937.3903125</v>
      </c>
      <c r="P1435" s="22" t="n">
        <f aca="false">ROUND((O1435-C1435)*86400,0)</f>
        <v>1004</v>
      </c>
      <c r="Q1435" s="22" t="str">
        <f aca="false">IF(P1435&lt;10,"a) &lt;10s",IF(P1435&lt;60,"b) 10-60s",IF(P1435&lt;600,"c) 1-10min","d) &gt;10min")))</f>
        <v>d) &gt;10min</v>
      </c>
      <c r="R1435" s="38" t="n">
        <v>3965.75</v>
      </c>
      <c r="S1435" s="38" t="n">
        <v>3965.81</v>
      </c>
      <c r="T1435" s="22" t="s">
        <v>188</v>
      </c>
      <c r="U1435" s="39" t="n">
        <f aca="false">IF(R1435="","",IF(F1435="BUY",R1435-S1435,S1435-R1435))</f>
        <v>0.0599999999999454</v>
      </c>
      <c r="V1435" s="39" t="n">
        <f aca="false">IF(F1435="BUY",S1435-J1435,J1435-S1435)</f>
        <v>-6.15000000000009</v>
      </c>
      <c r="W1435" s="6" t="n">
        <v>-36.9</v>
      </c>
      <c r="X1435" s="26" t="n">
        <f aca="false">IFERROR(W1435/N1435,0)</f>
        <v>-1.025</v>
      </c>
      <c r="Y1435" s="22" t="str">
        <f aca="false">IF(W1435&gt;0,"Win",IF(W1435&lt;0,"Loss","Flat"))</f>
        <v>Loss</v>
      </c>
      <c r="Z1435" s="24" t="n">
        <f aca="false">Summary!$C$5+SUM(W$2:W1435)</f>
        <v>4095.73</v>
      </c>
      <c r="AA1435" s="24" t="n">
        <f aca="false">MAX(AA1434,Z1435)</f>
        <v>5000</v>
      </c>
      <c r="AB1435" s="24" t="n">
        <f aca="false">AA1435-Z1435</f>
        <v>904.27</v>
      </c>
      <c r="AC1435" s="23" t="n">
        <f aca="false">IFERROR(AB1435/AA1435,0)</f>
        <v>0.180854</v>
      </c>
      <c r="AD1435" s="22" t="s">
        <v>1672</v>
      </c>
    </row>
    <row r="1436" customFormat="false" ht="15" hidden="false" customHeight="false" outlineLevel="0" collapsed="false">
      <c r="A1436" s="22" t="n">
        <v>1435</v>
      </c>
      <c r="B1436" s="22" t="s">
        <v>162</v>
      </c>
      <c r="C1436" s="37" t="n">
        <v>45938.0531944444</v>
      </c>
      <c r="D1436" s="22" t="s">
        <v>204</v>
      </c>
      <c r="E1436" s="22" t="n">
        <v>1</v>
      </c>
      <c r="F1436" s="22" t="s">
        <v>181</v>
      </c>
      <c r="G1436" s="22" t="s">
        <v>243</v>
      </c>
      <c r="H1436" s="22" t="n">
        <v>0.06</v>
      </c>
      <c r="I1436" s="38" t="n">
        <v>3990.85</v>
      </c>
      <c r="J1436" s="38" t="n">
        <v>3990.93</v>
      </c>
      <c r="K1436" s="39" t="n">
        <f aca="false">IF(F1436="BUY",J1436-I1436,I1436-J1436)</f>
        <v>0.0799999999999272</v>
      </c>
      <c r="L1436" s="38" t="n">
        <v>3984.85</v>
      </c>
      <c r="M1436" s="39" t="n">
        <f aca="false">ABS(I1436-L1436)</f>
        <v>6</v>
      </c>
      <c r="N1436" s="24" t="n">
        <f aca="false">M1436*H1436*Summary!$C$6</f>
        <v>36</v>
      </c>
      <c r="O1436" s="37" t="n">
        <v>45938.1461458333</v>
      </c>
      <c r="P1436" s="22" t="n">
        <f aca="false">ROUND((O1436-C1436)*86400,0)</f>
        <v>8031</v>
      </c>
      <c r="Q1436" s="22" t="str">
        <f aca="false">IF(P1436&lt;10,"a) &lt;10s",IF(P1436&lt;60,"b) 10-60s",IF(P1436&lt;600,"c) 1-10min","d) &gt;10min")))</f>
        <v>d) &gt;10min</v>
      </c>
      <c r="R1436" s="38" t="n">
        <v>3991.43</v>
      </c>
      <c r="S1436" s="38" t="n">
        <v>3991.35</v>
      </c>
      <c r="T1436" s="22" t="s">
        <v>189</v>
      </c>
      <c r="U1436" s="39" t="n">
        <f aca="false">IF(R1436="","",IF(F1436="BUY",R1436-S1436,S1436-R1436))</f>
        <v>0.0799999999999272</v>
      </c>
      <c r="V1436" s="39" t="n">
        <f aca="false">IF(F1436="BUY",S1436-J1436,J1436-S1436)</f>
        <v>0.420000000000073</v>
      </c>
      <c r="W1436" s="6" t="n">
        <v>2.52</v>
      </c>
      <c r="X1436" s="26" t="n">
        <f aca="false">IFERROR(W1436/N1436,0)</f>
        <v>0.07</v>
      </c>
      <c r="Y1436" s="22" t="str">
        <f aca="false">IF(W1436&gt;0,"Win",IF(W1436&lt;0,"Loss","Flat"))</f>
        <v>Win</v>
      </c>
      <c r="Z1436" s="24" t="n">
        <f aca="false">Summary!$C$5+SUM(W$2:W1436)</f>
        <v>4098.25</v>
      </c>
      <c r="AA1436" s="24" t="n">
        <f aca="false">MAX(AA1435,Z1436)</f>
        <v>5000</v>
      </c>
      <c r="AB1436" s="24" t="n">
        <f aca="false">AA1436-Z1436</f>
        <v>901.75</v>
      </c>
      <c r="AC1436" s="23" t="n">
        <f aca="false">IFERROR(AB1436/AA1436,0)</f>
        <v>0.18035</v>
      </c>
      <c r="AD1436" s="22" t="s">
        <v>1673</v>
      </c>
    </row>
    <row r="1437" customFormat="false" ht="15" hidden="false" customHeight="false" outlineLevel="0" collapsed="false">
      <c r="A1437" s="22" t="n">
        <v>1436</v>
      </c>
      <c r="B1437" s="22" t="s">
        <v>162</v>
      </c>
      <c r="C1437" s="37" t="n">
        <v>45938.4233333333</v>
      </c>
      <c r="D1437" s="22" t="s">
        <v>204</v>
      </c>
      <c r="E1437" s="22" t="n">
        <v>10</v>
      </c>
      <c r="F1437" s="22" t="s">
        <v>181</v>
      </c>
      <c r="G1437" s="22" t="s">
        <v>235</v>
      </c>
      <c r="H1437" s="22" t="n">
        <v>0.06</v>
      </c>
      <c r="I1437" s="38" t="n">
        <v>4036.79</v>
      </c>
      <c r="J1437" s="38" t="n">
        <v>4036.8</v>
      </c>
      <c r="K1437" s="39" t="n">
        <f aca="false">IF(F1437="BUY",J1437-I1437,I1437-J1437)</f>
        <v>0.0100000000002183</v>
      </c>
      <c r="L1437" s="38" t="n">
        <v>4030.79</v>
      </c>
      <c r="M1437" s="39" t="n">
        <f aca="false">ABS(I1437-L1437)</f>
        <v>6</v>
      </c>
      <c r="N1437" s="24" t="n">
        <f aca="false">M1437*H1437*Summary!$C$6</f>
        <v>36</v>
      </c>
      <c r="O1437" s="37" t="n">
        <v>45938.4244791667</v>
      </c>
      <c r="P1437" s="22" t="n">
        <f aca="false">ROUND((O1437-C1437)*86400,0)</f>
        <v>99</v>
      </c>
      <c r="Q1437" s="22" t="str">
        <f aca="false">IF(P1437&lt;10,"a) &lt;10s",IF(P1437&lt;60,"b) 10-60s",IF(P1437&lt;600,"c) 1-10min","d) &gt;10min")))</f>
        <v>c) 1-10min</v>
      </c>
      <c r="R1437" s="38" t="n">
        <v>4037.3</v>
      </c>
      <c r="S1437" s="38" t="n">
        <v>4037.3</v>
      </c>
      <c r="T1437" s="22" t="s">
        <v>189</v>
      </c>
      <c r="U1437" s="39" t="n">
        <f aca="false">IF(R1437="","",IF(F1437="BUY",R1437-S1437,S1437-R1437))</f>
        <v>0</v>
      </c>
      <c r="V1437" s="39" t="n">
        <f aca="false">IF(F1437="BUY",S1437-J1437,J1437-S1437)</f>
        <v>0.5</v>
      </c>
      <c r="W1437" s="6" t="n">
        <v>3</v>
      </c>
      <c r="X1437" s="26" t="n">
        <f aca="false">IFERROR(W1437/N1437,0)</f>
        <v>0.0833333333333333</v>
      </c>
      <c r="Y1437" s="22" t="str">
        <f aca="false">IF(W1437&gt;0,"Win",IF(W1437&lt;0,"Loss","Flat"))</f>
        <v>Win</v>
      </c>
      <c r="Z1437" s="24" t="n">
        <f aca="false">Summary!$C$5+SUM(W$2:W1437)</f>
        <v>4101.25</v>
      </c>
      <c r="AA1437" s="24" t="n">
        <f aca="false">MAX(AA1436,Z1437)</f>
        <v>5000</v>
      </c>
      <c r="AB1437" s="24" t="n">
        <f aca="false">AA1437-Z1437</f>
        <v>898.75</v>
      </c>
      <c r="AC1437" s="23" t="n">
        <f aca="false">IFERROR(AB1437/AA1437,0)</f>
        <v>0.17975</v>
      </c>
      <c r="AD1437" s="22" t="s">
        <v>1674</v>
      </c>
    </row>
    <row r="1438" customFormat="false" ht="15" hidden="false" customHeight="false" outlineLevel="0" collapsed="false">
      <c r="A1438" s="22" t="n">
        <v>1437</v>
      </c>
      <c r="B1438" s="22" t="s">
        <v>162</v>
      </c>
      <c r="C1438" s="37" t="n">
        <v>45939.4085416667</v>
      </c>
      <c r="D1438" s="22" t="s">
        <v>205</v>
      </c>
      <c r="E1438" s="22" t="n">
        <v>9</v>
      </c>
      <c r="F1438" s="22" t="s">
        <v>182</v>
      </c>
      <c r="G1438" s="22" t="s">
        <v>241</v>
      </c>
      <c r="H1438" s="22" t="n">
        <v>0.06</v>
      </c>
      <c r="I1438" s="38" t="n">
        <v>4026.62</v>
      </c>
      <c r="J1438" s="38" t="n">
        <v>4026.58</v>
      </c>
      <c r="K1438" s="39" t="n">
        <f aca="false">IF(F1438="BUY",J1438-I1438,I1438-J1438)</f>
        <v>0.0399999999999636</v>
      </c>
      <c r="L1438" s="38" t="n">
        <v>4032.62</v>
      </c>
      <c r="M1438" s="39" t="n">
        <f aca="false">ABS(I1438-L1438)</f>
        <v>6</v>
      </c>
      <c r="N1438" s="24" t="n">
        <f aca="false">M1438*H1438*Summary!$C$6</f>
        <v>36</v>
      </c>
      <c r="O1438" s="37" t="n">
        <v>45939.4119675926</v>
      </c>
      <c r="P1438" s="22" t="n">
        <f aca="false">ROUND((O1438-C1438)*86400,0)</f>
        <v>296</v>
      </c>
      <c r="Q1438" s="22" t="str">
        <f aca="false">IF(P1438&lt;10,"a) &lt;10s",IF(P1438&lt;60,"b) 10-60s",IF(P1438&lt;600,"c) 1-10min","d) &gt;10min")))</f>
        <v>c) 1-10min</v>
      </c>
      <c r="R1438" s="38" t="n">
        <v>4026.08</v>
      </c>
      <c r="S1438" s="38" t="n">
        <v>4026.3</v>
      </c>
      <c r="T1438" s="22" t="s">
        <v>189</v>
      </c>
      <c r="U1438" s="39" t="n">
        <f aca="false">IF(R1438="","",IF(F1438="BUY",R1438-S1438,S1438-R1438))</f>
        <v>0.220000000000255</v>
      </c>
      <c r="V1438" s="39" t="n">
        <f aca="false">IF(F1438="BUY",S1438-J1438,J1438-S1438)</f>
        <v>0.279999999999745</v>
      </c>
      <c r="W1438" s="6" t="n">
        <v>1.68</v>
      </c>
      <c r="X1438" s="26" t="n">
        <f aca="false">IFERROR(W1438/N1438,0)</f>
        <v>0.0466666666666667</v>
      </c>
      <c r="Y1438" s="22" t="str">
        <f aca="false">IF(W1438&gt;0,"Win",IF(W1438&lt;0,"Loss","Flat"))</f>
        <v>Win</v>
      </c>
      <c r="Z1438" s="24" t="n">
        <f aca="false">Summary!$C$5+SUM(W$2:W1438)</f>
        <v>4102.93</v>
      </c>
      <c r="AA1438" s="24" t="n">
        <f aca="false">MAX(AA1437,Z1438)</f>
        <v>5000</v>
      </c>
      <c r="AB1438" s="24" t="n">
        <f aca="false">AA1438-Z1438</f>
        <v>897.07</v>
      </c>
      <c r="AC1438" s="23" t="n">
        <f aca="false">IFERROR(AB1438/AA1438,0)</f>
        <v>0.179414</v>
      </c>
      <c r="AD1438" s="22" t="s">
        <v>1675</v>
      </c>
    </row>
    <row r="1439" customFormat="false" ht="15" hidden="false" customHeight="false" outlineLevel="0" collapsed="false">
      <c r="A1439" s="22" t="n">
        <v>1438</v>
      </c>
      <c r="B1439" s="22" t="s">
        <v>162</v>
      </c>
      <c r="C1439" s="37" t="n">
        <v>45939.8198148148</v>
      </c>
      <c r="D1439" s="22" t="s">
        <v>205</v>
      </c>
      <c r="E1439" s="22" t="n">
        <v>19</v>
      </c>
      <c r="F1439" s="22" t="s">
        <v>182</v>
      </c>
      <c r="G1439" s="22" t="s">
        <v>237</v>
      </c>
      <c r="H1439" s="22" t="n">
        <v>0.06</v>
      </c>
      <c r="I1439" s="38" t="n">
        <v>3982.75</v>
      </c>
      <c r="J1439" s="38" t="n">
        <v>3982.74</v>
      </c>
      <c r="K1439" s="39" t="n">
        <f aca="false">IF(F1439="BUY",J1439-I1439,I1439-J1439)</f>
        <v>0.0100000000002183</v>
      </c>
      <c r="L1439" s="38" t="n">
        <v>3988.75</v>
      </c>
      <c r="M1439" s="39" t="n">
        <f aca="false">ABS(I1439-L1439)</f>
        <v>6</v>
      </c>
      <c r="N1439" s="24" t="n">
        <f aca="false">M1439*H1439*Summary!$C$6</f>
        <v>36</v>
      </c>
      <c r="O1439" s="37" t="n">
        <v>45939.8205208333</v>
      </c>
      <c r="P1439" s="22" t="n">
        <f aca="false">ROUND((O1439-C1439)*86400,0)</f>
        <v>61</v>
      </c>
      <c r="Q1439" s="22" t="str">
        <f aca="false">IF(P1439&lt;10,"a) &lt;10s",IF(P1439&lt;60,"b) 10-60s",IF(P1439&lt;600,"c) 1-10min","d) &gt;10min")))</f>
        <v>c) 1-10min</v>
      </c>
      <c r="R1439" s="38" t="n">
        <v>3982.24</v>
      </c>
      <c r="S1439" s="38" t="n">
        <v>3982.4</v>
      </c>
      <c r="T1439" s="22" t="s">
        <v>189</v>
      </c>
      <c r="U1439" s="39" t="n">
        <f aca="false">IF(R1439="","",IF(F1439="BUY",R1439-S1439,S1439-R1439))</f>
        <v>0.160000000000309</v>
      </c>
      <c r="V1439" s="39" t="n">
        <f aca="false">IF(F1439="BUY",S1439-J1439,J1439-S1439)</f>
        <v>0.339999999999691</v>
      </c>
      <c r="W1439" s="6" t="n">
        <v>2.04</v>
      </c>
      <c r="X1439" s="26" t="n">
        <f aca="false">IFERROR(W1439/N1439,0)</f>
        <v>0.0566666666666667</v>
      </c>
      <c r="Y1439" s="22" t="str">
        <f aca="false">IF(W1439&gt;0,"Win",IF(W1439&lt;0,"Loss","Flat"))</f>
        <v>Win</v>
      </c>
      <c r="Z1439" s="24" t="n">
        <f aca="false">Summary!$C$5+SUM(W$2:W1439)</f>
        <v>4104.97</v>
      </c>
      <c r="AA1439" s="24" t="n">
        <f aca="false">MAX(AA1438,Z1439)</f>
        <v>5000</v>
      </c>
      <c r="AB1439" s="24" t="n">
        <f aca="false">AA1439-Z1439</f>
        <v>895.03</v>
      </c>
      <c r="AC1439" s="23" t="n">
        <f aca="false">IFERROR(AB1439/AA1439,0)</f>
        <v>0.179006</v>
      </c>
      <c r="AD1439" s="22" t="s">
        <v>1676</v>
      </c>
    </row>
    <row r="1440" customFormat="false" ht="15" hidden="false" customHeight="false" outlineLevel="0" collapsed="false">
      <c r="A1440" s="22" t="n">
        <v>1439</v>
      </c>
      <c r="B1440" s="22" t="s">
        <v>162</v>
      </c>
      <c r="C1440" s="37" t="n">
        <v>45940.4611226852</v>
      </c>
      <c r="D1440" s="22" t="s">
        <v>206</v>
      </c>
      <c r="E1440" s="22" t="n">
        <v>11</v>
      </c>
      <c r="F1440" s="22" t="s">
        <v>181</v>
      </c>
      <c r="G1440" s="22" t="s">
        <v>235</v>
      </c>
      <c r="H1440" s="22" t="n">
        <v>0.06</v>
      </c>
      <c r="I1440" s="38" t="n">
        <v>3977.58</v>
      </c>
      <c r="J1440" s="38" t="n">
        <v>3977.68</v>
      </c>
      <c r="K1440" s="39" t="n">
        <f aca="false">IF(F1440="BUY",J1440-I1440,I1440-J1440)</f>
        <v>0.0999999999999091</v>
      </c>
      <c r="L1440" s="38" t="n">
        <v>3971.58</v>
      </c>
      <c r="M1440" s="39" t="n">
        <f aca="false">ABS(I1440-L1440)</f>
        <v>6</v>
      </c>
      <c r="N1440" s="24" t="n">
        <f aca="false">M1440*H1440*Summary!$C$6</f>
        <v>36</v>
      </c>
      <c r="O1440" s="37" t="n">
        <v>45940.4632060185</v>
      </c>
      <c r="P1440" s="22" t="n">
        <f aca="false">ROUND((O1440-C1440)*86400,0)</f>
        <v>180</v>
      </c>
      <c r="Q1440" s="22" t="str">
        <f aca="false">IF(P1440&lt;10,"a) &lt;10s",IF(P1440&lt;60,"b) 10-60s",IF(P1440&lt;600,"c) 1-10min","d) &gt;10min")))</f>
        <v>c) 1-10min</v>
      </c>
      <c r="R1440" s="38" t="n">
        <v>3978.18</v>
      </c>
      <c r="S1440" s="38" t="n">
        <v>3978.01</v>
      </c>
      <c r="T1440" s="22" t="s">
        <v>189</v>
      </c>
      <c r="U1440" s="39" t="n">
        <f aca="false">IF(R1440="","",IF(F1440="BUY",R1440-S1440,S1440-R1440))</f>
        <v>0.169999999999618</v>
      </c>
      <c r="V1440" s="39" t="n">
        <f aca="false">IF(F1440="BUY",S1440-J1440,J1440-S1440)</f>
        <v>0.330000000000382</v>
      </c>
      <c r="W1440" s="6" t="n">
        <v>1.98</v>
      </c>
      <c r="X1440" s="26" t="n">
        <f aca="false">IFERROR(W1440/N1440,0)</f>
        <v>0.055</v>
      </c>
      <c r="Y1440" s="22" t="str">
        <f aca="false">IF(W1440&gt;0,"Win",IF(W1440&lt;0,"Loss","Flat"))</f>
        <v>Win</v>
      </c>
      <c r="Z1440" s="24" t="n">
        <f aca="false">Summary!$C$5+SUM(W$2:W1440)</f>
        <v>4106.95</v>
      </c>
      <c r="AA1440" s="24" t="n">
        <f aca="false">MAX(AA1439,Z1440)</f>
        <v>5000</v>
      </c>
      <c r="AB1440" s="24" t="n">
        <f aca="false">AA1440-Z1440</f>
        <v>893.05</v>
      </c>
      <c r="AC1440" s="23" t="n">
        <f aca="false">IFERROR(AB1440/AA1440,0)</f>
        <v>0.17861</v>
      </c>
      <c r="AD1440" s="22" t="s">
        <v>1677</v>
      </c>
    </row>
    <row r="1441" customFormat="false" ht="15" hidden="false" customHeight="false" outlineLevel="0" collapsed="false">
      <c r="A1441" s="22" t="n">
        <v>1440</v>
      </c>
      <c r="B1441" s="22" t="s">
        <v>162</v>
      </c>
      <c r="C1441" s="37" t="n">
        <v>45943.4486689815</v>
      </c>
      <c r="D1441" s="22" t="s">
        <v>202</v>
      </c>
      <c r="E1441" s="22" t="n">
        <v>10</v>
      </c>
      <c r="F1441" s="22" t="s">
        <v>181</v>
      </c>
      <c r="G1441" s="22" t="s">
        <v>235</v>
      </c>
      <c r="H1441" s="22" t="n">
        <v>0.06</v>
      </c>
      <c r="I1441" s="38" t="n">
        <v>4077.75</v>
      </c>
      <c r="J1441" s="38" t="n">
        <v>4077.8</v>
      </c>
      <c r="K1441" s="39" t="n">
        <f aca="false">IF(F1441="BUY",J1441-I1441,I1441-J1441)</f>
        <v>0.0500000000001819</v>
      </c>
      <c r="L1441" s="38" t="n">
        <v>4071.75</v>
      </c>
      <c r="M1441" s="39" t="n">
        <f aca="false">ABS(I1441-L1441)</f>
        <v>6</v>
      </c>
      <c r="N1441" s="24" t="n">
        <f aca="false">M1441*H1441*Summary!$C$6</f>
        <v>36</v>
      </c>
      <c r="O1441" s="37" t="n">
        <v>45943.4554050926</v>
      </c>
      <c r="P1441" s="22" t="n">
        <f aca="false">ROUND((O1441-C1441)*86400,0)</f>
        <v>582</v>
      </c>
      <c r="Q1441" s="22" t="str">
        <f aca="false">IF(P1441&lt;10,"a) &lt;10s",IF(P1441&lt;60,"b) 10-60s",IF(P1441&lt;600,"c) 1-10min","d) &gt;10min")))</f>
        <v>c) 1-10min</v>
      </c>
      <c r="R1441" s="38" t="n">
        <v>4071.75</v>
      </c>
      <c r="S1441" s="38" t="n">
        <v>4071.65</v>
      </c>
      <c r="T1441" s="22" t="s">
        <v>188</v>
      </c>
      <c r="U1441" s="39" t="n">
        <f aca="false">IF(R1441="","",IF(F1441="BUY",R1441-S1441,S1441-R1441))</f>
        <v>0.0999999999999091</v>
      </c>
      <c r="V1441" s="39" t="n">
        <f aca="false">IF(F1441="BUY",S1441-J1441,J1441-S1441)</f>
        <v>-6.15000000000009</v>
      </c>
      <c r="W1441" s="6" t="n">
        <v>-36.9</v>
      </c>
      <c r="X1441" s="26" t="n">
        <f aca="false">IFERROR(W1441/N1441,0)</f>
        <v>-1.025</v>
      </c>
      <c r="Y1441" s="22" t="str">
        <f aca="false">IF(W1441&gt;0,"Win",IF(W1441&lt;0,"Loss","Flat"))</f>
        <v>Loss</v>
      </c>
      <c r="Z1441" s="24" t="n">
        <f aca="false">Summary!$C$5+SUM(W$2:W1441)</f>
        <v>4070.05</v>
      </c>
      <c r="AA1441" s="24" t="n">
        <f aca="false">MAX(AA1440,Z1441)</f>
        <v>5000</v>
      </c>
      <c r="AB1441" s="24" t="n">
        <f aca="false">AA1441-Z1441</f>
        <v>929.95</v>
      </c>
      <c r="AC1441" s="23" t="n">
        <f aca="false">IFERROR(AB1441/AA1441,0)</f>
        <v>0.18599</v>
      </c>
      <c r="AD1441" s="22" t="s">
        <v>1678</v>
      </c>
    </row>
    <row r="1442" customFormat="false" ht="15" hidden="false" customHeight="false" outlineLevel="0" collapsed="false">
      <c r="A1442" s="22" t="n">
        <v>1441</v>
      </c>
      <c r="B1442" s="22" t="s">
        <v>162</v>
      </c>
      <c r="C1442" s="37" t="n">
        <v>45944.0919791667</v>
      </c>
      <c r="D1442" s="22" t="s">
        <v>203</v>
      </c>
      <c r="E1442" s="22" t="n">
        <v>2</v>
      </c>
      <c r="F1442" s="22" t="s">
        <v>181</v>
      </c>
      <c r="G1442" s="22" t="s">
        <v>243</v>
      </c>
      <c r="H1442" s="22" t="n">
        <v>0.06</v>
      </c>
      <c r="I1442" s="38" t="n">
        <v>4117.01</v>
      </c>
      <c r="J1442" s="38" t="n">
        <v>4117.28</v>
      </c>
      <c r="K1442" s="39" t="n">
        <f aca="false">IF(F1442="BUY",J1442-I1442,I1442-J1442)</f>
        <v>0.269999999999527</v>
      </c>
      <c r="L1442" s="38" t="n">
        <v>4111.01</v>
      </c>
      <c r="M1442" s="39" t="n">
        <f aca="false">ABS(I1442-L1442)</f>
        <v>6</v>
      </c>
      <c r="N1442" s="24" t="n">
        <f aca="false">M1442*H1442*Summary!$C$6</f>
        <v>36</v>
      </c>
      <c r="O1442" s="37" t="n">
        <v>45944.1835416667</v>
      </c>
      <c r="P1442" s="22" t="n">
        <f aca="false">ROUND((O1442-C1442)*86400,0)</f>
        <v>7911</v>
      </c>
      <c r="Q1442" s="22" t="str">
        <f aca="false">IF(P1442&lt;10,"a) &lt;10s",IF(P1442&lt;60,"b) 10-60s",IF(P1442&lt;600,"c) 1-10min","d) &gt;10min")))</f>
        <v>d) &gt;10min</v>
      </c>
      <c r="R1442" s="38"/>
      <c r="S1442" s="38" t="n">
        <v>4147.07</v>
      </c>
      <c r="T1442" s="22" t="s">
        <v>187</v>
      </c>
      <c r="U1442" s="39" t="str">
        <f aca="false">IF(R1442="","",IF(F1442="BUY",R1442-S1442,S1442-R1442))</f>
        <v/>
      </c>
      <c r="V1442" s="39" t="n">
        <f aca="false">IF(F1442="BUY",S1442-J1442,J1442-S1442)</f>
        <v>29.79</v>
      </c>
      <c r="W1442" s="6" t="n">
        <v>178.74</v>
      </c>
      <c r="X1442" s="26" t="n">
        <f aca="false">IFERROR(W1442/N1442,0)</f>
        <v>4.965</v>
      </c>
      <c r="Y1442" s="22" t="str">
        <f aca="false">IF(W1442&gt;0,"Win",IF(W1442&lt;0,"Loss","Flat"))</f>
        <v>Win</v>
      </c>
      <c r="Z1442" s="24" t="n">
        <f aca="false">Summary!$C$5+SUM(W$2:W1442)</f>
        <v>4248.79</v>
      </c>
      <c r="AA1442" s="24" t="n">
        <f aca="false">MAX(AA1441,Z1442)</f>
        <v>5000</v>
      </c>
      <c r="AB1442" s="24" t="n">
        <f aca="false">AA1442-Z1442</f>
        <v>751.21</v>
      </c>
      <c r="AC1442" s="23" t="n">
        <f aca="false">IFERROR(AB1442/AA1442,0)</f>
        <v>0.150242</v>
      </c>
      <c r="AD1442" s="22" t="s">
        <v>1679</v>
      </c>
    </row>
    <row r="1443" customFormat="false" ht="15" hidden="false" customHeight="false" outlineLevel="0" collapsed="false">
      <c r="A1443" s="22" t="n">
        <v>1442</v>
      </c>
      <c r="B1443" s="22" t="s">
        <v>162</v>
      </c>
      <c r="C1443" s="37" t="n">
        <v>45944.3850925926</v>
      </c>
      <c r="D1443" s="22" t="s">
        <v>203</v>
      </c>
      <c r="E1443" s="22" t="n">
        <v>9</v>
      </c>
      <c r="F1443" s="22" t="s">
        <v>182</v>
      </c>
      <c r="G1443" s="22" t="s">
        <v>241</v>
      </c>
      <c r="H1443" s="22" t="n">
        <v>0.07</v>
      </c>
      <c r="I1443" s="38" t="n">
        <v>4110.45</v>
      </c>
      <c r="J1443" s="38" t="n">
        <v>4110.12</v>
      </c>
      <c r="K1443" s="39" t="n">
        <f aca="false">IF(F1443="BUY",J1443-I1443,I1443-J1443)</f>
        <v>0.329999999999927</v>
      </c>
      <c r="L1443" s="38" t="n">
        <v>4116.45</v>
      </c>
      <c r="M1443" s="39" t="n">
        <f aca="false">ABS(I1443-L1443)</f>
        <v>6</v>
      </c>
      <c r="N1443" s="24" t="n">
        <f aca="false">M1443*H1443*Summary!$C$6</f>
        <v>42</v>
      </c>
      <c r="O1443" s="37" t="n">
        <v>45944.3853587963</v>
      </c>
      <c r="P1443" s="22" t="n">
        <f aca="false">ROUND((O1443-C1443)*86400,0)</f>
        <v>23</v>
      </c>
      <c r="Q1443" s="22" t="str">
        <f aca="false">IF(P1443&lt;10,"a) &lt;10s",IF(P1443&lt;60,"b) 10-60s",IF(P1443&lt;600,"c) 1-10min","d) &gt;10min")))</f>
        <v>b) 10-60s</v>
      </c>
      <c r="R1443" s="38" t="n">
        <v>4109.62</v>
      </c>
      <c r="S1443" s="38" t="n">
        <v>4109.75</v>
      </c>
      <c r="T1443" s="22" t="s">
        <v>189</v>
      </c>
      <c r="U1443" s="39" t="n">
        <f aca="false">IF(R1443="","",IF(F1443="BUY",R1443-S1443,S1443-R1443))</f>
        <v>0.130000000000109</v>
      </c>
      <c r="V1443" s="39" t="n">
        <f aca="false">IF(F1443="BUY",S1443-J1443,J1443-S1443)</f>
        <v>0.369999999999891</v>
      </c>
      <c r="W1443" s="6" t="n">
        <v>2.59</v>
      </c>
      <c r="X1443" s="26" t="n">
        <f aca="false">IFERROR(W1443/N1443,0)</f>
        <v>0.0616666666666667</v>
      </c>
      <c r="Y1443" s="22" t="str">
        <f aca="false">IF(W1443&gt;0,"Win",IF(W1443&lt;0,"Loss","Flat"))</f>
        <v>Win</v>
      </c>
      <c r="Z1443" s="24" t="n">
        <f aca="false">Summary!$C$5+SUM(W$2:W1443)</f>
        <v>4251.38</v>
      </c>
      <c r="AA1443" s="24" t="n">
        <f aca="false">MAX(AA1442,Z1443)</f>
        <v>5000</v>
      </c>
      <c r="AB1443" s="24" t="n">
        <f aca="false">AA1443-Z1443</f>
        <v>748.62</v>
      </c>
      <c r="AC1443" s="23" t="n">
        <f aca="false">IFERROR(AB1443/AA1443,0)</f>
        <v>0.149724</v>
      </c>
      <c r="AD1443" s="22" t="s">
        <v>1680</v>
      </c>
    </row>
    <row r="1444" customFormat="false" ht="15" hidden="false" customHeight="false" outlineLevel="0" collapsed="false">
      <c r="A1444" s="22" t="n">
        <v>1443</v>
      </c>
      <c r="B1444" s="22" t="s">
        <v>162</v>
      </c>
      <c r="C1444" s="37" t="n">
        <v>45945.1717013889</v>
      </c>
      <c r="D1444" s="22" t="s">
        <v>204</v>
      </c>
      <c r="E1444" s="22" t="n">
        <v>4</v>
      </c>
      <c r="F1444" s="22" t="s">
        <v>181</v>
      </c>
      <c r="G1444" s="22" t="s">
        <v>243</v>
      </c>
      <c r="H1444" s="22" t="n">
        <v>0.07</v>
      </c>
      <c r="I1444" s="38" t="n">
        <v>4179.36</v>
      </c>
      <c r="J1444" s="38" t="n">
        <v>4179.52</v>
      </c>
      <c r="K1444" s="39" t="n">
        <f aca="false">IF(F1444="BUY",J1444-I1444,I1444-J1444)</f>
        <v>0.160000000000764</v>
      </c>
      <c r="L1444" s="38" t="n">
        <v>4173.36</v>
      </c>
      <c r="M1444" s="39" t="n">
        <f aca="false">ABS(I1444-L1444)</f>
        <v>6</v>
      </c>
      <c r="N1444" s="24" t="n">
        <f aca="false">M1444*H1444*Summary!$C$6</f>
        <v>42</v>
      </c>
      <c r="O1444" s="37" t="n">
        <v>45945.1761226852</v>
      </c>
      <c r="P1444" s="22" t="n">
        <f aca="false">ROUND((O1444-C1444)*86400,0)</f>
        <v>382</v>
      </c>
      <c r="Q1444" s="22" t="str">
        <f aca="false">IF(P1444&lt;10,"a) &lt;10s",IF(P1444&lt;60,"b) 10-60s",IF(P1444&lt;600,"c) 1-10min","d) &gt;10min")))</f>
        <v>c) 1-10min</v>
      </c>
      <c r="R1444" s="38" t="n">
        <v>4180.02</v>
      </c>
      <c r="S1444" s="38" t="n">
        <v>4179.77</v>
      </c>
      <c r="T1444" s="22" t="s">
        <v>189</v>
      </c>
      <c r="U1444" s="39" t="n">
        <f aca="false">IF(R1444="","",IF(F1444="BUY",R1444-S1444,S1444-R1444))</f>
        <v>0.25</v>
      </c>
      <c r="V1444" s="39" t="n">
        <f aca="false">IF(F1444="BUY",S1444-J1444,J1444-S1444)</f>
        <v>0.25</v>
      </c>
      <c r="W1444" s="6" t="n">
        <v>1.75</v>
      </c>
      <c r="X1444" s="26" t="n">
        <f aca="false">IFERROR(W1444/N1444,0)</f>
        <v>0.0416666666666667</v>
      </c>
      <c r="Y1444" s="22" t="str">
        <f aca="false">IF(W1444&gt;0,"Win",IF(W1444&lt;0,"Loss","Flat"))</f>
        <v>Win</v>
      </c>
      <c r="Z1444" s="24" t="n">
        <f aca="false">Summary!$C$5+SUM(W$2:W1444)</f>
        <v>4253.13</v>
      </c>
      <c r="AA1444" s="24" t="n">
        <f aca="false">MAX(AA1443,Z1444)</f>
        <v>5000</v>
      </c>
      <c r="AB1444" s="24" t="n">
        <f aca="false">AA1444-Z1444</f>
        <v>746.87</v>
      </c>
      <c r="AC1444" s="23" t="n">
        <f aca="false">IFERROR(AB1444/AA1444,0)</f>
        <v>0.149374</v>
      </c>
      <c r="AD1444" s="22" t="s">
        <v>1681</v>
      </c>
    </row>
    <row r="1445" customFormat="false" ht="15" hidden="false" customHeight="false" outlineLevel="0" collapsed="false">
      <c r="A1445" s="22" t="n">
        <v>1444</v>
      </c>
      <c r="B1445" s="22" t="s">
        <v>162</v>
      </c>
      <c r="C1445" s="37" t="n">
        <v>45945.3821759259</v>
      </c>
      <c r="D1445" s="22" t="s">
        <v>204</v>
      </c>
      <c r="E1445" s="22" t="n">
        <v>9</v>
      </c>
      <c r="F1445" s="22" t="s">
        <v>181</v>
      </c>
      <c r="G1445" s="22" t="s">
        <v>235</v>
      </c>
      <c r="H1445" s="22" t="n">
        <v>0.07</v>
      </c>
      <c r="I1445" s="38" t="n">
        <v>4193.32</v>
      </c>
      <c r="J1445" s="38" t="n">
        <v>4193.32</v>
      </c>
      <c r="K1445" s="39" t="n">
        <f aca="false">IF(F1445="BUY",J1445-I1445,I1445-J1445)</f>
        <v>0</v>
      </c>
      <c r="L1445" s="38" t="n">
        <v>4187.32</v>
      </c>
      <c r="M1445" s="39" t="n">
        <f aca="false">ABS(I1445-L1445)</f>
        <v>6</v>
      </c>
      <c r="N1445" s="24" t="n">
        <f aca="false">M1445*H1445*Summary!$C$6</f>
        <v>42</v>
      </c>
      <c r="O1445" s="37" t="n">
        <v>45945.3882986111</v>
      </c>
      <c r="P1445" s="22" t="n">
        <f aca="false">ROUND((O1445-C1445)*86400,0)</f>
        <v>529</v>
      </c>
      <c r="Q1445" s="22" t="str">
        <f aca="false">IF(P1445&lt;10,"a) &lt;10s",IF(P1445&lt;60,"b) 10-60s",IF(P1445&lt;600,"c) 1-10min","d) &gt;10min")))</f>
        <v>c) 1-10min</v>
      </c>
      <c r="R1445" s="38" t="n">
        <v>4187.32</v>
      </c>
      <c r="S1445" s="38" t="n">
        <v>4187.29</v>
      </c>
      <c r="T1445" s="22" t="s">
        <v>188</v>
      </c>
      <c r="U1445" s="39" t="n">
        <f aca="false">IF(R1445="","",IF(F1445="BUY",R1445-S1445,S1445-R1445))</f>
        <v>0.0299999999997453</v>
      </c>
      <c r="V1445" s="39" t="n">
        <f aca="false">IF(F1445="BUY",S1445-J1445,J1445-S1445)</f>
        <v>-6.02999999999975</v>
      </c>
      <c r="W1445" s="6" t="n">
        <v>-42.21</v>
      </c>
      <c r="X1445" s="26" t="n">
        <f aca="false">IFERROR(W1445/N1445,0)</f>
        <v>-1.005</v>
      </c>
      <c r="Y1445" s="22" t="str">
        <f aca="false">IF(W1445&gt;0,"Win",IF(W1445&lt;0,"Loss","Flat"))</f>
        <v>Loss</v>
      </c>
      <c r="Z1445" s="24" t="n">
        <f aca="false">Summary!$C$5+SUM(W$2:W1445)</f>
        <v>4210.92</v>
      </c>
      <c r="AA1445" s="24" t="n">
        <f aca="false">MAX(AA1444,Z1445)</f>
        <v>5000</v>
      </c>
      <c r="AB1445" s="24" t="n">
        <f aca="false">AA1445-Z1445</f>
        <v>789.08</v>
      </c>
      <c r="AC1445" s="23" t="n">
        <f aca="false">IFERROR(AB1445/AA1445,0)</f>
        <v>0.157816</v>
      </c>
      <c r="AD1445" s="22" t="s">
        <v>1682</v>
      </c>
    </row>
    <row r="1446" customFormat="false" ht="15" hidden="false" customHeight="false" outlineLevel="0" collapsed="false">
      <c r="A1446" s="22" t="n">
        <v>1445</v>
      </c>
      <c r="B1446" s="22" t="s">
        <v>162</v>
      </c>
      <c r="C1446" s="37" t="n">
        <v>45946.1359143519</v>
      </c>
      <c r="D1446" s="22" t="s">
        <v>205</v>
      </c>
      <c r="E1446" s="22" t="n">
        <v>3</v>
      </c>
      <c r="F1446" s="22" t="s">
        <v>181</v>
      </c>
      <c r="G1446" s="22" t="s">
        <v>243</v>
      </c>
      <c r="H1446" s="22" t="n">
        <v>0.07</v>
      </c>
      <c r="I1446" s="38" t="n">
        <v>4218</v>
      </c>
      <c r="J1446" s="38" t="n">
        <v>4218</v>
      </c>
      <c r="K1446" s="39" t="n">
        <f aca="false">IF(F1446="BUY",J1446-I1446,I1446-J1446)</f>
        <v>0</v>
      </c>
      <c r="L1446" s="38" t="n">
        <v>4212</v>
      </c>
      <c r="M1446" s="39" t="n">
        <f aca="false">ABS(I1446-L1446)</f>
        <v>6</v>
      </c>
      <c r="N1446" s="24" t="n">
        <f aca="false">M1446*H1446*Summary!$C$6</f>
        <v>42</v>
      </c>
      <c r="O1446" s="37" t="n">
        <v>45946.1581597222</v>
      </c>
      <c r="P1446" s="22" t="n">
        <f aca="false">ROUND((O1446-C1446)*86400,0)</f>
        <v>1922</v>
      </c>
      <c r="Q1446" s="22" t="str">
        <f aca="false">IF(P1446&lt;10,"a) &lt;10s",IF(P1446&lt;60,"b) 10-60s",IF(P1446&lt;600,"c) 1-10min","d) &gt;10min")))</f>
        <v>d) &gt;10min</v>
      </c>
      <c r="R1446" s="38" t="n">
        <v>4218.5</v>
      </c>
      <c r="S1446" s="38" t="n">
        <v>4218.45</v>
      </c>
      <c r="T1446" s="22" t="s">
        <v>189</v>
      </c>
      <c r="U1446" s="39" t="n">
        <f aca="false">IF(R1446="","",IF(F1446="BUY",R1446-S1446,S1446-R1446))</f>
        <v>0.0500000000001819</v>
      </c>
      <c r="V1446" s="39" t="n">
        <f aca="false">IF(F1446="BUY",S1446-J1446,J1446-S1446)</f>
        <v>0.449999999999818</v>
      </c>
      <c r="W1446" s="6" t="n">
        <v>3.15</v>
      </c>
      <c r="X1446" s="26" t="n">
        <f aca="false">IFERROR(W1446/N1446,0)</f>
        <v>0.075</v>
      </c>
      <c r="Y1446" s="22" t="str">
        <f aca="false">IF(W1446&gt;0,"Win",IF(W1446&lt;0,"Loss","Flat"))</f>
        <v>Win</v>
      </c>
      <c r="Z1446" s="24" t="n">
        <f aca="false">Summary!$C$5+SUM(W$2:W1446)</f>
        <v>4214.07</v>
      </c>
      <c r="AA1446" s="24" t="n">
        <f aca="false">MAX(AA1445,Z1446)</f>
        <v>5000</v>
      </c>
      <c r="AB1446" s="24" t="n">
        <f aca="false">AA1446-Z1446</f>
        <v>785.93</v>
      </c>
      <c r="AC1446" s="23" t="n">
        <f aca="false">IFERROR(AB1446/AA1446,0)</f>
        <v>0.157186</v>
      </c>
      <c r="AD1446" s="22" t="s">
        <v>1683</v>
      </c>
    </row>
    <row r="1447" customFormat="false" ht="15" hidden="false" customHeight="false" outlineLevel="0" collapsed="false">
      <c r="A1447" s="22" t="n">
        <v>1446</v>
      </c>
      <c r="B1447" s="22" t="s">
        <v>162</v>
      </c>
      <c r="C1447" s="37" t="n">
        <v>45946.5403125</v>
      </c>
      <c r="D1447" s="22" t="s">
        <v>205</v>
      </c>
      <c r="E1447" s="22" t="n">
        <v>12</v>
      </c>
      <c r="F1447" s="22" t="s">
        <v>181</v>
      </c>
      <c r="G1447" s="22" t="s">
        <v>235</v>
      </c>
      <c r="H1447" s="22" t="n">
        <v>0.07</v>
      </c>
      <c r="I1447" s="38" t="n">
        <v>4239.19</v>
      </c>
      <c r="J1447" s="38" t="n">
        <v>4239.27</v>
      </c>
      <c r="K1447" s="39" t="n">
        <f aca="false">IF(F1447="BUY",J1447-I1447,I1447-J1447)</f>
        <v>0.0800000000008367</v>
      </c>
      <c r="L1447" s="38" t="n">
        <v>4233.19</v>
      </c>
      <c r="M1447" s="39" t="n">
        <f aca="false">ABS(I1447-L1447)</f>
        <v>6</v>
      </c>
      <c r="N1447" s="24" t="n">
        <f aca="false">M1447*H1447*Summary!$C$6</f>
        <v>42</v>
      </c>
      <c r="O1447" s="37" t="n">
        <v>45946.5411805556</v>
      </c>
      <c r="P1447" s="22" t="n">
        <f aca="false">ROUND((O1447-C1447)*86400,0)</f>
        <v>75</v>
      </c>
      <c r="Q1447" s="22" t="str">
        <f aca="false">IF(P1447&lt;10,"a) &lt;10s",IF(P1447&lt;60,"b) 10-60s",IF(P1447&lt;600,"c) 1-10min","d) &gt;10min")))</f>
        <v>c) 1-10min</v>
      </c>
      <c r="R1447" s="38" t="n">
        <v>4239.77</v>
      </c>
      <c r="S1447" s="38" t="n">
        <v>4239.72</v>
      </c>
      <c r="T1447" s="22" t="s">
        <v>189</v>
      </c>
      <c r="U1447" s="39" t="n">
        <f aca="false">IF(R1447="","",IF(F1447="BUY",R1447-S1447,S1447-R1447))</f>
        <v>0.0500000000001819</v>
      </c>
      <c r="V1447" s="39" t="n">
        <f aca="false">IF(F1447="BUY",S1447-J1447,J1447-S1447)</f>
        <v>0.449999999999818</v>
      </c>
      <c r="W1447" s="6" t="n">
        <v>3.15</v>
      </c>
      <c r="X1447" s="26" t="n">
        <f aca="false">IFERROR(W1447/N1447,0)</f>
        <v>0.075</v>
      </c>
      <c r="Y1447" s="22" t="str">
        <f aca="false">IF(W1447&gt;0,"Win",IF(W1447&lt;0,"Loss","Flat"))</f>
        <v>Win</v>
      </c>
      <c r="Z1447" s="24" t="n">
        <f aca="false">Summary!$C$5+SUM(W$2:W1447)</f>
        <v>4217.22</v>
      </c>
      <c r="AA1447" s="24" t="n">
        <f aca="false">MAX(AA1446,Z1447)</f>
        <v>5000</v>
      </c>
      <c r="AB1447" s="24" t="n">
        <f aca="false">AA1447-Z1447</f>
        <v>782.78</v>
      </c>
      <c r="AC1447" s="23" t="n">
        <f aca="false">IFERROR(AB1447/AA1447,0)</f>
        <v>0.156556</v>
      </c>
      <c r="AD1447" s="22" t="s">
        <v>1684</v>
      </c>
    </row>
    <row r="1448" customFormat="false" ht="15" hidden="false" customHeight="false" outlineLevel="0" collapsed="false">
      <c r="A1448" s="22" t="n">
        <v>1447</v>
      </c>
      <c r="B1448" s="22" t="s">
        <v>162</v>
      </c>
      <c r="C1448" s="37" t="n">
        <v>45947.4305208333</v>
      </c>
      <c r="D1448" s="22" t="s">
        <v>206</v>
      </c>
      <c r="E1448" s="22" t="n">
        <v>10</v>
      </c>
      <c r="F1448" s="22" t="s">
        <v>182</v>
      </c>
      <c r="G1448" s="22" t="s">
        <v>241</v>
      </c>
      <c r="H1448" s="22" t="n">
        <v>0.07</v>
      </c>
      <c r="I1448" s="38" t="n">
        <v>4341.63</v>
      </c>
      <c r="J1448" s="38" t="n">
        <v>4341.57</v>
      </c>
      <c r="K1448" s="39" t="n">
        <f aca="false">IF(F1448="BUY",J1448-I1448,I1448-J1448)</f>
        <v>0.0600000000004002</v>
      </c>
      <c r="L1448" s="38" t="n">
        <v>4347.63</v>
      </c>
      <c r="M1448" s="39" t="n">
        <f aca="false">ABS(I1448-L1448)</f>
        <v>6</v>
      </c>
      <c r="N1448" s="24" t="n">
        <f aca="false">M1448*H1448*Summary!$C$6</f>
        <v>42</v>
      </c>
      <c r="O1448" s="37" t="n">
        <v>45947.4330787037</v>
      </c>
      <c r="P1448" s="22" t="n">
        <f aca="false">ROUND((O1448-C1448)*86400,0)</f>
        <v>221</v>
      </c>
      <c r="Q1448" s="22" t="str">
        <f aca="false">IF(P1448&lt;10,"a) &lt;10s",IF(P1448&lt;60,"b) 10-60s",IF(P1448&lt;600,"c) 1-10min","d) &gt;10min")))</f>
        <v>c) 1-10min</v>
      </c>
      <c r="R1448" s="38" t="n">
        <v>4341.07</v>
      </c>
      <c r="S1448" s="38" t="n">
        <v>4341.27</v>
      </c>
      <c r="T1448" s="22" t="s">
        <v>189</v>
      </c>
      <c r="U1448" s="39" t="n">
        <f aca="false">IF(R1448="","",IF(F1448="BUY",R1448-S1448,S1448-R1448))</f>
        <v>0.200000000000728</v>
      </c>
      <c r="V1448" s="39" t="n">
        <f aca="false">IF(F1448="BUY",S1448-J1448,J1448-S1448)</f>
        <v>0.299999999999272</v>
      </c>
      <c r="W1448" s="6" t="n">
        <v>2.1</v>
      </c>
      <c r="X1448" s="26" t="n">
        <f aca="false">IFERROR(W1448/N1448,0)</f>
        <v>0.05</v>
      </c>
      <c r="Y1448" s="22" t="str">
        <f aca="false">IF(W1448&gt;0,"Win",IF(W1448&lt;0,"Loss","Flat"))</f>
        <v>Win</v>
      </c>
      <c r="Z1448" s="24" t="n">
        <f aca="false">Summary!$C$5+SUM(W$2:W1448)</f>
        <v>4219.32</v>
      </c>
      <c r="AA1448" s="24" t="n">
        <f aca="false">MAX(AA1447,Z1448)</f>
        <v>5000</v>
      </c>
      <c r="AB1448" s="24" t="n">
        <f aca="false">AA1448-Z1448</f>
        <v>780.68</v>
      </c>
      <c r="AC1448" s="23" t="n">
        <f aca="false">IFERROR(AB1448/AA1448,0)</f>
        <v>0.156136</v>
      </c>
      <c r="AD1448" s="22" t="s">
        <v>1685</v>
      </c>
    </row>
    <row r="1449" customFormat="false" ht="15" hidden="false" customHeight="false" outlineLevel="0" collapsed="false">
      <c r="A1449" s="22" t="n">
        <v>1448</v>
      </c>
      <c r="B1449" s="22" t="s">
        <v>162</v>
      </c>
      <c r="C1449" s="37" t="n">
        <v>45947.8347916667</v>
      </c>
      <c r="D1449" s="22" t="s">
        <v>206</v>
      </c>
      <c r="E1449" s="22" t="n">
        <v>20</v>
      </c>
      <c r="F1449" s="22" t="s">
        <v>182</v>
      </c>
      <c r="G1449" s="22" t="s">
        <v>237</v>
      </c>
      <c r="H1449" s="22" t="n">
        <v>0.07</v>
      </c>
      <c r="I1449" s="38" t="n">
        <v>4199.29</v>
      </c>
      <c r="J1449" s="38" t="n">
        <v>4199.25</v>
      </c>
      <c r="K1449" s="39" t="n">
        <f aca="false">IF(F1449="BUY",J1449-I1449,I1449-J1449)</f>
        <v>0.0399999999999636</v>
      </c>
      <c r="L1449" s="38" t="n">
        <v>4205.29</v>
      </c>
      <c r="M1449" s="39" t="n">
        <f aca="false">ABS(I1449-L1449)</f>
        <v>6</v>
      </c>
      <c r="N1449" s="24" t="n">
        <f aca="false">M1449*H1449*Summary!$C$6</f>
        <v>42</v>
      </c>
      <c r="O1449" s="37" t="n">
        <v>45947.8368518519</v>
      </c>
      <c r="P1449" s="22" t="n">
        <f aca="false">ROUND((O1449-C1449)*86400,0)</f>
        <v>178</v>
      </c>
      <c r="Q1449" s="22" t="str">
        <f aca="false">IF(P1449&lt;10,"a) &lt;10s",IF(P1449&lt;60,"b) 10-60s",IF(P1449&lt;600,"c) 1-10min","d) &gt;10min")))</f>
        <v>c) 1-10min</v>
      </c>
      <c r="R1449" s="38" t="n">
        <v>4198.75</v>
      </c>
      <c r="S1449" s="38" t="n">
        <v>4200.39</v>
      </c>
      <c r="T1449" s="22" t="s">
        <v>189</v>
      </c>
      <c r="U1449" s="39" t="n">
        <f aca="false">IF(R1449="","",IF(F1449="BUY",R1449-S1449,S1449-R1449))</f>
        <v>1.64000000000033</v>
      </c>
      <c r="V1449" s="39" t="n">
        <f aca="false">IF(F1449="BUY",S1449-J1449,J1449-S1449)</f>
        <v>-1.14000000000033</v>
      </c>
      <c r="W1449" s="6" t="n">
        <v>-7.98</v>
      </c>
      <c r="X1449" s="26" t="n">
        <f aca="false">IFERROR(W1449/N1449,0)</f>
        <v>-0.19</v>
      </c>
      <c r="Y1449" s="22" t="str">
        <f aca="false">IF(W1449&gt;0,"Win",IF(W1449&lt;0,"Loss","Flat"))</f>
        <v>Loss</v>
      </c>
      <c r="Z1449" s="24" t="n">
        <f aca="false">Summary!$C$5+SUM(W$2:W1449)</f>
        <v>4211.34</v>
      </c>
      <c r="AA1449" s="24" t="n">
        <f aca="false">MAX(AA1448,Z1449)</f>
        <v>5000</v>
      </c>
      <c r="AB1449" s="24" t="n">
        <f aca="false">AA1449-Z1449</f>
        <v>788.66</v>
      </c>
      <c r="AC1449" s="23" t="n">
        <f aca="false">IFERROR(AB1449/AA1449,0)</f>
        <v>0.157732</v>
      </c>
      <c r="AD1449" s="22" t="s">
        <v>1686</v>
      </c>
    </row>
    <row r="1450" customFormat="false" ht="15" hidden="false" customHeight="false" outlineLevel="0" collapsed="false">
      <c r="A1450" s="22" t="n">
        <v>1449</v>
      </c>
      <c r="B1450" s="22" t="s">
        <v>162</v>
      </c>
      <c r="C1450" s="37" t="n">
        <v>45950.3750115741</v>
      </c>
      <c r="D1450" s="22" t="s">
        <v>202</v>
      </c>
      <c r="E1450" s="22" t="n">
        <v>9</v>
      </c>
      <c r="F1450" s="22" t="s">
        <v>182</v>
      </c>
      <c r="G1450" s="22" t="s">
        <v>241</v>
      </c>
      <c r="H1450" s="22" t="n">
        <v>0.07</v>
      </c>
      <c r="I1450" s="38" t="n">
        <v>4239.36</v>
      </c>
      <c r="J1450" s="38" t="n">
        <v>4238.88</v>
      </c>
      <c r="K1450" s="39" t="n">
        <f aca="false">IF(F1450="BUY",J1450-I1450,I1450-J1450)</f>
        <v>0.479999999999563</v>
      </c>
      <c r="L1450" s="38" t="n">
        <v>4245.36</v>
      </c>
      <c r="M1450" s="39" t="n">
        <f aca="false">ABS(I1450-L1450)</f>
        <v>6</v>
      </c>
      <c r="N1450" s="24" t="n">
        <f aca="false">M1450*H1450*Summary!$C$6</f>
        <v>42</v>
      </c>
      <c r="O1450" s="37" t="n">
        <v>45950.378900463</v>
      </c>
      <c r="P1450" s="22" t="n">
        <f aca="false">ROUND((O1450-C1450)*86400,0)</f>
        <v>336</v>
      </c>
      <c r="Q1450" s="22" t="str">
        <f aca="false">IF(P1450&lt;10,"a) &lt;10s",IF(P1450&lt;60,"b) 10-60s",IF(P1450&lt;600,"c) 1-10min","d) &gt;10min")))</f>
        <v>c) 1-10min</v>
      </c>
      <c r="R1450" s="38" t="n">
        <v>4238.38</v>
      </c>
      <c r="S1450" s="38" t="n">
        <v>4238.44</v>
      </c>
      <c r="T1450" s="22" t="s">
        <v>189</v>
      </c>
      <c r="U1450" s="39" t="n">
        <f aca="false">IF(R1450="","",IF(F1450="BUY",R1450-S1450,S1450-R1450))</f>
        <v>0.0599999999994907</v>
      </c>
      <c r="V1450" s="39" t="n">
        <f aca="false">IF(F1450="BUY",S1450-J1450,J1450-S1450)</f>
        <v>0.440000000000509</v>
      </c>
      <c r="W1450" s="6" t="n">
        <v>3.08</v>
      </c>
      <c r="X1450" s="26" t="n">
        <f aca="false">IFERROR(W1450/N1450,0)</f>
        <v>0.0733333333333333</v>
      </c>
      <c r="Y1450" s="22" t="str">
        <f aca="false">IF(W1450&gt;0,"Win",IF(W1450&lt;0,"Loss","Flat"))</f>
        <v>Win</v>
      </c>
      <c r="Z1450" s="24" t="n">
        <f aca="false">Summary!$C$5+SUM(W$2:W1450)</f>
        <v>4214.42</v>
      </c>
      <c r="AA1450" s="24" t="n">
        <f aca="false">MAX(AA1449,Z1450)</f>
        <v>5000</v>
      </c>
      <c r="AB1450" s="24" t="n">
        <f aca="false">AA1450-Z1450</f>
        <v>785.58</v>
      </c>
      <c r="AC1450" s="23" t="n">
        <f aca="false">IFERROR(AB1450/AA1450,0)</f>
        <v>0.157116</v>
      </c>
      <c r="AD1450" s="22" t="s">
        <v>1687</v>
      </c>
    </row>
    <row r="1451" customFormat="false" ht="15" hidden="false" customHeight="false" outlineLevel="0" collapsed="false">
      <c r="A1451" s="22" t="n">
        <v>1450</v>
      </c>
      <c r="B1451" s="22" t="s">
        <v>162</v>
      </c>
      <c r="C1451" s="37" t="n">
        <v>45951.3770833333</v>
      </c>
      <c r="D1451" s="22" t="s">
        <v>203</v>
      </c>
      <c r="E1451" s="22" t="n">
        <v>9</v>
      </c>
      <c r="F1451" s="22" t="s">
        <v>182</v>
      </c>
      <c r="G1451" s="22" t="s">
        <v>241</v>
      </c>
      <c r="H1451" s="22" t="n">
        <v>0.07</v>
      </c>
      <c r="I1451" s="38" t="n">
        <v>4316.97</v>
      </c>
      <c r="J1451" s="38" t="n">
        <v>4316.95</v>
      </c>
      <c r="K1451" s="39" t="n">
        <f aca="false">IF(F1451="BUY",J1451-I1451,I1451-J1451)</f>
        <v>0.0200000000004366</v>
      </c>
      <c r="L1451" s="38" t="n">
        <v>4322.97</v>
      </c>
      <c r="M1451" s="39" t="n">
        <f aca="false">ABS(I1451-L1451)</f>
        <v>6</v>
      </c>
      <c r="N1451" s="24" t="n">
        <f aca="false">M1451*H1451*Summary!$C$6</f>
        <v>42</v>
      </c>
      <c r="O1451" s="37" t="n">
        <v>45951.3787962963</v>
      </c>
      <c r="P1451" s="22" t="n">
        <f aca="false">ROUND((O1451-C1451)*86400,0)</f>
        <v>148</v>
      </c>
      <c r="Q1451" s="22" t="str">
        <f aca="false">IF(P1451&lt;10,"a) &lt;10s",IF(P1451&lt;60,"b) 10-60s",IF(P1451&lt;600,"c) 1-10min","d) &gt;10min")))</f>
        <v>c) 1-10min</v>
      </c>
      <c r="R1451" s="38" t="n">
        <v>4322.97</v>
      </c>
      <c r="S1451" s="38" t="n">
        <v>4323.04</v>
      </c>
      <c r="T1451" s="22" t="s">
        <v>188</v>
      </c>
      <c r="U1451" s="39" t="n">
        <f aca="false">IF(R1451="","",IF(F1451="BUY",R1451-S1451,S1451-R1451))</f>
        <v>0.069999999999709</v>
      </c>
      <c r="V1451" s="39" t="n">
        <f aca="false">IF(F1451="BUY",S1451-J1451,J1451-S1451)</f>
        <v>-6.09000000000015</v>
      </c>
      <c r="W1451" s="6" t="n">
        <v>-42.63</v>
      </c>
      <c r="X1451" s="26" t="n">
        <f aca="false">IFERROR(W1451/N1451,0)</f>
        <v>-1.015</v>
      </c>
      <c r="Y1451" s="22" t="str">
        <f aca="false">IF(W1451&gt;0,"Win",IF(W1451&lt;0,"Loss","Flat"))</f>
        <v>Loss</v>
      </c>
      <c r="Z1451" s="24" t="n">
        <f aca="false">Summary!$C$5+SUM(W$2:W1451)</f>
        <v>4171.79</v>
      </c>
      <c r="AA1451" s="24" t="n">
        <f aca="false">MAX(AA1450,Z1451)</f>
        <v>5000</v>
      </c>
      <c r="AB1451" s="24" t="n">
        <f aca="false">AA1451-Z1451</f>
        <v>828.21</v>
      </c>
      <c r="AC1451" s="23" t="n">
        <f aca="false">IFERROR(AB1451/AA1451,0)</f>
        <v>0.165642</v>
      </c>
      <c r="AD1451" s="22" t="s">
        <v>1688</v>
      </c>
    </row>
    <row r="1452" customFormat="false" ht="15" hidden="false" customHeight="false" outlineLevel="0" collapsed="false">
      <c r="A1452" s="22" t="n">
        <v>1451</v>
      </c>
      <c r="B1452" s="22" t="s">
        <v>162</v>
      </c>
      <c r="C1452" s="37" t="n">
        <v>45951.6349305556</v>
      </c>
      <c r="D1452" s="22" t="s">
        <v>203</v>
      </c>
      <c r="E1452" s="22" t="n">
        <v>15</v>
      </c>
      <c r="F1452" s="22" t="s">
        <v>182</v>
      </c>
      <c r="G1452" s="22" t="s">
        <v>237</v>
      </c>
      <c r="H1452" s="22" t="n">
        <v>0.06</v>
      </c>
      <c r="I1452" s="38" t="n">
        <v>4218.51</v>
      </c>
      <c r="J1452" s="38" t="n">
        <v>4216.37</v>
      </c>
      <c r="K1452" s="39" t="n">
        <f aca="false">IF(F1452="BUY",J1452-I1452,I1452-J1452)</f>
        <v>2.14000000000033</v>
      </c>
      <c r="L1452" s="38" t="n">
        <v>4224.51</v>
      </c>
      <c r="M1452" s="39" t="n">
        <f aca="false">ABS(I1452-L1452)</f>
        <v>6</v>
      </c>
      <c r="N1452" s="24" t="n">
        <f aca="false">M1452*H1452*Summary!$C$6</f>
        <v>36</v>
      </c>
      <c r="O1452" s="37" t="n">
        <v>45951.6353587963</v>
      </c>
      <c r="P1452" s="22" t="n">
        <f aca="false">ROUND((O1452-C1452)*86400,0)</f>
        <v>37</v>
      </c>
      <c r="Q1452" s="22" t="str">
        <f aca="false">IF(P1452&lt;10,"a) &lt;10s",IF(P1452&lt;60,"b) 10-60s",IF(P1452&lt;600,"c) 1-10min","d) &gt;10min")))</f>
        <v>b) 10-60s</v>
      </c>
      <c r="R1452" s="38" t="n">
        <v>4224.51</v>
      </c>
      <c r="S1452" s="38" t="n">
        <v>4225.02</v>
      </c>
      <c r="T1452" s="22" t="s">
        <v>188</v>
      </c>
      <c r="U1452" s="39" t="n">
        <f aca="false">IF(R1452="","",IF(F1452="BUY",R1452-S1452,S1452-R1452))</f>
        <v>0.510000000000218</v>
      </c>
      <c r="V1452" s="39" t="n">
        <f aca="false">IF(F1452="BUY",S1452-J1452,J1452-S1452)</f>
        <v>-8.65000000000055</v>
      </c>
      <c r="W1452" s="6" t="n">
        <v>-51.9</v>
      </c>
      <c r="X1452" s="26" t="n">
        <f aca="false">IFERROR(W1452/N1452,0)</f>
        <v>-1.44166666666667</v>
      </c>
      <c r="Y1452" s="22" t="str">
        <f aca="false">IF(W1452&gt;0,"Win",IF(W1452&lt;0,"Loss","Flat"))</f>
        <v>Loss</v>
      </c>
      <c r="Z1452" s="24" t="n">
        <f aca="false">Summary!$C$5+SUM(W$2:W1452)</f>
        <v>4119.89</v>
      </c>
      <c r="AA1452" s="24" t="n">
        <f aca="false">MAX(AA1451,Z1452)</f>
        <v>5000</v>
      </c>
      <c r="AB1452" s="24" t="n">
        <f aca="false">AA1452-Z1452</f>
        <v>880.11</v>
      </c>
      <c r="AC1452" s="23" t="n">
        <f aca="false">IFERROR(AB1452/AA1452,0)</f>
        <v>0.176022</v>
      </c>
      <c r="AD1452" s="22" t="s">
        <v>1689</v>
      </c>
    </row>
    <row r="1453" customFormat="false" ht="15" hidden="false" customHeight="false" outlineLevel="0" collapsed="false">
      <c r="A1453" s="22" t="n">
        <v>1452</v>
      </c>
      <c r="B1453" s="22" t="s">
        <v>162</v>
      </c>
      <c r="C1453" s="37" t="n">
        <v>45952.1265972222</v>
      </c>
      <c r="D1453" s="22" t="s">
        <v>204</v>
      </c>
      <c r="E1453" s="22" t="n">
        <v>3</v>
      </c>
      <c r="F1453" s="22" t="s">
        <v>182</v>
      </c>
      <c r="G1453" s="22" t="s">
        <v>237</v>
      </c>
      <c r="H1453" s="22" t="n">
        <v>0.06</v>
      </c>
      <c r="I1453" s="38" t="n">
        <v>4078.26</v>
      </c>
      <c r="J1453" s="38" t="n">
        <v>4067.48</v>
      </c>
      <c r="K1453" s="39" t="n">
        <f aca="false">IF(F1453="BUY",J1453-I1453,I1453-J1453)</f>
        <v>10.7800000000002</v>
      </c>
      <c r="L1453" s="38" t="n">
        <v>4084.26</v>
      </c>
      <c r="M1453" s="39" t="n">
        <f aca="false">ABS(I1453-L1453)</f>
        <v>6</v>
      </c>
      <c r="N1453" s="24" t="n">
        <f aca="false">M1453*H1453*Summary!$C$6</f>
        <v>36</v>
      </c>
      <c r="O1453" s="37" t="n">
        <v>45952.1266550926</v>
      </c>
      <c r="P1453" s="22" t="n">
        <f aca="false">ROUND((O1453-C1453)*86400,0)</f>
        <v>5</v>
      </c>
      <c r="Q1453" s="22" t="str">
        <f aca="false">IF(P1453&lt;10,"a) &lt;10s",IF(P1453&lt;60,"b) 10-60s",IF(P1453&lt;600,"c) 1-10min","d) &gt;10min")))</f>
        <v>a) &lt;10s</v>
      </c>
      <c r="R1453" s="38" t="n">
        <v>4066.98</v>
      </c>
      <c r="S1453" s="38" t="n">
        <v>4068.36</v>
      </c>
      <c r="T1453" s="22" t="s">
        <v>189</v>
      </c>
      <c r="U1453" s="39" t="n">
        <f aca="false">IF(R1453="","",IF(F1453="BUY",R1453-S1453,S1453-R1453))</f>
        <v>1.38000000000011</v>
      </c>
      <c r="V1453" s="39" t="n">
        <f aca="false">IF(F1453="BUY",S1453-J1453,J1453-S1453)</f>
        <v>-0.880000000000109</v>
      </c>
      <c r="W1453" s="6" t="n">
        <v>-5.28</v>
      </c>
      <c r="X1453" s="26" t="n">
        <f aca="false">IFERROR(W1453/N1453,0)</f>
        <v>-0.146666666666667</v>
      </c>
      <c r="Y1453" s="22" t="str">
        <f aca="false">IF(W1453&gt;0,"Win",IF(W1453&lt;0,"Loss","Flat"))</f>
        <v>Loss</v>
      </c>
      <c r="Z1453" s="24" t="n">
        <f aca="false">Summary!$C$5+SUM(W$2:W1453)</f>
        <v>4114.61</v>
      </c>
      <c r="AA1453" s="24" t="n">
        <f aca="false">MAX(AA1452,Z1453)</f>
        <v>5000</v>
      </c>
      <c r="AB1453" s="24" t="n">
        <f aca="false">AA1453-Z1453</f>
        <v>885.39</v>
      </c>
      <c r="AC1453" s="23" t="n">
        <f aca="false">IFERROR(AB1453/AA1453,0)</f>
        <v>0.177078</v>
      </c>
      <c r="AD1453" s="22" t="s">
        <v>1690</v>
      </c>
    </row>
    <row r="1454" customFormat="false" ht="15" hidden="false" customHeight="false" outlineLevel="0" collapsed="false">
      <c r="A1454" s="22" t="n">
        <v>1453</v>
      </c>
      <c r="B1454" s="22" t="s">
        <v>162</v>
      </c>
      <c r="C1454" s="37" t="n">
        <v>45952.3968171296</v>
      </c>
      <c r="D1454" s="22" t="s">
        <v>204</v>
      </c>
      <c r="E1454" s="22" t="n">
        <v>9</v>
      </c>
      <c r="F1454" s="22" t="s">
        <v>181</v>
      </c>
      <c r="G1454" s="22" t="s">
        <v>235</v>
      </c>
      <c r="H1454" s="22" t="n">
        <v>0.06</v>
      </c>
      <c r="I1454" s="38" t="n">
        <v>4146.75</v>
      </c>
      <c r="J1454" s="38" t="n">
        <v>4146.92</v>
      </c>
      <c r="K1454" s="39" t="n">
        <f aca="false">IF(F1454="BUY",J1454-I1454,I1454-J1454)</f>
        <v>0.170000000000073</v>
      </c>
      <c r="L1454" s="38" t="n">
        <v>4140.75</v>
      </c>
      <c r="M1454" s="39" t="n">
        <f aca="false">ABS(I1454-L1454)</f>
        <v>6</v>
      </c>
      <c r="N1454" s="24" t="n">
        <f aca="false">M1454*H1454*Summary!$C$6</f>
        <v>36</v>
      </c>
      <c r="O1454" s="37" t="n">
        <v>45952.4193287037</v>
      </c>
      <c r="P1454" s="22" t="n">
        <f aca="false">ROUND((O1454-C1454)*86400,0)</f>
        <v>1945</v>
      </c>
      <c r="Q1454" s="22" t="str">
        <f aca="false">IF(P1454&lt;10,"a) &lt;10s",IF(P1454&lt;60,"b) 10-60s",IF(P1454&lt;600,"c) 1-10min","d) &gt;10min")))</f>
        <v>d) &gt;10min</v>
      </c>
      <c r="R1454" s="38" t="n">
        <v>4147.42</v>
      </c>
      <c r="S1454" s="38" t="n">
        <v>4147.3</v>
      </c>
      <c r="T1454" s="22" t="s">
        <v>189</v>
      </c>
      <c r="U1454" s="39" t="n">
        <f aca="false">IF(R1454="","",IF(F1454="BUY",R1454-S1454,S1454-R1454))</f>
        <v>0.119999999999891</v>
      </c>
      <c r="V1454" s="39" t="n">
        <f aca="false">IF(F1454="BUY",S1454-J1454,J1454-S1454)</f>
        <v>0.380000000000109</v>
      </c>
      <c r="W1454" s="6" t="n">
        <v>2.28</v>
      </c>
      <c r="X1454" s="26" t="n">
        <f aca="false">IFERROR(W1454/N1454,0)</f>
        <v>0.0633333333333333</v>
      </c>
      <c r="Y1454" s="22" t="str">
        <f aca="false">IF(W1454&gt;0,"Win",IF(W1454&lt;0,"Loss","Flat"))</f>
        <v>Win</v>
      </c>
      <c r="Z1454" s="24" t="n">
        <f aca="false">Summary!$C$5+SUM(W$2:W1454)</f>
        <v>4116.89</v>
      </c>
      <c r="AA1454" s="24" t="n">
        <f aca="false">MAX(AA1453,Z1454)</f>
        <v>5000</v>
      </c>
      <c r="AB1454" s="24" t="n">
        <f aca="false">AA1454-Z1454</f>
        <v>883.11</v>
      </c>
      <c r="AC1454" s="23" t="n">
        <f aca="false">IFERROR(AB1454/AA1454,0)</f>
        <v>0.176622</v>
      </c>
      <c r="AD1454" s="22" t="s">
        <v>1691</v>
      </c>
    </row>
    <row r="1455" customFormat="false" ht="15" hidden="false" customHeight="false" outlineLevel="0" collapsed="false">
      <c r="A1455" s="22" t="n">
        <v>1454</v>
      </c>
      <c r="B1455" s="22" t="s">
        <v>162</v>
      </c>
      <c r="C1455" s="37" t="n">
        <v>45954.4616087963</v>
      </c>
      <c r="D1455" s="22" t="s">
        <v>206</v>
      </c>
      <c r="E1455" s="22" t="n">
        <v>11</v>
      </c>
      <c r="F1455" s="22" t="s">
        <v>182</v>
      </c>
      <c r="G1455" s="22" t="s">
        <v>237</v>
      </c>
      <c r="H1455" s="22" t="n">
        <v>0.06</v>
      </c>
      <c r="I1455" s="38" t="n">
        <v>4065.41</v>
      </c>
      <c r="J1455" s="38" t="n">
        <v>4065.01</v>
      </c>
      <c r="K1455" s="39" t="n">
        <f aca="false">IF(F1455="BUY",J1455-I1455,I1455-J1455)</f>
        <v>0.399999999999636</v>
      </c>
      <c r="L1455" s="38" t="n">
        <v>4071.41</v>
      </c>
      <c r="M1455" s="39" t="n">
        <f aca="false">ABS(I1455-L1455)</f>
        <v>6</v>
      </c>
      <c r="N1455" s="24" t="n">
        <f aca="false">M1455*H1455*Summary!$C$6</f>
        <v>36</v>
      </c>
      <c r="O1455" s="37" t="n">
        <v>45954.4838773148</v>
      </c>
      <c r="P1455" s="22" t="n">
        <f aca="false">ROUND((O1455-C1455)*86400,0)</f>
        <v>1924</v>
      </c>
      <c r="Q1455" s="22" t="str">
        <f aca="false">IF(P1455&lt;10,"a) &lt;10s",IF(P1455&lt;60,"b) 10-60s",IF(P1455&lt;600,"c) 1-10min","d) &gt;10min")))</f>
        <v>d) &gt;10min</v>
      </c>
      <c r="R1455" s="38" t="n">
        <v>4064.51</v>
      </c>
      <c r="S1455" s="38" t="n">
        <v>4064.75</v>
      </c>
      <c r="T1455" s="22" t="s">
        <v>189</v>
      </c>
      <c r="U1455" s="39" t="n">
        <f aca="false">IF(R1455="","",IF(F1455="BUY",R1455-S1455,S1455-R1455))</f>
        <v>0.239999999999782</v>
      </c>
      <c r="V1455" s="39" t="n">
        <f aca="false">IF(F1455="BUY",S1455-J1455,J1455-S1455)</f>
        <v>0.260000000000218</v>
      </c>
      <c r="W1455" s="6" t="n">
        <v>1.56</v>
      </c>
      <c r="X1455" s="26" t="n">
        <f aca="false">IFERROR(W1455/N1455,0)</f>
        <v>0.0433333333333333</v>
      </c>
      <c r="Y1455" s="22" t="str">
        <f aca="false">IF(W1455&gt;0,"Win",IF(W1455&lt;0,"Loss","Flat"))</f>
        <v>Win</v>
      </c>
      <c r="Z1455" s="24" t="n">
        <f aca="false">Summary!$C$5+SUM(W$2:W1455)</f>
        <v>4118.45</v>
      </c>
      <c r="AA1455" s="24" t="n">
        <f aca="false">MAX(AA1454,Z1455)</f>
        <v>5000</v>
      </c>
      <c r="AB1455" s="24" t="n">
        <f aca="false">AA1455-Z1455</f>
        <v>881.55</v>
      </c>
      <c r="AC1455" s="23" t="n">
        <f aca="false">IFERROR(AB1455/AA1455,0)</f>
        <v>0.17631</v>
      </c>
      <c r="AD1455" s="22" t="s">
        <v>1692</v>
      </c>
    </row>
    <row r="1456" customFormat="false" ht="15" hidden="false" customHeight="false" outlineLevel="0" collapsed="false">
      <c r="A1456" s="22" t="n">
        <v>1455</v>
      </c>
      <c r="B1456" s="22" t="s">
        <v>162</v>
      </c>
      <c r="C1456" s="37" t="n">
        <v>45954.7167592593</v>
      </c>
      <c r="D1456" s="22" t="s">
        <v>206</v>
      </c>
      <c r="E1456" s="22" t="n">
        <v>17</v>
      </c>
      <c r="F1456" s="22" t="s">
        <v>181</v>
      </c>
      <c r="G1456" s="22" t="s">
        <v>235</v>
      </c>
      <c r="H1456" s="22" t="n">
        <v>0.06</v>
      </c>
      <c r="I1456" s="38" t="n">
        <v>4123.05</v>
      </c>
      <c r="J1456" s="38" t="n">
        <v>4123.31</v>
      </c>
      <c r="K1456" s="39" t="n">
        <f aca="false">IF(F1456="BUY",J1456-I1456,I1456-J1456)</f>
        <v>0.260000000000218</v>
      </c>
      <c r="L1456" s="38" t="n">
        <v>4117.05</v>
      </c>
      <c r="M1456" s="39" t="n">
        <f aca="false">ABS(I1456-L1456)</f>
        <v>6</v>
      </c>
      <c r="N1456" s="24" t="n">
        <f aca="false">M1456*H1456*Summary!$C$6</f>
        <v>36</v>
      </c>
      <c r="O1456" s="37" t="n">
        <v>45954.7238194444</v>
      </c>
      <c r="P1456" s="22" t="n">
        <f aca="false">ROUND((O1456-C1456)*86400,0)</f>
        <v>610</v>
      </c>
      <c r="Q1456" s="22" t="str">
        <f aca="false">IF(P1456&lt;10,"a) &lt;10s",IF(P1456&lt;60,"b) 10-60s",IF(P1456&lt;600,"c) 1-10min","d) &gt;10min")))</f>
        <v>d) &gt;10min</v>
      </c>
      <c r="R1456" s="38" t="n">
        <v>4123.81</v>
      </c>
      <c r="S1456" s="38" t="n">
        <v>4123.77</v>
      </c>
      <c r="T1456" s="22" t="s">
        <v>189</v>
      </c>
      <c r="U1456" s="39" t="n">
        <f aca="false">IF(R1456="","",IF(F1456="BUY",R1456-S1456,S1456-R1456))</f>
        <v>0.0399999999999636</v>
      </c>
      <c r="V1456" s="39" t="n">
        <f aca="false">IF(F1456="BUY",S1456-J1456,J1456-S1456)</f>
        <v>0.460000000000036</v>
      </c>
      <c r="W1456" s="6" t="n">
        <v>2.76</v>
      </c>
      <c r="X1456" s="26" t="n">
        <f aca="false">IFERROR(W1456/N1456,0)</f>
        <v>0.0766666666666667</v>
      </c>
      <c r="Y1456" s="22" t="str">
        <f aca="false">IF(W1456&gt;0,"Win",IF(W1456&lt;0,"Loss","Flat"))</f>
        <v>Win</v>
      </c>
      <c r="Z1456" s="24" t="n">
        <f aca="false">Summary!$C$5+SUM(W$2:W1456)</f>
        <v>4121.21</v>
      </c>
      <c r="AA1456" s="24" t="n">
        <f aca="false">MAX(AA1455,Z1456)</f>
        <v>5000</v>
      </c>
      <c r="AB1456" s="24" t="n">
        <f aca="false">AA1456-Z1456</f>
        <v>878.79</v>
      </c>
      <c r="AC1456" s="23" t="n">
        <f aca="false">IFERROR(AB1456/AA1456,0)</f>
        <v>0.175758</v>
      </c>
      <c r="AD1456" s="22" t="s">
        <v>1693</v>
      </c>
    </row>
    <row r="1457" customFormat="false" ht="15" hidden="false" customHeight="false" outlineLevel="0" collapsed="false">
      <c r="A1457" s="22" t="n">
        <v>1456</v>
      </c>
      <c r="B1457" s="22" t="s">
        <v>162</v>
      </c>
      <c r="C1457" s="37" t="n">
        <v>45957.3803356482</v>
      </c>
      <c r="D1457" s="22" t="s">
        <v>202</v>
      </c>
      <c r="E1457" s="22" t="n">
        <v>9</v>
      </c>
      <c r="F1457" s="22" t="s">
        <v>181</v>
      </c>
      <c r="G1457" s="22" t="s">
        <v>235</v>
      </c>
      <c r="H1457" s="22" t="n">
        <v>0.06</v>
      </c>
      <c r="I1457" s="38" t="n">
        <v>4084.3</v>
      </c>
      <c r="J1457" s="38" t="n">
        <v>4084.43</v>
      </c>
      <c r="K1457" s="39" t="n">
        <f aca="false">IF(F1457="BUY",J1457-I1457,I1457-J1457)</f>
        <v>0.129999999999654</v>
      </c>
      <c r="L1457" s="38" t="n">
        <v>4078.3</v>
      </c>
      <c r="M1457" s="39" t="n">
        <f aca="false">ABS(I1457-L1457)</f>
        <v>6</v>
      </c>
      <c r="N1457" s="24" t="n">
        <f aca="false">M1457*H1457*Summary!$C$6</f>
        <v>36</v>
      </c>
      <c r="O1457" s="37" t="n">
        <v>45957.3828009259</v>
      </c>
      <c r="P1457" s="22" t="n">
        <f aca="false">ROUND((O1457-C1457)*86400,0)</f>
        <v>213</v>
      </c>
      <c r="Q1457" s="22" t="str">
        <f aca="false">IF(P1457&lt;10,"a) &lt;10s",IF(P1457&lt;60,"b) 10-60s",IF(P1457&lt;600,"c) 1-10min","d) &gt;10min")))</f>
        <v>c) 1-10min</v>
      </c>
      <c r="R1457" s="38" t="n">
        <v>4078.3</v>
      </c>
      <c r="S1457" s="38" t="n">
        <v>4077.9</v>
      </c>
      <c r="T1457" s="22" t="s">
        <v>188</v>
      </c>
      <c r="U1457" s="39" t="n">
        <f aca="false">IF(R1457="","",IF(F1457="BUY",R1457-S1457,S1457-R1457))</f>
        <v>0.400000000000091</v>
      </c>
      <c r="V1457" s="39" t="n">
        <f aca="false">IF(F1457="BUY",S1457-J1457,J1457-S1457)</f>
        <v>-6.52999999999975</v>
      </c>
      <c r="W1457" s="6" t="n">
        <v>-39.18</v>
      </c>
      <c r="X1457" s="26" t="n">
        <f aca="false">IFERROR(W1457/N1457,0)</f>
        <v>-1.08833333333333</v>
      </c>
      <c r="Y1457" s="22" t="str">
        <f aca="false">IF(W1457&gt;0,"Win",IF(W1457&lt;0,"Loss","Flat"))</f>
        <v>Loss</v>
      </c>
      <c r="Z1457" s="24" t="n">
        <f aca="false">Summary!$C$5+SUM(W$2:W1457)</f>
        <v>4082.03</v>
      </c>
      <c r="AA1457" s="24" t="n">
        <f aca="false">MAX(AA1456,Z1457)</f>
        <v>5000</v>
      </c>
      <c r="AB1457" s="24" t="n">
        <f aca="false">AA1457-Z1457</f>
        <v>917.97</v>
      </c>
      <c r="AC1457" s="23" t="n">
        <f aca="false">IFERROR(AB1457/AA1457,0)</f>
        <v>0.183594</v>
      </c>
      <c r="AD1457" s="22" t="s">
        <v>1694</v>
      </c>
    </row>
    <row r="1458" customFormat="false" ht="15" hidden="false" customHeight="false" outlineLevel="0" collapsed="false">
      <c r="A1458" s="22" t="n">
        <v>1457</v>
      </c>
      <c r="B1458" s="22" t="s">
        <v>162</v>
      </c>
      <c r="C1458" s="37" t="n">
        <v>45957.4953356482</v>
      </c>
      <c r="D1458" s="22" t="s">
        <v>202</v>
      </c>
      <c r="E1458" s="22" t="n">
        <v>11</v>
      </c>
      <c r="F1458" s="22" t="s">
        <v>182</v>
      </c>
      <c r="G1458" s="22" t="s">
        <v>237</v>
      </c>
      <c r="H1458" s="22" t="n">
        <v>0.06</v>
      </c>
      <c r="I1458" s="38" t="n">
        <v>4043.62</v>
      </c>
      <c r="J1458" s="38" t="n">
        <v>4039.82</v>
      </c>
      <c r="K1458" s="39" t="n">
        <f aca="false">IF(F1458="BUY",J1458-I1458,I1458-J1458)</f>
        <v>3.79999999999973</v>
      </c>
      <c r="L1458" s="38" t="n">
        <v>4049.62</v>
      </c>
      <c r="M1458" s="39" t="n">
        <f aca="false">ABS(I1458-L1458)</f>
        <v>6</v>
      </c>
      <c r="N1458" s="24" t="n">
        <f aca="false">M1458*H1458*Summary!$C$6</f>
        <v>36</v>
      </c>
      <c r="O1458" s="37" t="n">
        <v>45957.4991435185</v>
      </c>
      <c r="P1458" s="22" t="n">
        <f aca="false">ROUND((O1458-C1458)*86400,0)</f>
        <v>329</v>
      </c>
      <c r="Q1458" s="22" t="str">
        <f aca="false">IF(P1458&lt;10,"a) &lt;10s",IF(P1458&lt;60,"b) 10-60s",IF(P1458&lt;600,"c) 1-10min","d) &gt;10min")))</f>
        <v>c) 1-10min</v>
      </c>
      <c r="R1458" s="38" t="n">
        <v>4039.32</v>
      </c>
      <c r="S1458" s="38" t="n">
        <v>4039.32</v>
      </c>
      <c r="T1458" s="22" t="s">
        <v>189</v>
      </c>
      <c r="U1458" s="39" t="n">
        <f aca="false">IF(R1458="","",IF(F1458="BUY",R1458-S1458,S1458-R1458))</f>
        <v>0</v>
      </c>
      <c r="V1458" s="39" t="n">
        <f aca="false">IF(F1458="BUY",S1458-J1458,J1458-S1458)</f>
        <v>0.5</v>
      </c>
      <c r="W1458" s="6" t="n">
        <v>3</v>
      </c>
      <c r="X1458" s="26" t="n">
        <f aca="false">IFERROR(W1458/N1458,0)</f>
        <v>0.0833333333333333</v>
      </c>
      <c r="Y1458" s="22" t="str">
        <f aca="false">IF(W1458&gt;0,"Win",IF(W1458&lt;0,"Loss","Flat"))</f>
        <v>Win</v>
      </c>
      <c r="Z1458" s="24" t="n">
        <f aca="false">Summary!$C$5+SUM(W$2:W1458)</f>
        <v>4085.03</v>
      </c>
      <c r="AA1458" s="24" t="n">
        <f aca="false">MAX(AA1457,Z1458)</f>
        <v>5000</v>
      </c>
      <c r="AB1458" s="24" t="n">
        <f aca="false">AA1458-Z1458</f>
        <v>914.97</v>
      </c>
      <c r="AC1458" s="23" t="n">
        <f aca="false">IFERROR(AB1458/AA1458,0)</f>
        <v>0.182994</v>
      </c>
      <c r="AD1458" s="22" t="s">
        <v>1695</v>
      </c>
    </row>
    <row r="1459" customFormat="false" ht="15" hidden="false" customHeight="false" outlineLevel="0" collapsed="false">
      <c r="A1459" s="22" t="n">
        <v>1458</v>
      </c>
      <c r="B1459" s="22" t="s">
        <v>162</v>
      </c>
      <c r="C1459" s="37" t="n">
        <v>45958.309849537</v>
      </c>
      <c r="D1459" s="22" t="s">
        <v>203</v>
      </c>
      <c r="E1459" s="22" t="n">
        <v>7</v>
      </c>
      <c r="F1459" s="22" t="s">
        <v>182</v>
      </c>
      <c r="G1459" s="22" t="s">
        <v>237</v>
      </c>
      <c r="H1459" s="22" t="n">
        <v>0.06</v>
      </c>
      <c r="I1459" s="38" t="n">
        <v>3971.07</v>
      </c>
      <c r="J1459" s="38" t="n">
        <v>3970.85</v>
      </c>
      <c r="K1459" s="39" t="n">
        <f aca="false">IF(F1459="BUY",J1459-I1459,I1459-J1459)</f>
        <v>0.220000000000255</v>
      </c>
      <c r="L1459" s="38" t="n">
        <v>3977.07</v>
      </c>
      <c r="M1459" s="39" t="n">
        <f aca="false">ABS(I1459-L1459)</f>
        <v>6</v>
      </c>
      <c r="N1459" s="24" t="n">
        <f aca="false">M1459*H1459*Summary!$C$6</f>
        <v>36</v>
      </c>
      <c r="O1459" s="37" t="n">
        <v>45958.3104861111</v>
      </c>
      <c r="P1459" s="22" t="n">
        <f aca="false">ROUND((O1459-C1459)*86400,0)</f>
        <v>55</v>
      </c>
      <c r="Q1459" s="22" t="str">
        <f aca="false">IF(P1459&lt;10,"a) &lt;10s",IF(P1459&lt;60,"b) 10-60s",IF(P1459&lt;600,"c) 1-10min","d) &gt;10min")))</f>
        <v>b) 10-60s</v>
      </c>
      <c r="R1459" s="38" t="n">
        <v>3970.35</v>
      </c>
      <c r="S1459" s="38" t="n">
        <v>3970.36</v>
      </c>
      <c r="T1459" s="22" t="s">
        <v>189</v>
      </c>
      <c r="U1459" s="39" t="n">
        <f aca="false">IF(R1459="","",IF(F1459="BUY",R1459-S1459,S1459-R1459))</f>
        <v>0.0100000000002183</v>
      </c>
      <c r="V1459" s="39" t="n">
        <f aca="false">IF(F1459="BUY",S1459-J1459,J1459-S1459)</f>
        <v>0.489999999999782</v>
      </c>
      <c r="W1459" s="6" t="n">
        <v>2.94</v>
      </c>
      <c r="X1459" s="26" t="n">
        <f aca="false">IFERROR(W1459/N1459,0)</f>
        <v>0.0816666666666667</v>
      </c>
      <c r="Y1459" s="22" t="str">
        <f aca="false">IF(W1459&gt;0,"Win",IF(W1459&lt;0,"Loss","Flat"))</f>
        <v>Win</v>
      </c>
      <c r="Z1459" s="24" t="n">
        <f aca="false">Summary!$C$5+SUM(W$2:W1459)</f>
        <v>4087.97</v>
      </c>
      <c r="AA1459" s="24" t="n">
        <f aca="false">MAX(AA1458,Z1459)</f>
        <v>5000</v>
      </c>
      <c r="AB1459" s="24" t="n">
        <f aca="false">AA1459-Z1459</f>
        <v>912.03</v>
      </c>
      <c r="AC1459" s="23" t="n">
        <f aca="false">IFERROR(AB1459/AA1459,0)</f>
        <v>0.182406</v>
      </c>
      <c r="AD1459" s="22" t="s">
        <v>1696</v>
      </c>
    </row>
    <row r="1460" customFormat="false" ht="15" hidden="false" customHeight="false" outlineLevel="0" collapsed="false">
      <c r="A1460" s="22" t="n">
        <v>1459</v>
      </c>
      <c r="B1460" s="22" t="s">
        <v>162</v>
      </c>
      <c r="C1460" s="37" t="n">
        <v>45958.3781018519</v>
      </c>
      <c r="D1460" s="22" t="s">
        <v>203</v>
      </c>
      <c r="E1460" s="22" t="n">
        <v>9</v>
      </c>
      <c r="F1460" s="22" t="s">
        <v>182</v>
      </c>
      <c r="G1460" s="22" t="s">
        <v>241</v>
      </c>
      <c r="H1460" s="22" t="n">
        <v>0.06</v>
      </c>
      <c r="I1460" s="38" t="n">
        <v>3958.9</v>
      </c>
      <c r="J1460" s="38" t="n">
        <v>3958.5</v>
      </c>
      <c r="K1460" s="39" t="n">
        <f aca="false">IF(F1460="BUY",J1460-I1460,I1460-J1460)</f>
        <v>0.400000000000091</v>
      </c>
      <c r="L1460" s="38" t="n">
        <v>3964.9</v>
      </c>
      <c r="M1460" s="39" t="n">
        <f aca="false">ABS(I1460-L1460)</f>
        <v>6</v>
      </c>
      <c r="N1460" s="24" t="n">
        <f aca="false">M1460*H1460*Summary!$C$6</f>
        <v>36</v>
      </c>
      <c r="O1460" s="37" t="n">
        <v>45958.3801041667</v>
      </c>
      <c r="P1460" s="22" t="n">
        <f aca="false">ROUND((O1460-C1460)*86400,0)</f>
        <v>173</v>
      </c>
      <c r="Q1460" s="22" t="str">
        <f aca="false">IF(P1460&lt;10,"a) &lt;10s",IF(P1460&lt;60,"b) 10-60s",IF(P1460&lt;600,"c) 1-10min","d) &gt;10min")))</f>
        <v>c) 1-10min</v>
      </c>
      <c r="R1460" s="38" t="n">
        <v>3958</v>
      </c>
      <c r="S1460" s="38" t="n">
        <v>3958.11</v>
      </c>
      <c r="T1460" s="22" t="s">
        <v>189</v>
      </c>
      <c r="U1460" s="39" t="n">
        <f aca="false">IF(R1460="","",IF(F1460="BUY",R1460-S1460,S1460-R1460))</f>
        <v>0.110000000000127</v>
      </c>
      <c r="V1460" s="39" t="n">
        <f aca="false">IF(F1460="BUY",S1460-J1460,J1460-S1460)</f>
        <v>0.389999999999873</v>
      </c>
      <c r="W1460" s="6" t="n">
        <v>2.34</v>
      </c>
      <c r="X1460" s="26" t="n">
        <f aca="false">IFERROR(W1460/N1460,0)</f>
        <v>0.065</v>
      </c>
      <c r="Y1460" s="22" t="str">
        <f aca="false">IF(W1460&gt;0,"Win",IF(W1460&lt;0,"Loss","Flat"))</f>
        <v>Win</v>
      </c>
      <c r="Z1460" s="24" t="n">
        <f aca="false">Summary!$C$5+SUM(W$2:W1460)</f>
        <v>4090.31</v>
      </c>
      <c r="AA1460" s="24" t="n">
        <f aca="false">MAX(AA1459,Z1460)</f>
        <v>5000</v>
      </c>
      <c r="AB1460" s="24" t="n">
        <f aca="false">AA1460-Z1460</f>
        <v>909.69</v>
      </c>
      <c r="AC1460" s="23" t="n">
        <f aca="false">IFERROR(AB1460/AA1460,0)</f>
        <v>0.181938</v>
      </c>
      <c r="AD1460" s="22" t="s">
        <v>1697</v>
      </c>
    </row>
    <row r="1461" customFormat="false" ht="15" hidden="false" customHeight="false" outlineLevel="0" collapsed="false">
      <c r="A1461" s="22" t="n">
        <v>1460</v>
      </c>
      <c r="B1461" s="22" t="s">
        <v>162</v>
      </c>
      <c r="C1461" s="37" t="n">
        <v>45959.3779050926</v>
      </c>
      <c r="D1461" s="22" t="s">
        <v>204</v>
      </c>
      <c r="E1461" s="22" t="n">
        <v>9</v>
      </c>
      <c r="F1461" s="22" t="s">
        <v>181</v>
      </c>
      <c r="G1461" s="22" t="s">
        <v>235</v>
      </c>
      <c r="H1461" s="22" t="n">
        <v>0.06</v>
      </c>
      <c r="I1461" s="38" t="n">
        <v>3966.07</v>
      </c>
      <c r="J1461" s="38" t="n">
        <v>3966.08</v>
      </c>
      <c r="K1461" s="39" t="n">
        <f aca="false">IF(F1461="BUY",J1461-I1461,I1461-J1461)</f>
        <v>0.00999999999976353</v>
      </c>
      <c r="L1461" s="38" t="n">
        <v>3960.07</v>
      </c>
      <c r="M1461" s="39" t="n">
        <f aca="false">ABS(I1461-L1461)</f>
        <v>6</v>
      </c>
      <c r="N1461" s="24" t="n">
        <f aca="false">M1461*H1461*Summary!$C$6</f>
        <v>36</v>
      </c>
      <c r="O1461" s="37" t="n">
        <v>45959.3834606482</v>
      </c>
      <c r="P1461" s="22" t="n">
        <f aca="false">ROUND((O1461-C1461)*86400,0)</f>
        <v>480</v>
      </c>
      <c r="Q1461" s="22" t="str">
        <f aca="false">IF(P1461&lt;10,"a) &lt;10s",IF(P1461&lt;60,"b) 10-60s",IF(P1461&lt;600,"c) 1-10min","d) &gt;10min")))</f>
        <v>c) 1-10min</v>
      </c>
      <c r="R1461" s="38" t="n">
        <v>3966.58</v>
      </c>
      <c r="S1461" s="38" t="n">
        <v>3966.56</v>
      </c>
      <c r="T1461" s="22" t="s">
        <v>189</v>
      </c>
      <c r="U1461" s="39" t="n">
        <f aca="false">IF(R1461="","",IF(F1461="BUY",R1461-S1461,S1461-R1461))</f>
        <v>0.0199999999999818</v>
      </c>
      <c r="V1461" s="39" t="n">
        <f aca="false">IF(F1461="BUY",S1461-J1461,J1461-S1461)</f>
        <v>0.480000000000018</v>
      </c>
      <c r="W1461" s="6" t="n">
        <v>2.88</v>
      </c>
      <c r="X1461" s="26" t="n">
        <f aca="false">IFERROR(W1461/N1461,0)</f>
        <v>0.08</v>
      </c>
      <c r="Y1461" s="22" t="str">
        <f aca="false">IF(W1461&gt;0,"Win",IF(W1461&lt;0,"Loss","Flat"))</f>
        <v>Win</v>
      </c>
      <c r="Z1461" s="24" t="n">
        <f aca="false">Summary!$C$5+SUM(W$2:W1461)</f>
        <v>4093.19</v>
      </c>
      <c r="AA1461" s="24" t="n">
        <f aca="false">MAX(AA1460,Z1461)</f>
        <v>5000</v>
      </c>
      <c r="AB1461" s="24" t="n">
        <f aca="false">AA1461-Z1461</f>
        <v>906.81</v>
      </c>
      <c r="AC1461" s="23" t="n">
        <f aca="false">IFERROR(AB1461/AA1461,0)</f>
        <v>0.181362</v>
      </c>
      <c r="AD1461" s="22" t="s">
        <v>1698</v>
      </c>
    </row>
    <row r="1462" customFormat="false" ht="15" hidden="false" customHeight="false" outlineLevel="0" collapsed="false">
      <c r="A1462" s="22" t="n">
        <v>1461</v>
      </c>
      <c r="B1462" s="22" t="s">
        <v>162</v>
      </c>
      <c r="C1462" s="37" t="n">
        <v>45959.5018171296</v>
      </c>
      <c r="D1462" s="22" t="s">
        <v>204</v>
      </c>
      <c r="E1462" s="22" t="n">
        <v>12</v>
      </c>
      <c r="F1462" s="22" t="s">
        <v>181</v>
      </c>
      <c r="G1462" s="22" t="s">
        <v>243</v>
      </c>
      <c r="H1462" s="22" t="n">
        <v>0.06</v>
      </c>
      <c r="I1462" s="38" t="n">
        <v>4019.41</v>
      </c>
      <c r="J1462" s="38" t="n">
        <v>4019.54</v>
      </c>
      <c r="K1462" s="39" t="n">
        <f aca="false">IF(F1462="BUY",J1462-I1462,I1462-J1462)</f>
        <v>0.130000000000109</v>
      </c>
      <c r="L1462" s="38" t="n">
        <v>4013.41</v>
      </c>
      <c r="M1462" s="39" t="n">
        <f aca="false">ABS(I1462-L1462)</f>
        <v>6</v>
      </c>
      <c r="N1462" s="24" t="n">
        <f aca="false">M1462*H1462*Summary!$C$6</f>
        <v>36</v>
      </c>
      <c r="O1462" s="37" t="n">
        <v>45959.5114351852</v>
      </c>
      <c r="P1462" s="22" t="n">
        <f aca="false">ROUND((O1462-C1462)*86400,0)</f>
        <v>831</v>
      </c>
      <c r="Q1462" s="22" t="str">
        <f aca="false">IF(P1462&lt;10,"a) &lt;10s",IF(P1462&lt;60,"b) 10-60s",IF(P1462&lt;600,"c) 1-10min","d) &gt;10min")))</f>
        <v>d) &gt;10min</v>
      </c>
      <c r="R1462" s="38" t="n">
        <v>4013.41</v>
      </c>
      <c r="S1462" s="38" t="n">
        <v>4013.38</v>
      </c>
      <c r="T1462" s="22" t="s">
        <v>188</v>
      </c>
      <c r="U1462" s="39" t="n">
        <f aca="false">IF(R1462="","",IF(F1462="BUY",R1462-S1462,S1462-R1462))</f>
        <v>0.0299999999997453</v>
      </c>
      <c r="V1462" s="39" t="n">
        <f aca="false">IF(F1462="BUY",S1462-J1462,J1462-S1462)</f>
        <v>-6.15999999999985</v>
      </c>
      <c r="W1462" s="6" t="n">
        <v>-36.96</v>
      </c>
      <c r="X1462" s="26" t="n">
        <f aca="false">IFERROR(W1462/N1462,0)</f>
        <v>-1.02666666666667</v>
      </c>
      <c r="Y1462" s="22" t="str">
        <f aca="false">IF(W1462&gt;0,"Win",IF(W1462&lt;0,"Loss","Flat"))</f>
        <v>Loss</v>
      </c>
      <c r="Z1462" s="24" t="n">
        <f aca="false">Summary!$C$5+SUM(W$2:W1462)</f>
        <v>4056.23</v>
      </c>
      <c r="AA1462" s="24" t="n">
        <f aca="false">MAX(AA1461,Z1462)</f>
        <v>5000</v>
      </c>
      <c r="AB1462" s="24" t="n">
        <f aca="false">AA1462-Z1462</f>
        <v>943.77</v>
      </c>
      <c r="AC1462" s="23" t="n">
        <f aca="false">IFERROR(AB1462/AA1462,0)</f>
        <v>0.188754</v>
      </c>
      <c r="AD1462" s="22" t="s">
        <v>1699</v>
      </c>
    </row>
    <row r="1463" customFormat="false" ht="15" hidden="false" customHeight="false" outlineLevel="0" collapsed="false">
      <c r="A1463" s="22" t="n">
        <v>1462</v>
      </c>
      <c r="B1463" s="22" t="s">
        <v>162</v>
      </c>
      <c r="C1463" s="37" t="n">
        <v>45960.5007175926</v>
      </c>
      <c r="D1463" s="22" t="s">
        <v>205</v>
      </c>
      <c r="E1463" s="22" t="n">
        <v>12</v>
      </c>
      <c r="F1463" s="22" t="s">
        <v>181</v>
      </c>
      <c r="G1463" s="22" t="s">
        <v>235</v>
      </c>
      <c r="H1463" s="22" t="n">
        <v>0.06</v>
      </c>
      <c r="I1463" s="38" t="n">
        <v>3982.3</v>
      </c>
      <c r="J1463" s="38" t="n">
        <v>3982.39</v>
      </c>
      <c r="K1463" s="39" t="n">
        <f aca="false">IF(F1463="BUY",J1463-I1463,I1463-J1463)</f>
        <v>0.0899999999996908</v>
      </c>
      <c r="L1463" s="38" t="n">
        <v>3976.3</v>
      </c>
      <c r="M1463" s="39" t="n">
        <f aca="false">ABS(I1463-L1463)</f>
        <v>6</v>
      </c>
      <c r="N1463" s="24" t="n">
        <f aca="false">M1463*H1463*Summary!$C$6</f>
        <v>36</v>
      </c>
      <c r="O1463" s="37" t="n">
        <v>45960.5011574074</v>
      </c>
      <c r="P1463" s="22" t="n">
        <f aca="false">ROUND((O1463-C1463)*86400,0)</f>
        <v>38</v>
      </c>
      <c r="Q1463" s="22" t="str">
        <f aca="false">IF(P1463&lt;10,"a) &lt;10s",IF(P1463&lt;60,"b) 10-60s",IF(P1463&lt;600,"c) 1-10min","d) &gt;10min")))</f>
        <v>b) 10-60s</v>
      </c>
      <c r="R1463" s="38" t="n">
        <v>3982.89</v>
      </c>
      <c r="S1463" s="38" t="n">
        <v>3982.76</v>
      </c>
      <c r="T1463" s="22" t="s">
        <v>189</v>
      </c>
      <c r="U1463" s="39" t="n">
        <f aca="false">IF(R1463="","",IF(F1463="BUY",R1463-S1463,S1463-R1463))</f>
        <v>0.129999999999654</v>
      </c>
      <c r="V1463" s="39" t="n">
        <f aca="false">IF(F1463="BUY",S1463-J1463,J1463-S1463)</f>
        <v>0.370000000000346</v>
      </c>
      <c r="W1463" s="6" t="n">
        <v>2.22</v>
      </c>
      <c r="X1463" s="26" t="n">
        <f aca="false">IFERROR(W1463/N1463,0)</f>
        <v>0.0616666666666667</v>
      </c>
      <c r="Y1463" s="22" t="str">
        <f aca="false">IF(W1463&gt;0,"Win",IF(W1463&lt;0,"Loss","Flat"))</f>
        <v>Win</v>
      </c>
      <c r="Z1463" s="24" t="n">
        <f aca="false">Summary!$C$5+SUM(W$2:W1463)</f>
        <v>4058.45</v>
      </c>
      <c r="AA1463" s="24" t="n">
        <f aca="false">MAX(AA1462,Z1463)</f>
        <v>5000</v>
      </c>
      <c r="AB1463" s="24" t="n">
        <f aca="false">AA1463-Z1463</f>
        <v>941.55</v>
      </c>
      <c r="AC1463" s="23" t="n">
        <f aca="false">IFERROR(AB1463/AA1463,0)</f>
        <v>0.18831</v>
      </c>
      <c r="AD1463" s="22" t="s">
        <v>1700</v>
      </c>
    </row>
    <row r="1464" customFormat="false" ht="15" hidden="false" customHeight="false" outlineLevel="0" collapsed="false">
      <c r="A1464" s="22" t="n">
        <v>1463</v>
      </c>
      <c r="B1464" s="22" t="s">
        <v>162</v>
      </c>
      <c r="C1464" s="37" t="n">
        <v>45961.0650578704</v>
      </c>
      <c r="D1464" s="22" t="s">
        <v>206</v>
      </c>
      <c r="E1464" s="22" t="n">
        <v>1</v>
      </c>
      <c r="F1464" s="22" t="s">
        <v>181</v>
      </c>
      <c r="G1464" s="22" t="s">
        <v>243</v>
      </c>
      <c r="H1464" s="22" t="n">
        <v>0.06</v>
      </c>
      <c r="I1464" s="38" t="n">
        <v>4026.95</v>
      </c>
      <c r="J1464" s="38" t="n">
        <v>4027.46</v>
      </c>
      <c r="K1464" s="39" t="n">
        <f aca="false">IF(F1464="BUY",J1464-I1464,I1464-J1464)</f>
        <v>0.510000000000218</v>
      </c>
      <c r="L1464" s="38" t="n">
        <v>4020.95</v>
      </c>
      <c r="M1464" s="39" t="n">
        <f aca="false">ABS(I1464-L1464)</f>
        <v>6</v>
      </c>
      <c r="N1464" s="24" t="n">
        <f aca="false">M1464*H1464*Summary!$C$6</f>
        <v>36</v>
      </c>
      <c r="O1464" s="37" t="n">
        <v>45961.0917476852</v>
      </c>
      <c r="P1464" s="22" t="n">
        <f aca="false">ROUND((O1464-C1464)*86400,0)</f>
        <v>2306</v>
      </c>
      <c r="Q1464" s="22" t="str">
        <f aca="false">IF(P1464&lt;10,"a) &lt;10s",IF(P1464&lt;60,"b) 10-60s",IF(P1464&lt;600,"c) 1-10min","d) &gt;10min")))</f>
        <v>d) &gt;10min</v>
      </c>
      <c r="R1464" s="38" t="n">
        <v>4027.96</v>
      </c>
      <c r="S1464" s="38" t="n">
        <v>4027.73</v>
      </c>
      <c r="T1464" s="22" t="s">
        <v>189</v>
      </c>
      <c r="U1464" s="39" t="n">
        <f aca="false">IF(R1464="","",IF(F1464="BUY",R1464-S1464,S1464-R1464))</f>
        <v>0.230000000000018</v>
      </c>
      <c r="V1464" s="39" t="n">
        <f aca="false">IF(F1464="BUY",S1464-J1464,J1464-S1464)</f>
        <v>0.269999999999982</v>
      </c>
      <c r="W1464" s="6" t="n">
        <v>1.62</v>
      </c>
      <c r="X1464" s="26" t="n">
        <f aca="false">IFERROR(W1464/N1464,0)</f>
        <v>0.045</v>
      </c>
      <c r="Y1464" s="22" t="str">
        <f aca="false">IF(W1464&gt;0,"Win",IF(W1464&lt;0,"Loss","Flat"))</f>
        <v>Win</v>
      </c>
      <c r="Z1464" s="24" t="n">
        <f aca="false">Summary!$C$5+SUM(W$2:W1464)</f>
        <v>4060.07</v>
      </c>
      <c r="AA1464" s="24" t="n">
        <f aca="false">MAX(AA1463,Z1464)</f>
        <v>5000</v>
      </c>
      <c r="AB1464" s="24" t="n">
        <f aca="false">AA1464-Z1464</f>
        <v>939.93</v>
      </c>
      <c r="AC1464" s="23" t="n">
        <f aca="false">IFERROR(AB1464/AA1464,0)</f>
        <v>0.187986</v>
      </c>
      <c r="AD1464" s="22" t="s">
        <v>1701</v>
      </c>
    </row>
    <row r="1465" customFormat="false" ht="15" hidden="false" customHeight="false" outlineLevel="0" collapsed="false">
      <c r="A1465" s="22" t="n">
        <v>1464</v>
      </c>
      <c r="B1465" s="22" t="s">
        <v>162</v>
      </c>
      <c r="C1465" s="37" t="n">
        <v>45961.3790046296</v>
      </c>
      <c r="D1465" s="22" t="s">
        <v>206</v>
      </c>
      <c r="E1465" s="22" t="n">
        <v>9</v>
      </c>
      <c r="F1465" s="22" t="s">
        <v>181</v>
      </c>
      <c r="G1465" s="22" t="s">
        <v>235</v>
      </c>
      <c r="H1465" s="22" t="n">
        <v>0.06</v>
      </c>
      <c r="I1465" s="38" t="n">
        <v>4010.97</v>
      </c>
      <c r="J1465" s="38" t="n">
        <v>4011.27</v>
      </c>
      <c r="K1465" s="39" t="n">
        <f aca="false">IF(F1465="BUY",J1465-I1465,I1465-J1465)</f>
        <v>0.300000000000182</v>
      </c>
      <c r="L1465" s="38" t="n">
        <v>4004.97</v>
      </c>
      <c r="M1465" s="39" t="n">
        <f aca="false">ABS(I1465-L1465)</f>
        <v>6</v>
      </c>
      <c r="N1465" s="24" t="n">
        <f aca="false">M1465*H1465*Summary!$C$6</f>
        <v>36</v>
      </c>
      <c r="O1465" s="37" t="n">
        <v>45961.3884027778</v>
      </c>
      <c r="P1465" s="22" t="n">
        <f aca="false">ROUND((O1465-C1465)*86400,0)</f>
        <v>812</v>
      </c>
      <c r="Q1465" s="22" t="str">
        <f aca="false">IF(P1465&lt;10,"a) &lt;10s",IF(P1465&lt;60,"b) 10-60s",IF(P1465&lt;600,"c) 1-10min","d) &gt;10min")))</f>
        <v>d) &gt;10min</v>
      </c>
      <c r="R1465" s="38" t="n">
        <v>4011.77</v>
      </c>
      <c r="S1465" s="38" t="n">
        <v>4011.63</v>
      </c>
      <c r="T1465" s="22" t="s">
        <v>189</v>
      </c>
      <c r="U1465" s="39" t="n">
        <f aca="false">IF(R1465="","",IF(F1465="BUY",R1465-S1465,S1465-R1465))</f>
        <v>0.139999999999873</v>
      </c>
      <c r="V1465" s="39" t="n">
        <f aca="false">IF(F1465="BUY",S1465-J1465,J1465-S1465)</f>
        <v>0.360000000000127</v>
      </c>
      <c r="W1465" s="6" t="n">
        <v>2.16</v>
      </c>
      <c r="X1465" s="26" t="n">
        <f aca="false">IFERROR(W1465/N1465,0)</f>
        <v>0.06</v>
      </c>
      <c r="Y1465" s="22" t="str">
        <f aca="false">IF(W1465&gt;0,"Win",IF(W1465&lt;0,"Loss","Flat"))</f>
        <v>Win</v>
      </c>
      <c r="Z1465" s="24" t="n">
        <f aca="false">Summary!$C$5+SUM(W$2:W1465)</f>
        <v>4062.23</v>
      </c>
      <c r="AA1465" s="24" t="n">
        <f aca="false">MAX(AA1464,Z1465)</f>
        <v>5000</v>
      </c>
      <c r="AB1465" s="24" t="n">
        <f aca="false">AA1465-Z1465</f>
        <v>937.77</v>
      </c>
      <c r="AC1465" s="23" t="n">
        <f aca="false">IFERROR(AB1465/AA1465,0)</f>
        <v>0.187554</v>
      </c>
      <c r="AD1465" s="22" t="s">
        <v>1702</v>
      </c>
    </row>
    <row r="1466" customFormat="false" ht="15" hidden="false" customHeight="false" outlineLevel="0" collapsed="false">
      <c r="A1466" s="22" t="n">
        <v>1465</v>
      </c>
      <c r="B1466" s="22" t="s">
        <v>163</v>
      </c>
      <c r="C1466" s="37" t="n">
        <v>45964.0931712963</v>
      </c>
      <c r="D1466" s="22" t="s">
        <v>202</v>
      </c>
      <c r="E1466" s="22" t="n">
        <v>2</v>
      </c>
      <c r="F1466" s="22" t="s">
        <v>182</v>
      </c>
      <c r="G1466" s="22" t="s">
        <v>237</v>
      </c>
      <c r="H1466" s="22" t="n">
        <v>0.06</v>
      </c>
      <c r="I1466" s="38" t="n">
        <v>3971.97</v>
      </c>
      <c r="J1466" s="38" t="n">
        <v>3970.81</v>
      </c>
      <c r="K1466" s="39" t="n">
        <f aca="false">IF(F1466="BUY",J1466-I1466,I1466-J1466)</f>
        <v>1.15999999999985</v>
      </c>
      <c r="L1466" s="38" t="n">
        <v>3977.97</v>
      </c>
      <c r="M1466" s="39" t="n">
        <f aca="false">ABS(I1466-L1466)</f>
        <v>6</v>
      </c>
      <c r="N1466" s="24" t="n">
        <f aca="false">M1466*H1466*Summary!$C$6</f>
        <v>36</v>
      </c>
      <c r="O1466" s="37" t="n">
        <v>45964.0945833333</v>
      </c>
      <c r="P1466" s="22" t="n">
        <f aca="false">ROUND((O1466-C1466)*86400,0)</f>
        <v>122</v>
      </c>
      <c r="Q1466" s="22" t="str">
        <f aca="false">IF(P1466&lt;10,"a) &lt;10s",IF(P1466&lt;60,"b) 10-60s",IF(P1466&lt;600,"c) 1-10min","d) &gt;10min")))</f>
        <v>c) 1-10min</v>
      </c>
      <c r="R1466" s="38" t="n">
        <v>3970.31</v>
      </c>
      <c r="S1466" s="38" t="n">
        <v>3970.48</v>
      </c>
      <c r="T1466" s="22" t="s">
        <v>189</v>
      </c>
      <c r="U1466" s="39" t="n">
        <f aca="false">IF(R1466="","",IF(F1466="BUY",R1466-S1466,S1466-R1466))</f>
        <v>0.170000000000073</v>
      </c>
      <c r="V1466" s="39" t="n">
        <f aca="false">IF(F1466="BUY",S1466-J1466,J1466-S1466)</f>
        <v>0.329999999999927</v>
      </c>
      <c r="W1466" s="6" t="n">
        <v>1.98</v>
      </c>
      <c r="X1466" s="26" t="n">
        <f aca="false">IFERROR(W1466/N1466,0)</f>
        <v>0.055</v>
      </c>
      <c r="Y1466" s="22" t="str">
        <f aca="false">IF(W1466&gt;0,"Win",IF(W1466&lt;0,"Loss","Flat"))</f>
        <v>Win</v>
      </c>
      <c r="Z1466" s="24" t="n">
        <f aca="false">Summary!$C$5+SUM(W$2:W1466)</f>
        <v>4064.21</v>
      </c>
      <c r="AA1466" s="24" t="n">
        <f aca="false">MAX(AA1465,Z1466)</f>
        <v>5000</v>
      </c>
      <c r="AB1466" s="24" t="n">
        <f aca="false">AA1466-Z1466</f>
        <v>935.79</v>
      </c>
      <c r="AC1466" s="23" t="n">
        <f aca="false">IFERROR(AB1466/AA1466,0)</f>
        <v>0.187158</v>
      </c>
      <c r="AD1466" s="22" t="s">
        <v>1703</v>
      </c>
    </row>
    <row r="1467" customFormat="false" ht="15" hidden="false" customHeight="false" outlineLevel="0" collapsed="false">
      <c r="A1467" s="22" t="n">
        <v>1466</v>
      </c>
      <c r="B1467" s="22" t="s">
        <v>163</v>
      </c>
      <c r="C1467" s="37" t="n">
        <v>45964.3757291667</v>
      </c>
      <c r="D1467" s="22" t="s">
        <v>202</v>
      </c>
      <c r="E1467" s="22" t="n">
        <v>9</v>
      </c>
      <c r="F1467" s="22" t="s">
        <v>181</v>
      </c>
      <c r="G1467" s="22" t="s">
        <v>235</v>
      </c>
      <c r="H1467" s="22" t="n">
        <v>0.06</v>
      </c>
      <c r="I1467" s="38" t="n">
        <v>4018.34</v>
      </c>
      <c r="J1467" s="38" t="n">
        <v>4018.53</v>
      </c>
      <c r="K1467" s="39" t="n">
        <f aca="false">IF(F1467="BUY",J1467-I1467,I1467-J1467)</f>
        <v>0.190000000000055</v>
      </c>
      <c r="L1467" s="38" t="n">
        <v>4012.34</v>
      </c>
      <c r="M1467" s="39" t="n">
        <f aca="false">ABS(I1467-L1467)</f>
        <v>6</v>
      </c>
      <c r="N1467" s="24" t="n">
        <f aca="false">M1467*H1467*Summary!$C$6</f>
        <v>36</v>
      </c>
      <c r="O1467" s="37" t="n">
        <v>45964.3761921296</v>
      </c>
      <c r="P1467" s="22" t="n">
        <f aca="false">ROUND((O1467-C1467)*86400,0)</f>
        <v>40</v>
      </c>
      <c r="Q1467" s="22" t="str">
        <f aca="false">IF(P1467&lt;10,"a) &lt;10s",IF(P1467&lt;60,"b) 10-60s",IF(P1467&lt;600,"c) 1-10min","d) &gt;10min")))</f>
        <v>b) 10-60s</v>
      </c>
      <c r="R1467" s="38" t="n">
        <v>4019.03</v>
      </c>
      <c r="S1467" s="38" t="n">
        <v>4019.03</v>
      </c>
      <c r="T1467" s="22" t="s">
        <v>189</v>
      </c>
      <c r="U1467" s="39" t="n">
        <f aca="false">IF(R1467="","",IF(F1467="BUY",R1467-S1467,S1467-R1467))</f>
        <v>0</v>
      </c>
      <c r="V1467" s="39" t="n">
        <f aca="false">IF(F1467="BUY",S1467-J1467,J1467-S1467)</f>
        <v>0.5</v>
      </c>
      <c r="W1467" s="6" t="n">
        <v>3</v>
      </c>
      <c r="X1467" s="26" t="n">
        <f aca="false">IFERROR(W1467/N1467,0)</f>
        <v>0.0833333333333333</v>
      </c>
      <c r="Y1467" s="22" t="str">
        <f aca="false">IF(W1467&gt;0,"Win",IF(W1467&lt;0,"Loss","Flat"))</f>
        <v>Win</v>
      </c>
      <c r="Z1467" s="24" t="n">
        <f aca="false">Summary!$C$5+SUM(W$2:W1467)</f>
        <v>4067.21</v>
      </c>
      <c r="AA1467" s="24" t="n">
        <f aca="false">MAX(AA1466,Z1467)</f>
        <v>5000</v>
      </c>
      <c r="AB1467" s="24" t="n">
        <f aca="false">AA1467-Z1467</f>
        <v>932.79</v>
      </c>
      <c r="AC1467" s="23" t="n">
        <f aca="false">IFERROR(AB1467/AA1467,0)</f>
        <v>0.186558</v>
      </c>
      <c r="AD1467" s="22" t="s">
        <v>1704</v>
      </c>
    </row>
    <row r="1468" customFormat="false" ht="15" hidden="false" customHeight="false" outlineLevel="0" collapsed="false">
      <c r="A1468" s="22" t="n">
        <v>1467</v>
      </c>
      <c r="B1468" s="22" t="s">
        <v>163</v>
      </c>
      <c r="C1468" s="37" t="n">
        <v>45965.3816435185</v>
      </c>
      <c r="D1468" s="22" t="s">
        <v>203</v>
      </c>
      <c r="E1468" s="22" t="n">
        <v>9</v>
      </c>
      <c r="F1468" s="22" t="s">
        <v>181</v>
      </c>
      <c r="G1468" s="22" t="s">
        <v>235</v>
      </c>
      <c r="H1468" s="22" t="n">
        <v>0.06</v>
      </c>
      <c r="I1468" s="38" t="n">
        <v>3987.91</v>
      </c>
      <c r="J1468" s="38" t="n">
        <v>3988</v>
      </c>
      <c r="K1468" s="39" t="n">
        <f aca="false">IF(F1468="BUY",J1468-I1468,I1468-J1468)</f>
        <v>0.0900000000001455</v>
      </c>
      <c r="L1468" s="38" t="n">
        <v>3981.91</v>
      </c>
      <c r="M1468" s="39" t="n">
        <f aca="false">ABS(I1468-L1468)</f>
        <v>6</v>
      </c>
      <c r="N1468" s="24" t="n">
        <f aca="false">M1468*H1468*Summary!$C$6</f>
        <v>36</v>
      </c>
      <c r="O1468" s="37" t="n">
        <v>45965.3830092593</v>
      </c>
      <c r="P1468" s="22" t="n">
        <f aca="false">ROUND((O1468-C1468)*86400,0)</f>
        <v>118</v>
      </c>
      <c r="Q1468" s="22" t="str">
        <f aca="false">IF(P1468&lt;10,"a) &lt;10s",IF(P1468&lt;60,"b) 10-60s",IF(P1468&lt;600,"c) 1-10min","d) &gt;10min")))</f>
        <v>c) 1-10min</v>
      </c>
      <c r="R1468" s="38" t="n">
        <v>3988.5</v>
      </c>
      <c r="S1468" s="38" t="n">
        <v>3988.26</v>
      </c>
      <c r="T1468" s="22" t="s">
        <v>189</v>
      </c>
      <c r="U1468" s="39" t="n">
        <f aca="false">IF(R1468="","",IF(F1468="BUY",R1468-S1468,S1468-R1468))</f>
        <v>0.239999999999782</v>
      </c>
      <c r="V1468" s="39" t="n">
        <f aca="false">IF(F1468="BUY",S1468-J1468,J1468-S1468)</f>
        <v>0.260000000000218</v>
      </c>
      <c r="W1468" s="6" t="n">
        <v>1.56</v>
      </c>
      <c r="X1468" s="26" t="n">
        <f aca="false">IFERROR(W1468/N1468,0)</f>
        <v>0.0433333333333333</v>
      </c>
      <c r="Y1468" s="22" t="str">
        <f aca="false">IF(W1468&gt;0,"Win",IF(W1468&lt;0,"Loss","Flat"))</f>
        <v>Win</v>
      </c>
      <c r="Z1468" s="24" t="n">
        <f aca="false">Summary!$C$5+SUM(W$2:W1468)</f>
        <v>4068.77</v>
      </c>
      <c r="AA1468" s="24" t="n">
        <f aca="false">MAX(AA1467,Z1468)</f>
        <v>5000</v>
      </c>
      <c r="AB1468" s="24" t="n">
        <f aca="false">AA1468-Z1468</f>
        <v>931.23</v>
      </c>
      <c r="AC1468" s="23" t="n">
        <f aca="false">IFERROR(AB1468/AA1468,0)</f>
        <v>0.186246</v>
      </c>
      <c r="AD1468" s="22" t="s">
        <v>1705</v>
      </c>
    </row>
    <row r="1469" customFormat="false" ht="15" hidden="false" customHeight="false" outlineLevel="0" collapsed="false">
      <c r="A1469" s="22" t="n">
        <v>1468</v>
      </c>
      <c r="B1469" s="22" t="s">
        <v>163</v>
      </c>
      <c r="C1469" s="37" t="n">
        <v>45965.6870138889</v>
      </c>
      <c r="D1469" s="22" t="s">
        <v>203</v>
      </c>
      <c r="E1469" s="22" t="n">
        <v>16</v>
      </c>
      <c r="F1469" s="22" t="s">
        <v>182</v>
      </c>
      <c r="G1469" s="22" t="s">
        <v>237</v>
      </c>
      <c r="H1469" s="22" t="n">
        <v>0.06</v>
      </c>
      <c r="I1469" s="38" t="n">
        <v>3962.33</v>
      </c>
      <c r="J1469" s="38" t="n">
        <v>3960.55</v>
      </c>
      <c r="K1469" s="39" t="n">
        <f aca="false">IF(F1469="BUY",J1469-I1469,I1469-J1469)</f>
        <v>1.77999999999975</v>
      </c>
      <c r="L1469" s="38" t="n">
        <v>3968.33</v>
      </c>
      <c r="M1469" s="39" t="n">
        <f aca="false">ABS(I1469-L1469)</f>
        <v>6</v>
      </c>
      <c r="N1469" s="24" t="n">
        <f aca="false">M1469*H1469*Summary!$C$6</f>
        <v>36</v>
      </c>
      <c r="O1469" s="37" t="n">
        <v>45965.6948148148</v>
      </c>
      <c r="P1469" s="22" t="n">
        <f aca="false">ROUND((O1469-C1469)*86400,0)</f>
        <v>674</v>
      </c>
      <c r="Q1469" s="22" t="str">
        <f aca="false">IF(P1469&lt;10,"a) &lt;10s",IF(P1469&lt;60,"b) 10-60s",IF(P1469&lt;600,"c) 1-10min","d) &gt;10min")))</f>
        <v>d) &gt;10min</v>
      </c>
      <c r="R1469" s="38"/>
      <c r="S1469" s="38" t="n">
        <v>3931.52</v>
      </c>
      <c r="T1469" s="22" t="s">
        <v>187</v>
      </c>
      <c r="U1469" s="39" t="str">
        <f aca="false">IF(R1469="","",IF(F1469="BUY",R1469-S1469,S1469-R1469))</f>
        <v/>
      </c>
      <c r="V1469" s="39" t="n">
        <f aca="false">IF(F1469="BUY",S1469-J1469,J1469-S1469)</f>
        <v>29.0300000000002</v>
      </c>
      <c r="W1469" s="6" t="n">
        <v>174.18</v>
      </c>
      <c r="X1469" s="26" t="n">
        <f aca="false">IFERROR(W1469/N1469,0)</f>
        <v>4.83833333333333</v>
      </c>
      <c r="Y1469" s="22" t="str">
        <f aca="false">IF(W1469&gt;0,"Win",IF(W1469&lt;0,"Loss","Flat"))</f>
        <v>Win</v>
      </c>
      <c r="Z1469" s="24" t="n">
        <f aca="false">Summary!$C$5+SUM(W$2:W1469)</f>
        <v>4242.95</v>
      </c>
      <c r="AA1469" s="24" t="n">
        <f aca="false">MAX(AA1468,Z1469)</f>
        <v>5000</v>
      </c>
      <c r="AB1469" s="24" t="n">
        <f aca="false">AA1469-Z1469</f>
        <v>757.05</v>
      </c>
      <c r="AC1469" s="23" t="n">
        <f aca="false">IFERROR(AB1469/AA1469,0)</f>
        <v>0.15141</v>
      </c>
      <c r="AD1469" s="22" t="s">
        <v>1706</v>
      </c>
    </row>
    <row r="1470" customFormat="false" ht="15" hidden="false" customHeight="false" outlineLevel="0" collapsed="false">
      <c r="A1470" s="22" t="n">
        <v>1469</v>
      </c>
      <c r="B1470" s="22" t="s">
        <v>163</v>
      </c>
      <c r="C1470" s="37" t="n">
        <v>45966.4202777778</v>
      </c>
      <c r="D1470" s="22" t="s">
        <v>204</v>
      </c>
      <c r="E1470" s="22" t="n">
        <v>10</v>
      </c>
      <c r="F1470" s="22" t="s">
        <v>181</v>
      </c>
      <c r="G1470" s="22" t="s">
        <v>235</v>
      </c>
      <c r="H1470" s="22" t="n">
        <v>0.07</v>
      </c>
      <c r="I1470" s="38" t="n">
        <v>3978.35</v>
      </c>
      <c r="J1470" s="38" t="n">
        <v>3978.41</v>
      </c>
      <c r="K1470" s="39" t="n">
        <f aca="false">IF(F1470="BUY",J1470-I1470,I1470-J1470)</f>
        <v>0.0599999999999454</v>
      </c>
      <c r="L1470" s="38" t="n">
        <v>3972.35</v>
      </c>
      <c r="M1470" s="39" t="n">
        <f aca="false">ABS(I1470-L1470)</f>
        <v>6</v>
      </c>
      <c r="N1470" s="24" t="n">
        <f aca="false">M1470*H1470*Summary!$C$6</f>
        <v>42</v>
      </c>
      <c r="O1470" s="37" t="n">
        <v>45966.4330671296</v>
      </c>
      <c r="P1470" s="22" t="n">
        <f aca="false">ROUND((O1470-C1470)*86400,0)</f>
        <v>1105</v>
      </c>
      <c r="Q1470" s="22" t="str">
        <f aca="false">IF(P1470&lt;10,"a) &lt;10s",IF(P1470&lt;60,"b) 10-60s",IF(P1470&lt;600,"c) 1-10min","d) &gt;10min")))</f>
        <v>d) &gt;10min</v>
      </c>
      <c r="R1470" s="38" t="n">
        <v>3978.91</v>
      </c>
      <c r="S1470" s="38" t="n">
        <v>3978.84</v>
      </c>
      <c r="T1470" s="22" t="s">
        <v>189</v>
      </c>
      <c r="U1470" s="39" t="n">
        <f aca="false">IF(R1470="","",IF(F1470="BUY",R1470-S1470,S1470-R1470))</f>
        <v>0.069999999999709</v>
      </c>
      <c r="V1470" s="39" t="n">
        <f aca="false">IF(F1470="BUY",S1470-J1470,J1470-S1470)</f>
        <v>0.430000000000291</v>
      </c>
      <c r="W1470" s="6" t="n">
        <v>3.01</v>
      </c>
      <c r="X1470" s="26" t="n">
        <f aca="false">IFERROR(W1470/N1470,0)</f>
        <v>0.0716666666666667</v>
      </c>
      <c r="Y1470" s="22" t="str">
        <f aca="false">IF(W1470&gt;0,"Win",IF(W1470&lt;0,"Loss","Flat"))</f>
        <v>Win</v>
      </c>
      <c r="Z1470" s="24" t="n">
        <f aca="false">Summary!$C$5+SUM(W$2:W1470)</f>
        <v>4245.96</v>
      </c>
      <c r="AA1470" s="24" t="n">
        <f aca="false">MAX(AA1469,Z1470)</f>
        <v>5000</v>
      </c>
      <c r="AB1470" s="24" t="n">
        <f aca="false">AA1470-Z1470</f>
        <v>754.04</v>
      </c>
      <c r="AC1470" s="23" t="n">
        <f aca="false">IFERROR(AB1470/AA1470,0)</f>
        <v>0.150808</v>
      </c>
      <c r="AD1470" s="22" t="s">
        <v>1707</v>
      </c>
    </row>
    <row r="1471" customFormat="false" ht="15" hidden="false" customHeight="false" outlineLevel="0" collapsed="false">
      <c r="A1471" s="22" t="n">
        <v>1470</v>
      </c>
      <c r="B1471" s="22" t="s">
        <v>163</v>
      </c>
      <c r="C1471" s="37" t="n">
        <v>45967.2348032407</v>
      </c>
      <c r="D1471" s="22" t="s">
        <v>205</v>
      </c>
      <c r="E1471" s="22" t="n">
        <v>5</v>
      </c>
      <c r="F1471" s="22" t="s">
        <v>181</v>
      </c>
      <c r="G1471" s="22" t="s">
        <v>243</v>
      </c>
      <c r="H1471" s="22" t="n">
        <v>0.07</v>
      </c>
      <c r="I1471" s="38" t="n">
        <v>3990.24</v>
      </c>
      <c r="J1471" s="38" t="n">
        <v>3990.25</v>
      </c>
      <c r="K1471" s="39" t="n">
        <f aca="false">IF(F1471="BUY",J1471-I1471,I1471-J1471)</f>
        <v>0.0100000000002183</v>
      </c>
      <c r="L1471" s="38" t="n">
        <v>3984.24</v>
      </c>
      <c r="M1471" s="39" t="n">
        <f aca="false">ABS(I1471-L1471)</f>
        <v>6</v>
      </c>
      <c r="N1471" s="24" t="n">
        <f aca="false">M1471*H1471*Summary!$C$6</f>
        <v>42</v>
      </c>
      <c r="O1471" s="37" t="n">
        <v>45967.3645601852</v>
      </c>
      <c r="P1471" s="22" t="n">
        <f aca="false">ROUND((O1471-C1471)*86400,0)</f>
        <v>11211</v>
      </c>
      <c r="Q1471" s="22" t="str">
        <f aca="false">IF(P1471&lt;10,"a) &lt;10s",IF(P1471&lt;60,"b) 10-60s",IF(P1471&lt;600,"c) 1-10min","d) &gt;10min")))</f>
        <v>d) &gt;10min</v>
      </c>
      <c r="R1471" s="38" t="n">
        <v>3984.24</v>
      </c>
      <c r="S1471" s="38" t="n">
        <v>3984.13</v>
      </c>
      <c r="T1471" s="22" t="s">
        <v>188</v>
      </c>
      <c r="U1471" s="39" t="n">
        <f aca="false">IF(R1471="","",IF(F1471="BUY",R1471-S1471,S1471-R1471))</f>
        <v>0.109999999999673</v>
      </c>
      <c r="V1471" s="39" t="n">
        <f aca="false">IF(F1471="BUY",S1471-J1471,J1471-S1471)</f>
        <v>-6.11999999999989</v>
      </c>
      <c r="W1471" s="6" t="n">
        <v>-42.84</v>
      </c>
      <c r="X1471" s="26" t="n">
        <f aca="false">IFERROR(W1471/N1471,0)</f>
        <v>-1.02</v>
      </c>
      <c r="Y1471" s="22" t="str">
        <f aca="false">IF(W1471&gt;0,"Win",IF(W1471&lt;0,"Loss","Flat"))</f>
        <v>Loss</v>
      </c>
      <c r="Z1471" s="24" t="n">
        <f aca="false">Summary!$C$5+SUM(W$2:W1471)</f>
        <v>4203.12</v>
      </c>
      <c r="AA1471" s="24" t="n">
        <f aca="false">MAX(AA1470,Z1471)</f>
        <v>5000</v>
      </c>
      <c r="AB1471" s="24" t="n">
        <f aca="false">AA1471-Z1471</f>
        <v>796.88</v>
      </c>
      <c r="AC1471" s="23" t="n">
        <f aca="false">IFERROR(AB1471/AA1471,0)</f>
        <v>0.159376</v>
      </c>
      <c r="AD1471" s="22" t="s">
        <v>1708</v>
      </c>
    </row>
    <row r="1472" customFormat="false" ht="15" hidden="false" customHeight="false" outlineLevel="0" collapsed="false">
      <c r="A1472" s="22" t="n">
        <v>1471</v>
      </c>
      <c r="B1472" s="22" t="s">
        <v>163</v>
      </c>
      <c r="C1472" s="37" t="n">
        <v>45967.7107986111</v>
      </c>
      <c r="D1472" s="22" t="s">
        <v>205</v>
      </c>
      <c r="E1472" s="22" t="n">
        <v>17</v>
      </c>
      <c r="F1472" s="22" t="s">
        <v>182</v>
      </c>
      <c r="G1472" s="22" t="s">
        <v>241</v>
      </c>
      <c r="H1472" s="22" t="n">
        <v>0.07</v>
      </c>
      <c r="I1472" s="38" t="n">
        <v>3982.04</v>
      </c>
      <c r="J1472" s="38" t="n">
        <v>3981.98</v>
      </c>
      <c r="K1472" s="39" t="n">
        <f aca="false">IF(F1472="BUY",J1472-I1472,I1472-J1472)</f>
        <v>0.0599999999999454</v>
      </c>
      <c r="L1472" s="38" t="n">
        <v>3988.04</v>
      </c>
      <c r="M1472" s="39" t="n">
        <f aca="false">ABS(I1472-L1472)</f>
        <v>6</v>
      </c>
      <c r="N1472" s="24" t="n">
        <f aca="false">M1472*H1472*Summary!$C$6</f>
        <v>42</v>
      </c>
      <c r="O1472" s="37" t="n">
        <v>45967.7118402778</v>
      </c>
      <c r="P1472" s="22" t="n">
        <f aca="false">ROUND((O1472-C1472)*86400,0)</f>
        <v>90</v>
      </c>
      <c r="Q1472" s="22" t="str">
        <f aca="false">IF(P1472&lt;10,"a) &lt;10s",IF(P1472&lt;60,"b) 10-60s",IF(P1472&lt;600,"c) 1-10min","d) &gt;10min")))</f>
        <v>c) 1-10min</v>
      </c>
      <c r="R1472" s="38" t="n">
        <v>3981.48</v>
      </c>
      <c r="S1472" s="38" t="n">
        <v>3981.51</v>
      </c>
      <c r="T1472" s="22" t="s">
        <v>189</v>
      </c>
      <c r="U1472" s="39" t="n">
        <f aca="false">IF(R1472="","",IF(F1472="BUY",R1472-S1472,S1472-R1472))</f>
        <v>0.0300000000002001</v>
      </c>
      <c r="V1472" s="39" t="n">
        <f aca="false">IF(F1472="BUY",S1472-J1472,J1472-S1472)</f>
        <v>0.4699999999998</v>
      </c>
      <c r="W1472" s="6" t="n">
        <v>3.29</v>
      </c>
      <c r="X1472" s="26" t="n">
        <f aca="false">IFERROR(W1472/N1472,0)</f>
        <v>0.0783333333333333</v>
      </c>
      <c r="Y1472" s="22" t="str">
        <f aca="false">IF(W1472&gt;0,"Win",IF(W1472&lt;0,"Loss","Flat"))</f>
        <v>Win</v>
      </c>
      <c r="Z1472" s="24" t="n">
        <f aca="false">Summary!$C$5+SUM(W$2:W1472)</f>
        <v>4206.41</v>
      </c>
      <c r="AA1472" s="24" t="n">
        <f aca="false">MAX(AA1471,Z1472)</f>
        <v>5000</v>
      </c>
      <c r="AB1472" s="24" t="n">
        <f aca="false">AA1472-Z1472</f>
        <v>793.59</v>
      </c>
      <c r="AC1472" s="23" t="n">
        <f aca="false">IFERROR(AB1472/AA1472,0)</f>
        <v>0.158718</v>
      </c>
      <c r="AD1472" s="22" t="s">
        <v>1709</v>
      </c>
    </row>
    <row r="1473" customFormat="false" ht="15" hidden="false" customHeight="false" outlineLevel="0" collapsed="false">
      <c r="A1473" s="22" t="n">
        <v>1472</v>
      </c>
      <c r="B1473" s="22" t="s">
        <v>163</v>
      </c>
      <c r="C1473" s="37" t="n">
        <v>45968.3758217593</v>
      </c>
      <c r="D1473" s="22" t="s">
        <v>206</v>
      </c>
      <c r="E1473" s="22" t="n">
        <v>9</v>
      </c>
      <c r="F1473" s="22" t="s">
        <v>181</v>
      </c>
      <c r="G1473" s="22" t="s">
        <v>235</v>
      </c>
      <c r="H1473" s="22" t="n">
        <v>0.07</v>
      </c>
      <c r="I1473" s="38" t="n">
        <v>4008.34</v>
      </c>
      <c r="J1473" s="38" t="n">
        <v>4008.41</v>
      </c>
      <c r="K1473" s="39" t="n">
        <f aca="false">IF(F1473="BUY",J1473-I1473,I1473-J1473)</f>
        <v>0.069999999999709</v>
      </c>
      <c r="L1473" s="38" t="n">
        <v>4002.34</v>
      </c>
      <c r="M1473" s="39" t="n">
        <f aca="false">ABS(I1473-L1473)</f>
        <v>6</v>
      </c>
      <c r="N1473" s="24" t="n">
        <f aca="false">M1473*H1473*Summary!$C$6</f>
        <v>42</v>
      </c>
      <c r="O1473" s="37" t="n">
        <v>45968.4597222222</v>
      </c>
      <c r="P1473" s="22" t="n">
        <f aca="false">ROUND((O1473-C1473)*86400,0)</f>
        <v>7249</v>
      </c>
      <c r="Q1473" s="22" t="str">
        <f aca="false">IF(P1473&lt;10,"a) &lt;10s",IF(P1473&lt;60,"b) 10-60s",IF(P1473&lt;600,"c) 1-10min","d) &gt;10min")))</f>
        <v>d) &gt;10min</v>
      </c>
      <c r="R1473" s="38" t="n">
        <v>4008.91</v>
      </c>
      <c r="S1473" s="38" t="n">
        <v>4008.71</v>
      </c>
      <c r="T1473" s="22" t="s">
        <v>189</v>
      </c>
      <c r="U1473" s="39" t="n">
        <f aca="false">IF(R1473="","",IF(F1473="BUY",R1473-S1473,S1473-R1473))</f>
        <v>0.199999999999818</v>
      </c>
      <c r="V1473" s="39" t="n">
        <f aca="false">IF(F1473="BUY",S1473-J1473,J1473-S1473)</f>
        <v>0.300000000000182</v>
      </c>
      <c r="W1473" s="6" t="n">
        <v>2.1</v>
      </c>
      <c r="X1473" s="26" t="n">
        <f aca="false">IFERROR(W1473/N1473,0)</f>
        <v>0.05</v>
      </c>
      <c r="Y1473" s="22" t="str">
        <f aca="false">IF(W1473&gt;0,"Win",IF(W1473&lt;0,"Loss","Flat"))</f>
        <v>Win</v>
      </c>
      <c r="Z1473" s="24" t="n">
        <f aca="false">Summary!$C$5+SUM(W$2:W1473)</f>
        <v>4208.51</v>
      </c>
      <c r="AA1473" s="24" t="n">
        <f aca="false">MAX(AA1472,Z1473)</f>
        <v>5000</v>
      </c>
      <c r="AB1473" s="24" t="n">
        <f aca="false">AA1473-Z1473</f>
        <v>791.49</v>
      </c>
      <c r="AC1473" s="23" t="n">
        <f aca="false">IFERROR(AB1473/AA1473,0)</f>
        <v>0.158298</v>
      </c>
      <c r="AD1473" s="22" t="s">
        <v>1710</v>
      </c>
    </row>
    <row r="1474" customFormat="false" ht="15" hidden="false" customHeight="false" outlineLevel="0" collapsed="false">
      <c r="A1474" s="22" t="n">
        <v>1473</v>
      </c>
      <c r="B1474" s="22" t="s">
        <v>163</v>
      </c>
      <c r="C1474" s="37" t="n">
        <v>45968.7746990741</v>
      </c>
      <c r="D1474" s="22" t="s">
        <v>206</v>
      </c>
      <c r="E1474" s="22" t="n">
        <v>18</v>
      </c>
      <c r="F1474" s="22" t="s">
        <v>181</v>
      </c>
      <c r="G1474" s="22" t="s">
        <v>243</v>
      </c>
      <c r="H1474" s="22" t="n">
        <v>0.07</v>
      </c>
      <c r="I1474" s="38" t="n">
        <v>4019.28</v>
      </c>
      <c r="J1474" s="38" t="n">
        <v>4019.48</v>
      </c>
      <c r="K1474" s="39" t="n">
        <f aca="false">IF(F1474="BUY",J1474-I1474,I1474-J1474)</f>
        <v>0.199999999999818</v>
      </c>
      <c r="L1474" s="38" t="n">
        <v>4013.28</v>
      </c>
      <c r="M1474" s="39" t="n">
        <f aca="false">ABS(I1474-L1474)</f>
        <v>6</v>
      </c>
      <c r="N1474" s="24" t="n">
        <f aca="false">M1474*H1474*Summary!$C$6</f>
        <v>42</v>
      </c>
      <c r="O1474" s="37" t="n">
        <v>45968.7796412037</v>
      </c>
      <c r="P1474" s="22" t="n">
        <f aca="false">ROUND((O1474-C1474)*86400,0)</f>
        <v>427</v>
      </c>
      <c r="Q1474" s="22" t="str">
        <f aca="false">IF(P1474&lt;10,"a) &lt;10s",IF(P1474&lt;60,"b) 10-60s",IF(P1474&lt;600,"c) 1-10min","d) &gt;10min")))</f>
        <v>c) 1-10min</v>
      </c>
      <c r="R1474" s="38" t="n">
        <v>4019.98</v>
      </c>
      <c r="S1474" s="38" t="n">
        <v>4019.93</v>
      </c>
      <c r="T1474" s="22" t="s">
        <v>189</v>
      </c>
      <c r="U1474" s="39" t="n">
        <f aca="false">IF(R1474="","",IF(F1474="BUY",R1474-S1474,S1474-R1474))</f>
        <v>0.0500000000001819</v>
      </c>
      <c r="V1474" s="39" t="n">
        <f aca="false">IF(F1474="BUY",S1474-J1474,J1474-S1474)</f>
        <v>0.449999999999818</v>
      </c>
      <c r="W1474" s="6" t="n">
        <v>3.15</v>
      </c>
      <c r="X1474" s="26" t="n">
        <f aca="false">IFERROR(W1474/N1474,0)</f>
        <v>0.075</v>
      </c>
      <c r="Y1474" s="22" t="str">
        <f aca="false">IF(W1474&gt;0,"Win",IF(W1474&lt;0,"Loss","Flat"))</f>
        <v>Win</v>
      </c>
      <c r="Z1474" s="24" t="n">
        <f aca="false">Summary!$C$5+SUM(W$2:W1474)</f>
        <v>4211.66</v>
      </c>
      <c r="AA1474" s="24" t="n">
        <f aca="false">MAX(AA1473,Z1474)</f>
        <v>5000</v>
      </c>
      <c r="AB1474" s="24" t="n">
        <f aca="false">AA1474-Z1474</f>
        <v>788.34</v>
      </c>
      <c r="AC1474" s="23" t="n">
        <f aca="false">IFERROR(AB1474/AA1474,0)</f>
        <v>0.157668</v>
      </c>
      <c r="AD1474" s="22" t="s">
        <v>1711</v>
      </c>
    </row>
    <row r="1475" customFormat="false" ht="15" hidden="false" customHeight="false" outlineLevel="0" collapsed="false">
      <c r="A1475" s="22" t="n">
        <v>1474</v>
      </c>
      <c r="B1475" s="22" t="s">
        <v>163</v>
      </c>
      <c r="C1475" s="37" t="n">
        <v>45971.1331828704</v>
      </c>
      <c r="D1475" s="22" t="s">
        <v>202</v>
      </c>
      <c r="E1475" s="22" t="n">
        <v>3</v>
      </c>
      <c r="F1475" s="22" t="s">
        <v>181</v>
      </c>
      <c r="G1475" s="22" t="s">
        <v>243</v>
      </c>
      <c r="H1475" s="22" t="n">
        <v>0.07</v>
      </c>
      <c r="I1475" s="38" t="n">
        <v>4027.23</v>
      </c>
      <c r="J1475" s="38" t="n">
        <v>4027.24</v>
      </c>
      <c r="K1475" s="39" t="n">
        <f aca="false">IF(F1475="BUY",J1475-I1475,I1475-J1475)</f>
        <v>0.00999999999976353</v>
      </c>
      <c r="L1475" s="38" t="n">
        <v>4021.23</v>
      </c>
      <c r="M1475" s="39" t="n">
        <f aca="false">ABS(I1475-L1475)</f>
        <v>6</v>
      </c>
      <c r="N1475" s="24" t="n">
        <f aca="false">M1475*H1475*Summary!$C$6</f>
        <v>42</v>
      </c>
      <c r="O1475" s="37" t="n">
        <v>45971.3127777778</v>
      </c>
      <c r="P1475" s="22" t="n">
        <f aca="false">ROUND((O1475-C1475)*86400,0)</f>
        <v>15517</v>
      </c>
      <c r="Q1475" s="22" t="str">
        <f aca="false">IF(P1475&lt;10,"a) &lt;10s",IF(P1475&lt;60,"b) 10-60s",IF(P1475&lt;600,"c) 1-10min","d) &gt;10min")))</f>
        <v>d) &gt;10min</v>
      </c>
      <c r="R1475" s="38"/>
      <c r="S1475" s="38" t="n">
        <v>4057.35</v>
      </c>
      <c r="T1475" s="22" t="s">
        <v>187</v>
      </c>
      <c r="U1475" s="39" t="str">
        <f aca="false">IF(R1475="","",IF(F1475="BUY",R1475-S1475,S1475-R1475))</f>
        <v/>
      </c>
      <c r="V1475" s="39" t="n">
        <f aca="false">IF(F1475="BUY",S1475-J1475,J1475-S1475)</f>
        <v>30.1100000000001</v>
      </c>
      <c r="W1475" s="6" t="n">
        <v>210.77</v>
      </c>
      <c r="X1475" s="26" t="n">
        <f aca="false">IFERROR(W1475/N1475,0)</f>
        <v>5.01833333333333</v>
      </c>
      <c r="Y1475" s="22" t="str">
        <f aca="false">IF(W1475&gt;0,"Win",IF(W1475&lt;0,"Loss","Flat"))</f>
        <v>Win</v>
      </c>
      <c r="Z1475" s="24" t="n">
        <f aca="false">Summary!$C$5+SUM(W$2:W1475)</f>
        <v>4422.43</v>
      </c>
      <c r="AA1475" s="24" t="n">
        <f aca="false">MAX(AA1474,Z1475)</f>
        <v>5000</v>
      </c>
      <c r="AB1475" s="24" t="n">
        <f aca="false">AA1475-Z1475</f>
        <v>577.57</v>
      </c>
      <c r="AC1475" s="23" t="n">
        <f aca="false">IFERROR(AB1475/AA1475,0)</f>
        <v>0.115514</v>
      </c>
      <c r="AD1475" s="22" t="s">
        <v>1712</v>
      </c>
    </row>
    <row r="1476" customFormat="false" ht="15" hidden="false" customHeight="false" outlineLevel="0" collapsed="false">
      <c r="A1476" s="22" t="n">
        <v>1475</v>
      </c>
      <c r="B1476" s="22" t="s">
        <v>163</v>
      </c>
      <c r="C1476" s="37" t="n">
        <v>45971.3832638889</v>
      </c>
      <c r="D1476" s="22" t="s">
        <v>202</v>
      </c>
      <c r="E1476" s="22" t="n">
        <v>9</v>
      </c>
      <c r="F1476" s="22" t="s">
        <v>181</v>
      </c>
      <c r="G1476" s="22" t="s">
        <v>235</v>
      </c>
      <c r="H1476" s="22" t="n">
        <v>0.07</v>
      </c>
      <c r="I1476" s="38" t="n">
        <v>4078.32</v>
      </c>
      <c r="J1476" s="38" t="n">
        <v>4078.36</v>
      </c>
      <c r="K1476" s="39" t="n">
        <f aca="false">IF(F1476="BUY",J1476-I1476,I1476-J1476)</f>
        <v>0.0399999999999636</v>
      </c>
      <c r="L1476" s="38" t="n">
        <v>4072.32</v>
      </c>
      <c r="M1476" s="39" t="n">
        <f aca="false">ABS(I1476-L1476)</f>
        <v>6</v>
      </c>
      <c r="N1476" s="24" t="n">
        <f aca="false">M1476*H1476*Summary!$C$6</f>
        <v>42</v>
      </c>
      <c r="O1476" s="37" t="n">
        <v>45971.3901388889</v>
      </c>
      <c r="P1476" s="22" t="n">
        <f aca="false">ROUND((O1476-C1476)*86400,0)</f>
        <v>594</v>
      </c>
      <c r="Q1476" s="22" t="str">
        <f aca="false">IF(P1476&lt;10,"a) &lt;10s",IF(P1476&lt;60,"b) 10-60s",IF(P1476&lt;600,"c) 1-10min","d) &gt;10min")))</f>
        <v>c) 1-10min</v>
      </c>
      <c r="R1476" s="38" t="n">
        <v>4072.32</v>
      </c>
      <c r="S1476" s="38" t="n">
        <v>4072.32</v>
      </c>
      <c r="T1476" s="22" t="s">
        <v>188</v>
      </c>
      <c r="U1476" s="39" t="n">
        <f aca="false">IF(R1476="","",IF(F1476="BUY",R1476-S1476,S1476-R1476))</f>
        <v>0</v>
      </c>
      <c r="V1476" s="39" t="n">
        <f aca="false">IF(F1476="BUY",S1476-J1476,J1476-S1476)</f>
        <v>-6.03999999999996</v>
      </c>
      <c r="W1476" s="6" t="n">
        <v>-42.28</v>
      </c>
      <c r="X1476" s="26" t="n">
        <f aca="false">IFERROR(W1476/N1476,0)</f>
        <v>-1.00666666666667</v>
      </c>
      <c r="Y1476" s="22" t="str">
        <f aca="false">IF(W1476&gt;0,"Win",IF(W1476&lt;0,"Loss","Flat"))</f>
        <v>Loss</v>
      </c>
      <c r="Z1476" s="24" t="n">
        <f aca="false">Summary!$C$5+SUM(W$2:W1476)</f>
        <v>4380.15</v>
      </c>
      <c r="AA1476" s="24" t="n">
        <f aca="false">MAX(AA1475,Z1476)</f>
        <v>5000</v>
      </c>
      <c r="AB1476" s="24" t="n">
        <f aca="false">AA1476-Z1476</f>
        <v>619.85</v>
      </c>
      <c r="AC1476" s="23" t="n">
        <f aca="false">IFERROR(AB1476/AA1476,0)</f>
        <v>0.12397</v>
      </c>
      <c r="AD1476" s="22" t="s">
        <v>1713</v>
      </c>
    </row>
    <row r="1477" customFormat="false" ht="15" hidden="false" customHeight="false" outlineLevel="0" collapsed="false">
      <c r="A1477" s="22" t="n">
        <v>1476</v>
      </c>
      <c r="B1477" s="22" t="s">
        <v>163</v>
      </c>
      <c r="C1477" s="37" t="n">
        <v>45972.4660416667</v>
      </c>
      <c r="D1477" s="22" t="s">
        <v>203</v>
      </c>
      <c r="E1477" s="22" t="n">
        <v>11</v>
      </c>
      <c r="F1477" s="22" t="s">
        <v>181</v>
      </c>
      <c r="G1477" s="22" t="s">
        <v>235</v>
      </c>
      <c r="H1477" s="22" t="n">
        <v>0.07</v>
      </c>
      <c r="I1477" s="38" t="n">
        <v>4144.18</v>
      </c>
      <c r="J1477" s="38" t="n">
        <v>4144.21</v>
      </c>
      <c r="K1477" s="39" t="n">
        <f aca="false">IF(F1477="BUY",J1477-I1477,I1477-J1477)</f>
        <v>0.0299999999997453</v>
      </c>
      <c r="L1477" s="38" t="n">
        <v>4138.18</v>
      </c>
      <c r="M1477" s="39" t="n">
        <f aca="false">ABS(I1477-L1477)</f>
        <v>6</v>
      </c>
      <c r="N1477" s="24" t="n">
        <f aca="false">M1477*H1477*Summary!$C$6</f>
        <v>42</v>
      </c>
      <c r="O1477" s="37" t="n">
        <v>45972.5026851852</v>
      </c>
      <c r="P1477" s="22" t="n">
        <f aca="false">ROUND((O1477-C1477)*86400,0)</f>
        <v>3166</v>
      </c>
      <c r="Q1477" s="22" t="str">
        <f aca="false">IF(P1477&lt;10,"a) &lt;10s",IF(P1477&lt;60,"b) 10-60s",IF(P1477&lt;600,"c) 1-10min","d) &gt;10min")))</f>
        <v>d) &gt;10min</v>
      </c>
      <c r="R1477" s="38" t="n">
        <v>4138.18</v>
      </c>
      <c r="S1477" s="38" t="n">
        <v>4138.13</v>
      </c>
      <c r="T1477" s="22" t="s">
        <v>188</v>
      </c>
      <c r="U1477" s="39" t="n">
        <f aca="false">IF(R1477="","",IF(F1477="BUY",R1477-S1477,S1477-R1477))</f>
        <v>0.0500000000001819</v>
      </c>
      <c r="V1477" s="39" t="n">
        <f aca="false">IF(F1477="BUY",S1477-J1477,J1477-S1477)</f>
        <v>-6.07999999999993</v>
      </c>
      <c r="W1477" s="6" t="n">
        <v>-42.56</v>
      </c>
      <c r="X1477" s="26" t="n">
        <f aca="false">IFERROR(W1477/N1477,0)</f>
        <v>-1.01333333333333</v>
      </c>
      <c r="Y1477" s="22" t="str">
        <f aca="false">IF(W1477&gt;0,"Win",IF(W1477&lt;0,"Loss","Flat"))</f>
        <v>Loss</v>
      </c>
      <c r="Z1477" s="24" t="n">
        <f aca="false">Summary!$C$5+SUM(W$2:W1477)</f>
        <v>4337.59</v>
      </c>
      <c r="AA1477" s="24" t="n">
        <f aca="false">MAX(AA1476,Z1477)</f>
        <v>5000</v>
      </c>
      <c r="AB1477" s="24" t="n">
        <f aca="false">AA1477-Z1477</f>
        <v>662.41</v>
      </c>
      <c r="AC1477" s="23" t="n">
        <f aca="false">IFERROR(AB1477/AA1477,0)</f>
        <v>0.132482</v>
      </c>
      <c r="AD1477" s="22" t="s">
        <v>1714</v>
      </c>
    </row>
    <row r="1478" customFormat="false" ht="15" hidden="false" customHeight="false" outlineLevel="0" collapsed="false">
      <c r="A1478" s="22" t="n">
        <v>1477</v>
      </c>
      <c r="B1478" s="22" t="s">
        <v>163</v>
      </c>
      <c r="C1478" s="37" t="n">
        <v>45973.7154513889</v>
      </c>
      <c r="D1478" s="22" t="s">
        <v>204</v>
      </c>
      <c r="E1478" s="22" t="n">
        <v>17</v>
      </c>
      <c r="F1478" s="22" t="s">
        <v>181</v>
      </c>
      <c r="G1478" s="22" t="s">
        <v>243</v>
      </c>
      <c r="H1478" s="22" t="n">
        <v>0.07</v>
      </c>
      <c r="I1478" s="38" t="n">
        <v>4148.76</v>
      </c>
      <c r="J1478" s="38" t="n">
        <v>4149.47</v>
      </c>
      <c r="K1478" s="39" t="n">
        <f aca="false">IF(F1478="BUY",J1478-I1478,I1478-J1478)</f>
        <v>0.710000000000036</v>
      </c>
      <c r="L1478" s="38" t="n">
        <v>4142.76</v>
      </c>
      <c r="M1478" s="39" t="n">
        <f aca="false">ABS(I1478-L1478)</f>
        <v>6</v>
      </c>
      <c r="N1478" s="24" t="n">
        <f aca="false">M1478*H1478*Summary!$C$6</f>
        <v>42</v>
      </c>
      <c r="O1478" s="37" t="n">
        <v>45973.7324652778</v>
      </c>
      <c r="P1478" s="22" t="n">
        <f aca="false">ROUND((O1478-C1478)*86400,0)</f>
        <v>1470</v>
      </c>
      <c r="Q1478" s="22" t="str">
        <f aca="false">IF(P1478&lt;10,"a) &lt;10s",IF(P1478&lt;60,"b) 10-60s",IF(P1478&lt;600,"c) 1-10min","d) &gt;10min")))</f>
        <v>d) &gt;10min</v>
      </c>
      <c r="R1478" s="38"/>
      <c r="S1478" s="38" t="n">
        <v>4179.05</v>
      </c>
      <c r="T1478" s="22" t="s">
        <v>187</v>
      </c>
      <c r="U1478" s="39" t="str">
        <f aca="false">IF(R1478="","",IF(F1478="BUY",R1478-S1478,S1478-R1478))</f>
        <v/>
      </c>
      <c r="V1478" s="39" t="n">
        <f aca="false">IF(F1478="BUY",S1478-J1478,J1478-S1478)</f>
        <v>29.5799999999999</v>
      </c>
      <c r="W1478" s="6" t="n">
        <v>207.06</v>
      </c>
      <c r="X1478" s="26" t="n">
        <f aca="false">IFERROR(W1478/N1478,0)</f>
        <v>4.93</v>
      </c>
      <c r="Y1478" s="22" t="str">
        <f aca="false">IF(W1478&gt;0,"Win",IF(W1478&lt;0,"Loss","Flat"))</f>
        <v>Win</v>
      </c>
      <c r="Z1478" s="24" t="n">
        <f aca="false">Summary!$C$5+SUM(W$2:W1478)</f>
        <v>4544.65</v>
      </c>
      <c r="AA1478" s="24" t="n">
        <f aca="false">MAX(AA1477,Z1478)</f>
        <v>5000</v>
      </c>
      <c r="AB1478" s="24" t="n">
        <f aca="false">AA1478-Z1478</f>
        <v>455.35</v>
      </c>
      <c r="AC1478" s="23" t="n">
        <f aca="false">IFERROR(AB1478/AA1478,0)</f>
        <v>0.0910700000000001</v>
      </c>
      <c r="AD1478" s="22" t="s">
        <v>1715</v>
      </c>
    </row>
    <row r="1479" customFormat="false" ht="15" hidden="false" customHeight="false" outlineLevel="0" collapsed="false">
      <c r="A1479" s="22" t="n">
        <v>1478</v>
      </c>
      <c r="B1479" s="22" t="s">
        <v>163</v>
      </c>
      <c r="C1479" s="37" t="n">
        <v>45974.2469907407</v>
      </c>
      <c r="D1479" s="22" t="s">
        <v>205</v>
      </c>
      <c r="E1479" s="22" t="n">
        <v>5</v>
      </c>
      <c r="F1479" s="22" t="s">
        <v>181</v>
      </c>
      <c r="G1479" s="22" t="s">
        <v>243</v>
      </c>
      <c r="H1479" s="22" t="n">
        <v>0.07</v>
      </c>
      <c r="I1479" s="38" t="n">
        <v>4211.5</v>
      </c>
      <c r="J1479" s="38" t="n">
        <v>4211.53</v>
      </c>
      <c r="K1479" s="39" t="n">
        <f aca="false">IF(F1479="BUY",J1479-I1479,I1479-J1479)</f>
        <v>0.0299999999997453</v>
      </c>
      <c r="L1479" s="38" t="n">
        <v>4205.5</v>
      </c>
      <c r="M1479" s="39" t="n">
        <f aca="false">ABS(I1479-L1479)</f>
        <v>6</v>
      </c>
      <c r="N1479" s="24" t="n">
        <f aca="false">M1479*H1479*Summary!$C$6</f>
        <v>42</v>
      </c>
      <c r="O1479" s="37" t="n">
        <v>45974.2626851852</v>
      </c>
      <c r="P1479" s="22" t="n">
        <f aca="false">ROUND((O1479-C1479)*86400,0)</f>
        <v>1356</v>
      </c>
      <c r="Q1479" s="22" t="str">
        <f aca="false">IF(P1479&lt;10,"a) &lt;10s",IF(P1479&lt;60,"b) 10-60s",IF(P1479&lt;600,"c) 1-10min","d) &gt;10min")))</f>
        <v>d) &gt;10min</v>
      </c>
      <c r="R1479" s="38" t="n">
        <v>4212.03</v>
      </c>
      <c r="S1479" s="38" t="n">
        <v>4212</v>
      </c>
      <c r="T1479" s="22" t="s">
        <v>189</v>
      </c>
      <c r="U1479" s="39" t="n">
        <f aca="false">IF(R1479="","",IF(F1479="BUY",R1479-S1479,S1479-R1479))</f>
        <v>0.0299999999997453</v>
      </c>
      <c r="V1479" s="39" t="n">
        <f aca="false">IF(F1479="BUY",S1479-J1479,J1479-S1479)</f>
        <v>0.470000000000255</v>
      </c>
      <c r="W1479" s="6" t="n">
        <v>3.29</v>
      </c>
      <c r="X1479" s="26" t="n">
        <f aca="false">IFERROR(W1479/N1479,0)</f>
        <v>0.0783333333333333</v>
      </c>
      <c r="Y1479" s="22" t="str">
        <f aca="false">IF(W1479&gt;0,"Win",IF(W1479&lt;0,"Loss","Flat"))</f>
        <v>Win</v>
      </c>
      <c r="Z1479" s="24" t="n">
        <f aca="false">Summary!$C$5+SUM(W$2:W1479)</f>
        <v>4547.94</v>
      </c>
      <c r="AA1479" s="24" t="n">
        <f aca="false">MAX(AA1478,Z1479)</f>
        <v>5000</v>
      </c>
      <c r="AB1479" s="24" t="n">
        <f aca="false">AA1479-Z1479</f>
        <v>452.06</v>
      </c>
      <c r="AC1479" s="23" t="n">
        <f aca="false">IFERROR(AB1479/AA1479,0)</f>
        <v>0.0904120000000001</v>
      </c>
      <c r="AD1479" s="22" t="s">
        <v>1716</v>
      </c>
    </row>
    <row r="1480" customFormat="false" ht="15" hidden="false" customHeight="false" outlineLevel="0" collapsed="false">
      <c r="A1480" s="22" t="n">
        <v>1479</v>
      </c>
      <c r="B1480" s="22" t="s">
        <v>163</v>
      </c>
      <c r="C1480" s="37" t="n">
        <v>45974.3928819444</v>
      </c>
      <c r="D1480" s="22" t="s">
        <v>205</v>
      </c>
      <c r="E1480" s="22" t="n">
        <v>9</v>
      </c>
      <c r="F1480" s="22" t="s">
        <v>181</v>
      </c>
      <c r="G1480" s="22" t="s">
        <v>235</v>
      </c>
      <c r="H1480" s="22" t="n">
        <v>0.07</v>
      </c>
      <c r="I1480" s="38" t="n">
        <v>4217.55</v>
      </c>
      <c r="J1480" s="38" t="n">
        <v>4217.56</v>
      </c>
      <c r="K1480" s="39" t="n">
        <f aca="false">IF(F1480="BUY",J1480-I1480,I1480-J1480)</f>
        <v>0.0100000000002183</v>
      </c>
      <c r="L1480" s="38" t="n">
        <v>4211.55</v>
      </c>
      <c r="M1480" s="39" t="n">
        <f aca="false">ABS(I1480-L1480)</f>
        <v>6</v>
      </c>
      <c r="N1480" s="24" t="n">
        <f aca="false">M1480*H1480*Summary!$C$6</f>
        <v>42</v>
      </c>
      <c r="O1480" s="37" t="n">
        <v>45974.6725578704</v>
      </c>
      <c r="P1480" s="22" t="n">
        <f aca="false">ROUND((O1480-C1480)*86400,0)</f>
        <v>24164</v>
      </c>
      <c r="Q1480" s="22" t="str">
        <f aca="false">IF(P1480&lt;10,"a) &lt;10s",IF(P1480&lt;60,"b) 10-60s",IF(P1480&lt;600,"c) 1-10min","d) &gt;10min")))</f>
        <v>d) &gt;10min</v>
      </c>
      <c r="R1480" s="38" t="n">
        <v>4218.06</v>
      </c>
      <c r="S1480" s="38" t="n">
        <v>4218.04</v>
      </c>
      <c r="T1480" s="22" t="s">
        <v>189</v>
      </c>
      <c r="U1480" s="39" t="n">
        <f aca="false">IF(R1480="","",IF(F1480="BUY",R1480-S1480,S1480-R1480))</f>
        <v>0.0200000000004366</v>
      </c>
      <c r="V1480" s="39" t="n">
        <f aca="false">IF(F1480="BUY",S1480-J1480,J1480-S1480)</f>
        <v>0.479999999999563</v>
      </c>
      <c r="W1480" s="6" t="n">
        <v>3.36</v>
      </c>
      <c r="X1480" s="26" t="n">
        <f aca="false">IFERROR(W1480/N1480,0)</f>
        <v>0.08</v>
      </c>
      <c r="Y1480" s="22" t="str">
        <f aca="false">IF(W1480&gt;0,"Win",IF(W1480&lt;0,"Loss","Flat"))</f>
        <v>Win</v>
      </c>
      <c r="Z1480" s="24" t="n">
        <f aca="false">Summary!$C$5+SUM(W$2:W1480)</f>
        <v>4551.3</v>
      </c>
      <c r="AA1480" s="24" t="n">
        <f aca="false">MAX(AA1479,Z1480)</f>
        <v>5000</v>
      </c>
      <c r="AB1480" s="24" t="n">
        <f aca="false">AA1480-Z1480</f>
        <v>448.7</v>
      </c>
      <c r="AC1480" s="23" t="n">
        <f aca="false">IFERROR(AB1480/AA1480,0)</f>
        <v>0.08974</v>
      </c>
      <c r="AD1480" s="22" t="s">
        <v>1717</v>
      </c>
    </row>
    <row r="1481" customFormat="false" ht="15" hidden="false" customHeight="false" outlineLevel="0" collapsed="false">
      <c r="A1481" s="22" t="n">
        <v>1480</v>
      </c>
      <c r="B1481" s="22" t="s">
        <v>163</v>
      </c>
      <c r="C1481" s="37" t="n">
        <v>45975.3766666667</v>
      </c>
      <c r="D1481" s="22" t="s">
        <v>206</v>
      </c>
      <c r="E1481" s="22" t="n">
        <v>9</v>
      </c>
      <c r="F1481" s="22" t="s">
        <v>182</v>
      </c>
      <c r="G1481" s="22" t="s">
        <v>241</v>
      </c>
      <c r="H1481" s="22" t="n">
        <v>0.07</v>
      </c>
      <c r="I1481" s="38" t="n">
        <v>4169.4</v>
      </c>
      <c r="J1481" s="38" t="n">
        <v>4169.22</v>
      </c>
      <c r="K1481" s="39" t="n">
        <f aca="false">IF(F1481="BUY",J1481-I1481,I1481-J1481)</f>
        <v>0.179999999999382</v>
      </c>
      <c r="L1481" s="38" t="n">
        <v>4175.4</v>
      </c>
      <c r="M1481" s="39" t="n">
        <f aca="false">ABS(I1481-L1481)</f>
        <v>6</v>
      </c>
      <c r="N1481" s="24" t="n">
        <f aca="false">M1481*H1481*Summary!$C$6</f>
        <v>42</v>
      </c>
      <c r="O1481" s="37" t="n">
        <v>45975.3781481482</v>
      </c>
      <c r="P1481" s="22" t="n">
        <f aca="false">ROUND((O1481-C1481)*86400,0)</f>
        <v>128</v>
      </c>
      <c r="Q1481" s="22" t="str">
        <f aca="false">IF(P1481&lt;10,"a) &lt;10s",IF(P1481&lt;60,"b) 10-60s",IF(P1481&lt;600,"c) 1-10min","d) &gt;10min")))</f>
        <v>c) 1-10min</v>
      </c>
      <c r="R1481" s="38" t="n">
        <v>4175.4</v>
      </c>
      <c r="S1481" s="38" t="n">
        <v>4175.44</v>
      </c>
      <c r="T1481" s="22" t="s">
        <v>188</v>
      </c>
      <c r="U1481" s="39" t="n">
        <f aca="false">IF(R1481="","",IF(F1481="BUY",R1481-S1481,S1481-R1481))</f>
        <v>0.0399999999999636</v>
      </c>
      <c r="V1481" s="39" t="n">
        <f aca="false">IF(F1481="BUY",S1481-J1481,J1481-S1481)</f>
        <v>-6.21999999999935</v>
      </c>
      <c r="W1481" s="6" t="n">
        <v>-43.54</v>
      </c>
      <c r="X1481" s="26" t="n">
        <f aca="false">IFERROR(W1481/N1481,0)</f>
        <v>-1.03666666666667</v>
      </c>
      <c r="Y1481" s="22" t="str">
        <f aca="false">IF(W1481&gt;0,"Win",IF(W1481&lt;0,"Loss","Flat"))</f>
        <v>Loss</v>
      </c>
      <c r="Z1481" s="24" t="n">
        <f aca="false">Summary!$C$5+SUM(W$2:W1481)</f>
        <v>4507.76</v>
      </c>
      <c r="AA1481" s="24" t="n">
        <f aca="false">MAX(AA1480,Z1481)</f>
        <v>5000</v>
      </c>
      <c r="AB1481" s="24" t="n">
        <f aca="false">AA1481-Z1481</f>
        <v>492.24</v>
      </c>
      <c r="AC1481" s="23" t="n">
        <f aca="false">IFERROR(AB1481/AA1481,0)</f>
        <v>0.098448</v>
      </c>
      <c r="AD1481" s="22" t="s">
        <v>1718</v>
      </c>
    </row>
    <row r="1482" customFormat="false" ht="15" hidden="false" customHeight="false" outlineLevel="0" collapsed="false">
      <c r="A1482" s="22" t="n">
        <v>1481</v>
      </c>
      <c r="B1482" s="22" t="s">
        <v>163</v>
      </c>
      <c r="C1482" s="37" t="n">
        <v>45975.553587963</v>
      </c>
      <c r="D1482" s="22" t="s">
        <v>206</v>
      </c>
      <c r="E1482" s="22" t="n">
        <v>13</v>
      </c>
      <c r="F1482" s="22" t="s">
        <v>182</v>
      </c>
      <c r="G1482" s="22" t="s">
        <v>237</v>
      </c>
      <c r="H1482" s="22" t="n">
        <v>0.07</v>
      </c>
      <c r="I1482" s="38" t="n">
        <v>4144.97</v>
      </c>
      <c r="J1482" s="38" t="n">
        <v>4144.75</v>
      </c>
      <c r="K1482" s="39" t="n">
        <f aca="false">IF(F1482="BUY",J1482-I1482,I1482-J1482)</f>
        <v>0.220000000000255</v>
      </c>
      <c r="L1482" s="38" t="n">
        <v>4150.97</v>
      </c>
      <c r="M1482" s="39" t="n">
        <f aca="false">ABS(I1482-L1482)</f>
        <v>6</v>
      </c>
      <c r="N1482" s="24" t="n">
        <f aca="false">M1482*H1482*Summary!$C$6</f>
        <v>42</v>
      </c>
      <c r="O1482" s="37" t="n">
        <v>45975.5536574074</v>
      </c>
      <c r="P1482" s="22" t="n">
        <f aca="false">ROUND((O1482-C1482)*86400,0)</f>
        <v>6</v>
      </c>
      <c r="Q1482" s="22" t="str">
        <f aca="false">IF(P1482&lt;10,"a) &lt;10s",IF(P1482&lt;60,"b) 10-60s",IF(P1482&lt;600,"c) 1-10min","d) &gt;10min")))</f>
        <v>a) &lt;10s</v>
      </c>
      <c r="R1482" s="38" t="n">
        <v>4144.25</v>
      </c>
      <c r="S1482" s="38" t="n">
        <v>4144.39</v>
      </c>
      <c r="T1482" s="22" t="s">
        <v>189</v>
      </c>
      <c r="U1482" s="39" t="n">
        <f aca="false">IF(R1482="","",IF(F1482="BUY",R1482-S1482,S1482-R1482))</f>
        <v>0.140000000000327</v>
      </c>
      <c r="V1482" s="39" t="n">
        <f aca="false">IF(F1482="BUY",S1482-J1482,J1482-S1482)</f>
        <v>0.359999999999673</v>
      </c>
      <c r="W1482" s="6" t="n">
        <v>2.52</v>
      </c>
      <c r="X1482" s="26" t="n">
        <f aca="false">IFERROR(W1482/N1482,0)</f>
        <v>0.06</v>
      </c>
      <c r="Y1482" s="22" t="str">
        <f aca="false">IF(W1482&gt;0,"Win",IF(W1482&lt;0,"Loss","Flat"))</f>
        <v>Win</v>
      </c>
      <c r="Z1482" s="24" t="n">
        <f aca="false">Summary!$C$5+SUM(W$2:W1482)</f>
        <v>4510.28</v>
      </c>
      <c r="AA1482" s="24" t="n">
        <f aca="false">MAX(AA1481,Z1482)</f>
        <v>5000</v>
      </c>
      <c r="AB1482" s="24" t="n">
        <f aca="false">AA1482-Z1482</f>
        <v>489.72</v>
      </c>
      <c r="AC1482" s="23" t="n">
        <f aca="false">IFERROR(AB1482/AA1482,0)</f>
        <v>0.097944</v>
      </c>
      <c r="AD1482" s="22" t="s">
        <v>1719</v>
      </c>
    </row>
    <row r="1483" customFormat="false" ht="15" hidden="false" customHeight="false" outlineLevel="0" collapsed="false">
      <c r="A1483" s="22" t="n">
        <v>1482</v>
      </c>
      <c r="B1483" s="22" t="s">
        <v>163</v>
      </c>
      <c r="C1483" s="37" t="n">
        <v>45978.3942939815</v>
      </c>
      <c r="D1483" s="22" t="s">
        <v>202</v>
      </c>
      <c r="E1483" s="22" t="n">
        <v>9</v>
      </c>
      <c r="F1483" s="22" t="s">
        <v>181</v>
      </c>
      <c r="G1483" s="22" t="s">
        <v>235</v>
      </c>
      <c r="H1483" s="22" t="n">
        <v>0.07</v>
      </c>
      <c r="I1483" s="38" t="n">
        <v>4078.52</v>
      </c>
      <c r="J1483" s="38" t="n">
        <v>4078.53</v>
      </c>
      <c r="K1483" s="39" t="n">
        <f aca="false">IF(F1483="BUY",J1483-I1483,I1483-J1483)</f>
        <v>0.0100000000002183</v>
      </c>
      <c r="L1483" s="38" t="n">
        <v>4072.52</v>
      </c>
      <c r="M1483" s="39" t="n">
        <f aca="false">ABS(I1483-L1483)</f>
        <v>6</v>
      </c>
      <c r="N1483" s="24" t="n">
        <f aca="false">M1483*H1483*Summary!$C$6</f>
        <v>42</v>
      </c>
      <c r="O1483" s="37" t="n">
        <v>45978.4354976852</v>
      </c>
      <c r="P1483" s="22" t="n">
        <f aca="false">ROUND((O1483-C1483)*86400,0)</f>
        <v>3560</v>
      </c>
      <c r="Q1483" s="22" t="str">
        <f aca="false">IF(P1483&lt;10,"a) &lt;10s",IF(P1483&lt;60,"b) 10-60s",IF(P1483&lt;600,"c) 1-10min","d) &gt;10min")))</f>
        <v>d) &gt;10min</v>
      </c>
      <c r="R1483" s="38" t="n">
        <v>4079.03</v>
      </c>
      <c r="S1483" s="38" t="n">
        <v>4079.02</v>
      </c>
      <c r="T1483" s="22" t="s">
        <v>189</v>
      </c>
      <c r="U1483" s="39" t="n">
        <f aca="false">IF(R1483="","",IF(F1483="BUY",R1483-S1483,S1483-R1483))</f>
        <v>0.0100000000002183</v>
      </c>
      <c r="V1483" s="39" t="n">
        <f aca="false">IF(F1483="BUY",S1483-J1483,J1483-S1483)</f>
        <v>0.489999999999782</v>
      </c>
      <c r="W1483" s="6" t="n">
        <v>3.43</v>
      </c>
      <c r="X1483" s="26" t="n">
        <f aca="false">IFERROR(W1483/N1483,0)</f>
        <v>0.0816666666666667</v>
      </c>
      <c r="Y1483" s="22" t="str">
        <f aca="false">IF(W1483&gt;0,"Win",IF(W1483&lt;0,"Loss","Flat"))</f>
        <v>Win</v>
      </c>
      <c r="Z1483" s="24" t="n">
        <f aca="false">Summary!$C$5+SUM(W$2:W1483)</f>
        <v>4513.71</v>
      </c>
      <c r="AA1483" s="24" t="n">
        <f aca="false">MAX(AA1482,Z1483)</f>
        <v>5000</v>
      </c>
      <c r="AB1483" s="24" t="n">
        <f aca="false">AA1483-Z1483</f>
        <v>486.29</v>
      </c>
      <c r="AC1483" s="23" t="n">
        <f aca="false">IFERROR(AB1483/AA1483,0)</f>
        <v>0.097258</v>
      </c>
      <c r="AD1483" s="22" t="s">
        <v>1720</v>
      </c>
    </row>
    <row r="1484" customFormat="false" ht="15" hidden="false" customHeight="false" outlineLevel="0" collapsed="false">
      <c r="A1484" s="22" t="n">
        <v>1483</v>
      </c>
      <c r="B1484" s="22" t="s">
        <v>163</v>
      </c>
      <c r="C1484" s="37" t="n">
        <v>45978.8995833333</v>
      </c>
      <c r="D1484" s="22" t="s">
        <v>202</v>
      </c>
      <c r="E1484" s="22" t="n">
        <v>21</v>
      </c>
      <c r="F1484" s="22" t="s">
        <v>182</v>
      </c>
      <c r="G1484" s="22" t="s">
        <v>237</v>
      </c>
      <c r="H1484" s="22" t="n">
        <v>0.07</v>
      </c>
      <c r="I1484" s="38" t="n">
        <v>4031.96</v>
      </c>
      <c r="J1484" s="38" t="n">
        <v>4031.5</v>
      </c>
      <c r="K1484" s="39" t="n">
        <f aca="false">IF(F1484="BUY",J1484-I1484,I1484-J1484)</f>
        <v>0.460000000000036</v>
      </c>
      <c r="L1484" s="38" t="n">
        <v>4037.96</v>
      </c>
      <c r="M1484" s="39" t="n">
        <f aca="false">ABS(I1484-L1484)</f>
        <v>6</v>
      </c>
      <c r="N1484" s="24" t="n">
        <f aca="false">M1484*H1484*Summary!$C$6</f>
        <v>42</v>
      </c>
      <c r="O1484" s="37" t="n">
        <v>45978.8999189815</v>
      </c>
      <c r="P1484" s="22" t="n">
        <f aca="false">ROUND((O1484-C1484)*86400,0)</f>
        <v>29</v>
      </c>
      <c r="Q1484" s="22" t="str">
        <f aca="false">IF(P1484&lt;10,"a) &lt;10s",IF(P1484&lt;60,"b) 10-60s",IF(P1484&lt;600,"c) 1-10min","d) &gt;10min")))</f>
        <v>b) 10-60s</v>
      </c>
      <c r="R1484" s="38" t="n">
        <v>4037.96</v>
      </c>
      <c r="S1484" s="38" t="n">
        <v>4037.98</v>
      </c>
      <c r="T1484" s="22" t="s">
        <v>188</v>
      </c>
      <c r="U1484" s="39" t="n">
        <f aca="false">IF(R1484="","",IF(F1484="BUY",R1484-S1484,S1484-R1484))</f>
        <v>0.0199999999999818</v>
      </c>
      <c r="V1484" s="39" t="n">
        <f aca="false">IF(F1484="BUY",S1484-J1484,J1484-S1484)</f>
        <v>-6.48000000000002</v>
      </c>
      <c r="W1484" s="6" t="n">
        <v>-45.36</v>
      </c>
      <c r="X1484" s="26" t="n">
        <f aca="false">IFERROR(W1484/N1484,0)</f>
        <v>-1.08</v>
      </c>
      <c r="Y1484" s="22" t="str">
        <f aca="false">IF(W1484&gt;0,"Win",IF(W1484&lt;0,"Loss","Flat"))</f>
        <v>Loss</v>
      </c>
      <c r="Z1484" s="24" t="n">
        <f aca="false">Summary!$C$5+SUM(W$2:W1484)</f>
        <v>4468.35</v>
      </c>
      <c r="AA1484" s="24" t="n">
        <f aca="false">MAX(AA1483,Z1484)</f>
        <v>5000</v>
      </c>
      <c r="AB1484" s="24" t="n">
        <f aca="false">AA1484-Z1484</f>
        <v>531.65</v>
      </c>
      <c r="AC1484" s="23" t="n">
        <f aca="false">IFERROR(AB1484/AA1484,0)</f>
        <v>0.10633</v>
      </c>
      <c r="AD1484" s="22" t="s">
        <v>1721</v>
      </c>
    </row>
    <row r="1485" customFormat="false" ht="15" hidden="false" customHeight="false" outlineLevel="0" collapsed="false">
      <c r="A1485" s="22" t="n">
        <v>1484</v>
      </c>
      <c r="B1485" s="22" t="s">
        <v>163</v>
      </c>
      <c r="C1485" s="37" t="n">
        <v>45979.2621296296</v>
      </c>
      <c r="D1485" s="22" t="s">
        <v>203</v>
      </c>
      <c r="E1485" s="22" t="n">
        <v>6</v>
      </c>
      <c r="F1485" s="22" t="s">
        <v>182</v>
      </c>
      <c r="G1485" s="22" t="s">
        <v>237</v>
      </c>
      <c r="H1485" s="22" t="n">
        <v>0.07</v>
      </c>
      <c r="I1485" s="38" t="n">
        <v>4006.74</v>
      </c>
      <c r="J1485" s="38" t="n">
        <v>4006.56</v>
      </c>
      <c r="K1485" s="39" t="n">
        <f aca="false">IF(F1485="BUY",J1485-I1485,I1485-J1485)</f>
        <v>0.179999999999836</v>
      </c>
      <c r="L1485" s="38" t="n">
        <v>4012.74</v>
      </c>
      <c r="M1485" s="39" t="n">
        <f aca="false">ABS(I1485-L1485)</f>
        <v>6</v>
      </c>
      <c r="N1485" s="24" t="n">
        <f aca="false">M1485*H1485*Summary!$C$6</f>
        <v>42</v>
      </c>
      <c r="O1485" s="37" t="n">
        <v>45979.2684722222</v>
      </c>
      <c r="P1485" s="22" t="n">
        <f aca="false">ROUND((O1485-C1485)*86400,0)</f>
        <v>548</v>
      </c>
      <c r="Q1485" s="22" t="str">
        <f aca="false">IF(P1485&lt;10,"a) &lt;10s",IF(P1485&lt;60,"b) 10-60s",IF(P1485&lt;600,"c) 1-10min","d) &gt;10min")))</f>
        <v>c) 1-10min</v>
      </c>
      <c r="R1485" s="38" t="n">
        <v>4012.74</v>
      </c>
      <c r="S1485" s="38" t="n">
        <v>4012.88</v>
      </c>
      <c r="T1485" s="22" t="s">
        <v>188</v>
      </c>
      <c r="U1485" s="39" t="n">
        <f aca="false">IF(R1485="","",IF(F1485="BUY",R1485-S1485,S1485-R1485))</f>
        <v>0.140000000000327</v>
      </c>
      <c r="V1485" s="39" t="n">
        <f aca="false">IF(F1485="BUY",S1485-J1485,J1485-S1485)</f>
        <v>-6.32000000000016</v>
      </c>
      <c r="W1485" s="6" t="n">
        <v>-44.24</v>
      </c>
      <c r="X1485" s="26" t="n">
        <f aca="false">IFERROR(W1485/N1485,0)</f>
        <v>-1.05333333333333</v>
      </c>
      <c r="Y1485" s="22" t="str">
        <f aca="false">IF(W1485&gt;0,"Win",IF(W1485&lt;0,"Loss","Flat"))</f>
        <v>Loss</v>
      </c>
      <c r="Z1485" s="24" t="n">
        <f aca="false">Summary!$C$5+SUM(W$2:W1485)</f>
        <v>4424.11</v>
      </c>
      <c r="AA1485" s="24" t="n">
        <f aca="false">MAX(AA1484,Z1485)</f>
        <v>5000</v>
      </c>
      <c r="AB1485" s="24" t="n">
        <f aca="false">AA1485-Z1485</f>
        <v>575.89</v>
      </c>
      <c r="AC1485" s="23" t="n">
        <f aca="false">IFERROR(AB1485/AA1485,0)</f>
        <v>0.115178</v>
      </c>
      <c r="AD1485" s="22" t="s">
        <v>1722</v>
      </c>
    </row>
    <row r="1486" customFormat="false" ht="15" hidden="false" customHeight="false" outlineLevel="0" collapsed="false">
      <c r="A1486" s="22" t="n">
        <v>1485</v>
      </c>
      <c r="B1486" s="22" t="s">
        <v>163</v>
      </c>
      <c r="C1486" s="37" t="n">
        <v>45979.3753125</v>
      </c>
      <c r="D1486" s="22" t="s">
        <v>203</v>
      </c>
      <c r="E1486" s="22" t="n">
        <v>9</v>
      </c>
      <c r="F1486" s="22" t="s">
        <v>182</v>
      </c>
      <c r="G1486" s="22" t="s">
        <v>241</v>
      </c>
      <c r="H1486" s="22" t="n">
        <v>0.07</v>
      </c>
      <c r="I1486" s="38" t="n">
        <v>4007.42</v>
      </c>
      <c r="J1486" s="38" t="n">
        <v>4007.11</v>
      </c>
      <c r="K1486" s="39" t="n">
        <f aca="false">IF(F1486="BUY",J1486-I1486,I1486-J1486)</f>
        <v>0.309999999999945</v>
      </c>
      <c r="L1486" s="38" t="n">
        <v>4013.42</v>
      </c>
      <c r="M1486" s="39" t="n">
        <f aca="false">ABS(I1486-L1486)</f>
        <v>6</v>
      </c>
      <c r="N1486" s="24" t="n">
        <f aca="false">M1486*H1486*Summary!$C$6</f>
        <v>42</v>
      </c>
      <c r="O1486" s="37" t="n">
        <v>45979.3842013889</v>
      </c>
      <c r="P1486" s="22" t="n">
        <f aca="false">ROUND((O1486-C1486)*86400,0)</f>
        <v>768</v>
      </c>
      <c r="Q1486" s="22" t="str">
        <f aca="false">IF(P1486&lt;10,"a) &lt;10s",IF(P1486&lt;60,"b) 10-60s",IF(P1486&lt;600,"c) 1-10min","d) &gt;10min")))</f>
        <v>d) &gt;10min</v>
      </c>
      <c r="R1486" s="38" t="n">
        <v>4006.61</v>
      </c>
      <c r="S1486" s="38" t="n">
        <v>4006.97</v>
      </c>
      <c r="T1486" s="22" t="s">
        <v>189</v>
      </c>
      <c r="U1486" s="39" t="n">
        <f aca="false">IF(R1486="","",IF(F1486="BUY",R1486-S1486,S1486-R1486))</f>
        <v>0.359999999999673</v>
      </c>
      <c r="V1486" s="39" t="n">
        <f aca="false">IF(F1486="BUY",S1486-J1486,J1486-S1486)</f>
        <v>0.140000000000327</v>
      </c>
      <c r="W1486" s="6" t="n">
        <v>0.98</v>
      </c>
      <c r="X1486" s="26" t="n">
        <f aca="false">IFERROR(W1486/N1486,0)</f>
        <v>0.0233333333333333</v>
      </c>
      <c r="Y1486" s="22" t="str">
        <f aca="false">IF(W1486&gt;0,"Win",IF(W1486&lt;0,"Loss","Flat"))</f>
        <v>Win</v>
      </c>
      <c r="Z1486" s="24" t="n">
        <f aca="false">Summary!$C$5+SUM(W$2:W1486)</f>
        <v>4425.09</v>
      </c>
      <c r="AA1486" s="24" t="n">
        <f aca="false">MAX(AA1485,Z1486)</f>
        <v>5000</v>
      </c>
      <c r="AB1486" s="24" t="n">
        <f aca="false">AA1486-Z1486</f>
        <v>574.91</v>
      </c>
      <c r="AC1486" s="23" t="n">
        <f aca="false">IFERROR(AB1486/AA1486,0)</f>
        <v>0.114982</v>
      </c>
      <c r="AD1486" s="22" t="s">
        <v>1723</v>
      </c>
    </row>
    <row r="1487" customFormat="false" ht="15" hidden="false" customHeight="false" outlineLevel="0" collapsed="false">
      <c r="A1487" s="22" t="n">
        <v>1486</v>
      </c>
      <c r="B1487" s="22" t="s">
        <v>163</v>
      </c>
      <c r="C1487" s="37" t="n">
        <v>45980.3031481481</v>
      </c>
      <c r="D1487" s="22" t="s">
        <v>204</v>
      </c>
      <c r="E1487" s="22" t="n">
        <v>7</v>
      </c>
      <c r="F1487" s="22" t="s">
        <v>181</v>
      </c>
      <c r="G1487" s="22" t="s">
        <v>243</v>
      </c>
      <c r="H1487" s="22" t="n">
        <v>0.07</v>
      </c>
      <c r="I1487" s="38" t="n">
        <v>4082.28</v>
      </c>
      <c r="J1487" s="38" t="n">
        <v>4082.38</v>
      </c>
      <c r="K1487" s="39" t="n">
        <f aca="false">IF(F1487="BUY",J1487-I1487,I1487-J1487)</f>
        <v>0.0999999999999091</v>
      </c>
      <c r="L1487" s="38" t="n">
        <v>4076.28</v>
      </c>
      <c r="M1487" s="39" t="n">
        <f aca="false">ABS(I1487-L1487)</f>
        <v>6</v>
      </c>
      <c r="N1487" s="24" t="n">
        <f aca="false">M1487*H1487*Summary!$C$6</f>
        <v>42</v>
      </c>
      <c r="O1487" s="37" t="n">
        <v>45980.4227314815</v>
      </c>
      <c r="P1487" s="22" t="n">
        <f aca="false">ROUND((O1487-C1487)*86400,0)</f>
        <v>10332</v>
      </c>
      <c r="Q1487" s="22" t="str">
        <f aca="false">IF(P1487&lt;10,"a) &lt;10s",IF(P1487&lt;60,"b) 10-60s",IF(P1487&lt;600,"c) 1-10min","d) &gt;10min")))</f>
        <v>d) &gt;10min</v>
      </c>
      <c r="R1487" s="38" t="n">
        <v>4082.88</v>
      </c>
      <c r="S1487" s="38" t="n">
        <v>4082.85</v>
      </c>
      <c r="T1487" s="22" t="s">
        <v>189</v>
      </c>
      <c r="U1487" s="39" t="n">
        <f aca="false">IF(R1487="","",IF(F1487="BUY",R1487-S1487,S1487-R1487))</f>
        <v>0.0300000000002001</v>
      </c>
      <c r="V1487" s="39" t="n">
        <f aca="false">IF(F1487="BUY",S1487-J1487,J1487-S1487)</f>
        <v>0.4699999999998</v>
      </c>
      <c r="W1487" s="6" t="n">
        <v>3.29</v>
      </c>
      <c r="X1487" s="26" t="n">
        <f aca="false">IFERROR(W1487/N1487,0)</f>
        <v>0.0783333333333333</v>
      </c>
      <c r="Y1487" s="22" t="str">
        <f aca="false">IF(W1487&gt;0,"Win",IF(W1487&lt;0,"Loss","Flat"))</f>
        <v>Win</v>
      </c>
      <c r="Z1487" s="24" t="n">
        <f aca="false">Summary!$C$5+SUM(W$2:W1487)</f>
        <v>4428.38</v>
      </c>
      <c r="AA1487" s="24" t="n">
        <f aca="false">MAX(AA1486,Z1487)</f>
        <v>5000</v>
      </c>
      <c r="AB1487" s="24" t="n">
        <f aca="false">AA1487-Z1487</f>
        <v>571.62</v>
      </c>
      <c r="AC1487" s="23" t="n">
        <f aca="false">IFERROR(AB1487/AA1487,0)</f>
        <v>0.114324</v>
      </c>
      <c r="AD1487" s="22" t="s">
        <v>1724</v>
      </c>
    </row>
    <row r="1488" customFormat="false" ht="15" hidden="false" customHeight="false" outlineLevel="0" collapsed="false">
      <c r="A1488" s="22" t="n">
        <v>1487</v>
      </c>
      <c r="B1488" s="22" t="s">
        <v>163</v>
      </c>
      <c r="C1488" s="37" t="n">
        <v>45980.4893171296</v>
      </c>
      <c r="D1488" s="22" t="s">
        <v>204</v>
      </c>
      <c r="E1488" s="22" t="n">
        <v>11</v>
      </c>
      <c r="F1488" s="22" t="s">
        <v>181</v>
      </c>
      <c r="G1488" s="22" t="s">
        <v>235</v>
      </c>
      <c r="H1488" s="22" t="n">
        <v>0.07</v>
      </c>
      <c r="I1488" s="38" t="n">
        <v>4098.42</v>
      </c>
      <c r="J1488" s="38" t="n">
        <v>4098.42</v>
      </c>
      <c r="K1488" s="39" t="n">
        <f aca="false">IF(F1488="BUY",J1488-I1488,I1488-J1488)</f>
        <v>0</v>
      </c>
      <c r="L1488" s="38" t="n">
        <v>4092.42</v>
      </c>
      <c r="M1488" s="39" t="n">
        <f aca="false">ABS(I1488-L1488)</f>
        <v>6</v>
      </c>
      <c r="N1488" s="24" t="n">
        <f aca="false">M1488*H1488*Summary!$C$6</f>
        <v>42</v>
      </c>
      <c r="O1488" s="37" t="n">
        <v>45980.7079513889</v>
      </c>
      <c r="P1488" s="22" t="n">
        <f aca="false">ROUND((O1488-C1488)*86400,0)</f>
        <v>18890</v>
      </c>
      <c r="Q1488" s="22" t="str">
        <f aca="false">IF(P1488&lt;10,"a) &lt;10s",IF(P1488&lt;60,"b) 10-60s",IF(P1488&lt;600,"c) 1-10min","d) &gt;10min")))</f>
        <v>d) &gt;10min</v>
      </c>
      <c r="R1488" s="38"/>
      <c r="S1488" s="38" t="n">
        <v>4128.6</v>
      </c>
      <c r="T1488" s="22" t="s">
        <v>187</v>
      </c>
      <c r="U1488" s="39" t="str">
        <f aca="false">IF(R1488="","",IF(F1488="BUY",R1488-S1488,S1488-R1488))</f>
        <v/>
      </c>
      <c r="V1488" s="39" t="n">
        <f aca="false">IF(F1488="BUY",S1488-J1488,J1488-S1488)</f>
        <v>30.1800000000003</v>
      </c>
      <c r="W1488" s="6" t="n">
        <v>211.26</v>
      </c>
      <c r="X1488" s="26" t="n">
        <f aca="false">IFERROR(W1488/N1488,0)</f>
        <v>5.03</v>
      </c>
      <c r="Y1488" s="22" t="str">
        <f aca="false">IF(W1488&gt;0,"Win",IF(W1488&lt;0,"Loss","Flat"))</f>
        <v>Win</v>
      </c>
      <c r="Z1488" s="24" t="n">
        <f aca="false">Summary!$C$5+SUM(W$2:W1488)</f>
        <v>4639.64</v>
      </c>
      <c r="AA1488" s="24" t="n">
        <f aca="false">MAX(AA1487,Z1488)</f>
        <v>5000</v>
      </c>
      <c r="AB1488" s="24" t="n">
        <f aca="false">AA1488-Z1488</f>
        <v>360.36</v>
      </c>
      <c r="AC1488" s="23" t="n">
        <f aca="false">IFERROR(AB1488/AA1488,0)</f>
        <v>0.0720719999999999</v>
      </c>
      <c r="AD1488" s="22" t="s">
        <v>1725</v>
      </c>
    </row>
    <row r="1489" customFormat="false" ht="15" hidden="false" customHeight="false" outlineLevel="0" collapsed="false">
      <c r="A1489" s="22" t="n">
        <v>1488</v>
      </c>
      <c r="B1489" s="22" t="s">
        <v>163</v>
      </c>
      <c r="C1489" s="37" t="n">
        <v>45981.1786458333</v>
      </c>
      <c r="D1489" s="22" t="s">
        <v>205</v>
      </c>
      <c r="E1489" s="22" t="n">
        <v>4</v>
      </c>
      <c r="F1489" s="22" t="s">
        <v>182</v>
      </c>
      <c r="G1489" s="22" t="s">
        <v>237</v>
      </c>
      <c r="H1489" s="22" t="n">
        <v>0.07</v>
      </c>
      <c r="I1489" s="38" t="n">
        <v>4055.25</v>
      </c>
      <c r="J1489" s="38" t="n">
        <v>4055.25</v>
      </c>
      <c r="K1489" s="39" t="n">
        <f aca="false">IF(F1489="BUY",J1489-I1489,I1489-J1489)</f>
        <v>0</v>
      </c>
      <c r="L1489" s="38" t="n">
        <v>4061.25</v>
      </c>
      <c r="M1489" s="39" t="n">
        <f aca="false">ABS(I1489-L1489)</f>
        <v>6</v>
      </c>
      <c r="N1489" s="24" t="n">
        <f aca="false">M1489*H1489*Summary!$C$6</f>
        <v>42</v>
      </c>
      <c r="O1489" s="37" t="n">
        <v>45981.1786689815</v>
      </c>
      <c r="P1489" s="22" t="n">
        <f aca="false">ROUND((O1489-C1489)*86400,0)</f>
        <v>2</v>
      </c>
      <c r="Q1489" s="22" t="str">
        <f aca="false">IF(P1489&lt;10,"a) &lt;10s",IF(P1489&lt;60,"b) 10-60s",IF(P1489&lt;600,"c) 1-10min","d) &gt;10min")))</f>
        <v>a) &lt;10s</v>
      </c>
      <c r="R1489" s="38" t="n">
        <v>4054.75</v>
      </c>
      <c r="S1489" s="38" t="n">
        <v>4054.9</v>
      </c>
      <c r="T1489" s="22" t="s">
        <v>189</v>
      </c>
      <c r="U1489" s="39" t="n">
        <f aca="false">IF(R1489="","",IF(F1489="BUY",R1489-S1489,S1489-R1489))</f>
        <v>0.150000000000091</v>
      </c>
      <c r="V1489" s="39" t="n">
        <f aca="false">IF(F1489="BUY",S1489-J1489,J1489-S1489)</f>
        <v>0.349999999999909</v>
      </c>
      <c r="W1489" s="6" t="n">
        <v>2.45</v>
      </c>
      <c r="X1489" s="26" t="n">
        <f aca="false">IFERROR(W1489/N1489,0)</f>
        <v>0.0583333333333333</v>
      </c>
      <c r="Y1489" s="22" t="str">
        <f aca="false">IF(W1489&gt;0,"Win",IF(W1489&lt;0,"Loss","Flat"))</f>
        <v>Win</v>
      </c>
      <c r="Z1489" s="24" t="n">
        <f aca="false">Summary!$C$5+SUM(W$2:W1489)</f>
        <v>4642.09</v>
      </c>
      <c r="AA1489" s="24" t="n">
        <f aca="false">MAX(AA1488,Z1489)</f>
        <v>5000</v>
      </c>
      <c r="AB1489" s="24" t="n">
        <f aca="false">AA1489-Z1489</f>
        <v>357.91</v>
      </c>
      <c r="AC1489" s="23" t="n">
        <f aca="false">IFERROR(AB1489/AA1489,0)</f>
        <v>0.071582</v>
      </c>
      <c r="AD1489" s="22" t="s">
        <v>1726</v>
      </c>
    </row>
    <row r="1490" customFormat="false" ht="15" hidden="false" customHeight="false" outlineLevel="0" collapsed="false">
      <c r="A1490" s="22" t="n">
        <v>1489</v>
      </c>
      <c r="B1490" s="22" t="s">
        <v>163</v>
      </c>
      <c r="C1490" s="37" t="n">
        <v>45981.4063425926</v>
      </c>
      <c r="D1490" s="22" t="s">
        <v>205</v>
      </c>
      <c r="E1490" s="22" t="n">
        <v>9</v>
      </c>
      <c r="F1490" s="22" t="s">
        <v>182</v>
      </c>
      <c r="G1490" s="22" t="s">
        <v>241</v>
      </c>
      <c r="H1490" s="22" t="n">
        <v>0.07</v>
      </c>
      <c r="I1490" s="38" t="n">
        <v>4058.29</v>
      </c>
      <c r="J1490" s="38" t="n">
        <v>4057.99</v>
      </c>
      <c r="K1490" s="39" t="n">
        <f aca="false">IF(F1490="BUY",J1490-I1490,I1490-J1490)</f>
        <v>0.300000000000182</v>
      </c>
      <c r="L1490" s="38" t="n">
        <v>4064.29</v>
      </c>
      <c r="M1490" s="39" t="n">
        <f aca="false">ABS(I1490-L1490)</f>
        <v>6</v>
      </c>
      <c r="N1490" s="24" t="n">
        <f aca="false">M1490*H1490*Summary!$C$6</f>
        <v>42</v>
      </c>
      <c r="O1490" s="37" t="n">
        <v>45981.4075694445</v>
      </c>
      <c r="P1490" s="22" t="n">
        <f aca="false">ROUND((O1490-C1490)*86400,0)</f>
        <v>106</v>
      </c>
      <c r="Q1490" s="22" t="str">
        <f aca="false">IF(P1490&lt;10,"a) &lt;10s",IF(P1490&lt;60,"b) 10-60s",IF(P1490&lt;600,"c) 1-10min","d) &gt;10min")))</f>
        <v>c) 1-10min</v>
      </c>
      <c r="R1490" s="38" t="n">
        <v>4057.49</v>
      </c>
      <c r="S1490" s="38" t="n">
        <v>4057.51</v>
      </c>
      <c r="T1490" s="22" t="s">
        <v>189</v>
      </c>
      <c r="U1490" s="39" t="n">
        <f aca="false">IF(R1490="","",IF(F1490="BUY",R1490-S1490,S1490-R1490))</f>
        <v>0.0200000000004366</v>
      </c>
      <c r="V1490" s="39" t="n">
        <f aca="false">IF(F1490="BUY",S1490-J1490,J1490-S1490)</f>
        <v>0.479999999999563</v>
      </c>
      <c r="W1490" s="6" t="n">
        <v>3.36</v>
      </c>
      <c r="X1490" s="26" t="n">
        <f aca="false">IFERROR(W1490/N1490,0)</f>
        <v>0.08</v>
      </c>
      <c r="Y1490" s="22" t="str">
        <f aca="false">IF(W1490&gt;0,"Win",IF(W1490&lt;0,"Loss","Flat"))</f>
        <v>Win</v>
      </c>
      <c r="Z1490" s="24" t="n">
        <f aca="false">Summary!$C$5+SUM(W$2:W1490)</f>
        <v>4645.45</v>
      </c>
      <c r="AA1490" s="24" t="n">
        <f aca="false">MAX(AA1489,Z1490)</f>
        <v>5000</v>
      </c>
      <c r="AB1490" s="24" t="n">
        <f aca="false">AA1490-Z1490</f>
        <v>354.55</v>
      </c>
      <c r="AC1490" s="23" t="n">
        <f aca="false">IFERROR(AB1490/AA1490,0)</f>
        <v>0.07091</v>
      </c>
      <c r="AD1490" s="22" t="s">
        <v>1727</v>
      </c>
    </row>
    <row r="1491" customFormat="false" ht="15" hidden="false" customHeight="false" outlineLevel="0" collapsed="false">
      <c r="A1491" s="22" t="n">
        <v>1490</v>
      </c>
      <c r="B1491" s="22" t="s">
        <v>163</v>
      </c>
      <c r="C1491" s="37" t="n">
        <v>45982.352962963</v>
      </c>
      <c r="D1491" s="22" t="s">
        <v>206</v>
      </c>
      <c r="E1491" s="22" t="n">
        <v>8</v>
      </c>
      <c r="F1491" s="22" t="s">
        <v>182</v>
      </c>
      <c r="G1491" s="22" t="s">
        <v>237</v>
      </c>
      <c r="H1491" s="22" t="n">
        <v>0.07</v>
      </c>
      <c r="I1491" s="38" t="n">
        <v>4038.61</v>
      </c>
      <c r="J1491" s="38" t="n">
        <v>4036.11</v>
      </c>
      <c r="K1491" s="39" t="n">
        <f aca="false">IF(F1491="BUY",J1491-I1491,I1491-J1491)</f>
        <v>2.5</v>
      </c>
      <c r="L1491" s="38" t="n">
        <v>4044.61</v>
      </c>
      <c r="M1491" s="39" t="n">
        <f aca="false">ABS(I1491-L1491)</f>
        <v>6</v>
      </c>
      <c r="N1491" s="24" t="n">
        <f aca="false">M1491*H1491*Summary!$C$6</f>
        <v>42</v>
      </c>
      <c r="O1491" s="37" t="n">
        <v>45982.3545023148</v>
      </c>
      <c r="P1491" s="22" t="n">
        <f aca="false">ROUND((O1491-C1491)*86400,0)</f>
        <v>133</v>
      </c>
      <c r="Q1491" s="22" t="str">
        <f aca="false">IF(P1491&lt;10,"a) &lt;10s",IF(P1491&lt;60,"b) 10-60s",IF(P1491&lt;600,"c) 1-10min","d) &gt;10min")))</f>
        <v>c) 1-10min</v>
      </c>
      <c r="R1491" s="38" t="n">
        <v>4035.61</v>
      </c>
      <c r="S1491" s="38" t="n">
        <v>4035.61</v>
      </c>
      <c r="T1491" s="22" t="s">
        <v>189</v>
      </c>
      <c r="U1491" s="39" t="n">
        <f aca="false">IF(R1491="","",IF(F1491="BUY",R1491-S1491,S1491-R1491))</f>
        <v>0</v>
      </c>
      <c r="V1491" s="39" t="n">
        <f aca="false">IF(F1491="BUY",S1491-J1491,J1491-S1491)</f>
        <v>0.5</v>
      </c>
      <c r="W1491" s="6" t="n">
        <v>3.5</v>
      </c>
      <c r="X1491" s="26" t="n">
        <f aca="false">IFERROR(W1491/N1491,0)</f>
        <v>0.0833333333333333</v>
      </c>
      <c r="Y1491" s="22" t="str">
        <f aca="false">IF(W1491&gt;0,"Win",IF(W1491&lt;0,"Loss","Flat"))</f>
        <v>Win</v>
      </c>
      <c r="Z1491" s="24" t="n">
        <f aca="false">Summary!$C$5+SUM(W$2:W1491)</f>
        <v>4648.95</v>
      </c>
      <c r="AA1491" s="24" t="n">
        <f aca="false">MAX(AA1490,Z1491)</f>
        <v>5000</v>
      </c>
      <c r="AB1491" s="24" t="n">
        <f aca="false">AA1491-Z1491</f>
        <v>351.05</v>
      </c>
      <c r="AC1491" s="23" t="n">
        <f aca="false">IFERROR(AB1491/AA1491,0)</f>
        <v>0.07021</v>
      </c>
      <c r="AD1491" s="22" t="s">
        <v>1728</v>
      </c>
    </row>
    <row r="1492" customFormat="false" ht="15" hidden="false" customHeight="false" outlineLevel="0" collapsed="false">
      <c r="A1492" s="22" t="n">
        <v>1491</v>
      </c>
      <c r="B1492" s="22" t="s">
        <v>163</v>
      </c>
      <c r="C1492" s="37" t="n">
        <v>45982.3758680556</v>
      </c>
      <c r="D1492" s="22" t="s">
        <v>206</v>
      </c>
      <c r="E1492" s="22" t="n">
        <v>9</v>
      </c>
      <c r="F1492" s="22" t="s">
        <v>182</v>
      </c>
      <c r="G1492" s="22" t="s">
        <v>241</v>
      </c>
      <c r="H1492" s="22" t="n">
        <v>0.07</v>
      </c>
      <c r="I1492" s="38" t="n">
        <v>4028.97</v>
      </c>
      <c r="J1492" s="38" t="n">
        <v>4028.9</v>
      </c>
      <c r="K1492" s="39" t="n">
        <f aca="false">IF(F1492="BUY",J1492-I1492,I1492-J1492)</f>
        <v>0.069999999999709</v>
      </c>
      <c r="L1492" s="38" t="n">
        <v>4034.97</v>
      </c>
      <c r="M1492" s="39" t="n">
        <f aca="false">ABS(I1492-L1492)</f>
        <v>6</v>
      </c>
      <c r="N1492" s="24" t="n">
        <f aca="false">M1492*H1492*Summary!$C$6</f>
        <v>42</v>
      </c>
      <c r="O1492" s="37" t="n">
        <v>45982.3762152778</v>
      </c>
      <c r="P1492" s="22" t="n">
        <f aca="false">ROUND((O1492-C1492)*86400,0)</f>
        <v>30</v>
      </c>
      <c r="Q1492" s="22" t="str">
        <f aca="false">IF(P1492&lt;10,"a) &lt;10s",IF(P1492&lt;60,"b) 10-60s",IF(P1492&lt;600,"c) 1-10min","d) &gt;10min")))</f>
        <v>b) 10-60s</v>
      </c>
      <c r="R1492" s="38" t="n">
        <v>4028.4</v>
      </c>
      <c r="S1492" s="38" t="n">
        <v>4028.43</v>
      </c>
      <c r="T1492" s="22" t="s">
        <v>189</v>
      </c>
      <c r="U1492" s="39" t="n">
        <f aca="false">IF(R1492="","",IF(F1492="BUY",R1492-S1492,S1492-R1492))</f>
        <v>0.0299999999997453</v>
      </c>
      <c r="V1492" s="39" t="n">
        <f aca="false">IF(F1492="BUY",S1492-J1492,J1492-S1492)</f>
        <v>0.470000000000255</v>
      </c>
      <c r="W1492" s="6" t="n">
        <v>3.29</v>
      </c>
      <c r="X1492" s="26" t="n">
        <f aca="false">IFERROR(W1492/N1492,0)</f>
        <v>0.0783333333333333</v>
      </c>
      <c r="Y1492" s="22" t="str">
        <f aca="false">IF(W1492&gt;0,"Win",IF(W1492&lt;0,"Loss","Flat"))</f>
        <v>Win</v>
      </c>
      <c r="Z1492" s="24" t="n">
        <f aca="false">Summary!$C$5+SUM(W$2:W1492)</f>
        <v>4652.24</v>
      </c>
      <c r="AA1492" s="24" t="n">
        <f aca="false">MAX(AA1491,Z1492)</f>
        <v>5000</v>
      </c>
      <c r="AB1492" s="24" t="n">
        <f aca="false">AA1492-Z1492</f>
        <v>347.76</v>
      </c>
      <c r="AC1492" s="23" t="n">
        <f aca="false">IFERROR(AB1492/AA1492,0)</f>
        <v>0.069552</v>
      </c>
      <c r="AD1492" s="22" t="s">
        <v>1729</v>
      </c>
    </row>
    <row r="1493" customFormat="false" ht="15" hidden="false" customHeight="false" outlineLevel="0" collapsed="false">
      <c r="A1493" s="22" t="n">
        <v>1492</v>
      </c>
      <c r="B1493" s="22" t="s">
        <v>163</v>
      </c>
      <c r="C1493" s="37" t="n">
        <v>45985.3784606482</v>
      </c>
      <c r="D1493" s="22" t="s">
        <v>202</v>
      </c>
      <c r="E1493" s="22" t="n">
        <v>9</v>
      </c>
      <c r="F1493" s="22" t="s">
        <v>181</v>
      </c>
      <c r="G1493" s="22" t="s">
        <v>235</v>
      </c>
      <c r="H1493" s="22" t="n">
        <v>0.07</v>
      </c>
      <c r="I1493" s="38" t="n">
        <v>4057.76</v>
      </c>
      <c r="J1493" s="38" t="n">
        <v>4057.82</v>
      </c>
      <c r="K1493" s="39" t="n">
        <f aca="false">IF(F1493="BUY",J1493-I1493,I1493-J1493)</f>
        <v>0.0599999999999454</v>
      </c>
      <c r="L1493" s="38" t="n">
        <v>4051.76</v>
      </c>
      <c r="M1493" s="39" t="n">
        <f aca="false">ABS(I1493-L1493)</f>
        <v>6</v>
      </c>
      <c r="N1493" s="24" t="n">
        <f aca="false">M1493*H1493*Summary!$C$6</f>
        <v>42</v>
      </c>
      <c r="O1493" s="37" t="n">
        <v>45985.3952546296</v>
      </c>
      <c r="P1493" s="22" t="n">
        <f aca="false">ROUND((O1493-C1493)*86400,0)</f>
        <v>1451</v>
      </c>
      <c r="Q1493" s="22" t="str">
        <f aca="false">IF(P1493&lt;10,"a) &lt;10s",IF(P1493&lt;60,"b) 10-60s",IF(P1493&lt;600,"c) 1-10min","d) &gt;10min")))</f>
        <v>d) &gt;10min</v>
      </c>
      <c r="R1493" s="38" t="n">
        <v>4051.76</v>
      </c>
      <c r="S1493" s="38" t="n">
        <v>4051.69</v>
      </c>
      <c r="T1493" s="22" t="s">
        <v>188</v>
      </c>
      <c r="U1493" s="39" t="n">
        <f aca="false">IF(R1493="","",IF(F1493="BUY",R1493-S1493,S1493-R1493))</f>
        <v>0.0700000000001637</v>
      </c>
      <c r="V1493" s="39" t="n">
        <f aca="false">IF(F1493="BUY",S1493-J1493,J1493-S1493)</f>
        <v>-6.13000000000011</v>
      </c>
      <c r="W1493" s="6" t="n">
        <v>-42.91</v>
      </c>
      <c r="X1493" s="26" t="n">
        <f aca="false">IFERROR(W1493/N1493,0)</f>
        <v>-1.02166666666667</v>
      </c>
      <c r="Y1493" s="22" t="str">
        <f aca="false">IF(W1493&gt;0,"Win",IF(W1493&lt;0,"Loss","Flat"))</f>
        <v>Loss</v>
      </c>
      <c r="Z1493" s="24" t="n">
        <f aca="false">Summary!$C$5+SUM(W$2:W1493)</f>
        <v>4609.33</v>
      </c>
      <c r="AA1493" s="24" t="n">
        <f aca="false">MAX(AA1492,Z1493)</f>
        <v>5000</v>
      </c>
      <c r="AB1493" s="24" t="n">
        <f aca="false">AA1493-Z1493</f>
        <v>390.67</v>
      </c>
      <c r="AC1493" s="23" t="n">
        <f aca="false">IFERROR(AB1493/AA1493,0)</f>
        <v>0.078134</v>
      </c>
      <c r="AD1493" s="22" t="s">
        <v>1730</v>
      </c>
    </row>
    <row r="1494" customFormat="false" ht="15" hidden="false" customHeight="false" outlineLevel="0" collapsed="false">
      <c r="A1494" s="22" t="n">
        <v>1493</v>
      </c>
      <c r="B1494" s="22" t="s">
        <v>163</v>
      </c>
      <c r="C1494" s="37" t="n">
        <v>45985.8568865741</v>
      </c>
      <c r="D1494" s="22" t="s">
        <v>202</v>
      </c>
      <c r="E1494" s="22" t="n">
        <v>20</v>
      </c>
      <c r="F1494" s="22" t="s">
        <v>181</v>
      </c>
      <c r="G1494" s="22" t="s">
        <v>243</v>
      </c>
      <c r="H1494" s="22" t="n">
        <v>0.07</v>
      </c>
      <c r="I1494" s="38" t="n">
        <v>4100.84</v>
      </c>
      <c r="J1494" s="38" t="n">
        <v>4100.85</v>
      </c>
      <c r="K1494" s="39" t="n">
        <f aca="false">IF(F1494="BUY",J1494-I1494,I1494-J1494)</f>
        <v>0.0100000000002183</v>
      </c>
      <c r="L1494" s="38" t="n">
        <v>4094.84</v>
      </c>
      <c r="M1494" s="39" t="n">
        <f aca="false">ABS(I1494-L1494)</f>
        <v>6</v>
      </c>
      <c r="N1494" s="24" t="n">
        <f aca="false">M1494*H1494*Summary!$C$6</f>
        <v>42</v>
      </c>
      <c r="O1494" s="37" t="n">
        <v>45985.9270833333</v>
      </c>
      <c r="P1494" s="22" t="n">
        <f aca="false">ROUND((O1494-C1494)*86400,0)</f>
        <v>6065</v>
      </c>
      <c r="Q1494" s="22" t="str">
        <f aca="false">IF(P1494&lt;10,"a) &lt;10s",IF(P1494&lt;60,"b) 10-60s",IF(P1494&lt;600,"c) 1-10min","d) &gt;10min")))</f>
        <v>d) &gt;10min</v>
      </c>
      <c r="R1494" s="38"/>
      <c r="S1494" s="38" t="n">
        <v>4121.64</v>
      </c>
      <c r="T1494" s="22" t="s">
        <v>191</v>
      </c>
      <c r="U1494" s="39" t="str">
        <f aca="false">IF(R1494="","",IF(F1494="BUY",R1494-S1494,S1494-R1494))</f>
        <v/>
      </c>
      <c r="V1494" s="39" t="n">
        <f aca="false">IF(F1494="BUY",S1494-J1494,J1494-S1494)</f>
        <v>20.79</v>
      </c>
      <c r="W1494" s="6" t="n">
        <v>145.53</v>
      </c>
      <c r="X1494" s="26" t="n">
        <f aca="false">IFERROR(W1494/N1494,0)</f>
        <v>3.465</v>
      </c>
      <c r="Y1494" s="22" t="str">
        <f aca="false">IF(W1494&gt;0,"Win",IF(W1494&lt;0,"Loss","Flat"))</f>
        <v>Win</v>
      </c>
      <c r="Z1494" s="24" t="n">
        <f aca="false">Summary!$C$5+SUM(W$2:W1494)</f>
        <v>4754.86</v>
      </c>
      <c r="AA1494" s="24" t="n">
        <f aca="false">MAX(AA1493,Z1494)</f>
        <v>5000</v>
      </c>
      <c r="AB1494" s="24" t="n">
        <f aca="false">AA1494-Z1494</f>
        <v>245.14</v>
      </c>
      <c r="AC1494" s="23" t="n">
        <f aca="false">IFERROR(AB1494/AA1494,0)</f>
        <v>0.0490280000000001</v>
      </c>
      <c r="AD1494" s="22" t="s">
        <v>1731</v>
      </c>
    </row>
    <row r="1495" customFormat="false" ht="15" hidden="false" customHeight="false" outlineLevel="0" collapsed="false">
      <c r="A1495" s="22" t="n">
        <v>1494</v>
      </c>
      <c r="B1495" s="22" t="s">
        <v>163</v>
      </c>
      <c r="C1495" s="37" t="n">
        <v>45986.0736805556</v>
      </c>
      <c r="D1495" s="22" t="s">
        <v>203</v>
      </c>
      <c r="E1495" s="22" t="n">
        <v>1</v>
      </c>
      <c r="F1495" s="22" t="s">
        <v>181</v>
      </c>
      <c r="G1495" s="22" t="s">
        <v>243</v>
      </c>
      <c r="H1495" s="22" t="n">
        <v>0.07</v>
      </c>
      <c r="I1495" s="38" t="n">
        <v>4139.64</v>
      </c>
      <c r="J1495" s="38" t="n">
        <v>4139.73</v>
      </c>
      <c r="K1495" s="39" t="n">
        <f aca="false">IF(F1495="BUY",J1495-I1495,I1495-J1495)</f>
        <v>0.089999999999236</v>
      </c>
      <c r="L1495" s="38" t="n">
        <v>4133.64</v>
      </c>
      <c r="M1495" s="39" t="n">
        <f aca="false">ABS(I1495-L1495)</f>
        <v>6</v>
      </c>
      <c r="N1495" s="24" t="n">
        <f aca="false">M1495*H1495*Summary!$C$6</f>
        <v>42</v>
      </c>
      <c r="O1495" s="37" t="n">
        <v>45986.0785763889</v>
      </c>
      <c r="P1495" s="22" t="n">
        <f aca="false">ROUND((O1495-C1495)*86400,0)</f>
        <v>423</v>
      </c>
      <c r="Q1495" s="22" t="str">
        <f aca="false">IF(P1495&lt;10,"a) &lt;10s",IF(P1495&lt;60,"b) 10-60s",IF(P1495&lt;600,"c) 1-10min","d) &gt;10min")))</f>
        <v>c) 1-10min</v>
      </c>
      <c r="R1495" s="38" t="n">
        <v>4140.23</v>
      </c>
      <c r="S1495" s="38" t="n">
        <v>4140.2</v>
      </c>
      <c r="T1495" s="22" t="s">
        <v>189</v>
      </c>
      <c r="U1495" s="39" t="n">
        <f aca="false">IF(R1495="","",IF(F1495="BUY",R1495-S1495,S1495-R1495))</f>
        <v>0.0299999999997453</v>
      </c>
      <c r="V1495" s="39" t="n">
        <f aca="false">IF(F1495="BUY",S1495-J1495,J1495-S1495)</f>
        <v>0.470000000000255</v>
      </c>
      <c r="W1495" s="6" t="n">
        <v>3.29</v>
      </c>
      <c r="X1495" s="26" t="n">
        <f aca="false">IFERROR(W1495/N1495,0)</f>
        <v>0.0783333333333333</v>
      </c>
      <c r="Y1495" s="22" t="str">
        <f aca="false">IF(W1495&gt;0,"Win",IF(W1495&lt;0,"Loss","Flat"))</f>
        <v>Win</v>
      </c>
      <c r="Z1495" s="24" t="n">
        <f aca="false">Summary!$C$5+SUM(W$2:W1495)</f>
        <v>4758.15</v>
      </c>
      <c r="AA1495" s="24" t="n">
        <f aca="false">MAX(AA1494,Z1495)</f>
        <v>5000</v>
      </c>
      <c r="AB1495" s="24" t="n">
        <f aca="false">AA1495-Z1495</f>
        <v>241.85</v>
      </c>
      <c r="AC1495" s="23" t="n">
        <f aca="false">IFERROR(AB1495/AA1495,0)</f>
        <v>0.0483700000000001</v>
      </c>
      <c r="AD1495" s="22" t="s">
        <v>1732</v>
      </c>
    </row>
    <row r="1496" customFormat="false" ht="15" hidden="false" customHeight="false" outlineLevel="0" collapsed="false">
      <c r="A1496" s="22" t="n">
        <v>1495</v>
      </c>
      <c r="B1496" s="22" t="s">
        <v>163</v>
      </c>
      <c r="C1496" s="37" t="n">
        <v>45986.3956828704</v>
      </c>
      <c r="D1496" s="22" t="s">
        <v>203</v>
      </c>
      <c r="E1496" s="22" t="n">
        <v>9</v>
      </c>
      <c r="F1496" s="22" t="s">
        <v>182</v>
      </c>
      <c r="G1496" s="22" t="s">
        <v>241</v>
      </c>
      <c r="H1496" s="22" t="n">
        <v>0.07</v>
      </c>
      <c r="I1496" s="38" t="n">
        <v>4138.37</v>
      </c>
      <c r="J1496" s="38" t="n">
        <v>4134.77</v>
      </c>
      <c r="K1496" s="39" t="n">
        <f aca="false">IF(F1496="BUY",J1496-I1496,I1496-J1496)</f>
        <v>3.59999999999945</v>
      </c>
      <c r="L1496" s="38" t="n">
        <v>4144.37</v>
      </c>
      <c r="M1496" s="39" t="n">
        <f aca="false">ABS(I1496-L1496)</f>
        <v>6</v>
      </c>
      <c r="N1496" s="24" t="n">
        <f aca="false">M1496*H1496*Summary!$C$6</f>
        <v>42</v>
      </c>
      <c r="O1496" s="37" t="n">
        <v>45986.4013425926</v>
      </c>
      <c r="P1496" s="22" t="n">
        <f aca="false">ROUND((O1496-C1496)*86400,0)</f>
        <v>489</v>
      </c>
      <c r="Q1496" s="22" t="str">
        <f aca="false">IF(P1496&lt;10,"a) &lt;10s",IF(P1496&lt;60,"b) 10-60s",IF(P1496&lt;600,"c) 1-10min","d) &gt;10min")))</f>
        <v>c) 1-10min</v>
      </c>
      <c r="R1496" s="38" t="n">
        <v>4134.27</v>
      </c>
      <c r="S1496" s="38" t="n">
        <v>4134.31</v>
      </c>
      <c r="T1496" s="22" t="s">
        <v>189</v>
      </c>
      <c r="U1496" s="39" t="n">
        <f aca="false">IF(R1496="","",IF(F1496="BUY",R1496-S1496,S1496-R1496))</f>
        <v>0.0399999999999636</v>
      </c>
      <c r="V1496" s="39" t="n">
        <f aca="false">IF(F1496="BUY",S1496-J1496,J1496-S1496)</f>
        <v>0.460000000000036</v>
      </c>
      <c r="W1496" s="6" t="n">
        <v>3.22</v>
      </c>
      <c r="X1496" s="26" t="n">
        <f aca="false">IFERROR(W1496/N1496,0)</f>
        <v>0.0766666666666667</v>
      </c>
      <c r="Y1496" s="22" t="str">
        <f aca="false">IF(W1496&gt;0,"Win",IF(W1496&lt;0,"Loss","Flat"))</f>
        <v>Win</v>
      </c>
      <c r="Z1496" s="24" t="n">
        <f aca="false">Summary!$C$5+SUM(W$2:W1496)</f>
        <v>4761.37</v>
      </c>
      <c r="AA1496" s="24" t="n">
        <f aca="false">MAX(AA1495,Z1496)</f>
        <v>5000</v>
      </c>
      <c r="AB1496" s="24" t="n">
        <f aca="false">AA1496-Z1496</f>
        <v>238.63</v>
      </c>
      <c r="AC1496" s="23" t="n">
        <f aca="false">IFERROR(AB1496/AA1496,0)</f>
        <v>0.047726</v>
      </c>
      <c r="AD1496" s="22" t="s">
        <v>1733</v>
      </c>
    </row>
    <row r="1497" customFormat="false" ht="15" hidden="false" customHeight="false" outlineLevel="0" collapsed="false">
      <c r="A1497" s="22" t="n">
        <v>1496</v>
      </c>
      <c r="B1497" s="22" t="s">
        <v>163</v>
      </c>
      <c r="C1497" s="37" t="n">
        <v>45987.1844675926</v>
      </c>
      <c r="D1497" s="22" t="s">
        <v>204</v>
      </c>
      <c r="E1497" s="22" t="n">
        <v>4</v>
      </c>
      <c r="F1497" s="22" t="s">
        <v>181</v>
      </c>
      <c r="G1497" s="22" t="s">
        <v>243</v>
      </c>
      <c r="H1497" s="22" t="n">
        <v>0.07</v>
      </c>
      <c r="I1497" s="38" t="n">
        <v>4159.05</v>
      </c>
      <c r="J1497" s="38" t="n">
        <v>4159.31</v>
      </c>
      <c r="K1497" s="39" t="n">
        <f aca="false">IF(F1497="BUY",J1497-I1497,I1497-J1497)</f>
        <v>0.260000000000218</v>
      </c>
      <c r="L1497" s="38" t="n">
        <v>4153.05</v>
      </c>
      <c r="M1497" s="39" t="n">
        <f aca="false">ABS(I1497-L1497)</f>
        <v>6</v>
      </c>
      <c r="N1497" s="24" t="n">
        <f aca="false">M1497*H1497*Summary!$C$6</f>
        <v>42</v>
      </c>
      <c r="O1497" s="37" t="n">
        <v>45987.1845949074</v>
      </c>
      <c r="P1497" s="22" t="n">
        <f aca="false">ROUND((O1497-C1497)*86400,0)</f>
        <v>11</v>
      </c>
      <c r="Q1497" s="22" t="str">
        <f aca="false">IF(P1497&lt;10,"a) &lt;10s",IF(P1497&lt;60,"b) 10-60s",IF(P1497&lt;600,"c) 1-10min","d) &gt;10min")))</f>
        <v>b) 10-60s</v>
      </c>
      <c r="R1497" s="38" t="n">
        <v>4159.81</v>
      </c>
      <c r="S1497" s="38" t="n">
        <v>4159.6</v>
      </c>
      <c r="T1497" s="22" t="s">
        <v>189</v>
      </c>
      <c r="U1497" s="39" t="n">
        <f aca="false">IF(R1497="","",IF(F1497="BUY",R1497-S1497,S1497-R1497))</f>
        <v>0.210000000000036</v>
      </c>
      <c r="V1497" s="39" t="n">
        <f aca="false">IF(F1497="BUY",S1497-J1497,J1497-S1497)</f>
        <v>0.289999999999964</v>
      </c>
      <c r="W1497" s="6" t="n">
        <v>2.03</v>
      </c>
      <c r="X1497" s="26" t="n">
        <f aca="false">IFERROR(W1497/N1497,0)</f>
        <v>0.0483333333333333</v>
      </c>
      <c r="Y1497" s="22" t="str">
        <f aca="false">IF(W1497&gt;0,"Win",IF(W1497&lt;0,"Loss","Flat"))</f>
        <v>Win</v>
      </c>
      <c r="Z1497" s="24" t="n">
        <f aca="false">Summary!$C$5+SUM(W$2:W1497)</f>
        <v>4763.4</v>
      </c>
      <c r="AA1497" s="24" t="n">
        <f aca="false">MAX(AA1496,Z1497)</f>
        <v>5000</v>
      </c>
      <c r="AB1497" s="24" t="n">
        <f aca="false">AA1497-Z1497</f>
        <v>236.6</v>
      </c>
      <c r="AC1497" s="23" t="n">
        <f aca="false">IFERROR(AB1497/AA1497,0)</f>
        <v>0.0473200000000001</v>
      </c>
      <c r="AD1497" s="22" t="s">
        <v>1734</v>
      </c>
    </row>
    <row r="1498" customFormat="false" ht="15" hidden="false" customHeight="false" outlineLevel="0" collapsed="false">
      <c r="A1498" s="22" t="n">
        <v>1497</v>
      </c>
      <c r="B1498" s="22" t="s">
        <v>163</v>
      </c>
      <c r="C1498" s="37" t="n">
        <v>45987.4305208333</v>
      </c>
      <c r="D1498" s="22" t="s">
        <v>204</v>
      </c>
      <c r="E1498" s="22" t="n">
        <v>10</v>
      </c>
      <c r="F1498" s="22" t="s">
        <v>181</v>
      </c>
      <c r="G1498" s="22" t="s">
        <v>235</v>
      </c>
      <c r="H1498" s="22" t="n">
        <v>0.07</v>
      </c>
      <c r="I1498" s="38" t="n">
        <v>4168.43</v>
      </c>
      <c r="J1498" s="38" t="n">
        <v>4168.44</v>
      </c>
      <c r="K1498" s="39" t="n">
        <f aca="false">IF(F1498="BUY",J1498-I1498,I1498-J1498)</f>
        <v>0.00999999999930878</v>
      </c>
      <c r="L1498" s="38" t="n">
        <v>4162.43</v>
      </c>
      <c r="M1498" s="39" t="n">
        <f aca="false">ABS(I1498-L1498)</f>
        <v>6</v>
      </c>
      <c r="N1498" s="24" t="n">
        <f aca="false">M1498*H1498*Summary!$C$6</f>
        <v>42</v>
      </c>
      <c r="O1498" s="37" t="n">
        <v>45987.440162037</v>
      </c>
      <c r="P1498" s="22" t="n">
        <f aca="false">ROUND((O1498-C1498)*86400,0)</f>
        <v>833</v>
      </c>
      <c r="Q1498" s="22" t="str">
        <f aca="false">IF(P1498&lt;10,"a) &lt;10s",IF(P1498&lt;60,"b) 10-60s",IF(P1498&lt;600,"c) 1-10min","d) &gt;10min")))</f>
        <v>d) &gt;10min</v>
      </c>
      <c r="R1498" s="38" t="n">
        <v>4162.43</v>
      </c>
      <c r="S1498" s="38" t="n">
        <v>4162.42</v>
      </c>
      <c r="T1498" s="22" t="s">
        <v>188</v>
      </c>
      <c r="U1498" s="39" t="n">
        <f aca="false">IF(R1498="","",IF(F1498="BUY",R1498-S1498,S1498-R1498))</f>
        <v>0.0100000000002183</v>
      </c>
      <c r="V1498" s="39" t="n">
        <f aca="false">IF(F1498="BUY",S1498-J1498,J1498-S1498)</f>
        <v>-6.01999999999953</v>
      </c>
      <c r="W1498" s="6" t="n">
        <v>-42.14</v>
      </c>
      <c r="X1498" s="26" t="n">
        <f aca="false">IFERROR(W1498/N1498,0)</f>
        <v>-1.00333333333333</v>
      </c>
      <c r="Y1498" s="22" t="str">
        <f aca="false">IF(W1498&gt;0,"Win",IF(W1498&lt;0,"Loss","Flat"))</f>
        <v>Loss</v>
      </c>
      <c r="Z1498" s="24" t="n">
        <f aca="false">Summary!$C$5+SUM(W$2:W1498)</f>
        <v>4721.26</v>
      </c>
      <c r="AA1498" s="24" t="n">
        <f aca="false">MAX(AA1497,Z1498)</f>
        <v>5000</v>
      </c>
      <c r="AB1498" s="24" t="n">
        <f aca="false">AA1498-Z1498</f>
        <v>278.74</v>
      </c>
      <c r="AC1498" s="23" t="n">
        <f aca="false">IFERROR(AB1498/AA1498,0)</f>
        <v>0.055748</v>
      </c>
      <c r="AD1498" s="22" t="s">
        <v>1735</v>
      </c>
    </row>
    <row r="1499" customFormat="false" ht="15" hidden="false" customHeight="false" outlineLevel="0" collapsed="false">
      <c r="A1499" s="22" t="n">
        <v>1498</v>
      </c>
      <c r="B1499" s="22" t="s">
        <v>163</v>
      </c>
      <c r="C1499" s="37" t="n">
        <v>45988.3842939815</v>
      </c>
      <c r="D1499" s="22" t="s">
        <v>205</v>
      </c>
      <c r="E1499" s="22" t="n">
        <v>9</v>
      </c>
      <c r="F1499" s="22" t="s">
        <v>181</v>
      </c>
      <c r="G1499" s="22" t="s">
        <v>235</v>
      </c>
      <c r="H1499" s="22" t="n">
        <v>0.07</v>
      </c>
      <c r="I1499" s="38" t="n">
        <v>4159</v>
      </c>
      <c r="J1499" s="38" t="n">
        <v>4159.07</v>
      </c>
      <c r="K1499" s="39" t="n">
        <f aca="false">IF(F1499="BUY",J1499-I1499,I1499-J1499)</f>
        <v>0.069999999999709</v>
      </c>
      <c r="L1499" s="38" t="n">
        <v>4153</v>
      </c>
      <c r="M1499" s="39" t="n">
        <f aca="false">ABS(I1499-L1499)</f>
        <v>6</v>
      </c>
      <c r="N1499" s="24" t="n">
        <f aca="false">M1499*H1499*Summary!$C$6</f>
        <v>42</v>
      </c>
      <c r="O1499" s="37" t="n">
        <v>45988.3870486111</v>
      </c>
      <c r="P1499" s="22" t="n">
        <f aca="false">ROUND((O1499-C1499)*86400,0)</f>
        <v>238</v>
      </c>
      <c r="Q1499" s="22" t="str">
        <f aca="false">IF(P1499&lt;10,"a) &lt;10s",IF(P1499&lt;60,"b) 10-60s",IF(P1499&lt;600,"c) 1-10min","d) &gt;10min")))</f>
        <v>c) 1-10min</v>
      </c>
      <c r="R1499" s="38" t="n">
        <v>4159.57</v>
      </c>
      <c r="S1499" s="38" t="n">
        <v>4159.57</v>
      </c>
      <c r="T1499" s="22" t="s">
        <v>189</v>
      </c>
      <c r="U1499" s="39" t="n">
        <f aca="false">IF(R1499="","",IF(F1499="BUY",R1499-S1499,S1499-R1499))</f>
        <v>0</v>
      </c>
      <c r="V1499" s="39" t="n">
        <f aca="false">IF(F1499="BUY",S1499-J1499,J1499-S1499)</f>
        <v>0.5</v>
      </c>
      <c r="W1499" s="6" t="n">
        <v>3.5</v>
      </c>
      <c r="X1499" s="26" t="n">
        <f aca="false">IFERROR(W1499/N1499,0)</f>
        <v>0.0833333333333333</v>
      </c>
      <c r="Y1499" s="22" t="str">
        <f aca="false">IF(W1499&gt;0,"Win",IF(W1499&lt;0,"Loss","Flat"))</f>
        <v>Win</v>
      </c>
      <c r="Z1499" s="24" t="n">
        <f aca="false">Summary!$C$5+SUM(W$2:W1499)</f>
        <v>4724.76</v>
      </c>
      <c r="AA1499" s="24" t="n">
        <f aca="false">MAX(AA1498,Z1499)</f>
        <v>5000</v>
      </c>
      <c r="AB1499" s="24" t="n">
        <f aca="false">AA1499-Z1499</f>
        <v>275.24</v>
      </c>
      <c r="AC1499" s="23" t="n">
        <f aca="false">IFERROR(AB1499/AA1499,0)</f>
        <v>0.055048</v>
      </c>
      <c r="AD1499" s="22" t="s">
        <v>1736</v>
      </c>
    </row>
    <row r="1500" customFormat="false" ht="15" hidden="false" customHeight="false" outlineLevel="0" collapsed="false">
      <c r="A1500" s="22" t="n">
        <v>1499</v>
      </c>
      <c r="B1500" s="22" t="s">
        <v>163</v>
      </c>
      <c r="C1500" s="37" t="n">
        <v>45989.0884259259</v>
      </c>
      <c r="D1500" s="22" t="s">
        <v>206</v>
      </c>
      <c r="E1500" s="22" t="n">
        <v>2</v>
      </c>
      <c r="F1500" s="22" t="s">
        <v>181</v>
      </c>
      <c r="G1500" s="22" t="s">
        <v>243</v>
      </c>
      <c r="H1500" s="22" t="n">
        <v>0.07</v>
      </c>
      <c r="I1500" s="38" t="n">
        <v>4168.41</v>
      </c>
      <c r="J1500" s="38" t="n">
        <v>4168.52</v>
      </c>
      <c r="K1500" s="39" t="n">
        <f aca="false">IF(F1500="BUY",J1500-I1500,I1500-J1500)</f>
        <v>0.110000000000582</v>
      </c>
      <c r="L1500" s="38" t="n">
        <v>4162.41</v>
      </c>
      <c r="M1500" s="39" t="n">
        <f aca="false">ABS(I1500-L1500)</f>
        <v>6</v>
      </c>
      <c r="N1500" s="24" t="n">
        <f aca="false">M1500*H1500*Summary!$C$6</f>
        <v>42</v>
      </c>
      <c r="O1500" s="37" t="n">
        <v>45989.4193402778</v>
      </c>
      <c r="P1500" s="22" t="n">
        <f aca="false">ROUND((O1500-C1500)*86400,0)</f>
        <v>28591</v>
      </c>
      <c r="Q1500" s="22" t="str">
        <f aca="false">IF(P1500&lt;10,"a) &lt;10s",IF(P1500&lt;60,"b) 10-60s",IF(P1500&lt;600,"c) 1-10min","d) &gt;10min")))</f>
        <v>d) &gt;10min</v>
      </c>
      <c r="R1500" s="38" t="n">
        <v>4169.02</v>
      </c>
      <c r="S1500" s="38" t="n">
        <v>4166.16</v>
      </c>
      <c r="T1500" s="22" t="s">
        <v>189</v>
      </c>
      <c r="U1500" s="39" t="n">
        <f aca="false">IF(R1500="","",IF(F1500="BUY",R1500-S1500,S1500-R1500))</f>
        <v>2.86000000000058</v>
      </c>
      <c r="V1500" s="39" t="n">
        <f aca="false">IF(F1500="BUY",S1500-J1500,J1500-S1500)</f>
        <v>-2.36000000000058</v>
      </c>
      <c r="W1500" s="6" t="n">
        <v>-16.52</v>
      </c>
      <c r="X1500" s="26" t="n">
        <f aca="false">IFERROR(W1500/N1500,0)</f>
        <v>-0.393333333333333</v>
      </c>
      <c r="Y1500" s="22" t="str">
        <f aca="false">IF(W1500&gt;0,"Win",IF(W1500&lt;0,"Loss","Flat"))</f>
        <v>Loss</v>
      </c>
      <c r="Z1500" s="24" t="n">
        <f aca="false">Summary!$C$5+SUM(W$2:W1500)</f>
        <v>4708.24</v>
      </c>
      <c r="AA1500" s="24" t="n">
        <f aca="false">MAX(AA1499,Z1500)</f>
        <v>5000</v>
      </c>
      <c r="AB1500" s="24" t="n">
        <f aca="false">AA1500-Z1500</f>
        <v>291.76</v>
      </c>
      <c r="AC1500" s="23" t="n">
        <f aca="false">IFERROR(AB1500/AA1500,0)</f>
        <v>0.058352</v>
      </c>
      <c r="AD1500" s="22" t="s">
        <v>1737</v>
      </c>
    </row>
    <row r="1501" customFormat="false" ht="15" hidden="false" customHeight="false" outlineLevel="0" collapsed="false">
      <c r="A1501" s="22" t="n">
        <v>1500</v>
      </c>
      <c r="B1501" s="22" t="s">
        <v>163</v>
      </c>
      <c r="C1501" s="37" t="n">
        <v>45989.66875</v>
      </c>
      <c r="D1501" s="22" t="s">
        <v>206</v>
      </c>
      <c r="E1501" s="22" t="n">
        <v>16</v>
      </c>
      <c r="F1501" s="22" t="s">
        <v>181</v>
      </c>
      <c r="G1501" s="22" t="s">
        <v>235</v>
      </c>
      <c r="H1501" s="22" t="n">
        <v>0.07</v>
      </c>
      <c r="I1501" s="38" t="n">
        <v>4188.52</v>
      </c>
      <c r="J1501" s="38" t="n">
        <v>4188.62</v>
      </c>
      <c r="K1501" s="39" t="n">
        <f aca="false">IF(F1501="BUY",J1501-I1501,I1501-J1501)</f>
        <v>0.0999999999994543</v>
      </c>
      <c r="L1501" s="38" t="n">
        <v>4182.52</v>
      </c>
      <c r="M1501" s="39" t="n">
        <f aca="false">ABS(I1501-L1501)</f>
        <v>6</v>
      </c>
      <c r="N1501" s="24" t="n">
        <f aca="false">M1501*H1501*Summary!$C$6</f>
        <v>42</v>
      </c>
      <c r="O1501" s="37" t="n">
        <v>45989.7156712963</v>
      </c>
      <c r="P1501" s="22" t="n">
        <f aca="false">ROUND((O1501-C1501)*86400,0)</f>
        <v>4054</v>
      </c>
      <c r="Q1501" s="22" t="str">
        <f aca="false">IF(P1501&lt;10,"a) &lt;10s",IF(P1501&lt;60,"b) 10-60s",IF(P1501&lt;600,"c) 1-10min","d) &gt;10min")))</f>
        <v>d) &gt;10min</v>
      </c>
      <c r="R1501" s="38" t="n">
        <v>4189.12</v>
      </c>
      <c r="S1501" s="38" t="n">
        <v>4189.11</v>
      </c>
      <c r="T1501" s="22" t="s">
        <v>189</v>
      </c>
      <c r="U1501" s="39" t="n">
        <f aca="false">IF(R1501="","",IF(F1501="BUY",R1501-S1501,S1501-R1501))</f>
        <v>0.0100000000002183</v>
      </c>
      <c r="V1501" s="39" t="n">
        <f aca="false">IF(F1501="BUY",S1501-J1501,J1501-S1501)</f>
        <v>0.489999999999782</v>
      </c>
      <c r="W1501" s="6" t="n">
        <v>3.43</v>
      </c>
      <c r="X1501" s="26" t="n">
        <f aca="false">IFERROR(W1501/N1501,0)</f>
        <v>0.0816666666666667</v>
      </c>
      <c r="Y1501" s="22" t="str">
        <f aca="false">IF(W1501&gt;0,"Win",IF(W1501&lt;0,"Loss","Flat"))</f>
        <v>Win</v>
      </c>
      <c r="Z1501" s="24" t="n">
        <f aca="false">Summary!$C$5+SUM(W$2:W1501)</f>
        <v>4711.67</v>
      </c>
      <c r="AA1501" s="24" t="n">
        <f aca="false">MAX(AA1500,Z1501)</f>
        <v>5000</v>
      </c>
      <c r="AB1501" s="24" t="n">
        <f aca="false">AA1501-Z1501</f>
        <v>288.33</v>
      </c>
      <c r="AC1501" s="23" t="n">
        <f aca="false">IFERROR(AB1501/AA1501,0)</f>
        <v>0.057666</v>
      </c>
      <c r="AD1501" s="22" t="s">
        <v>1738</v>
      </c>
    </row>
    <row r="1502" customFormat="false" ht="15" hidden="false" customHeight="false" outlineLevel="0" collapsed="false">
      <c r="A1502" s="22" t="n">
        <v>1501</v>
      </c>
      <c r="B1502" s="22" t="s">
        <v>164</v>
      </c>
      <c r="C1502" s="37" t="n">
        <v>45992.4149305556</v>
      </c>
      <c r="D1502" s="22" t="s">
        <v>202</v>
      </c>
      <c r="E1502" s="22" t="n">
        <v>9</v>
      </c>
      <c r="F1502" s="22" t="s">
        <v>181</v>
      </c>
      <c r="G1502" s="22" t="s">
        <v>235</v>
      </c>
      <c r="H1502" s="22" t="n">
        <v>0.07</v>
      </c>
      <c r="I1502" s="38" t="n">
        <v>4246.38</v>
      </c>
      <c r="J1502" s="38" t="n">
        <v>4246.38</v>
      </c>
      <c r="K1502" s="39" t="n">
        <f aca="false">IF(F1502="BUY",J1502-I1502,I1502-J1502)</f>
        <v>0</v>
      </c>
      <c r="L1502" s="38" t="n">
        <v>4240.38</v>
      </c>
      <c r="M1502" s="39" t="n">
        <f aca="false">ABS(I1502-L1502)</f>
        <v>6</v>
      </c>
      <c r="N1502" s="24" t="n">
        <f aca="false">M1502*H1502*Summary!$C$6</f>
        <v>42</v>
      </c>
      <c r="O1502" s="37" t="n">
        <v>45992.4212962963</v>
      </c>
      <c r="P1502" s="22" t="n">
        <f aca="false">ROUND((O1502-C1502)*86400,0)</f>
        <v>550</v>
      </c>
      <c r="Q1502" s="22" t="str">
        <f aca="false">IF(P1502&lt;10,"a) &lt;10s",IF(P1502&lt;60,"b) 10-60s",IF(P1502&lt;600,"c) 1-10min","d) &gt;10min")))</f>
        <v>c) 1-10min</v>
      </c>
      <c r="R1502" s="38" t="n">
        <v>4246.88</v>
      </c>
      <c r="S1502" s="38" t="n">
        <v>4246.73</v>
      </c>
      <c r="T1502" s="22" t="s">
        <v>189</v>
      </c>
      <c r="U1502" s="39" t="n">
        <f aca="false">IF(R1502="","",IF(F1502="BUY",R1502-S1502,S1502-R1502))</f>
        <v>0.150000000000546</v>
      </c>
      <c r="V1502" s="39" t="n">
        <f aca="false">IF(F1502="BUY",S1502-J1502,J1502-S1502)</f>
        <v>0.349999999999454</v>
      </c>
      <c r="W1502" s="6" t="n">
        <v>2.45</v>
      </c>
      <c r="X1502" s="26" t="n">
        <f aca="false">IFERROR(W1502/N1502,0)</f>
        <v>0.0583333333333333</v>
      </c>
      <c r="Y1502" s="22" t="str">
        <f aca="false">IF(W1502&gt;0,"Win",IF(W1502&lt;0,"Loss","Flat"))</f>
        <v>Win</v>
      </c>
      <c r="Z1502" s="24" t="n">
        <f aca="false">Summary!$C$5+SUM(W$2:W1502)</f>
        <v>4714.12</v>
      </c>
      <c r="AA1502" s="24" t="n">
        <f aca="false">MAX(AA1501,Z1502)</f>
        <v>5000</v>
      </c>
      <c r="AB1502" s="24" t="n">
        <f aca="false">AA1502-Z1502</f>
        <v>285.88</v>
      </c>
      <c r="AC1502" s="23" t="n">
        <f aca="false">IFERROR(AB1502/AA1502,0)</f>
        <v>0.057176</v>
      </c>
      <c r="AD1502" s="22" t="s">
        <v>1739</v>
      </c>
    </row>
    <row r="1503" customFormat="false" ht="15" hidden="false" customHeight="false" outlineLevel="0" collapsed="false">
      <c r="A1503" s="22" t="n">
        <v>1502</v>
      </c>
      <c r="B1503" s="22" t="s">
        <v>164</v>
      </c>
      <c r="C1503" s="37" t="n">
        <v>45993.1318287037</v>
      </c>
      <c r="D1503" s="22" t="s">
        <v>203</v>
      </c>
      <c r="E1503" s="22" t="n">
        <v>3</v>
      </c>
      <c r="F1503" s="22" t="s">
        <v>182</v>
      </c>
      <c r="G1503" s="22" t="s">
        <v>237</v>
      </c>
      <c r="H1503" s="22" t="n">
        <v>0.07</v>
      </c>
      <c r="I1503" s="38" t="n">
        <v>4204.35</v>
      </c>
      <c r="J1503" s="38" t="n">
        <v>4203.07</v>
      </c>
      <c r="K1503" s="39" t="n">
        <f aca="false">IF(F1503="BUY",J1503-I1503,I1503-J1503)</f>
        <v>1.28000000000065</v>
      </c>
      <c r="L1503" s="38" t="n">
        <v>4210.35</v>
      </c>
      <c r="M1503" s="39" t="n">
        <f aca="false">ABS(I1503-L1503)</f>
        <v>6</v>
      </c>
      <c r="N1503" s="24" t="n">
        <f aca="false">M1503*H1503*Summary!$C$6</f>
        <v>42</v>
      </c>
      <c r="O1503" s="37" t="n">
        <v>45993.1318865741</v>
      </c>
      <c r="P1503" s="22" t="n">
        <f aca="false">ROUND((O1503-C1503)*86400,0)</f>
        <v>5</v>
      </c>
      <c r="Q1503" s="22" t="str">
        <f aca="false">IF(P1503&lt;10,"a) &lt;10s",IF(P1503&lt;60,"b) 10-60s",IF(P1503&lt;600,"c) 1-10min","d) &gt;10min")))</f>
        <v>a) &lt;10s</v>
      </c>
      <c r="R1503" s="38" t="n">
        <v>4202.57</v>
      </c>
      <c r="S1503" s="38" t="n">
        <v>4202.92</v>
      </c>
      <c r="T1503" s="22" t="s">
        <v>189</v>
      </c>
      <c r="U1503" s="39" t="n">
        <f aca="false">IF(R1503="","",IF(F1503="BUY",R1503-S1503,S1503-R1503))</f>
        <v>0.350000000000364</v>
      </c>
      <c r="V1503" s="39" t="n">
        <f aca="false">IF(F1503="BUY",S1503-J1503,J1503-S1503)</f>
        <v>0.149999999999636</v>
      </c>
      <c r="W1503" s="6" t="n">
        <v>1.05</v>
      </c>
      <c r="X1503" s="26" t="n">
        <f aca="false">IFERROR(W1503/N1503,0)</f>
        <v>0.025</v>
      </c>
      <c r="Y1503" s="22" t="str">
        <f aca="false">IF(W1503&gt;0,"Win",IF(W1503&lt;0,"Loss","Flat"))</f>
        <v>Win</v>
      </c>
      <c r="Z1503" s="24" t="n">
        <f aca="false">Summary!$C$5+SUM(W$2:W1503)</f>
        <v>4715.17</v>
      </c>
      <c r="AA1503" s="24" t="n">
        <f aca="false">MAX(AA1502,Z1503)</f>
        <v>5000</v>
      </c>
      <c r="AB1503" s="24" t="n">
        <f aca="false">AA1503-Z1503</f>
        <v>284.83</v>
      </c>
      <c r="AC1503" s="23" t="n">
        <f aca="false">IFERROR(AB1503/AA1503,0)</f>
        <v>0.056966</v>
      </c>
      <c r="AD1503" s="22" t="s">
        <v>1740</v>
      </c>
    </row>
    <row r="1504" customFormat="false" ht="15" hidden="false" customHeight="false" outlineLevel="0" collapsed="false">
      <c r="A1504" s="22" t="n">
        <v>1503</v>
      </c>
      <c r="B1504" s="22" t="s">
        <v>164</v>
      </c>
      <c r="C1504" s="37" t="n">
        <v>45993.4729976852</v>
      </c>
      <c r="D1504" s="22" t="s">
        <v>203</v>
      </c>
      <c r="E1504" s="22" t="n">
        <v>11</v>
      </c>
      <c r="F1504" s="22" t="s">
        <v>182</v>
      </c>
      <c r="G1504" s="22" t="s">
        <v>241</v>
      </c>
      <c r="H1504" s="22" t="n">
        <v>0.07</v>
      </c>
      <c r="I1504" s="38" t="n">
        <v>4202.99</v>
      </c>
      <c r="J1504" s="38" t="n">
        <v>4202.79</v>
      </c>
      <c r="K1504" s="39" t="n">
        <f aca="false">IF(F1504="BUY",J1504-I1504,I1504-J1504)</f>
        <v>0.199999999999818</v>
      </c>
      <c r="L1504" s="38" t="n">
        <v>4208.99</v>
      </c>
      <c r="M1504" s="39" t="n">
        <f aca="false">ABS(I1504-L1504)</f>
        <v>6</v>
      </c>
      <c r="N1504" s="24" t="n">
        <f aca="false">M1504*H1504*Summary!$C$6</f>
        <v>42</v>
      </c>
      <c r="O1504" s="37" t="n">
        <v>45993.47375</v>
      </c>
      <c r="P1504" s="22" t="n">
        <f aca="false">ROUND((O1504-C1504)*86400,0)</f>
        <v>65</v>
      </c>
      <c r="Q1504" s="22" t="str">
        <f aca="false">IF(P1504&lt;10,"a) &lt;10s",IF(P1504&lt;60,"b) 10-60s",IF(P1504&lt;600,"c) 1-10min","d) &gt;10min")))</f>
        <v>c) 1-10min</v>
      </c>
      <c r="R1504" s="38" t="n">
        <v>4202.29</v>
      </c>
      <c r="S1504" s="38" t="n">
        <v>4202.34</v>
      </c>
      <c r="T1504" s="22" t="s">
        <v>189</v>
      </c>
      <c r="U1504" s="39" t="n">
        <f aca="false">IF(R1504="","",IF(F1504="BUY",R1504-S1504,S1504-R1504))</f>
        <v>0.0500000000001819</v>
      </c>
      <c r="V1504" s="39" t="n">
        <f aca="false">IF(F1504="BUY",S1504-J1504,J1504-S1504)</f>
        <v>0.449999999999818</v>
      </c>
      <c r="W1504" s="6" t="n">
        <v>3.15</v>
      </c>
      <c r="X1504" s="26" t="n">
        <f aca="false">IFERROR(W1504/N1504,0)</f>
        <v>0.075</v>
      </c>
      <c r="Y1504" s="22" t="str">
        <f aca="false">IF(W1504&gt;0,"Win",IF(W1504&lt;0,"Loss","Flat"))</f>
        <v>Win</v>
      </c>
      <c r="Z1504" s="24" t="n">
        <f aca="false">Summary!$C$5+SUM(W$2:W1504)</f>
        <v>4718.32</v>
      </c>
      <c r="AA1504" s="24" t="n">
        <f aca="false">MAX(AA1503,Z1504)</f>
        <v>5000</v>
      </c>
      <c r="AB1504" s="24" t="n">
        <f aca="false">AA1504-Z1504</f>
        <v>281.68</v>
      </c>
      <c r="AC1504" s="23" t="n">
        <f aca="false">IFERROR(AB1504/AA1504,0)</f>
        <v>0.0563360000000001</v>
      </c>
      <c r="AD1504" s="22" t="s">
        <v>1741</v>
      </c>
    </row>
    <row r="1505" customFormat="false" ht="15" hidden="false" customHeight="false" outlineLevel="0" collapsed="false">
      <c r="A1505" s="22" t="n">
        <v>1504</v>
      </c>
      <c r="B1505" s="22" t="s">
        <v>164</v>
      </c>
      <c r="C1505" s="37" t="n">
        <v>45994.3922916667</v>
      </c>
      <c r="D1505" s="22" t="s">
        <v>204</v>
      </c>
      <c r="E1505" s="22" t="n">
        <v>9</v>
      </c>
      <c r="F1505" s="22" t="s">
        <v>182</v>
      </c>
      <c r="G1505" s="22" t="s">
        <v>241</v>
      </c>
      <c r="H1505" s="22" t="n">
        <v>0.07</v>
      </c>
      <c r="I1505" s="38" t="n">
        <v>4203.16</v>
      </c>
      <c r="J1505" s="38" t="n">
        <v>4202.97</v>
      </c>
      <c r="K1505" s="39" t="n">
        <f aca="false">IF(F1505="BUY",J1505-I1505,I1505-J1505)</f>
        <v>0.1899999999996</v>
      </c>
      <c r="L1505" s="38" t="n">
        <v>4209.16</v>
      </c>
      <c r="M1505" s="39" t="n">
        <f aca="false">ABS(I1505-L1505)</f>
        <v>6</v>
      </c>
      <c r="N1505" s="24" t="n">
        <f aca="false">M1505*H1505*Summary!$C$6</f>
        <v>42</v>
      </c>
      <c r="O1505" s="37" t="n">
        <v>45994.3983564815</v>
      </c>
      <c r="P1505" s="22" t="n">
        <f aca="false">ROUND((O1505-C1505)*86400,0)</f>
        <v>524</v>
      </c>
      <c r="Q1505" s="22" t="str">
        <f aca="false">IF(P1505&lt;10,"a) &lt;10s",IF(P1505&lt;60,"b) 10-60s",IF(P1505&lt;600,"c) 1-10min","d) &gt;10min")))</f>
        <v>c) 1-10min</v>
      </c>
      <c r="R1505" s="38" t="n">
        <v>4202.47</v>
      </c>
      <c r="S1505" s="38" t="n">
        <v>4202.49</v>
      </c>
      <c r="T1505" s="22" t="s">
        <v>189</v>
      </c>
      <c r="U1505" s="39" t="n">
        <f aca="false">IF(R1505="","",IF(F1505="BUY",R1505-S1505,S1505-R1505))</f>
        <v>0.0199999999995271</v>
      </c>
      <c r="V1505" s="39" t="n">
        <f aca="false">IF(F1505="BUY",S1505-J1505,J1505-S1505)</f>
        <v>0.480000000000473</v>
      </c>
      <c r="W1505" s="6" t="n">
        <v>3.36</v>
      </c>
      <c r="X1505" s="26" t="n">
        <f aca="false">IFERROR(W1505/N1505,0)</f>
        <v>0.08</v>
      </c>
      <c r="Y1505" s="22" t="str">
        <f aca="false">IF(W1505&gt;0,"Win",IF(W1505&lt;0,"Loss","Flat"))</f>
        <v>Win</v>
      </c>
      <c r="Z1505" s="24" t="n">
        <f aca="false">Summary!$C$5+SUM(W$2:W1505)</f>
        <v>4721.68</v>
      </c>
      <c r="AA1505" s="24" t="n">
        <f aca="false">MAX(AA1504,Z1505)</f>
        <v>5000</v>
      </c>
      <c r="AB1505" s="24" t="n">
        <f aca="false">AA1505-Z1505</f>
        <v>278.32</v>
      </c>
      <c r="AC1505" s="23" t="n">
        <f aca="false">IFERROR(AB1505/AA1505,0)</f>
        <v>0.0556639999999999</v>
      </c>
      <c r="AD1505" s="22" t="s">
        <v>1742</v>
      </c>
    </row>
    <row r="1506" customFormat="false" ht="15" hidden="false" customHeight="false" outlineLevel="0" collapsed="false">
      <c r="A1506" s="22" t="n">
        <v>1505</v>
      </c>
      <c r="B1506" s="22" t="s">
        <v>164</v>
      </c>
      <c r="C1506" s="37" t="n">
        <v>45994.6631597222</v>
      </c>
      <c r="D1506" s="22" t="s">
        <v>204</v>
      </c>
      <c r="E1506" s="22" t="n">
        <v>15</v>
      </c>
      <c r="F1506" s="22" t="s">
        <v>181</v>
      </c>
      <c r="G1506" s="22" t="s">
        <v>243</v>
      </c>
      <c r="H1506" s="22" t="n">
        <v>0.07</v>
      </c>
      <c r="I1506" s="38" t="n">
        <v>4235.86</v>
      </c>
      <c r="J1506" s="38" t="n">
        <v>4235.88</v>
      </c>
      <c r="K1506" s="39" t="n">
        <f aca="false">IF(F1506="BUY",J1506-I1506,I1506-J1506)</f>
        <v>0.0200000000004366</v>
      </c>
      <c r="L1506" s="38" t="n">
        <v>4229.86</v>
      </c>
      <c r="M1506" s="39" t="n">
        <f aca="false">ABS(I1506-L1506)</f>
        <v>6</v>
      </c>
      <c r="N1506" s="24" t="n">
        <f aca="false">M1506*H1506*Summary!$C$6</f>
        <v>42</v>
      </c>
      <c r="O1506" s="37" t="n">
        <v>45994.663287037</v>
      </c>
      <c r="P1506" s="22" t="n">
        <f aca="false">ROUND((O1506-C1506)*86400,0)</f>
        <v>11</v>
      </c>
      <c r="Q1506" s="22" t="str">
        <f aca="false">IF(P1506&lt;10,"a) &lt;10s",IF(P1506&lt;60,"b) 10-60s",IF(P1506&lt;600,"c) 1-10min","d) &gt;10min")))</f>
        <v>b) 10-60s</v>
      </c>
      <c r="R1506" s="38" t="n">
        <v>4236.38</v>
      </c>
      <c r="S1506" s="38" t="n">
        <v>4236.32</v>
      </c>
      <c r="T1506" s="22" t="s">
        <v>189</v>
      </c>
      <c r="U1506" s="39" t="n">
        <f aca="false">IF(R1506="","",IF(F1506="BUY",R1506-S1506,S1506-R1506))</f>
        <v>0.0600000000004002</v>
      </c>
      <c r="V1506" s="39" t="n">
        <f aca="false">IF(F1506="BUY",S1506-J1506,J1506-S1506)</f>
        <v>0.4399999999996</v>
      </c>
      <c r="W1506" s="6" t="n">
        <v>3.08</v>
      </c>
      <c r="X1506" s="26" t="n">
        <f aca="false">IFERROR(W1506/N1506,0)</f>
        <v>0.0733333333333333</v>
      </c>
      <c r="Y1506" s="22" t="str">
        <f aca="false">IF(W1506&gt;0,"Win",IF(W1506&lt;0,"Loss","Flat"))</f>
        <v>Win</v>
      </c>
      <c r="Z1506" s="24" t="n">
        <f aca="false">Summary!$C$5+SUM(W$2:W1506)</f>
        <v>4724.76</v>
      </c>
      <c r="AA1506" s="24" t="n">
        <f aca="false">MAX(AA1505,Z1506)</f>
        <v>5000</v>
      </c>
      <c r="AB1506" s="24" t="n">
        <f aca="false">AA1506-Z1506</f>
        <v>275.24</v>
      </c>
      <c r="AC1506" s="23" t="n">
        <f aca="false">IFERROR(AB1506/AA1506,0)</f>
        <v>0.055048</v>
      </c>
      <c r="AD1506" s="22" t="s">
        <v>1743</v>
      </c>
    </row>
    <row r="1507" customFormat="false" ht="15" hidden="false" customHeight="false" outlineLevel="0" collapsed="false">
      <c r="A1507" s="22" t="n">
        <v>1506</v>
      </c>
      <c r="B1507" s="22" t="s">
        <v>164</v>
      </c>
      <c r="C1507" s="37" t="n">
        <v>45995.2099305556</v>
      </c>
      <c r="D1507" s="22" t="s">
        <v>205</v>
      </c>
      <c r="E1507" s="22" t="n">
        <v>5</v>
      </c>
      <c r="F1507" s="22" t="s">
        <v>182</v>
      </c>
      <c r="G1507" s="22" t="s">
        <v>237</v>
      </c>
      <c r="H1507" s="22" t="n">
        <v>0.07</v>
      </c>
      <c r="I1507" s="38" t="n">
        <v>4194.41</v>
      </c>
      <c r="J1507" s="38" t="n">
        <v>4194.22</v>
      </c>
      <c r="K1507" s="39" t="n">
        <f aca="false">IF(F1507="BUY",J1507-I1507,I1507-J1507)</f>
        <v>0.1899999999996</v>
      </c>
      <c r="L1507" s="38" t="n">
        <v>4200.41</v>
      </c>
      <c r="M1507" s="39" t="n">
        <f aca="false">ABS(I1507-L1507)</f>
        <v>6</v>
      </c>
      <c r="N1507" s="24" t="n">
        <f aca="false">M1507*H1507*Summary!$C$6</f>
        <v>42</v>
      </c>
      <c r="O1507" s="37" t="n">
        <v>45995.2111574074</v>
      </c>
      <c r="P1507" s="22" t="n">
        <f aca="false">ROUND((O1507-C1507)*86400,0)</f>
        <v>106</v>
      </c>
      <c r="Q1507" s="22" t="str">
        <f aca="false">IF(P1507&lt;10,"a) &lt;10s",IF(P1507&lt;60,"b) 10-60s",IF(P1507&lt;600,"c) 1-10min","d) &gt;10min")))</f>
        <v>c) 1-10min</v>
      </c>
      <c r="R1507" s="38" t="n">
        <v>4193.72</v>
      </c>
      <c r="S1507" s="38" t="n">
        <v>4193.73</v>
      </c>
      <c r="T1507" s="22" t="s">
        <v>189</v>
      </c>
      <c r="U1507" s="39" t="n">
        <f aca="false">IF(R1507="","",IF(F1507="BUY",R1507-S1507,S1507-R1507))</f>
        <v>0.00999999999930878</v>
      </c>
      <c r="V1507" s="39" t="n">
        <f aca="false">IF(F1507="BUY",S1507-J1507,J1507-S1507)</f>
        <v>0.490000000000691</v>
      </c>
      <c r="W1507" s="6" t="n">
        <v>3.43</v>
      </c>
      <c r="X1507" s="26" t="n">
        <f aca="false">IFERROR(W1507/N1507,0)</f>
        <v>0.0816666666666667</v>
      </c>
      <c r="Y1507" s="22" t="str">
        <f aca="false">IF(W1507&gt;0,"Win",IF(W1507&lt;0,"Loss","Flat"))</f>
        <v>Win</v>
      </c>
      <c r="Z1507" s="24" t="n">
        <f aca="false">Summary!$C$5+SUM(W$2:W1507)</f>
        <v>4728.19</v>
      </c>
      <c r="AA1507" s="24" t="n">
        <f aca="false">MAX(AA1506,Z1507)</f>
        <v>5000</v>
      </c>
      <c r="AB1507" s="24" t="n">
        <f aca="false">AA1507-Z1507</f>
        <v>271.81</v>
      </c>
      <c r="AC1507" s="23" t="n">
        <f aca="false">IFERROR(AB1507/AA1507,0)</f>
        <v>0.0543620000000001</v>
      </c>
      <c r="AD1507" s="22" t="s">
        <v>1744</v>
      </c>
    </row>
    <row r="1508" customFormat="false" ht="15" hidden="false" customHeight="false" outlineLevel="0" collapsed="false">
      <c r="A1508" s="22" t="n">
        <v>1507</v>
      </c>
      <c r="B1508" s="22" t="s">
        <v>164</v>
      </c>
      <c r="C1508" s="37" t="n">
        <v>45995.4934722222</v>
      </c>
      <c r="D1508" s="22" t="s">
        <v>205</v>
      </c>
      <c r="E1508" s="22" t="n">
        <v>11</v>
      </c>
      <c r="F1508" s="22" t="s">
        <v>181</v>
      </c>
      <c r="G1508" s="22" t="s">
        <v>235</v>
      </c>
      <c r="H1508" s="22" t="n">
        <v>0.07</v>
      </c>
      <c r="I1508" s="38" t="n">
        <v>4198.84</v>
      </c>
      <c r="J1508" s="38" t="n">
        <v>4198.88</v>
      </c>
      <c r="K1508" s="39" t="n">
        <f aca="false">IF(F1508="BUY",J1508-I1508,I1508-J1508)</f>
        <v>0.0399999999999636</v>
      </c>
      <c r="L1508" s="38" t="n">
        <v>4192.84</v>
      </c>
      <c r="M1508" s="39" t="n">
        <f aca="false">ABS(I1508-L1508)</f>
        <v>6</v>
      </c>
      <c r="N1508" s="24" t="n">
        <f aca="false">M1508*H1508*Summary!$C$6</f>
        <v>42</v>
      </c>
      <c r="O1508" s="37" t="n">
        <v>45995.4993981482</v>
      </c>
      <c r="P1508" s="22" t="n">
        <f aca="false">ROUND((O1508-C1508)*86400,0)</f>
        <v>512</v>
      </c>
      <c r="Q1508" s="22" t="str">
        <f aca="false">IF(P1508&lt;10,"a) &lt;10s",IF(P1508&lt;60,"b) 10-60s",IF(P1508&lt;600,"c) 1-10min","d) &gt;10min")))</f>
        <v>c) 1-10min</v>
      </c>
      <c r="R1508" s="38" t="n">
        <v>4199.38</v>
      </c>
      <c r="S1508" s="38" t="n">
        <v>4199.37</v>
      </c>
      <c r="T1508" s="22" t="s">
        <v>189</v>
      </c>
      <c r="U1508" s="39" t="n">
        <f aca="false">IF(R1508="","",IF(F1508="BUY",R1508-S1508,S1508-R1508))</f>
        <v>0.0100000000002183</v>
      </c>
      <c r="V1508" s="39" t="n">
        <f aca="false">IF(F1508="BUY",S1508-J1508,J1508-S1508)</f>
        <v>0.489999999999782</v>
      </c>
      <c r="W1508" s="6" t="n">
        <v>3.43</v>
      </c>
      <c r="X1508" s="26" t="n">
        <f aca="false">IFERROR(W1508/N1508,0)</f>
        <v>0.0816666666666667</v>
      </c>
      <c r="Y1508" s="22" t="str">
        <f aca="false">IF(W1508&gt;0,"Win",IF(W1508&lt;0,"Loss","Flat"))</f>
        <v>Win</v>
      </c>
      <c r="Z1508" s="24" t="n">
        <f aca="false">Summary!$C$5+SUM(W$2:W1508)</f>
        <v>4731.62</v>
      </c>
      <c r="AA1508" s="24" t="n">
        <f aca="false">MAX(AA1507,Z1508)</f>
        <v>5000</v>
      </c>
      <c r="AB1508" s="24" t="n">
        <f aca="false">AA1508-Z1508</f>
        <v>268.38</v>
      </c>
      <c r="AC1508" s="23" t="n">
        <f aca="false">IFERROR(AB1508/AA1508,0)</f>
        <v>0.053676</v>
      </c>
      <c r="AD1508" s="22" t="s">
        <v>1745</v>
      </c>
    </row>
    <row r="1509" customFormat="false" ht="15" hidden="false" customHeight="false" outlineLevel="0" collapsed="false">
      <c r="A1509" s="22" t="n">
        <v>1508</v>
      </c>
      <c r="B1509" s="22" t="s">
        <v>164</v>
      </c>
      <c r="C1509" s="37" t="n">
        <v>45996.3114236111</v>
      </c>
      <c r="D1509" s="22" t="s">
        <v>206</v>
      </c>
      <c r="E1509" s="22" t="n">
        <v>7</v>
      </c>
      <c r="F1509" s="22" t="s">
        <v>181</v>
      </c>
      <c r="G1509" s="22" t="s">
        <v>243</v>
      </c>
      <c r="H1509" s="22" t="n">
        <v>0.07</v>
      </c>
      <c r="I1509" s="38" t="n">
        <v>4219.26</v>
      </c>
      <c r="J1509" s="38" t="n">
        <v>4219.4</v>
      </c>
      <c r="K1509" s="39" t="n">
        <f aca="false">IF(F1509="BUY",J1509-I1509,I1509-J1509)</f>
        <v>0.139999999999418</v>
      </c>
      <c r="L1509" s="38" t="n">
        <v>4213.26</v>
      </c>
      <c r="M1509" s="39" t="n">
        <f aca="false">ABS(I1509-L1509)</f>
        <v>6</v>
      </c>
      <c r="N1509" s="24" t="n">
        <f aca="false">M1509*H1509*Summary!$C$6</f>
        <v>42</v>
      </c>
      <c r="O1509" s="37" t="n">
        <v>45996.4583333333</v>
      </c>
      <c r="P1509" s="22" t="n">
        <f aca="false">ROUND((O1509-C1509)*86400,0)</f>
        <v>12693</v>
      </c>
      <c r="Q1509" s="22" t="str">
        <f aca="false">IF(P1509&lt;10,"a) &lt;10s",IF(P1509&lt;60,"b) 10-60s",IF(P1509&lt;600,"c) 1-10min","d) &gt;10min")))</f>
        <v>d) &gt;10min</v>
      </c>
      <c r="R1509" s="38" t="n">
        <v>4219.9</v>
      </c>
      <c r="S1509" s="38" t="n">
        <v>4219.73</v>
      </c>
      <c r="T1509" s="22" t="s">
        <v>189</v>
      </c>
      <c r="U1509" s="39" t="n">
        <f aca="false">IF(R1509="","",IF(F1509="BUY",R1509-S1509,S1509-R1509))</f>
        <v>0.170000000000073</v>
      </c>
      <c r="V1509" s="39" t="n">
        <f aca="false">IF(F1509="BUY",S1509-J1509,J1509-S1509)</f>
        <v>0.329999999999927</v>
      </c>
      <c r="W1509" s="6" t="n">
        <v>2.31</v>
      </c>
      <c r="X1509" s="26" t="n">
        <f aca="false">IFERROR(W1509/N1509,0)</f>
        <v>0.055</v>
      </c>
      <c r="Y1509" s="22" t="str">
        <f aca="false">IF(W1509&gt;0,"Win",IF(W1509&lt;0,"Loss","Flat"))</f>
        <v>Win</v>
      </c>
      <c r="Z1509" s="24" t="n">
        <f aca="false">Summary!$C$5+SUM(W$2:W1509)</f>
        <v>4733.93</v>
      </c>
      <c r="AA1509" s="24" t="n">
        <f aca="false">MAX(AA1508,Z1509)</f>
        <v>5000</v>
      </c>
      <c r="AB1509" s="24" t="n">
        <f aca="false">AA1509-Z1509</f>
        <v>266.07</v>
      </c>
      <c r="AC1509" s="23" t="n">
        <f aca="false">IFERROR(AB1509/AA1509,0)</f>
        <v>0.0532139999999999</v>
      </c>
      <c r="AD1509" s="22" t="s">
        <v>1746</v>
      </c>
    </row>
    <row r="1510" customFormat="false" ht="15" hidden="false" customHeight="false" outlineLevel="0" collapsed="false">
      <c r="A1510" s="22" t="n">
        <v>1509</v>
      </c>
      <c r="B1510" s="22" t="s">
        <v>164</v>
      </c>
      <c r="C1510" s="37" t="n">
        <v>45996.7582638889</v>
      </c>
      <c r="D1510" s="22" t="s">
        <v>206</v>
      </c>
      <c r="E1510" s="22" t="n">
        <v>18</v>
      </c>
      <c r="F1510" s="22" t="s">
        <v>182</v>
      </c>
      <c r="G1510" s="22" t="s">
        <v>241</v>
      </c>
      <c r="H1510" s="22" t="n">
        <v>0.07</v>
      </c>
      <c r="I1510" s="38" t="n">
        <v>4214.14</v>
      </c>
      <c r="J1510" s="38" t="n">
        <v>4213.36</v>
      </c>
      <c r="K1510" s="39" t="n">
        <f aca="false">IF(F1510="BUY",J1510-I1510,I1510-J1510)</f>
        <v>0.780000000000655</v>
      </c>
      <c r="L1510" s="38" t="n">
        <v>4220.14</v>
      </c>
      <c r="M1510" s="39" t="n">
        <f aca="false">ABS(I1510-L1510)</f>
        <v>6</v>
      </c>
      <c r="N1510" s="24" t="n">
        <f aca="false">M1510*H1510*Summary!$C$6</f>
        <v>42</v>
      </c>
      <c r="O1510" s="37" t="n">
        <v>45996.7584259259</v>
      </c>
      <c r="P1510" s="22" t="n">
        <f aca="false">ROUND((O1510-C1510)*86400,0)</f>
        <v>14</v>
      </c>
      <c r="Q1510" s="22" t="str">
        <f aca="false">IF(P1510&lt;10,"a) &lt;10s",IF(P1510&lt;60,"b) 10-60s",IF(P1510&lt;600,"c) 1-10min","d) &gt;10min")))</f>
        <v>b) 10-60s</v>
      </c>
      <c r="R1510" s="38" t="n">
        <v>4212.86</v>
      </c>
      <c r="S1510" s="38" t="n">
        <v>4213.3</v>
      </c>
      <c r="T1510" s="22" t="s">
        <v>189</v>
      </c>
      <c r="U1510" s="39" t="n">
        <f aca="false">IF(R1510="","",IF(F1510="BUY",R1510-S1510,S1510-R1510))</f>
        <v>0.440000000000509</v>
      </c>
      <c r="V1510" s="39" t="n">
        <f aca="false">IF(F1510="BUY",S1510-J1510,J1510-S1510)</f>
        <v>0.0599999999994907</v>
      </c>
      <c r="W1510" s="6" t="n">
        <v>0.42</v>
      </c>
      <c r="X1510" s="26" t="n">
        <f aca="false">IFERROR(W1510/N1510,0)</f>
        <v>0.01</v>
      </c>
      <c r="Y1510" s="22" t="str">
        <f aca="false">IF(W1510&gt;0,"Win",IF(W1510&lt;0,"Loss","Flat"))</f>
        <v>Win</v>
      </c>
      <c r="Z1510" s="24" t="n">
        <f aca="false">Summary!$C$5+SUM(W$2:W1510)</f>
        <v>4734.35</v>
      </c>
      <c r="AA1510" s="24" t="n">
        <f aca="false">MAX(AA1509,Z1510)</f>
        <v>5000</v>
      </c>
      <c r="AB1510" s="24" t="n">
        <f aca="false">AA1510-Z1510</f>
        <v>265.65</v>
      </c>
      <c r="AC1510" s="23" t="n">
        <f aca="false">IFERROR(AB1510/AA1510,0)</f>
        <v>0.0531299999999999</v>
      </c>
      <c r="AD1510" s="22" t="s">
        <v>1747</v>
      </c>
    </row>
    <row r="1511" customFormat="false" ht="15" hidden="false" customHeight="false" outlineLevel="0" collapsed="false">
      <c r="A1511" s="22" t="n">
        <v>1510</v>
      </c>
      <c r="B1511" s="22" t="s">
        <v>164</v>
      </c>
      <c r="C1511" s="37" t="n">
        <v>45999.4171643519</v>
      </c>
      <c r="D1511" s="22" t="s">
        <v>202</v>
      </c>
      <c r="E1511" s="22" t="n">
        <v>10</v>
      </c>
      <c r="F1511" s="22" t="s">
        <v>182</v>
      </c>
      <c r="G1511" s="22" t="s">
        <v>241</v>
      </c>
      <c r="H1511" s="22" t="n">
        <v>0.07</v>
      </c>
      <c r="I1511" s="38" t="n">
        <v>4204.44</v>
      </c>
      <c r="J1511" s="38" t="n">
        <v>4204.44</v>
      </c>
      <c r="K1511" s="39" t="n">
        <f aca="false">IF(F1511="BUY",J1511-I1511,I1511-J1511)</f>
        <v>0</v>
      </c>
      <c r="L1511" s="38" t="n">
        <v>4210.44</v>
      </c>
      <c r="M1511" s="39" t="n">
        <f aca="false">ABS(I1511-L1511)</f>
        <v>6</v>
      </c>
      <c r="N1511" s="24" t="n">
        <f aca="false">M1511*H1511*Summary!$C$6</f>
        <v>42</v>
      </c>
      <c r="O1511" s="37" t="n">
        <v>45999.4199421296</v>
      </c>
      <c r="P1511" s="22" t="n">
        <f aca="false">ROUND((O1511-C1511)*86400,0)</f>
        <v>240</v>
      </c>
      <c r="Q1511" s="22" t="str">
        <f aca="false">IF(P1511&lt;10,"a) &lt;10s",IF(P1511&lt;60,"b) 10-60s",IF(P1511&lt;600,"c) 1-10min","d) &gt;10min")))</f>
        <v>c) 1-10min</v>
      </c>
      <c r="R1511" s="38" t="n">
        <v>4210.44</v>
      </c>
      <c r="S1511" s="38" t="n">
        <v>4210.49</v>
      </c>
      <c r="T1511" s="22" t="s">
        <v>188</v>
      </c>
      <c r="U1511" s="39" t="n">
        <f aca="false">IF(R1511="","",IF(F1511="BUY",R1511-S1511,S1511-R1511))</f>
        <v>0.0500000000001819</v>
      </c>
      <c r="V1511" s="39" t="n">
        <f aca="false">IF(F1511="BUY",S1511-J1511,J1511-S1511)</f>
        <v>-6.05000000000018</v>
      </c>
      <c r="W1511" s="6" t="n">
        <v>-42.35</v>
      </c>
      <c r="X1511" s="26" t="n">
        <f aca="false">IFERROR(W1511/N1511,0)</f>
        <v>-1.00833333333333</v>
      </c>
      <c r="Y1511" s="22" t="str">
        <f aca="false">IF(W1511&gt;0,"Win",IF(W1511&lt;0,"Loss","Flat"))</f>
        <v>Loss</v>
      </c>
      <c r="Z1511" s="24" t="n">
        <f aca="false">Summary!$C$5+SUM(W$2:W1511)</f>
        <v>4692</v>
      </c>
      <c r="AA1511" s="24" t="n">
        <f aca="false">MAX(AA1510,Z1511)</f>
        <v>5000</v>
      </c>
      <c r="AB1511" s="24" t="n">
        <f aca="false">AA1511-Z1511</f>
        <v>308</v>
      </c>
      <c r="AC1511" s="23" t="n">
        <f aca="false">IFERROR(AB1511/AA1511,0)</f>
        <v>0.0616</v>
      </c>
      <c r="AD1511" s="22" t="s">
        <v>1748</v>
      </c>
    </row>
    <row r="1512" customFormat="false" ht="15" hidden="false" customHeight="false" outlineLevel="0" collapsed="false">
      <c r="A1512" s="22" t="n">
        <v>1511</v>
      </c>
      <c r="B1512" s="22" t="s">
        <v>164</v>
      </c>
      <c r="C1512" s="37" t="n">
        <v>45999.708912037</v>
      </c>
      <c r="D1512" s="22" t="s">
        <v>202</v>
      </c>
      <c r="E1512" s="22" t="n">
        <v>17</v>
      </c>
      <c r="F1512" s="22" t="s">
        <v>182</v>
      </c>
      <c r="G1512" s="22" t="s">
        <v>237</v>
      </c>
      <c r="H1512" s="22" t="n">
        <v>0.07</v>
      </c>
      <c r="I1512" s="38" t="n">
        <v>4191.82</v>
      </c>
      <c r="J1512" s="38" t="n">
        <v>4191.69</v>
      </c>
      <c r="K1512" s="39" t="n">
        <f aca="false">IF(F1512="BUY",J1512-I1512,I1512-J1512)</f>
        <v>0.130000000000109</v>
      </c>
      <c r="L1512" s="38" t="n">
        <v>4197.82</v>
      </c>
      <c r="M1512" s="39" t="n">
        <f aca="false">ABS(I1512-L1512)</f>
        <v>6</v>
      </c>
      <c r="N1512" s="24" t="n">
        <f aca="false">M1512*H1512*Summary!$C$6</f>
        <v>42</v>
      </c>
      <c r="O1512" s="37" t="n">
        <v>45999.7236342593</v>
      </c>
      <c r="P1512" s="22" t="n">
        <f aca="false">ROUND((O1512-C1512)*86400,0)</f>
        <v>1272</v>
      </c>
      <c r="Q1512" s="22" t="str">
        <f aca="false">IF(P1512&lt;10,"a) &lt;10s",IF(P1512&lt;60,"b) 10-60s",IF(P1512&lt;600,"c) 1-10min","d) &gt;10min")))</f>
        <v>d) &gt;10min</v>
      </c>
      <c r="R1512" s="38" t="n">
        <v>4191.19</v>
      </c>
      <c r="S1512" s="38" t="n">
        <v>4191.23</v>
      </c>
      <c r="T1512" s="22" t="s">
        <v>189</v>
      </c>
      <c r="U1512" s="39" t="n">
        <f aca="false">IF(R1512="","",IF(F1512="BUY",R1512-S1512,S1512-R1512))</f>
        <v>0.0399999999999636</v>
      </c>
      <c r="V1512" s="39" t="n">
        <f aca="false">IF(F1512="BUY",S1512-J1512,J1512-S1512)</f>
        <v>0.460000000000036</v>
      </c>
      <c r="W1512" s="6" t="n">
        <v>3.22</v>
      </c>
      <c r="X1512" s="26" t="n">
        <f aca="false">IFERROR(W1512/N1512,0)</f>
        <v>0.0766666666666667</v>
      </c>
      <c r="Y1512" s="22" t="str">
        <f aca="false">IF(W1512&gt;0,"Win",IF(W1512&lt;0,"Loss","Flat"))</f>
        <v>Win</v>
      </c>
      <c r="Z1512" s="24" t="n">
        <f aca="false">Summary!$C$5+SUM(W$2:W1512)</f>
        <v>4695.22</v>
      </c>
      <c r="AA1512" s="24" t="n">
        <f aca="false">MAX(AA1511,Z1512)</f>
        <v>5000</v>
      </c>
      <c r="AB1512" s="24" t="n">
        <f aca="false">AA1512-Z1512</f>
        <v>304.78</v>
      </c>
      <c r="AC1512" s="23" t="n">
        <f aca="false">IFERROR(AB1512/AA1512,0)</f>
        <v>0.060956</v>
      </c>
      <c r="AD1512" s="22" t="s">
        <v>1749</v>
      </c>
    </row>
    <row r="1513" customFormat="false" ht="15" hidden="false" customHeight="false" outlineLevel="0" collapsed="false">
      <c r="A1513" s="22" t="n">
        <v>1512</v>
      </c>
      <c r="B1513" s="22" t="s">
        <v>164</v>
      </c>
      <c r="C1513" s="37" t="n">
        <v>46000.3399652778</v>
      </c>
      <c r="D1513" s="22" t="s">
        <v>203</v>
      </c>
      <c r="E1513" s="22" t="n">
        <v>8</v>
      </c>
      <c r="F1513" s="22" t="s">
        <v>182</v>
      </c>
      <c r="G1513" s="22" t="s">
        <v>237</v>
      </c>
      <c r="H1513" s="22" t="n">
        <v>0.07</v>
      </c>
      <c r="I1513" s="38" t="n">
        <v>4176</v>
      </c>
      <c r="J1513" s="38" t="n">
        <v>4175.37</v>
      </c>
      <c r="K1513" s="39" t="n">
        <f aca="false">IF(F1513="BUY",J1513-I1513,I1513-J1513)</f>
        <v>0.630000000000109</v>
      </c>
      <c r="L1513" s="38" t="n">
        <v>4182</v>
      </c>
      <c r="M1513" s="39" t="n">
        <f aca="false">ABS(I1513-L1513)</f>
        <v>6</v>
      </c>
      <c r="N1513" s="24" t="n">
        <f aca="false">M1513*H1513*Summary!$C$6</f>
        <v>42</v>
      </c>
      <c r="O1513" s="37" t="n">
        <v>46000.3427430556</v>
      </c>
      <c r="P1513" s="22" t="n">
        <f aca="false">ROUND((O1513-C1513)*86400,0)</f>
        <v>240</v>
      </c>
      <c r="Q1513" s="22" t="str">
        <f aca="false">IF(P1513&lt;10,"a) &lt;10s",IF(P1513&lt;60,"b) 10-60s",IF(P1513&lt;600,"c) 1-10min","d) &gt;10min")))</f>
        <v>c) 1-10min</v>
      </c>
      <c r="R1513" s="38" t="n">
        <v>4174.87</v>
      </c>
      <c r="S1513" s="38" t="n">
        <v>4174.9</v>
      </c>
      <c r="T1513" s="22" t="s">
        <v>189</v>
      </c>
      <c r="U1513" s="39" t="n">
        <f aca="false">IF(R1513="","",IF(F1513="BUY",R1513-S1513,S1513-R1513))</f>
        <v>0.0299999999997453</v>
      </c>
      <c r="V1513" s="39" t="n">
        <f aca="false">IF(F1513="BUY",S1513-J1513,J1513-S1513)</f>
        <v>0.470000000000255</v>
      </c>
      <c r="W1513" s="6" t="n">
        <v>3.29</v>
      </c>
      <c r="X1513" s="26" t="n">
        <f aca="false">IFERROR(W1513/N1513,0)</f>
        <v>0.0783333333333333</v>
      </c>
      <c r="Y1513" s="22" t="str">
        <f aca="false">IF(W1513&gt;0,"Win",IF(W1513&lt;0,"Loss","Flat"))</f>
        <v>Win</v>
      </c>
      <c r="Z1513" s="24" t="n">
        <f aca="false">Summary!$C$5+SUM(W$2:W1513)</f>
        <v>4698.51</v>
      </c>
      <c r="AA1513" s="24" t="n">
        <f aca="false">MAX(AA1512,Z1513)</f>
        <v>5000</v>
      </c>
      <c r="AB1513" s="24" t="n">
        <f aca="false">AA1513-Z1513</f>
        <v>301.49</v>
      </c>
      <c r="AC1513" s="23" t="n">
        <f aca="false">IFERROR(AB1513/AA1513,0)</f>
        <v>0.060298</v>
      </c>
      <c r="AD1513" s="22" t="s">
        <v>1750</v>
      </c>
    </row>
    <row r="1514" customFormat="false" ht="15" hidden="false" customHeight="false" outlineLevel="0" collapsed="false">
      <c r="A1514" s="22" t="n">
        <v>1513</v>
      </c>
      <c r="B1514" s="22" t="s">
        <v>164</v>
      </c>
      <c r="C1514" s="37" t="n">
        <v>46000.4199421296</v>
      </c>
      <c r="D1514" s="22" t="s">
        <v>203</v>
      </c>
      <c r="E1514" s="22" t="n">
        <v>10</v>
      </c>
      <c r="F1514" s="22" t="s">
        <v>181</v>
      </c>
      <c r="G1514" s="22" t="s">
        <v>235</v>
      </c>
      <c r="H1514" s="22" t="n">
        <v>0.07</v>
      </c>
      <c r="I1514" s="38" t="n">
        <v>4187.06</v>
      </c>
      <c r="J1514" s="38" t="n">
        <v>4187.06</v>
      </c>
      <c r="K1514" s="39" t="n">
        <f aca="false">IF(F1514="BUY",J1514-I1514,I1514-J1514)</f>
        <v>0</v>
      </c>
      <c r="L1514" s="38" t="n">
        <v>4181.06</v>
      </c>
      <c r="M1514" s="39" t="n">
        <f aca="false">ABS(I1514-L1514)</f>
        <v>6</v>
      </c>
      <c r="N1514" s="24" t="n">
        <f aca="false">M1514*H1514*Summary!$C$6</f>
        <v>42</v>
      </c>
      <c r="O1514" s="37" t="n">
        <v>46000.7535300926</v>
      </c>
      <c r="P1514" s="22" t="n">
        <f aca="false">ROUND((O1514-C1514)*86400,0)</f>
        <v>28822</v>
      </c>
      <c r="Q1514" s="22" t="str">
        <f aca="false">IF(P1514&lt;10,"a) &lt;10s",IF(P1514&lt;60,"b) 10-60s",IF(P1514&lt;600,"c) 1-10min","d) &gt;10min")))</f>
        <v>d) &gt;10min</v>
      </c>
      <c r="R1514" s="38"/>
      <c r="S1514" s="38" t="n">
        <v>4217.06</v>
      </c>
      <c r="T1514" s="22" t="s">
        <v>187</v>
      </c>
      <c r="U1514" s="39" t="str">
        <f aca="false">IF(R1514="","",IF(F1514="BUY",R1514-S1514,S1514-R1514))</f>
        <v/>
      </c>
      <c r="V1514" s="39" t="n">
        <f aca="false">IF(F1514="BUY",S1514-J1514,J1514-S1514)</f>
        <v>30</v>
      </c>
      <c r="W1514" s="6" t="n">
        <v>210</v>
      </c>
      <c r="X1514" s="26" t="n">
        <f aca="false">IFERROR(W1514/N1514,0)</f>
        <v>5</v>
      </c>
      <c r="Y1514" s="22" t="str">
        <f aca="false">IF(W1514&gt;0,"Win",IF(W1514&lt;0,"Loss","Flat"))</f>
        <v>Win</v>
      </c>
      <c r="Z1514" s="24" t="n">
        <f aca="false">Summary!$C$5+SUM(W$2:W1514)</f>
        <v>4908.51</v>
      </c>
      <c r="AA1514" s="24" t="n">
        <f aca="false">MAX(AA1513,Z1514)</f>
        <v>5000</v>
      </c>
      <c r="AB1514" s="24" t="n">
        <f aca="false">AA1514-Z1514</f>
        <v>91.4899999999998</v>
      </c>
      <c r="AC1514" s="23" t="n">
        <f aca="false">IFERROR(AB1514/AA1514,0)</f>
        <v>0.018298</v>
      </c>
      <c r="AD1514" s="22" t="s">
        <v>1751</v>
      </c>
    </row>
    <row r="1515" customFormat="false" ht="15" hidden="false" customHeight="false" outlineLevel="0" collapsed="false">
      <c r="A1515" s="22" t="n">
        <v>1514</v>
      </c>
      <c r="B1515" s="22" t="s">
        <v>164</v>
      </c>
      <c r="C1515" s="37" t="n">
        <v>46001.4171064815</v>
      </c>
      <c r="D1515" s="22" t="s">
        <v>204</v>
      </c>
      <c r="E1515" s="22" t="n">
        <v>10</v>
      </c>
      <c r="F1515" s="22" t="s">
        <v>182</v>
      </c>
      <c r="G1515" s="22" t="s">
        <v>241</v>
      </c>
      <c r="H1515" s="22" t="n">
        <v>0.08</v>
      </c>
      <c r="I1515" s="38" t="n">
        <v>4201.53</v>
      </c>
      <c r="J1515" s="38" t="n">
        <v>4201.53</v>
      </c>
      <c r="K1515" s="39" t="n">
        <f aca="false">IF(F1515="BUY",J1515-I1515,I1515-J1515)</f>
        <v>0</v>
      </c>
      <c r="L1515" s="38" t="n">
        <v>4207.53</v>
      </c>
      <c r="M1515" s="39" t="n">
        <f aca="false">ABS(I1515-L1515)</f>
        <v>6</v>
      </c>
      <c r="N1515" s="24" t="n">
        <f aca="false">M1515*H1515*Summary!$C$6</f>
        <v>48</v>
      </c>
      <c r="O1515" s="37" t="n">
        <v>46001.4491319444</v>
      </c>
      <c r="P1515" s="22" t="n">
        <f aca="false">ROUND((O1515-C1515)*86400,0)</f>
        <v>2767</v>
      </c>
      <c r="Q1515" s="22" t="str">
        <f aca="false">IF(P1515&lt;10,"a) &lt;10s",IF(P1515&lt;60,"b) 10-60s",IF(P1515&lt;600,"c) 1-10min","d) &gt;10min")))</f>
        <v>d) &gt;10min</v>
      </c>
      <c r="R1515" s="38" t="n">
        <v>4201.03</v>
      </c>
      <c r="S1515" s="38" t="n">
        <v>4201.07</v>
      </c>
      <c r="T1515" s="22" t="s">
        <v>189</v>
      </c>
      <c r="U1515" s="39" t="n">
        <f aca="false">IF(R1515="","",IF(F1515="BUY",R1515-S1515,S1515-R1515))</f>
        <v>0.0399999999999636</v>
      </c>
      <c r="V1515" s="39" t="n">
        <f aca="false">IF(F1515="BUY",S1515-J1515,J1515-S1515)</f>
        <v>0.460000000000036</v>
      </c>
      <c r="W1515" s="6" t="n">
        <v>3.68</v>
      </c>
      <c r="X1515" s="26" t="n">
        <f aca="false">IFERROR(W1515/N1515,0)</f>
        <v>0.0766666666666667</v>
      </c>
      <c r="Y1515" s="22" t="str">
        <f aca="false">IF(W1515&gt;0,"Win",IF(W1515&lt;0,"Loss","Flat"))</f>
        <v>Win</v>
      </c>
      <c r="Z1515" s="24" t="n">
        <f aca="false">Summary!$C$5+SUM(W$2:W1515)</f>
        <v>4912.19</v>
      </c>
      <c r="AA1515" s="24" t="n">
        <f aca="false">MAX(AA1514,Z1515)</f>
        <v>5000</v>
      </c>
      <c r="AB1515" s="24" t="n">
        <f aca="false">AA1515-Z1515</f>
        <v>87.8100000000004</v>
      </c>
      <c r="AC1515" s="23" t="n">
        <f aca="false">IFERROR(AB1515/AA1515,0)</f>
        <v>0.0175620000000001</v>
      </c>
      <c r="AD1515" s="22" t="s">
        <v>1752</v>
      </c>
    </row>
    <row r="1516" customFormat="false" ht="15" hidden="false" customHeight="false" outlineLevel="0" collapsed="false">
      <c r="A1516" s="22" t="n">
        <v>1515</v>
      </c>
      <c r="B1516" s="22" t="s">
        <v>164</v>
      </c>
      <c r="C1516" s="37" t="n">
        <v>46002.0916550926</v>
      </c>
      <c r="D1516" s="22" t="s">
        <v>205</v>
      </c>
      <c r="E1516" s="22" t="n">
        <v>2</v>
      </c>
      <c r="F1516" s="22" t="s">
        <v>181</v>
      </c>
      <c r="G1516" s="22" t="s">
        <v>243</v>
      </c>
      <c r="H1516" s="22" t="n">
        <v>0.08</v>
      </c>
      <c r="I1516" s="38" t="n">
        <v>4238.45</v>
      </c>
      <c r="J1516" s="38" t="n">
        <v>4239.53</v>
      </c>
      <c r="K1516" s="39" t="n">
        <f aca="false">IF(F1516="BUY",J1516-I1516,I1516-J1516)</f>
        <v>1.07999999999993</v>
      </c>
      <c r="L1516" s="38" t="n">
        <v>4232.45</v>
      </c>
      <c r="M1516" s="39" t="n">
        <f aca="false">ABS(I1516-L1516)</f>
        <v>6</v>
      </c>
      <c r="N1516" s="24" t="n">
        <f aca="false">M1516*H1516*Summary!$C$6</f>
        <v>48</v>
      </c>
      <c r="O1516" s="37" t="n">
        <v>46002.1018171296</v>
      </c>
      <c r="P1516" s="22" t="n">
        <f aca="false">ROUND((O1516-C1516)*86400,0)</f>
        <v>878</v>
      </c>
      <c r="Q1516" s="22" t="str">
        <f aca="false">IF(P1516&lt;10,"a) &lt;10s",IF(P1516&lt;60,"b) 10-60s",IF(P1516&lt;600,"c) 1-10min","d) &gt;10min")))</f>
        <v>d) &gt;10min</v>
      </c>
      <c r="R1516" s="38" t="n">
        <v>4240.03</v>
      </c>
      <c r="S1516" s="38" t="n">
        <v>4240</v>
      </c>
      <c r="T1516" s="22" t="s">
        <v>189</v>
      </c>
      <c r="U1516" s="39" t="n">
        <f aca="false">IF(R1516="","",IF(F1516="BUY",R1516-S1516,S1516-R1516))</f>
        <v>0.0299999999997453</v>
      </c>
      <c r="V1516" s="39" t="n">
        <f aca="false">IF(F1516="BUY",S1516-J1516,J1516-S1516)</f>
        <v>0.470000000000255</v>
      </c>
      <c r="W1516" s="6" t="n">
        <v>3.76</v>
      </c>
      <c r="X1516" s="26" t="n">
        <f aca="false">IFERROR(W1516/N1516,0)</f>
        <v>0.0783333333333333</v>
      </c>
      <c r="Y1516" s="22" t="str">
        <f aca="false">IF(W1516&gt;0,"Win",IF(W1516&lt;0,"Loss","Flat"))</f>
        <v>Win</v>
      </c>
      <c r="Z1516" s="24" t="n">
        <f aca="false">Summary!$C$5+SUM(W$2:W1516)</f>
        <v>4915.95</v>
      </c>
      <c r="AA1516" s="24" t="n">
        <f aca="false">MAX(AA1515,Z1516)</f>
        <v>5000</v>
      </c>
      <c r="AB1516" s="24" t="n">
        <f aca="false">AA1516-Z1516</f>
        <v>84.0500000000002</v>
      </c>
      <c r="AC1516" s="23" t="n">
        <f aca="false">IFERROR(AB1516/AA1516,0)</f>
        <v>0.01681</v>
      </c>
      <c r="AD1516" s="22" t="s">
        <v>1753</v>
      </c>
    </row>
    <row r="1517" customFormat="false" ht="15" hidden="false" customHeight="false" outlineLevel="0" collapsed="false">
      <c r="A1517" s="22" t="n">
        <v>1516</v>
      </c>
      <c r="B1517" s="22" t="s">
        <v>164</v>
      </c>
      <c r="C1517" s="37" t="n">
        <v>46002.4003587963</v>
      </c>
      <c r="D1517" s="22" t="s">
        <v>205</v>
      </c>
      <c r="E1517" s="22" t="n">
        <v>9</v>
      </c>
      <c r="F1517" s="22" t="s">
        <v>181</v>
      </c>
      <c r="G1517" s="22" t="s">
        <v>235</v>
      </c>
      <c r="H1517" s="22" t="n">
        <v>0.08</v>
      </c>
      <c r="I1517" s="38" t="n">
        <v>4216.05</v>
      </c>
      <c r="J1517" s="38" t="n">
        <v>4216.06</v>
      </c>
      <c r="K1517" s="39" t="n">
        <f aca="false">IF(F1517="BUY",J1517-I1517,I1517-J1517)</f>
        <v>0.0100000000002183</v>
      </c>
      <c r="L1517" s="38" t="n">
        <v>4210.05</v>
      </c>
      <c r="M1517" s="39" t="n">
        <f aca="false">ABS(I1517-L1517)</f>
        <v>6</v>
      </c>
      <c r="N1517" s="24" t="n">
        <f aca="false">M1517*H1517*Summary!$C$6</f>
        <v>48</v>
      </c>
      <c r="O1517" s="37" t="n">
        <v>46002.4072337963</v>
      </c>
      <c r="P1517" s="22" t="n">
        <f aca="false">ROUND((O1517-C1517)*86400,0)</f>
        <v>594</v>
      </c>
      <c r="Q1517" s="22" t="str">
        <f aca="false">IF(P1517&lt;10,"a) &lt;10s",IF(P1517&lt;60,"b) 10-60s",IF(P1517&lt;600,"c) 1-10min","d) &gt;10min")))</f>
        <v>c) 1-10min</v>
      </c>
      <c r="R1517" s="38" t="n">
        <v>4216.56</v>
      </c>
      <c r="S1517" s="38" t="n">
        <v>4216.52</v>
      </c>
      <c r="T1517" s="22" t="s">
        <v>189</v>
      </c>
      <c r="U1517" s="39" t="n">
        <f aca="false">IF(R1517="","",IF(F1517="BUY",R1517-S1517,S1517-R1517))</f>
        <v>0.0399999999999636</v>
      </c>
      <c r="V1517" s="39" t="n">
        <f aca="false">IF(F1517="BUY",S1517-J1517,J1517-S1517)</f>
        <v>0.460000000000036</v>
      </c>
      <c r="W1517" s="6" t="n">
        <v>3.68</v>
      </c>
      <c r="X1517" s="26" t="n">
        <f aca="false">IFERROR(W1517/N1517,0)</f>
        <v>0.0766666666666667</v>
      </c>
      <c r="Y1517" s="22" t="str">
        <f aca="false">IF(W1517&gt;0,"Win",IF(W1517&lt;0,"Loss","Flat"))</f>
        <v>Win</v>
      </c>
      <c r="Z1517" s="24" t="n">
        <f aca="false">Summary!$C$5+SUM(W$2:W1517)</f>
        <v>4919.63</v>
      </c>
      <c r="AA1517" s="24" t="n">
        <f aca="false">MAX(AA1516,Z1517)</f>
        <v>5000</v>
      </c>
      <c r="AB1517" s="24" t="n">
        <f aca="false">AA1517-Z1517</f>
        <v>80.3699999999999</v>
      </c>
      <c r="AC1517" s="23" t="n">
        <f aca="false">IFERROR(AB1517/AA1517,0)</f>
        <v>0.016074</v>
      </c>
      <c r="AD1517" s="22" t="s">
        <v>1754</v>
      </c>
    </row>
    <row r="1518" customFormat="false" ht="15" hidden="false" customHeight="false" outlineLevel="0" collapsed="false">
      <c r="A1518" s="22" t="n">
        <v>1517</v>
      </c>
      <c r="B1518" s="22" t="s">
        <v>164</v>
      </c>
      <c r="C1518" s="37" t="n">
        <v>46003.3799768519</v>
      </c>
      <c r="D1518" s="22" t="s">
        <v>206</v>
      </c>
      <c r="E1518" s="22" t="n">
        <v>9</v>
      </c>
      <c r="F1518" s="22" t="s">
        <v>181</v>
      </c>
      <c r="G1518" s="22" t="s">
        <v>243</v>
      </c>
      <c r="H1518" s="22" t="n">
        <v>0.08</v>
      </c>
      <c r="I1518" s="38" t="n">
        <v>4285.71</v>
      </c>
      <c r="J1518" s="38" t="n">
        <v>4287.34</v>
      </c>
      <c r="K1518" s="39" t="n">
        <f aca="false">IF(F1518="BUY",J1518-I1518,I1518-J1518)</f>
        <v>1.63000000000011</v>
      </c>
      <c r="L1518" s="38" t="n">
        <v>4279.71</v>
      </c>
      <c r="M1518" s="39" t="n">
        <f aca="false">ABS(I1518-L1518)</f>
        <v>6</v>
      </c>
      <c r="N1518" s="24" t="n">
        <f aca="false">M1518*H1518*Summary!$C$6</f>
        <v>48</v>
      </c>
      <c r="O1518" s="37" t="n">
        <v>46003.4007986111</v>
      </c>
      <c r="P1518" s="22" t="n">
        <f aca="false">ROUND((O1518-C1518)*86400,0)</f>
        <v>1799</v>
      </c>
      <c r="Q1518" s="22" t="str">
        <f aca="false">IF(P1518&lt;10,"a) &lt;10s",IF(P1518&lt;60,"b) 10-60s",IF(P1518&lt;600,"c) 1-10min","d) &gt;10min")))</f>
        <v>d) &gt;10min</v>
      </c>
      <c r="R1518" s="38" t="n">
        <v>4287.84</v>
      </c>
      <c r="S1518" s="38" t="n">
        <v>4287.62</v>
      </c>
      <c r="T1518" s="22" t="s">
        <v>189</v>
      </c>
      <c r="U1518" s="39" t="n">
        <f aca="false">IF(R1518="","",IF(F1518="BUY",R1518-S1518,S1518-R1518))</f>
        <v>0.220000000000255</v>
      </c>
      <c r="V1518" s="39" t="n">
        <f aca="false">IF(F1518="BUY",S1518-J1518,J1518-S1518)</f>
        <v>0.279999999999745</v>
      </c>
      <c r="W1518" s="6" t="n">
        <v>2.24</v>
      </c>
      <c r="X1518" s="26" t="n">
        <f aca="false">IFERROR(W1518/N1518,0)</f>
        <v>0.0466666666666667</v>
      </c>
      <c r="Y1518" s="22" t="str">
        <f aca="false">IF(W1518&gt;0,"Win",IF(W1518&lt;0,"Loss","Flat"))</f>
        <v>Win</v>
      </c>
      <c r="Z1518" s="24" t="n">
        <f aca="false">Summary!$C$5+SUM(W$2:W1518)</f>
        <v>4921.87</v>
      </c>
      <c r="AA1518" s="24" t="n">
        <f aca="false">MAX(AA1517,Z1518)</f>
        <v>5000</v>
      </c>
      <c r="AB1518" s="24" t="n">
        <f aca="false">AA1518-Z1518</f>
        <v>78.1300000000001</v>
      </c>
      <c r="AC1518" s="23" t="n">
        <f aca="false">IFERROR(AB1518/AA1518,0)</f>
        <v>0.015626</v>
      </c>
      <c r="AD1518" s="22" t="s">
        <v>1755</v>
      </c>
    </row>
    <row r="1519" customFormat="false" ht="15" hidden="false" customHeight="false" outlineLevel="0" collapsed="false">
      <c r="A1519" s="22" t="n">
        <v>1518</v>
      </c>
      <c r="B1519" s="22" t="s">
        <v>164</v>
      </c>
      <c r="C1519" s="37" t="n">
        <v>46003.7771875</v>
      </c>
      <c r="D1519" s="22" t="s">
        <v>206</v>
      </c>
      <c r="E1519" s="22" t="n">
        <v>18</v>
      </c>
      <c r="F1519" s="22" t="s">
        <v>182</v>
      </c>
      <c r="G1519" s="22" t="s">
        <v>241</v>
      </c>
      <c r="H1519" s="22" t="n">
        <v>0.08</v>
      </c>
      <c r="I1519" s="38" t="n">
        <v>4265.81</v>
      </c>
      <c r="J1519" s="38" t="n">
        <v>4265.67</v>
      </c>
      <c r="K1519" s="39" t="n">
        <f aca="false">IF(F1519="BUY",J1519-I1519,I1519-J1519)</f>
        <v>0.140000000000327</v>
      </c>
      <c r="L1519" s="38" t="n">
        <v>4271.81</v>
      </c>
      <c r="M1519" s="39" t="n">
        <f aca="false">ABS(I1519-L1519)</f>
        <v>6</v>
      </c>
      <c r="N1519" s="24" t="n">
        <f aca="false">M1519*H1519*Summary!$C$6</f>
        <v>48</v>
      </c>
      <c r="O1519" s="37" t="n">
        <v>46003.7781481482</v>
      </c>
      <c r="P1519" s="22" t="n">
        <f aca="false">ROUND((O1519-C1519)*86400,0)</f>
        <v>83</v>
      </c>
      <c r="Q1519" s="22" t="str">
        <f aca="false">IF(P1519&lt;10,"a) &lt;10s",IF(P1519&lt;60,"b) 10-60s",IF(P1519&lt;600,"c) 1-10min","d) &gt;10min")))</f>
        <v>c) 1-10min</v>
      </c>
      <c r="R1519" s="38" t="n">
        <v>4265.17</v>
      </c>
      <c r="S1519" s="38" t="n">
        <v>4265.19</v>
      </c>
      <c r="T1519" s="22" t="s">
        <v>189</v>
      </c>
      <c r="U1519" s="39" t="n">
        <f aca="false">IF(R1519="","",IF(F1519="BUY",R1519-S1519,S1519-R1519))</f>
        <v>0.0199999999995271</v>
      </c>
      <c r="V1519" s="39" t="n">
        <f aca="false">IF(F1519="BUY",S1519-J1519,J1519-S1519)</f>
        <v>0.480000000000473</v>
      </c>
      <c r="W1519" s="6" t="n">
        <v>3.84</v>
      </c>
      <c r="X1519" s="26" t="n">
        <f aca="false">IFERROR(W1519/N1519,0)</f>
        <v>0.08</v>
      </c>
      <c r="Y1519" s="22" t="str">
        <f aca="false">IF(W1519&gt;0,"Win",IF(W1519&lt;0,"Loss","Flat"))</f>
        <v>Win</v>
      </c>
      <c r="Z1519" s="24" t="n">
        <f aca="false">Summary!$C$5+SUM(W$2:W1519)</f>
        <v>4925.71</v>
      </c>
      <c r="AA1519" s="24" t="n">
        <f aca="false">MAX(AA1518,Z1519)</f>
        <v>5000</v>
      </c>
      <c r="AB1519" s="24" t="n">
        <f aca="false">AA1519-Z1519</f>
        <v>74.29</v>
      </c>
      <c r="AC1519" s="23" t="n">
        <f aca="false">IFERROR(AB1519/AA1519,0)</f>
        <v>0.014858</v>
      </c>
      <c r="AD1519" s="22" t="s">
        <v>1756</v>
      </c>
    </row>
    <row r="1520" customFormat="false" ht="15" hidden="false" customHeight="false" outlineLevel="0" collapsed="false">
      <c r="A1520" s="22" t="n">
        <v>1519</v>
      </c>
      <c r="B1520" s="22" t="s">
        <v>164</v>
      </c>
      <c r="C1520" s="37" t="n">
        <v>46006.4501851852</v>
      </c>
      <c r="D1520" s="22" t="s">
        <v>202</v>
      </c>
      <c r="E1520" s="22" t="n">
        <v>10</v>
      </c>
      <c r="F1520" s="22" t="s">
        <v>181</v>
      </c>
      <c r="G1520" s="22" t="s">
        <v>235</v>
      </c>
      <c r="H1520" s="22" t="n">
        <v>0.08</v>
      </c>
      <c r="I1520" s="38" t="n">
        <v>4347.19</v>
      </c>
      <c r="J1520" s="38" t="n">
        <v>4347.2</v>
      </c>
      <c r="K1520" s="39" t="n">
        <f aca="false">IF(F1520="BUY",J1520-I1520,I1520-J1520)</f>
        <v>0.0100000000002183</v>
      </c>
      <c r="L1520" s="38" t="n">
        <v>4341.19</v>
      </c>
      <c r="M1520" s="39" t="n">
        <f aca="false">ABS(I1520-L1520)</f>
        <v>6</v>
      </c>
      <c r="N1520" s="24" t="n">
        <f aca="false">M1520*H1520*Summary!$C$6</f>
        <v>48</v>
      </c>
      <c r="O1520" s="37" t="n">
        <v>46006.4693402778</v>
      </c>
      <c r="P1520" s="22" t="n">
        <f aca="false">ROUND((O1520-C1520)*86400,0)</f>
        <v>1655</v>
      </c>
      <c r="Q1520" s="22" t="str">
        <f aca="false">IF(P1520&lt;10,"a) &lt;10s",IF(P1520&lt;60,"b) 10-60s",IF(P1520&lt;600,"c) 1-10min","d) &gt;10min")))</f>
        <v>d) &gt;10min</v>
      </c>
      <c r="R1520" s="38" t="n">
        <v>4347.7</v>
      </c>
      <c r="S1520" s="38" t="n">
        <v>4347.47</v>
      </c>
      <c r="T1520" s="22" t="s">
        <v>189</v>
      </c>
      <c r="U1520" s="39" t="n">
        <f aca="false">IF(R1520="","",IF(F1520="BUY",R1520-S1520,S1520-R1520))</f>
        <v>0.229999999999563</v>
      </c>
      <c r="V1520" s="39" t="n">
        <f aca="false">IF(F1520="BUY",S1520-J1520,J1520-S1520)</f>
        <v>0.270000000000437</v>
      </c>
      <c r="W1520" s="6" t="n">
        <v>2.16</v>
      </c>
      <c r="X1520" s="26" t="n">
        <f aca="false">IFERROR(W1520/N1520,0)</f>
        <v>0.045</v>
      </c>
      <c r="Y1520" s="22" t="str">
        <f aca="false">IF(W1520&gt;0,"Win",IF(W1520&lt;0,"Loss","Flat"))</f>
        <v>Win</v>
      </c>
      <c r="Z1520" s="24" t="n">
        <f aca="false">Summary!$C$5+SUM(W$2:W1520)</f>
        <v>4927.87</v>
      </c>
      <c r="AA1520" s="24" t="n">
        <f aca="false">MAX(AA1519,Z1520)</f>
        <v>5000</v>
      </c>
      <c r="AB1520" s="24" t="n">
        <f aca="false">AA1520-Z1520</f>
        <v>72.1300000000001</v>
      </c>
      <c r="AC1520" s="23" t="n">
        <f aca="false">IFERROR(AB1520/AA1520,0)</f>
        <v>0.014426</v>
      </c>
      <c r="AD1520" s="22" t="s">
        <v>1757</v>
      </c>
    </row>
    <row r="1521" customFormat="false" ht="15" hidden="false" customHeight="false" outlineLevel="0" collapsed="false">
      <c r="A1521" s="22" t="n">
        <v>1520</v>
      </c>
      <c r="B1521" s="22" t="s">
        <v>164</v>
      </c>
      <c r="C1521" s="37" t="n">
        <v>46007.2161805556</v>
      </c>
      <c r="D1521" s="22" t="s">
        <v>203</v>
      </c>
      <c r="E1521" s="22" t="n">
        <v>5</v>
      </c>
      <c r="F1521" s="22" t="s">
        <v>182</v>
      </c>
      <c r="G1521" s="22" t="s">
        <v>237</v>
      </c>
      <c r="H1521" s="22" t="n">
        <v>0.08</v>
      </c>
      <c r="I1521" s="38" t="n">
        <v>4285.06</v>
      </c>
      <c r="J1521" s="38" t="n">
        <v>4284.69</v>
      </c>
      <c r="K1521" s="39" t="n">
        <f aca="false">IF(F1521="BUY",J1521-I1521,I1521-J1521)</f>
        <v>0.3700000000008</v>
      </c>
      <c r="L1521" s="38" t="n">
        <v>4291.06</v>
      </c>
      <c r="M1521" s="39" t="n">
        <f aca="false">ABS(I1521-L1521)</f>
        <v>6</v>
      </c>
      <c r="N1521" s="24" t="n">
        <f aca="false">M1521*H1521*Summary!$C$6</f>
        <v>48</v>
      </c>
      <c r="O1521" s="37" t="n">
        <v>46007.2201273148</v>
      </c>
      <c r="P1521" s="22" t="n">
        <f aca="false">ROUND((O1521-C1521)*86400,0)</f>
        <v>341</v>
      </c>
      <c r="Q1521" s="22" t="str">
        <f aca="false">IF(P1521&lt;10,"a) &lt;10s",IF(P1521&lt;60,"b) 10-60s",IF(P1521&lt;600,"c) 1-10min","d) &gt;10min")))</f>
        <v>c) 1-10min</v>
      </c>
      <c r="R1521" s="38" t="n">
        <v>4284.19</v>
      </c>
      <c r="S1521" s="38" t="n">
        <v>4284.24</v>
      </c>
      <c r="T1521" s="22" t="s">
        <v>189</v>
      </c>
      <c r="U1521" s="39" t="n">
        <f aca="false">IF(R1521="","",IF(F1521="BUY",R1521-S1521,S1521-R1521))</f>
        <v>0.0500000000001819</v>
      </c>
      <c r="V1521" s="39" t="n">
        <f aca="false">IF(F1521="BUY",S1521-J1521,J1521-S1521)</f>
        <v>0.449999999999818</v>
      </c>
      <c r="W1521" s="6" t="n">
        <v>3.6</v>
      </c>
      <c r="X1521" s="26" t="n">
        <f aca="false">IFERROR(W1521/N1521,0)</f>
        <v>0.075</v>
      </c>
      <c r="Y1521" s="22" t="str">
        <f aca="false">IF(W1521&gt;0,"Win",IF(W1521&lt;0,"Loss","Flat"))</f>
        <v>Win</v>
      </c>
      <c r="Z1521" s="24" t="n">
        <f aca="false">Summary!$C$5+SUM(W$2:W1521)</f>
        <v>4931.47</v>
      </c>
      <c r="AA1521" s="24" t="n">
        <f aca="false">MAX(AA1520,Z1521)</f>
        <v>5000</v>
      </c>
      <c r="AB1521" s="24" t="n">
        <f aca="false">AA1521-Z1521</f>
        <v>68.5299999999998</v>
      </c>
      <c r="AC1521" s="23" t="n">
        <f aca="false">IFERROR(AB1521/AA1521,0)</f>
        <v>0.0137059999999999</v>
      </c>
      <c r="AD1521" s="22" t="s">
        <v>1758</v>
      </c>
    </row>
    <row r="1522" customFormat="false" ht="15" hidden="false" customHeight="false" outlineLevel="0" collapsed="false">
      <c r="A1522" s="22" t="n">
        <v>1521</v>
      </c>
      <c r="B1522" s="22" t="s">
        <v>164</v>
      </c>
      <c r="C1522" s="37" t="n">
        <v>46007.5964583333</v>
      </c>
      <c r="D1522" s="22" t="s">
        <v>203</v>
      </c>
      <c r="E1522" s="22" t="n">
        <v>14</v>
      </c>
      <c r="F1522" s="22" t="s">
        <v>181</v>
      </c>
      <c r="G1522" s="22" t="s">
        <v>235</v>
      </c>
      <c r="H1522" s="22" t="n">
        <v>0.08</v>
      </c>
      <c r="I1522" s="38" t="n">
        <v>4292.06</v>
      </c>
      <c r="J1522" s="38" t="n">
        <v>4292.12</v>
      </c>
      <c r="K1522" s="39" t="n">
        <f aca="false">IF(F1522="BUY",J1522-I1522,I1522-J1522)</f>
        <v>0.0599999999994907</v>
      </c>
      <c r="L1522" s="38" t="n">
        <v>4286.06</v>
      </c>
      <c r="M1522" s="39" t="n">
        <f aca="false">ABS(I1522-L1522)</f>
        <v>6</v>
      </c>
      <c r="N1522" s="24" t="n">
        <f aca="false">M1522*H1522*Summary!$C$6</f>
        <v>48</v>
      </c>
      <c r="O1522" s="37" t="n">
        <v>46007.6164814815</v>
      </c>
      <c r="P1522" s="22" t="n">
        <f aca="false">ROUND((O1522-C1522)*86400,0)</f>
        <v>1730</v>
      </c>
      <c r="Q1522" s="22" t="str">
        <f aca="false">IF(P1522&lt;10,"a) &lt;10s",IF(P1522&lt;60,"b) 10-60s",IF(P1522&lt;600,"c) 1-10min","d) &gt;10min")))</f>
        <v>d) &gt;10min</v>
      </c>
      <c r="R1522" s="38" t="n">
        <v>4292.62</v>
      </c>
      <c r="S1522" s="38" t="n">
        <v>4292.55</v>
      </c>
      <c r="T1522" s="22" t="s">
        <v>189</v>
      </c>
      <c r="U1522" s="39" t="n">
        <f aca="false">IF(R1522="","",IF(F1522="BUY",R1522-S1522,S1522-R1522))</f>
        <v>0.069999999999709</v>
      </c>
      <c r="V1522" s="39" t="n">
        <f aca="false">IF(F1522="BUY",S1522-J1522,J1522-S1522)</f>
        <v>0.430000000000291</v>
      </c>
      <c r="W1522" s="6" t="n">
        <v>3.44</v>
      </c>
      <c r="X1522" s="26" t="n">
        <f aca="false">IFERROR(W1522/N1522,0)</f>
        <v>0.0716666666666667</v>
      </c>
      <c r="Y1522" s="22" t="str">
        <f aca="false">IF(W1522&gt;0,"Win",IF(W1522&lt;0,"Loss","Flat"))</f>
        <v>Win</v>
      </c>
      <c r="Z1522" s="24" t="n">
        <f aca="false">Summary!$C$5+SUM(W$2:W1522)</f>
        <v>4934.91</v>
      </c>
      <c r="AA1522" s="24" t="n">
        <f aca="false">MAX(AA1521,Z1522)</f>
        <v>5000</v>
      </c>
      <c r="AB1522" s="24" t="n">
        <f aca="false">AA1522-Z1522</f>
        <v>65.0900000000002</v>
      </c>
      <c r="AC1522" s="23" t="n">
        <f aca="false">IFERROR(AB1522/AA1522,0)</f>
        <v>0.013018</v>
      </c>
      <c r="AD1522" s="22" t="s">
        <v>1759</v>
      </c>
    </row>
    <row r="1523" customFormat="false" ht="15" hidden="false" customHeight="false" outlineLevel="0" collapsed="false">
      <c r="A1523" s="22" t="n">
        <v>1522</v>
      </c>
      <c r="B1523" s="22" t="s">
        <v>164</v>
      </c>
      <c r="C1523" s="37" t="n">
        <v>46008.307025463</v>
      </c>
      <c r="D1523" s="22" t="s">
        <v>204</v>
      </c>
      <c r="E1523" s="22" t="n">
        <v>7</v>
      </c>
      <c r="F1523" s="22" t="s">
        <v>181</v>
      </c>
      <c r="G1523" s="22" t="s">
        <v>243</v>
      </c>
      <c r="H1523" s="22" t="n">
        <v>0.08</v>
      </c>
      <c r="I1523" s="38" t="n">
        <v>4334.94</v>
      </c>
      <c r="J1523" s="38" t="n">
        <v>4334.94</v>
      </c>
      <c r="K1523" s="39" t="n">
        <f aca="false">IF(F1523="BUY",J1523-I1523,I1523-J1523)</f>
        <v>0</v>
      </c>
      <c r="L1523" s="38" t="n">
        <v>4328.94</v>
      </c>
      <c r="M1523" s="39" t="n">
        <f aca="false">ABS(I1523-L1523)</f>
        <v>6</v>
      </c>
      <c r="N1523" s="24" t="n">
        <f aca="false">M1523*H1523*Summary!$C$6</f>
        <v>48</v>
      </c>
      <c r="O1523" s="37" t="n">
        <v>46008.3090856482</v>
      </c>
      <c r="P1523" s="22" t="n">
        <f aca="false">ROUND((O1523-C1523)*86400,0)</f>
        <v>178</v>
      </c>
      <c r="Q1523" s="22" t="str">
        <f aca="false">IF(P1523&lt;10,"a) &lt;10s",IF(P1523&lt;60,"b) 10-60s",IF(P1523&lt;600,"c) 1-10min","d) &gt;10min")))</f>
        <v>c) 1-10min</v>
      </c>
      <c r="R1523" s="38" t="n">
        <v>4335.44</v>
      </c>
      <c r="S1523" s="38" t="n">
        <v>4335.24</v>
      </c>
      <c r="T1523" s="22" t="s">
        <v>189</v>
      </c>
      <c r="U1523" s="39" t="n">
        <f aca="false">IF(R1523="","",IF(F1523="BUY",R1523-S1523,S1523-R1523))</f>
        <v>0.199999999999818</v>
      </c>
      <c r="V1523" s="39" t="n">
        <f aca="false">IF(F1523="BUY",S1523-J1523,J1523-S1523)</f>
        <v>0.300000000000182</v>
      </c>
      <c r="W1523" s="6" t="n">
        <v>2.4</v>
      </c>
      <c r="X1523" s="26" t="n">
        <f aca="false">IFERROR(W1523/N1523,0)</f>
        <v>0.05</v>
      </c>
      <c r="Y1523" s="22" t="str">
        <f aca="false">IF(W1523&gt;0,"Win",IF(W1523&lt;0,"Loss","Flat"))</f>
        <v>Win</v>
      </c>
      <c r="Z1523" s="24" t="n">
        <f aca="false">Summary!$C$5+SUM(W$2:W1523)</f>
        <v>4937.31</v>
      </c>
      <c r="AA1523" s="24" t="n">
        <f aca="false">MAX(AA1522,Z1523)</f>
        <v>5000</v>
      </c>
      <c r="AB1523" s="24" t="n">
        <f aca="false">AA1523-Z1523</f>
        <v>62.6899999999996</v>
      </c>
      <c r="AC1523" s="23" t="n">
        <f aca="false">IFERROR(AB1523/AA1523,0)</f>
        <v>0.0125379999999999</v>
      </c>
      <c r="AD1523" s="22" t="s">
        <v>1760</v>
      </c>
    </row>
    <row r="1524" customFormat="false" ht="15" hidden="false" customHeight="false" outlineLevel="0" collapsed="false">
      <c r="A1524" s="22" t="n">
        <v>1523</v>
      </c>
      <c r="B1524" s="22" t="s">
        <v>164</v>
      </c>
      <c r="C1524" s="37" t="n">
        <v>46008.3772685185</v>
      </c>
      <c r="D1524" s="22" t="s">
        <v>204</v>
      </c>
      <c r="E1524" s="22" t="n">
        <v>9</v>
      </c>
      <c r="F1524" s="22" t="s">
        <v>182</v>
      </c>
      <c r="G1524" s="22" t="s">
        <v>241</v>
      </c>
      <c r="H1524" s="22" t="n">
        <v>0.08</v>
      </c>
      <c r="I1524" s="38" t="n">
        <v>4324.45</v>
      </c>
      <c r="J1524" s="38" t="n">
        <v>4324.4</v>
      </c>
      <c r="K1524" s="39" t="n">
        <f aca="false">IF(F1524="BUY",J1524-I1524,I1524-J1524)</f>
        <v>0.0500000000001819</v>
      </c>
      <c r="L1524" s="38" t="n">
        <v>4330.45</v>
      </c>
      <c r="M1524" s="39" t="n">
        <f aca="false">ABS(I1524-L1524)</f>
        <v>6</v>
      </c>
      <c r="N1524" s="24" t="n">
        <f aca="false">M1524*H1524*Summary!$C$6</f>
        <v>48</v>
      </c>
      <c r="O1524" s="37" t="n">
        <v>46008.3952314815</v>
      </c>
      <c r="P1524" s="22" t="n">
        <f aca="false">ROUND((O1524-C1524)*86400,0)</f>
        <v>1552</v>
      </c>
      <c r="Q1524" s="22" t="str">
        <f aca="false">IF(P1524&lt;10,"a) &lt;10s",IF(P1524&lt;60,"b) 10-60s",IF(P1524&lt;600,"c) 1-10min","d) &gt;10min")))</f>
        <v>d) &gt;10min</v>
      </c>
      <c r="R1524" s="38" t="n">
        <v>4323.9</v>
      </c>
      <c r="S1524" s="38" t="n">
        <v>4323.94</v>
      </c>
      <c r="T1524" s="22" t="s">
        <v>189</v>
      </c>
      <c r="U1524" s="39" t="n">
        <f aca="false">IF(R1524="","",IF(F1524="BUY",R1524-S1524,S1524-R1524))</f>
        <v>0.0399999999999636</v>
      </c>
      <c r="V1524" s="39" t="n">
        <f aca="false">IF(F1524="BUY",S1524-J1524,J1524-S1524)</f>
        <v>0.460000000000036</v>
      </c>
      <c r="W1524" s="6" t="n">
        <v>3.68</v>
      </c>
      <c r="X1524" s="26" t="n">
        <f aca="false">IFERROR(W1524/N1524,0)</f>
        <v>0.0766666666666667</v>
      </c>
      <c r="Y1524" s="22" t="str">
        <f aca="false">IF(W1524&gt;0,"Win",IF(W1524&lt;0,"Loss","Flat"))</f>
        <v>Win</v>
      </c>
      <c r="Z1524" s="24" t="n">
        <f aca="false">Summary!$C$5+SUM(W$2:W1524)</f>
        <v>4940.99</v>
      </c>
      <c r="AA1524" s="24" t="n">
        <f aca="false">MAX(AA1523,Z1524)</f>
        <v>5000</v>
      </c>
      <c r="AB1524" s="24" t="n">
        <f aca="false">AA1524-Z1524</f>
        <v>59.0100000000002</v>
      </c>
      <c r="AC1524" s="23" t="n">
        <f aca="false">IFERROR(AB1524/AA1524,0)</f>
        <v>0.011802</v>
      </c>
      <c r="AD1524" s="22" t="s">
        <v>1761</v>
      </c>
    </row>
    <row r="1525" customFormat="false" ht="15" hidden="false" customHeight="false" outlineLevel="0" collapsed="false">
      <c r="A1525" s="22" t="n">
        <v>1524</v>
      </c>
      <c r="B1525" s="22" t="s">
        <v>164</v>
      </c>
      <c r="C1525" s="37" t="n">
        <v>46009.3834722222</v>
      </c>
      <c r="D1525" s="22" t="s">
        <v>205</v>
      </c>
      <c r="E1525" s="22" t="n">
        <v>9</v>
      </c>
      <c r="F1525" s="22" t="s">
        <v>182</v>
      </c>
      <c r="G1525" s="22" t="s">
        <v>241</v>
      </c>
      <c r="H1525" s="22" t="n">
        <v>0.08</v>
      </c>
      <c r="I1525" s="38" t="n">
        <v>4330.45</v>
      </c>
      <c r="J1525" s="38" t="n">
        <v>4330.29</v>
      </c>
      <c r="K1525" s="39" t="n">
        <f aca="false">IF(F1525="BUY",J1525-I1525,I1525-J1525)</f>
        <v>0.159999999999854</v>
      </c>
      <c r="L1525" s="38" t="n">
        <v>4336.45</v>
      </c>
      <c r="M1525" s="39" t="n">
        <f aca="false">ABS(I1525-L1525)</f>
        <v>6</v>
      </c>
      <c r="N1525" s="24" t="n">
        <f aca="false">M1525*H1525*Summary!$C$6</f>
        <v>48</v>
      </c>
      <c r="O1525" s="37" t="n">
        <v>46009.3967939815</v>
      </c>
      <c r="P1525" s="22" t="n">
        <f aca="false">ROUND((O1525-C1525)*86400,0)</f>
        <v>1151</v>
      </c>
      <c r="Q1525" s="22" t="str">
        <f aca="false">IF(P1525&lt;10,"a) &lt;10s",IF(P1525&lt;60,"b) 10-60s",IF(P1525&lt;600,"c) 1-10min","d) &gt;10min")))</f>
        <v>d) &gt;10min</v>
      </c>
      <c r="R1525" s="38" t="n">
        <v>4336.45</v>
      </c>
      <c r="S1525" s="38" t="n">
        <v>4336.46</v>
      </c>
      <c r="T1525" s="22" t="s">
        <v>188</v>
      </c>
      <c r="U1525" s="39" t="n">
        <f aca="false">IF(R1525="","",IF(F1525="BUY",R1525-S1525,S1525-R1525))</f>
        <v>0.0100000000002183</v>
      </c>
      <c r="V1525" s="39" t="n">
        <f aca="false">IF(F1525="BUY",S1525-J1525,J1525-S1525)</f>
        <v>-6.17000000000007</v>
      </c>
      <c r="W1525" s="6" t="n">
        <v>-49.36</v>
      </c>
      <c r="X1525" s="26" t="n">
        <f aca="false">IFERROR(W1525/N1525,0)</f>
        <v>-1.02833333333333</v>
      </c>
      <c r="Y1525" s="22" t="str">
        <f aca="false">IF(W1525&gt;0,"Win",IF(W1525&lt;0,"Loss","Flat"))</f>
        <v>Loss</v>
      </c>
      <c r="Z1525" s="24" t="n">
        <f aca="false">Summary!$C$5+SUM(W$2:W1525)</f>
        <v>4891.63</v>
      </c>
      <c r="AA1525" s="24" t="n">
        <f aca="false">MAX(AA1524,Z1525)</f>
        <v>5000</v>
      </c>
      <c r="AB1525" s="24" t="n">
        <f aca="false">AA1525-Z1525</f>
        <v>108.37</v>
      </c>
      <c r="AC1525" s="23" t="n">
        <f aca="false">IFERROR(AB1525/AA1525,0)</f>
        <v>0.021674</v>
      </c>
      <c r="AD1525" s="22" t="s">
        <v>1762</v>
      </c>
    </row>
    <row r="1526" customFormat="false" ht="15" hidden="false" customHeight="false" outlineLevel="0" collapsed="false">
      <c r="A1526" s="22" t="n">
        <v>1525</v>
      </c>
      <c r="B1526" s="22" t="s">
        <v>164</v>
      </c>
      <c r="C1526" s="37" t="n">
        <v>46009.7571412037</v>
      </c>
      <c r="D1526" s="22" t="s">
        <v>205</v>
      </c>
      <c r="E1526" s="22" t="n">
        <v>18</v>
      </c>
      <c r="F1526" s="22" t="s">
        <v>181</v>
      </c>
      <c r="G1526" s="22" t="s">
        <v>243</v>
      </c>
      <c r="H1526" s="22" t="n">
        <v>0.08</v>
      </c>
      <c r="I1526" s="38" t="n">
        <v>4348.68</v>
      </c>
      <c r="J1526" s="38" t="n">
        <v>4348.88</v>
      </c>
      <c r="K1526" s="39" t="n">
        <f aca="false">IF(F1526="BUY",J1526-I1526,I1526-J1526)</f>
        <v>0.199999999999818</v>
      </c>
      <c r="L1526" s="38" t="n">
        <v>4342.68</v>
      </c>
      <c r="M1526" s="39" t="n">
        <f aca="false">ABS(I1526-L1526)</f>
        <v>6</v>
      </c>
      <c r="N1526" s="24" t="n">
        <f aca="false">M1526*H1526*Summary!$C$6</f>
        <v>48</v>
      </c>
      <c r="O1526" s="37" t="n">
        <v>46009.7572222222</v>
      </c>
      <c r="P1526" s="22" t="n">
        <f aca="false">ROUND((O1526-C1526)*86400,0)</f>
        <v>7</v>
      </c>
      <c r="Q1526" s="22" t="str">
        <f aca="false">IF(P1526&lt;10,"a) &lt;10s",IF(P1526&lt;60,"b) 10-60s",IF(P1526&lt;600,"c) 1-10min","d) &gt;10min")))</f>
        <v>a) &lt;10s</v>
      </c>
      <c r="R1526" s="38" t="n">
        <v>4349.38</v>
      </c>
      <c r="S1526" s="38" t="n">
        <v>4349.31</v>
      </c>
      <c r="T1526" s="22" t="s">
        <v>189</v>
      </c>
      <c r="U1526" s="39" t="n">
        <f aca="false">IF(R1526="","",IF(F1526="BUY",R1526-S1526,S1526-R1526))</f>
        <v>0.069999999999709</v>
      </c>
      <c r="V1526" s="39" t="n">
        <f aca="false">IF(F1526="BUY",S1526-J1526,J1526-S1526)</f>
        <v>0.430000000000291</v>
      </c>
      <c r="W1526" s="6" t="n">
        <v>3.44</v>
      </c>
      <c r="X1526" s="26" t="n">
        <f aca="false">IFERROR(W1526/N1526,0)</f>
        <v>0.0716666666666667</v>
      </c>
      <c r="Y1526" s="22" t="str">
        <f aca="false">IF(W1526&gt;0,"Win",IF(W1526&lt;0,"Loss","Flat"))</f>
        <v>Win</v>
      </c>
      <c r="Z1526" s="24" t="n">
        <f aca="false">Summary!$C$5+SUM(W$2:W1526)</f>
        <v>4895.07</v>
      </c>
      <c r="AA1526" s="24" t="n">
        <f aca="false">MAX(AA1525,Z1526)</f>
        <v>5000</v>
      </c>
      <c r="AB1526" s="24" t="n">
        <f aca="false">AA1526-Z1526</f>
        <v>104.93</v>
      </c>
      <c r="AC1526" s="23" t="n">
        <f aca="false">IFERROR(AB1526/AA1526,0)</f>
        <v>0.0209860000000001</v>
      </c>
      <c r="AD1526" s="22" t="s">
        <v>1763</v>
      </c>
    </row>
    <row r="1527" customFormat="false" ht="15" hidden="false" customHeight="false" outlineLevel="0" collapsed="false">
      <c r="A1527" s="22" t="n">
        <v>1526</v>
      </c>
      <c r="B1527" s="22" t="s">
        <v>164</v>
      </c>
      <c r="C1527" s="37" t="n">
        <v>46010.3975462963</v>
      </c>
      <c r="D1527" s="22" t="s">
        <v>206</v>
      </c>
      <c r="E1527" s="22" t="n">
        <v>9</v>
      </c>
      <c r="F1527" s="22" t="s">
        <v>181</v>
      </c>
      <c r="G1527" s="22" t="s">
        <v>235</v>
      </c>
      <c r="H1527" s="22" t="n">
        <v>0.08</v>
      </c>
      <c r="I1527" s="38" t="n">
        <v>4329.32</v>
      </c>
      <c r="J1527" s="38" t="n">
        <v>4329.33</v>
      </c>
      <c r="K1527" s="39" t="n">
        <f aca="false">IF(F1527="BUY",J1527-I1527,I1527-J1527)</f>
        <v>0.0100000000002183</v>
      </c>
      <c r="L1527" s="38" t="n">
        <v>4323.32</v>
      </c>
      <c r="M1527" s="39" t="n">
        <f aca="false">ABS(I1527-L1527)</f>
        <v>6</v>
      </c>
      <c r="N1527" s="24" t="n">
        <f aca="false">M1527*H1527*Summary!$C$6</f>
        <v>48</v>
      </c>
      <c r="O1527" s="37" t="n">
        <v>46010.4069328704</v>
      </c>
      <c r="P1527" s="22" t="n">
        <f aca="false">ROUND((O1527-C1527)*86400,0)</f>
        <v>811</v>
      </c>
      <c r="Q1527" s="22" t="str">
        <f aca="false">IF(P1527&lt;10,"a) &lt;10s",IF(P1527&lt;60,"b) 10-60s",IF(P1527&lt;600,"c) 1-10min","d) &gt;10min")))</f>
        <v>d) &gt;10min</v>
      </c>
      <c r="R1527" s="38" t="n">
        <v>4323.32</v>
      </c>
      <c r="S1527" s="38" t="n">
        <v>4322.98</v>
      </c>
      <c r="T1527" s="22" t="s">
        <v>188</v>
      </c>
      <c r="U1527" s="39" t="n">
        <f aca="false">IF(R1527="","",IF(F1527="BUY",R1527-S1527,S1527-R1527))</f>
        <v>0.340000000000146</v>
      </c>
      <c r="V1527" s="39" t="n">
        <f aca="false">IF(F1527="BUY",S1527-J1527,J1527-S1527)</f>
        <v>-6.35000000000036</v>
      </c>
      <c r="W1527" s="6" t="n">
        <v>-50.8</v>
      </c>
      <c r="X1527" s="26" t="n">
        <f aca="false">IFERROR(W1527/N1527,0)</f>
        <v>-1.05833333333333</v>
      </c>
      <c r="Y1527" s="22" t="str">
        <f aca="false">IF(W1527&gt;0,"Win",IF(W1527&lt;0,"Loss","Flat"))</f>
        <v>Loss</v>
      </c>
      <c r="Z1527" s="24" t="n">
        <f aca="false">Summary!$C$5+SUM(W$2:W1527)</f>
        <v>4844.27</v>
      </c>
      <c r="AA1527" s="24" t="n">
        <f aca="false">MAX(AA1526,Z1527)</f>
        <v>5000</v>
      </c>
      <c r="AB1527" s="24" t="n">
        <f aca="false">AA1527-Z1527</f>
        <v>155.73</v>
      </c>
      <c r="AC1527" s="23" t="n">
        <f aca="false">IFERROR(AB1527/AA1527,0)</f>
        <v>0.0311459999999999</v>
      </c>
      <c r="AD1527" s="22" t="s">
        <v>1764</v>
      </c>
    </row>
    <row r="1528" customFormat="false" ht="15" hidden="false" customHeight="false" outlineLevel="0" collapsed="false">
      <c r="A1528" s="22" t="n">
        <v>1527</v>
      </c>
      <c r="B1528" s="22" t="s">
        <v>164</v>
      </c>
      <c r="C1528" s="37" t="n">
        <v>46013.0760069444</v>
      </c>
      <c r="D1528" s="22" t="s">
        <v>202</v>
      </c>
      <c r="E1528" s="22" t="n">
        <v>1</v>
      </c>
      <c r="F1528" s="22" t="s">
        <v>181</v>
      </c>
      <c r="G1528" s="22" t="s">
        <v>243</v>
      </c>
      <c r="H1528" s="22" t="n">
        <v>0.08</v>
      </c>
      <c r="I1528" s="38" t="n">
        <v>4356.37</v>
      </c>
      <c r="J1528" s="38" t="n">
        <v>4356.39</v>
      </c>
      <c r="K1528" s="39" t="n">
        <f aca="false">IF(F1528="BUY",J1528-I1528,I1528-J1528)</f>
        <v>0.0200000000004366</v>
      </c>
      <c r="L1528" s="38" t="n">
        <v>4350.37</v>
      </c>
      <c r="M1528" s="39" t="n">
        <f aca="false">ABS(I1528-L1528)</f>
        <v>6</v>
      </c>
      <c r="N1528" s="24" t="n">
        <f aca="false">M1528*H1528*Summary!$C$6</f>
        <v>48</v>
      </c>
      <c r="O1528" s="37" t="n">
        <v>46013.089375</v>
      </c>
      <c r="P1528" s="22" t="n">
        <f aca="false">ROUND((O1528-C1528)*86400,0)</f>
        <v>1155</v>
      </c>
      <c r="Q1528" s="22" t="str">
        <f aca="false">IF(P1528&lt;10,"a) &lt;10s",IF(P1528&lt;60,"b) 10-60s",IF(P1528&lt;600,"c) 1-10min","d) &gt;10min")))</f>
        <v>d) &gt;10min</v>
      </c>
      <c r="R1528" s="38" t="n">
        <v>4356.89</v>
      </c>
      <c r="S1528" s="38" t="n">
        <v>4356.82</v>
      </c>
      <c r="T1528" s="22" t="s">
        <v>189</v>
      </c>
      <c r="U1528" s="39" t="n">
        <f aca="false">IF(R1528="","",IF(F1528="BUY",R1528-S1528,S1528-R1528))</f>
        <v>0.0700000000006185</v>
      </c>
      <c r="V1528" s="39" t="n">
        <f aca="false">IF(F1528="BUY",S1528-J1528,J1528-S1528)</f>
        <v>0.429999999999382</v>
      </c>
      <c r="W1528" s="6" t="n">
        <v>3.44</v>
      </c>
      <c r="X1528" s="26" t="n">
        <f aca="false">IFERROR(W1528/N1528,0)</f>
        <v>0.0716666666666667</v>
      </c>
      <c r="Y1528" s="22" t="str">
        <f aca="false">IF(W1528&gt;0,"Win",IF(W1528&lt;0,"Loss","Flat"))</f>
        <v>Win</v>
      </c>
      <c r="Z1528" s="24" t="n">
        <f aca="false">Summary!$C$5+SUM(W$2:W1528)</f>
        <v>4847.71</v>
      </c>
      <c r="AA1528" s="24" t="n">
        <f aca="false">MAX(AA1527,Z1528)</f>
        <v>5000</v>
      </c>
      <c r="AB1528" s="24" t="n">
        <f aca="false">AA1528-Z1528</f>
        <v>152.29</v>
      </c>
      <c r="AC1528" s="23" t="n">
        <f aca="false">IFERROR(AB1528/AA1528,0)</f>
        <v>0.030458</v>
      </c>
      <c r="AD1528" s="22" t="s">
        <v>1765</v>
      </c>
    </row>
    <row r="1529" customFormat="false" ht="15" hidden="false" customHeight="false" outlineLevel="0" collapsed="false">
      <c r="A1529" s="22" t="n">
        <v>1528</v>
      </c>
      <c r="B1529" s="22" t="s">
        <v>164</v>
      </c>
      <c r="C1529" s="37" t="n">
        <v>46014.3886574074</v>
      </c>
      <c r="D1529" s="22" t="s">
        <v>203</v>
      </c>
      <c r="E1529" s="22" t="n">
        <v>9</v>
      </c>
      <c r="F1529" s="22" t="s">
        <v>181</v>
      </c>
      <c r="G1529" s="22" t="s">
        <v>235</v>
      </c>
      <c r="H1529" s="22" t="n">
        <v>0.08</v>
      </c>
      <c r="I1529" s="38" t="n">
        <v>4485.38</v>
      </c>
      <c r="J1529" s="38" t="n">
        <v>4485.43</v>
      </c>
      <c r="K1529" s="39" t="n">
        <f aca="false">IF(F1529="BUY",J1529-I1529,I1529-J1529)</f>
        <v>0.0500000000001819</v>
      </c>
      <c r="L1529" s="38" t="n">
        <v>4479.38</v>
      </c>
      <c r="M1529" s="39" t="n">
        <f aca="false">ABS(I1529-L1529)</f>
        <v>6</v>
      </c>
      <c r="N1529" s="24" t="n">
        <f aca="false">M1529*H1529*Summary!$C$6</f>
        <v>48</v>
      </c>
      <c r="O1529" s="37" t="n">
        <v>46014.4180555556</v>
      </c>
      <c r="P1529" s="22" t="n">
        <f aca="false">ROUND((O1529-C1529)*86400,0)</f>
        <v>2540</v>
      </c>
      <c r="Q1529" s="22" t="str">
        <f aca="false">IF(P1529&lt;10,"a) &lt;10s",IF(P1529&lt;60,"b) 10-60s",IF(P1529&lt;600,"c) 1-10min","d) &gt;10min")))</f>
        <v>d) &gt;10min</v>
      </c>
      <c r="R1529" s="38" t="n">
        <v>4485.93</v>
      </c>
      <c r="S1529" s="38" t="n">
        <v>4485.9</v>
      </c>
      <c r="T1529" s="22" t="s">
        <v>189</v>
      </c>
      <c r="U1529" s="39" t="n">
        <f aca="false">IF(R1529="","",IF(F1529="BUY",R1529-S1529,S1529-R1529))</f>
        <v>0.0300000000006548</v>
      </c>
      <c r="V1529" s="39" t="n">
        <f aca="false">IF(F1529="BUY",S1529-J1529,J1529-S1529)</f>
        <v>0.469999999999345</v>
      </c>
      <c r="W1529" s="6" t="n">
        <v>3.76</v>
      </c>
      <c r="X1529" s="26" t="n">
        <f aca="false">IFERROR(W1529/N1529,0)</f>
        <v>0.0783333333333333</v>
      </c>
      <c r="Y1529" s="22" t="str">
        <f aca="false">IF(W1529&gt;0,"Win",IF(W1529&lt;0,"Loss","Flat"))</f>
        <v>Win</v>
      </c>
      <c r="Z1529" s="24" t="n">
        <f aca="false">Summary!$C$5+SUM(W$2:W1529)</f>
        <v>4851.47</v>
      </c>
      <c r="AA1529" s="24" t="n">
        <f aca="false">MAX(AA1528,Z1529)</f>
        <v>5000</v>
      </c>
      <c r="AB1529" s="24" t="n">
        <f aca="false">AA1529-Z1529</f>
        <v>148.53</v>
      </c>
      <c r="AC1529" s="23" t="n">
        <f aca="false">IFERROR(AB1529/AA1529,0)</f>
        <v>0.0297059999999999</v>
      </c>
      <c r="AD1529" s="22" t="s">
        <v>1766</v>
      </c>
    </row>
    <row r="1530" customFormat="false" ht="15" hidden="false" customHeight="false" outlineLevel="0" collapsed="false">
      <c r="A1530" s="22" t="n">
        <v>1529</v>
      </c>
      <c r="B1530" s="22" t="s">
        <v>164</v>
      </c>
      <c r="C1530" s="37" t="n">
        <v>46015.0666435185</v>
      </c>
      <c r="D1530" s="22" t="s">
        <v>204</v>
      </c>
      <c r="E1530" s="22" t="n">
        <v>1</v>
      </c>
      <c r="F1530" s="22" t="s">
        <v>181</v>
      </c>
      <c r="G1530" s="22" t="s">
        <v>243</v>
      </c>
      <c r="H1530" s="22" t="n">
        <v>0.08</v>
      </c>
      <c r="I1530" s="38" t="n">
        <v>4499.67</v>
      </c>
      <c r="J1530" s="38" t="n">
        <v>4499.71</v>
      </c>
      <c r="K1530" s="39" t="n">
        <f aca="false">IF(F1530="BUY",J1530-I1530,I1530-J1530)</f>
        <v>0.0399999999999636</v>
      </c>
      <c r="L1530" s="38" t="n">
        <v>4493.67</v>
      </c>
      <c r="M1530" s="39" t="n">
        <f aca="false">ABS(I1530-L1530)</f>
        <v>6</v>
      </c>
      <c r="N1530" s="24" t="n">
        <f aca="false">M1530*H1530*Summary!$C$6</f>
        <v>48</v>
      </c>
      <c r="O1530" s="37" t="n">
        <v>46015.0819907407</v>
      </c>
      <c r="P1530" s="22" t="n">
        <f aca="false">ROUND((O1530-C1530)*86400,0)</f>
        <v>1326</v>
      </c>
      <c r="Q1530" s="22" t="str">
        <f aca="false">IF(P1530&lt;10,"a) &lt;10s",IF(P1530&lt;60,"b) 10-60s",IF(P1530&lt;600,"c) 1-10min","d) &gt;10min")))</f>
        <v>d) &gt;10min</v>
      </c>
      <c r="R1530" s="38" t="n">
        <v>4500.21</v>
      </c>
      <c r="S1530" s="38" t="n">
        <v>4500.21</v>
      </c>
      <c r="T1530" s="22" t="s">
        <v>189</v>
      </c>
      <c r="U1530" s="39" t="n">
        <f aca="false">IF(R1530="","",IF(F1530="BUY",R1530-S1530,S1530-R1530))</f>
        <v>0</v>
      </c>
      <c r="V1530" s="39" t="n">
        <f aca="false">IF(F1530="BUY",S1530-J1530,J1530-S1530)</f>
        <v>0.5</v>
      </c>
      <c r="W1530" s="6" t="n">
        <v>4</v>
      </c>
      <c r="X1530" s="26" t="n">
        <f aca="false">IFERROR(W1530/N1530,0)</f>
        <v>0.0833333333333333</v>
      </c>
      <c r="Y1530" s="22" t="str">
        <f aca="false">IF(W1530&gt;0,"Win",IF(W1530&lt;0,"Loss","Flat"))</f>
        <v>Win</v>
      </c>
      <c r="Z1530" s="24" t="n">
        <f aca="false">Summary!$C$5+SUM(W$2:W1530)</f>
        <v>4855.47</v>
      </c>
      <c r="AA1530" s="24" t="n">
        <f aca="false">MAX(AA1529,Z1530)</f>
        <v>5000</v>
      </c>
      <c r="AB1530" s="24" t="n">
        <f aca="false">AA1530-Z1530</f>
        <v>144.53</v>
      </c>
      <c r="AC1530" s="23" t="n">
        <f aca="false">IFERROR(AB1530/AA1530,0)</f>
        <v>0.028906</v>
      </c>
      <c r="AD1530" s="22" t="s">
        <v>1767</v>
      </c>
    </row>
    <row r="1531" customFormat="false" ht="15" hidden="false" customHeight="false" outlineLevel="0" collapsed="false">
      <c r="A1531" s="22" t="n">
        <v>1530</v>
      </c>
      <c r="B1531" s="22" t="s">
        <v>164</v>
      </c>
      <c r="C1531" s="37" t="n">
        <v>46015.4080787037</v>
      </c>
      <c r="D1531" s="22" t="s">
        <v>204</v>
      </c>
      <c r="E1531" s="22" t="n">
        <v>9</v>
      </c>
      <c r="F1531" s="22" t="s">
        <v>182</v>
      </c>
      <c r="G1531" s="22" t="s">
        <v>241</v>
      </c>
      <c r="H1531" s="22" t="n">
        <v>0.08</v>
      </c>
      <c r="I1531" s="38" t="n">
        <v>4484.78</v>
      </c>
      <c r="J1531" s="38" t="n">
        <v>4484.75</v>
      </c>
      <c r="K1531" s="39" t="n">
        <f aca="false">IF(F1531="BUY",J1531-I1531,I1531-J1531)</f>
        <v>0.0299999999997453</v>
      </c>
      <c r="L1531" s="38" t="n">
        <v>4490.78</v>
      </c>
      <c r="M1531" s="39" t="n">
        <f aca="false">ABS(I1531-L1531)</f>
        <v>6</v>
      </c>
      <c r="N1531" s="24" t="n">
        <f aca="false">M1531*H1531*Summary!$C$6</f>
        <v>48</v>
      </c>
      <c r="O1531" s="37" t="n">
        <v>46015.4207407407</v>
      </c>
      <c r="P1531" s="22" t="n">
        <f aca="false">ROUND((O1531-C1531)*86400,0)</f>
        <v>1094</v>
      </c>
      <c r="Q1531" s="22" t="str">
        <f aca="false">IF(P1531&lt;10,"a) &lt;10s",IF(P1531&lt;60,"b) 10-60s",IF(P1531&lt;600,"c) 1-10min","d) &gt;10min")))</f>
        <v>d) &gt;10min</v>
      </c>
      <c r="R1531" s="38" t="n">
        <v>4484.25</v>
      </c>
      <c r="S1531" s="38" t="n">
        <v>4484.28</v>
      </c>
      <c r="T1531" s="22" t="s">
        <v>189</v>
      </c>
      <c r="U1531" s="39" t="n">
        <f aca="false">IF(R1531="","",IF(F1531="BUY",R1531-S1531,S1531-R1531))</f>
        <v>0.0299999999997453</v>
      </c>
      <c r="V1531" s="39" t="n">
        <f aca="false">IF(F1531="BUY",S1531-J1531,J1531-S1531)</f>
        <v>0.470000000000255</v>
      </c>
      <c r="W1531" s="6" t="n">
        <v>3.76</v>
      </c>
      <c r="X1531" s="26" t="n">
        <f aca="false">IFERROR(W1531/N1531,0)</f>
        <v>0.0783333333333333</v>
      </c>
      <c r="Y1531" s="22" t="str">
        <f aca="false">IF(W1531&gt;0,"Win",IF(W1531&lt;0,"Loss","Flat"))</f>
        <v>Win</v>
      </c>
      <c r="Z1531" s="24" t="n">
        <f aca="false">Summary!$C$5+SUM(W$2:W1531)</f>
        <v>4859.23</v>
      </c>
      <c r="AA1531" s="24" t="n">
        <f aca="false">MAX(AA1530,Z1531)</f>
        <v>5000</v>
      </c>
      <c r="AB1531" s="24" t="n">
        <f aca="false">AA1531-Z1531</f>
        <v>140.77</v>
      </c>
      <c r="AC1531" s="23" t="n">
        <f aca="false">IFERROR(AB1531/AA1531,0)</f>
        <v>0.0281540000000001</v>
      </c>
      <c r="AD1531" s="22" t="s">
        <v>1768</v>
      </c>
    </row>
    <row r="1532" customFormat="false" ht="15" hidden="false" customHeight="false" outlineLevel="0" collapsed="false">
      <c r="A1532" s="22" t="n">
        <v>1531</v>
      </c>
      <c r="B1532" s="22" t="s">
        <v>164</v>
      </c>
      <c r="C1532" s="37" t="n">
        <v>46017.1283796296</v>
      </c>
      <c r="D1532" s="22" t="s">
        <v>206</v>
      </c>
      <c r="E1532" s="22" t="n">
        <v>3</v>
      </c>
      <c r="F1532" s="22" t="s">
        <v>181</v>
      </c>
      <c r="G1532" s="22" t="s">
        <v>243</v>
      </c>
      <c r="H1532" s="22" t="n">
        <v>0.08</v>
      </c>
      <c r="I1532" s="38" t="n">
        <v>4525.77</v>
      </c>
      <c r="J1532" s="38" t="n">
        <v>4525.78</v>
      </c>
      <c r="K1532" s="39" t="n">
        <f aca="false">IF(F1532="BUY",J1532-I1532,I1532-J1532)</f>
        <v>0.00999999999930878</v>
      </c>
      <c r="L1532" s="38" t="n">
        <v>4519.77</v>
      </c>
      <c r="M1532" s="39" t="n">
        <f aca="false">ABS(I1532-L1532)</f>
        <v>6</v>
      </c>
      <c r="N1532" s="24" t="n">
        <f aca="false">M1532*H1532*Summary!$C$6</f>
        <v>48</v>
      </c>
      <c r="O1532" s="37" t="n">
        <v>46017.1298263889</v>
      </c>
      <c r="P1532" s="22" t="n">
        <f aca="false">ROUND((O1532-C1532)*86400,0)</f>
        <v>125</v>
      </c>
      <c r="Q1532" s="22" t="str">
        <f aca="false">IF(P1532&lt;10,"a) &lt;10s",IF(P1532&lt;60,"b) 10-60s",IF(P1532&lt;600,"c) 1-10min","d) &gt;10min")))</f>
        <v>c) 1-10min</v>
      </c>
      <c r="R1532" s="38" t="n">
        <v>4526.28</v>
      </c>
      <c r="S1532" s="38" t="n">
        <v>4526.18</v>
      </c>
      <c r="T1532" s="22" t="s">
        <v>189</v>
      </c>
      <c r="U1532" s="39" t="n">
        <f aca="false">IF(R1532="","",IF(F1532="BUY",R1532-S1532,S1532-R1532))</f>
        <v>0.0999999999994543</v>
      </c>
      <c r="V1532" s="39" t="n">
        <f aca="false">IF(F1532="BUY",S1532-J1532,J1532-S1532)</f>
        <v>0.400000000000546</v>
      </c>
      <c r="W1532" s="6" t="n">
        <v>3.2</v>
      </c>
      <c r="X1532" s="26" t="n">
        <f aca="false">IFERROR(W1532/N1532,0)</f>
        <v>0.0666666666666667</v>
      </c>
      <c r="Y1532" s="22" t="str">
        <f aca="false">IF(W1532&gt;0,"Win",IF(W1532&lt;0,"Loss","Flat"))</f>
        <v>Win</v>
      </c>
      <c r="Z1532" s="24" t="n">
        <f aca="false">Summary!$C$5+SUM(W$2:W1532)</f>
        <v>4862.43</v>
      </c>
      <c r="AA1532" s="24" t="n">
        <f aca="false">MAX(AA1531,Z1532)</f>
        <v>5000</v>
      </c>
      <c r="AB1532" s="24" t="n">
        <f aca="false">AA1532-Z1532</f>
        <v>137.57</v>
      </c>
      <c r="AC1532" s="23" t="n">
        <f aca="false">IFERROR(AB1532/AA1532,0)</f>
        <v>0.0275139999999999</v>
      </c>
      <c r="AD1532" s="22" t="s">
        <v>1769</v>
      </c>
    </row>
    <row r="1533" customFormat="false" ht="15" hidden="false" customHeight="false" outlineLevel="0" collapsed="false">
      <c r="A1533" s="22" t="n">
        <v>1532</v>
      </c>
      <c r="B1533" s="22" t="s">
        <v>164</v>
      </c>
      <c r="C1533" s="37" t="n">
        <v>46017.4577777778</v>
      </c>
      <c r="D1533" s="22" t="s">
        <v>206</v>
      </c>
      <c r="E1533" s="22" t="n">
        <v>10</v>
      </c>
      <c r="F1533" s="22" t="s">
        <v>181</v>
      </c>
      <c r="G1533" s="22" t="s">
        <v>235</v>
      </c>
      <c r="H1533" s="22" t="n">
        <v>0.08</v>
      </c>
      <c r="I1533" s="38" t="n">
        <v>4519.16</v>
      </c>
      <c r="J1533" s="38" t="n">
        <v>4519.18</v>
      </c>
      <c r="K1533" s="39" t="n">
        <f aca="false">IF(F1533="BUY",J1533-I1533,I1533-J1533)</f>
        <v>0.0200000000004366</v>
      </c>
      <c r="L1533" s="38" t="n">
        <v>4513.16</v>
      </c>
      <c r="M1533" s="39" t="n">
        <f aca="false">ABS(I1533-L1533)</f>
        <v>6</v>
      </c>
      <c r="N1533" s="24" t="n">
        <f aca="false">M1533*H1533*Summary!$C$6</f>
        <v>48</v>
      </c>
      <c r="O1533" s="37" t="n">
        <v>46017.4889699074</v>
      </c>
      <c r="P1533" s="22" t="n">
        <f aca="false">ROUND((O1533-C1533)*86400,0)</f>
        <v>2695</v>
      </c>
      <c r="Q1533" s="22" t="str">
        <f aca="false">IF(P1533&lt;10,"a) &lt;10s",IF(P1533&lt;60,"b) 10-60s",IF(P1533&lt;600,"c) 1-10min","d) &gt;10min")))</f>
        <v>d) &gt;10min</v>
      </c>
      <c r="R1533" s="38" t="n">
        <v>4513.16</v>
      </c>
      <c r="S1533" s="38" t="n">
        <v>4512.97</v>
      </c>
      <c r="T1533" s="22" t="s">
        <v>188</v>
      </c>
      <c r="U1533" s="39" t="n">
        <f aca="false">IF(R1533="","",IF(F1533="BUY",R1533-S1533,S1533-R1533))</f>
        <v>0.1899999999996</v>
      </c>
      <c r="V1533" s="39" t="n">
        <f aca="false">IF(F1533="BUY",S1533-J1533,J1533-S1533)</f>
        <v>-6.21000000000004</v>
      </c>
      <c r="W1533" s="6" t="n">
        <v>-49.68</v>
      </c>
      <c r="X1533" s="26" t="n">
        <f aca="false">IFERROR(W1533/N1533,0)</f>
        <v>-1.035</v>
      </c>
      <c r="Y1533" s="22" t="str">
        <f aca="false">IF(W1533&gt;0,"Win",IF(W1533&lt;0,"Loss","Flat"))</f>
        <v>Loss</v>
      </c>
      <c r="Z1533" s="24" t="n">
        <f aca="false">Summary!$C$5+SUM(W$2:W1533)</f>
        <v>4812.75</v>
      </c>
      <c r="AA1533" s="24" t="n">
        <f aca="false">MAX(AA1532,Z1533)</f>
        <v>5000</v>
      </c>
      <c r="AB1533" s="24" t="n">
        <f aca="false">AA1533-Z1533</f>
        <v>187.25</v>
      </c>
      <c r="AC1533" s="23" t="n">
        <f aca="false">IFERROR(AB1533/AA1533,0)</f>
        <v>0.03745</v>
      </c>
      <c r="AD1533" s="22" t="s">
        <v>1770</v>
      </c>
    </row>
    <row r="1534" customFormat="false" ht="15" hidden="false" customHeight="false" outlineLevel="0" collapsed="false">
      <c r="A1534" s="22" t="n">
        <v>1533</v>
      </c>
      <c r="B1534" s="22" t="s">
        <v>164</v>
      </c>
      <c r="C1534" s="37" t="n">
        <v>46020.1022916667</v>
      </c>
      <c r="D1534" s="22" t="s">
        <v>202</v>
      </c>
      <c r="E1534" s="22" t="n">
        <v>2</v>
      </c>
      <c r="F1534" s="22" t="s">
        <v>182</v>
      </c>
      <c r="G1534" s="22" t="s">
        <v>237</v>
      </c>
      <c r="H1534" s="22" t="n">
        <v>0.08</v>
      </c>
      <c r="I1534" s="38" t="n">
        <v>4482.66</v>
      </c>
      <c r="J1534" s="38" t="n">
        <v>4482.5</v>
      </c>
      <c r="K1534" s="39" t="n">
        <f aca="false">IF(F1534="BUY",J1534-I1534,I1534-J1534)</f>
        <v>0.159999999999854</v>
      </c>
      <c r="L1534" s="38" t="n">
        <v>4488.66</v>
      </c>
      <c r="M1534" s="39" t="n">
        <f aca="false">ABS(I1534-L1534)</f>
        <v>6</v>
      </c>
      <c r="N1534" s="24" t="n">
        <f aca="false">M1534*H1534*Summary!$C$6</f>
        <v>48</v>
      </c>
      <c r="O1534" s="37" t="n">
        <v>46020.1024768519</v>
      </c>
      <c r="P1534" s="22" t="n">
        <f aca="false">ROUND((O1534-C1534)*86400,0)</f>
        <v>16</v>
      </c>
      <c r="Q1534" s="22" t="str">
        <f aca="false">IF(P1534&lt;10,"a) &lt;10s",IF(P1534&lt;60,"b) 10-60s",IF(P1534&lt;600,"c) 1-10min","d) &gt;10min")))</f>
        <v>b) 10-60s</v>
      </c>
      <c r="R1534" s="38" t="n">
        <v>4488.66</v>
      </c>
      <c r="S1534" s="38" t="n">
        <v>4489.54</v>
      </c>
      <c r="T1534" s="22" t="s">
        <v>188</v>
      </c>
      <c r="U1534" s="39" t="n">
        <f aca="false">IF(R1534="","",IF(F1534="BUY",R1534-S1534,S1534-R1534))</f>
        <v>0.880000000000109</v>
      </c>
      <c r="V1534" s="39" t="n">
        <f aca="false">IF(F1534="BUY",S1534-J1534,J1534-S1534)</f>
        <v>-7.03999999999996</v>
      </c>
      <c r="W1534" s="6" t="n">
        <v>-56.32</v>
      </c>
      <c r="X1534" s="26" t="n">
        <f aca="false">IFERROR(W1534/N1534,0)</f>
        <v>-1.17333333333333</v>
      </c>
      <c r="Y1534" s="22" t="str">
        <f aca="false">IF(W1534&gt;0,"Win",IF(W1534&lt;0,"Loss","Flat"))</f>
        <v>Loss</v>
      </c>
      <c r="Z1534" s="24" t="n">
        <f aca="false">Summary!$C$5+SUM(W$2:W1534)</f>
        <v>4756.43</v>
      </c>
      <c r="AA1534" s="24" t="n">
        <f aca="false">MAX(AA1533,Z1534)</f>
        <v>5000</v>
      </c>
      <c r="AB1534" s="24" t="n">
        <f aca="false">AA1534-Z1534</f>
        <v>243.57</v>
      </c>
      <c r="AC1534" s="23" t="n">
        <f aca="false">IFERROR(AB1534/AA1534,0)</f>
        <v>0.0487139999999999</v>
      </c>
      <c r="AD1534" s="22" t="s">
        <v>1771</v>
      </c>
    </row>
    <row r="1535" customFormat="false" ht="15" hidden="false" customHeight="false" outlineLevel="0" collapsed="false">
      <c r="A1535" s="22" t="n">
        <v>1534</v>
      </c>
      <c r="B1535" s="22" t="s">
        <v>164</v>
      </c>
      <c r="C1535" s="37" t="n">
        <v>46021.4093634259</v>
      </c>
      <c r="D1535" s="22" t="s">
        <v>203</v>
      </c>
      <c r="E1535" s="22" t="n">
        <v>9</v>
      </c>
      <c r="F1535" s="22" t="s">
        <v>181</v>
      </c>
      <c r="G1535" s="22" t="s">
        <v>235</v>
      </c>
      <c r="H1535" s="22" t="n">
        <v>0.07</v>
      </c>
      <c r="I1535" s="38" t="n">
        <v>4379.77</v>
      </c>
      <c r="J1535" s="38" t="n">
        <v>4379.8</v>
      </c>
      <c r="K1535" s="39" t="n">
        <f aca="false">IF(F1535="BUY",J1535-I1535,I1535-J1535)</f>
        <v>0.0299999999997453</v>
      </c>
      <c r="L1535" s="38" t="n">
        <v>4373.77</v>
      </c>
      <c r="M1535" s="39" t="n">
        <f aca="false">ABS(I1535-L1535)</f>
        <v>6</v>
      </c>
      <c r="N1535" s="24" t="n">
        <f aca="false">M1535*H1535*Summary!$C$6</f>
        <v>42</v>
      </c>
      <c r="O1535" s="37" t="n">
        <v>46021.4099421296</v>
      </c>
      <c r="P1535" s="22" t="n">
        <f aca="false">ROUND((O1535-C1535)*86400,0)</f>
        <v>50</v>
      </c>
      <c r="Q1535" s="22" t="str">
        <f aca="false">IF(P1535&lt;10,"a) &lt;10s",IF(P1535&lt;60,"b) 10-60s",IF(P1535&lt;600,"c) 1-10min","d) &gt;10min")))</f>
        <v>b) 10-60s</v>
      </c>
      <c r="R1535" s="38" t="n">
        <v>4380.3</v>
      </c>
      <c r="S1535" s="38" t="n">
        <v>4380.3</v>
      </c>
      <c r="T1535" s="22" t="s">
        <v>189</v>
      </c>
      <c r="U1535" s="39" t="n">
        <f aca="false">IF(R1535="","",IF(F1535="BUY",R1535-S1535,S1535-R1535))</f>
        <v>0</v>
      </c>
      <c r="V1535" s="39" t="n">
        <f aca="false">IF(F1535="BUY",S1535-J1535,J1535-S1535)</f>
        <v>0.5</v>
      </c>
      <c r="W1535" s="6" t="n">
        <v>3.5</v>
      </c>
      <c r="X1535" s="26" t="n">
        <f aca="false">IFERROR(W1535/N1535,0)</f>
        <v>0.0833333333333333</v>
      </c>
      <c r="Y1535" s="22" t="str">
        <f aca="false">IF(W1535&gt;0,"Win",IF(W1535&lt;0,"Loss","Flat"))</f>
        <v>Win</v>
      </c>
      <c r="Z1535" s="24" t="n">
        <f aca="false">Summary!$C$5+SUM(W$2:W1535)</f>
        <v>4759.93</v>
      </c>
      <c r="AA1535" s="24" t="n">
        <f aca="false">MAX(AA1534,Z1535)</f>
        <v>5000</v>
      </c>
      <c r="AB1535" s="24" t="n">
        <f aca="false">AA1535-Z1535</f>
        <v>240.07</v>
      </c>
      <c r="AC1535" s="23" t="n">
        <f aca="false">IFERROR(AB1535/AA1535,0)</f>
        <v>0.0480139999999999</v>
      </c>
      <c r="AD1535" s="22" t="s">
        <v>1772</v>
      </c>
    </row>
    <row r="1536" customFormat="false" ht="15" hidden="false" customHeight="false" outlineLevel="0" collapsed="false">
      <c r="A1536" s="22" t="n">
        <v>1535</v>
      </c>
      <c r="B1536" s="22" t="s">
        <v>164</v>
      </c>
      <c r="C1536" s="37" t="n">
        <v>46022.3198032407</v>
      </c>
      <c r="D1536" s="22" t="s">
        <v>204</v>
      </c>
      <c r="E1536" s="22" t="n">
        <v>7</v>
      </c>
      <c r="F1536" s="22" t="s">
        <v>182</v>
      </c>
      <c r="G1536" s="22" t="s">
        <v>237</v>
      </c>
      <c r="H1536" s="22" t="n">
        <v>0.07</v>
      </c>
      <c r="I1536" s="38" t="n">
        <v>4322.97</v>
      </c>
      <c r="J1536" s="38" t="n">
        <v>4317.8</v>
      </c>
      <c r="K1536" s="39" t="n">
        <f aca="false">IF(F1536="BUY",J1536-I1536,I1536-J1536)</f>
        <v>5.17000000000007</v>
      </c>
      <c r="L1536" s="38" t="n">
        <v>4328.97</v>
      </c>
      <c r="M1536" s="39" t="n">
        <f aca="false">ABS(I1536-L1536)</f>
        <v>6</v>
      </c>
      <c r="N1536" s="24" t="n">
        <f aca="false">M1536*H1536*Summary!$C$6</f>
        <v>42</v>
      </c>
      <c r="O1536" s="37" t="n">
        <v>46022.3201851852</v>
      </c>
      <c r="P1536" s="22" t="n">
        <f aca="false">ROUND((O1536-C1536)*86400,0)</f>
        <v>33</v>
      </c>
      <c r="Q1536" s="22" t="str">
        <f aca="false">IF(P1536&lt;10,"a) &lt;10s",IF(P1536&lt;60,"b) 10-60s",IF(P1536&lt;600,"c) 1-10min","d) &gt;10min")))</f>
        <v>b) 10-60s</v>
      </c>
      <c r="R1536" s="38" t="n">
        <v>4328.97</v>
      </c>
      <c r="S1536" s="38" t="n">
        <v>4328.99</v>
      </c>
      <c r="T1536" s="22" t="s">
        <v>188</v>
      </c>
      <c r="U1536" s="39" t="n">
        <f aca="false">IF(R1536="","",IF(F1536="BUY",R1536-S1536,S1536-R1536))</f>
        <v>0.0199999999995271</v>
      </c>
      <c r="V1536" s="39" t="n">
        <f aca="false">IF(F1536="BUY",S1536-J1536,J1536-S1536)</f>
        <v>-11.1899999999996</v>
      </c>
      <c r="W1536" s="6" t="n">
        <v>-78.33</v>
      </c>
      <c r="X1536" s="26" t="n">
        <f aca="false">IFERROR(W1536/N1536,0)</f>
        <v>-1.865</v>
      </c>
      <c r="Y1536" s="22" t="str">
        <f aca="false">IF(W1536&gt;0,"Win",IF(W1536&lt;0,"Loss","Flat"))</f>
        <v>Loss</v>
      </c>
      <c r="Z1536" s="24" t="n">
        <f aca="false">Summary!$C$5+SUM(W$2:W1536)</f>
        <v>4681.6</v>
      </c>
      <c r="AA1536" s="24" t="n">
        <f aca="false">MAX(AA1535,Z1536)</f>
        <v>5000</v>
      </c>
      <c r="AB1536" s="24" t="n">
        <f aca="false">AA1536-Z1536</f>
        <v>318.4</v>
      </c>
      <c r="AC1536" s="23" t="n">
        <f aca="false">IFERROR(AB1536/AA1536,0)</f>
        <v>0.0636799999999999</v>
      </c>
      <c r="AD1536" s="22" t="s">
        <v>1773</v>
      </c>
    </row>
    <row r="1537" customFormat="false" ht="15" hidden="false" customHeight="false" outlineLevel="0" collapsed="false">
      <c r="A1537" s="22" t="n">
        <v>1536</v>
      </c>
      <c r="B1537" s="22" t="s">
        <v>164</v>
      </c>
      <c r="C1537" s="37" t="n">
        <v>46022.660787037</v>
      </c>
      <c r="D1537" s="22" t="s">
        <v>204</v>
      </c>
      <c r="E1537" s="22" t="n">
        <v>15</v>
      </c>
      <c r="F1537" s="22" t="s">
        <v>181</v>
      </c>
      <c r="G1537" s="22" t="s">
        <v>235</v>
      </c>
      <c r="H1537" s="22" t="n">
        <v>0.07</v>
      </c>
      <c r="I1537" s="38" t="n">
        <v>4342.87</v>
      </c>
      <c r="J1537" s="38" t="n">
        <v>4343.08</v>
      </c>
      <c r="K1537" s="39" t="n">
        <f aca="false">IF(F1537="BUY",J1537-I1537,I1537-J1537)</f>
        <v>0.210000000000036</v>
      </c>
      <c r="L1537" s="38" t="n">
        <v>4336.87</v>
      </c>
      <c r="M1537" s="39" t="n">
        <f aca="false">ABS(I1537-L1537)</f>
        <v>6</v>
      </c>
      <c r="N1537" s="24" t="n">
        <f aca="false">M1537*H1537*Summary!$C$6</f>
        <v>42</v>
      </c>
      <c r="O1537" s="37" t="n">
        <v>46022.6635648148</v>
      </c>
      <c r="P1537" s="22" t="n">
        <f aca="false">ROUND((O1537-C1537)*86400,0)</f>
        <v>240</v>
      </c>
      <c r="Q1537" s="22" t="str">
        <f aca="false">IF(P1537&lt;10,"a) &lt;10s",IF(P1537&lt;60,"b) 10-60s",IF(P1537&lt;600,"c) 1-10min","d) &gt;10min")))</f>
        <v>c) 1-10min</v>
      </c>
      <c r="R1537" s="38" t="n">
        <v>4343.58</v>
      </c>
      <c r="S1537" s="38" t="n">
        <v>4343.44</v>
      </c>
      <c r="T1537" s="22" t="s">
        <v>189</v>
      </c>
      <c r="U1537" s="39" t="n">
        <f aca="false">IF(R1537="","",IF(F1537="BUY",R1537-S1537,S1537-R1537))</f>
        <v>0.140000000000327</v>
      </c>
      <c r="V1537" s="39" t="n">
        <f aca="false">IF(F1537="BUY",S1537-J1537,J1537-S1537)</f>
        <v>0.359999999999673</v>
      </c>
      <c r="W1537" s="6" t="n">
        <v>2.52</v>
      </c>
      <c r="X1537" s="26" t="n">
        <f aca="false">IFERROR(W1537/N1537,0)</f>
        <v>0.06</v>
      </c>
      <c r="Y1537" s="22" t="str">
        <f aca="false">IF(W1537&gt;0,"Win",IF(W1537&lt;0,"Loss","Flat"))</f>
        <v>Win</v>
      </c>
      <c r="Z1537" s="24" t="n">
        <f aca="false">Summary!$C$5+SUM(W$2:W1537)</f>
        <v>4684.12</v>
      </c>
      <c r="AA1537" s="24" t="n">
        <f aca="false">MAX(AA1536,Z1537)</f>
        <v>5000</v>
      </c>
      <c r="AB1537" s="24" t="n">
        <f aca="false">AA1537-Z1537</f>
        <v>315.88</v>
      </c>
      <c r="AC1537" s="23" t="n">
        <f aca="false">IFERROR(AB1537/AA1537,0)</f>
        <v>0.063176</v>
      </c>
      <c r="AD1537" s="22" t="s">
        <v>1774</v>
      </c>
    </row>
    <row r="1538" customFormat="false" ht="15" hidden="false" customHeight="false" outlineLevel="0" collapsed="false">
      <c r="A1538" s="22" t="n">
        <v>1537</v>
      </c>
      <c r="B1538" s="22" t="s">
        <v>165</v>
      </c>
      <c r="C1538" s="37" t="n">
        <v>46024.232025463</v>
      </c>
      <c r="D1538" s="22" t="s">
        <v>206</v>
      </c>
      <c r="E1538" s="22" t="n">
        <v>5</v>
      </c>
      <c r="F1538" s="22" t="s">
        <v>181</v>
      </c>
      <c r="G1538" s="22" t="s">
        <v>243</v>
      </c>
      <c r="H1538" s="22" t="n">
        <v>0.07</v>
      </c>
      <c r="I1538" s="38" t="n">
        <v>4372.91</v>
      </c>
      <c r="J1538" s="38" t="n">
        <v>4373.1</v>
      </c>
      <c r="K1538" s="39" t="n">
        <f aca="false">IF(F1538="BUY",J1538-I1538,I1538-J1538)</f>
        <v>0.190000000000509</v>
      </c>
      <c r="L1538" s="38" t="n">
        <v>4366.91</v>
      </c>
      <c r="M1538" s="39" t="n">
        <f aca="false">ABS(I1538-L1538)</f>
        <v>6</v>
      </c>
      <c r="N1538" s="24" t="n">
        <f aca="false">M1538*H1538*Summary!$C$6</f>
        <v>42</v>
      </c>
      <c r="O1538" s="37" t="n">
        <v>46024.2427199074</v>
      </c>
      <c r="P1538" s="22" t="n">
        <f aca="false">ROUND((O1538-C1538)*86400,0)</f>
        <v>924</v>
      </c>
      <c r="Q1538" s="22" t="str">
        <f aca="false">IF(P1538&lt;10,"a) &lt;10s",IF(P1538&lt;60,"b) 10-60s",IF(P1538&lt;600,"c) 1-10min","d) &gt;10min")))</f>
        <v>d) &gt;10min</v>
      </c>
      <c r="R1538" s="38" t="n">
        <v>4373.6</v>
      </c>
      <c r="S1538" s="38" t="n">
        <v>4373.53</v>
      </c>
      <c r="T1538" s="22" t="s">
        <v>189</v>
      </c>
      <c r="U1538" s="39" t="n">
        <f aca="false">IF(R1538="","",IF(F1538="BUY",R1538-S1538,S1538-R1538))</f>
        <v>0.0700000000006185</v>
      </c>
      <c r="V1538" s="39" t="n">
        <f aca="false">IF(F1538="BUY",S1538-J1538,J1538-S1538)</f>
        <v>0.429999999999382</v>
      </c>
      <c r="W1538" s="6" t="n">
        <v>3.01</v>
      </c>
      <c r="X1538" s="26" t="n">
        <f aca="false">IFERROR(W1538/N1538,0)</f>
        <v>0.0716666666666667</v>
      </c>
      <c r="Y1538" s="22" t="str">
        <f aca="false">IF(W1538&gt;0,"Win",IF(W1538&lt;0,"Loss","Flat"))</f>
        <v>Win</v>
      </c>
      <c r="Z1538" s="24" t="n">
        <f aca="false">Summary!$C$5+SUM(W$2:W1538)</f>
        <v>4687.13</v>
      </c>
      <c r="AA1538" s="24" t="n">
        <f aca="false">MAX(AA1537,Z1538)</f>
        <v>5000</v>
      </c>
      <c r="AB1538" s="24" t="n">
        <f aca="false">AA1538-Z1538</f>
        <v>312.87</v>
      </c>
      <c r="AC1538" s="23" t="n">
        <f aca="false">IFERROR(AB1538/AA1538,0)</f>
        <v>0.062574</v>
      </c>
      <c r="AD1538" s="22" t="s">
        <v>1775</v>
      </c>
    </row>
    <row r="1539" customFormat="false" ht="15" hidden="false" customHeight="false" outlineLevel="0" collapsed="false">
      <c r="A1539" s="22" t="n">
        <v>1538</v>
      </c>
      <c r="B1539" s="22" t="s">
        <v>165</v>
      </c>
      <c r="C1539" s="37" t="n">
        <v>46024.4122569444</v>
      </c>
      <c r="D1539" s="22" t="s">
        <v>206</v>
      </c>
      <c r="E1539" s="22" t="n">
        <v>9</v>
      </c>
      <c r="F1539" s="22" t="s">
        <v>181</v>
      </c>
      <c r="G1539" s="22" t="s">
        <v>235</v>
      </c>
      <c r="H1539" s="22" t="n">
        <v>0.07</v>
      </c>
      <c r="I1539" s="38" t="n">
        <v>4381.5</v>
      </c>
      <c r="J1539" s="38" t="n">
        <v>4381.69</v>
      </c>
      <c r="K1539" s="39" t="n">
        <f aca="false">IF(F1539="BUY",J1539-I1539,I1539-J1539)</f>
        <v>0.1899999999996</v>
      </c>
      <c r="L1539" s="38" t="n">
        <v>4375.5</v>
      </c>
      <c r="M1539" s="39" t="n">
        <f aca="false">ABS(I1539-L1539)</f>
        <v>6</v>
      </c>
      <c r="N1539" s="24" t="n">
        <f aca="false">M1539*H1539*Summary!$C$6</f>
        <v>42</v>
      </c>
      <c r="O1539" s="37" t="n">
        <v>46024.4167476852</v>
      </c>
      <c r="P1539" s="22" t="n">
        <f aca="false">ROUND((O1539-C1539)*86400,0)</f>
        <v>388</v>
      </c>
      <c r="Q1539" s="22" t="str">
        <f aca="false">IF(P1539&lt;10,"a) &lt;10s",IF(P1539&lt;60,"b) 10-60s",IF(P1539&lt;600,"c) 1-10min","d) &gt;10min")))</f>
        <v>c) 1-10min</v>
      </c>
      <c r="R1539" s="38" t="n">
        <v>4382.19</v>
      </c>
      <c r="S1539" s="38" t="n">
        <v>4382.09</v>
      </c>
      <c r="T1539" s="22" t="s">
        <v>189</v>
      </c>
      <c r="U1539" s="39" t="n">
        <f aca="false">IF(R1539="","",IF(F1539="BUY",R1539-S1539,S1539-R1539))</f>
        <v>0.0999999999994543</v>
      </c>
      <c r="V1539" s="39" t="n">
        <f aca="false">IF(F1539="BUY",S1539-J1539,J1539-S1539)</f>
        <v>0.400000000000546</v>
      </c>
      <c r="W1539" s="6" t="n">
        <v>2.8</v>
      </c>
      <c r="X1539" s="26" t="n">
        <f aca="false">IFERROR(W1539/N1539,0)</f>
        <v>0.0666666666666667</v>
      </c>
      <c r="Y1539" s="22" t="str">
        <f aca="false">IF(W1539&gt;0,"Win",IF(W1539&lt;0,"Loss","Flat"))</f>
        <v>Win</v>
      </c>
      <c r="Z1539" s="24" t="n">
        <f aca="false">Summary!$C$5+SUM(W$2:W1539)</f>
        <v>4689.93</v>
      </c>
      <c r="AA1539" s="24" t="n">
        <f aca="false">MAX(AA1538,Z1539)</f>
        <v>5000</v>
      </c>
      <c r="AB1539" s="24" t="n">
        <f aca="false">AA1539-Z1539</f>
        <v>310.07</v>
      </c>
      <c r="AC1539" s="23" t="n">
        <f aca="false">IFERROR(AB1539/AA1539,0)</f>
        <v>0.0620139999999999</v>
      </c>
      <c r="AD1539" s="22" t="s">
        <v>1776</v>
      </c>
    </row>
    <row r="1540" customFormat="false" ht="15" hidden="false" customHeight="false" outlineLevel="0" collapsed="false">
      <c r="A1540" s="22" t="n">
        <v>1539</v>
      </c>
      <c r="B1540" s="22" t="s">
        <v>165</v>
      </c>
      <c r="C1540" s="37" t="n">
        <v>46027.126400463</v>
      </c>
      <c r="D1540" s="22" t="s">
        <v>202</v>
      </c>
      <c r="E1540" s="22" t="n">
        <v>3</v>
      </c>
      <c r="F1540" s="22" t="s">
        <v>181</v>
      </c>
      <c r="G1540" s="22" t="s">
        <v>243</v>
      </c>
      <c r="H1540" s="22" t="n">
        <v>0.07</v>
      </c>
      <c r="I1540" s="38" t="n">
        <v>4401.93</v>
      </c>
      <c r="J1540" s="38" t="n">
        <v>4402.09</v>
      </c>
      <c r="K1540" s="39" t="n">
        <f aca="false">IF(F1540="BUY",J1540-I1540,I1540-J1540)</f>
        <v>0.159999999999854</v>
      </c>
      <c r="L1540" s="38" t="n">
        <v>4395.93</v>
      </c>
      <c r="M1540" s="39" t="n">
        <f aca="false">ABS(I1540-L1540)</f>
        <v>6</v>
      </c>
      <c r="N1540" s="24" t="n">
        <f aca="false">M1540*H1540*Summary!$C$6</f>
        <v>42</v>
      </c>
      <c r="O1540" s="37" t="n">
        <v>46027.1325462963</v>
      </c>
      <c r="P1540" s="22" t="n">
        <f aca="false">ROUND((O1540-C1540)*86400,0)</f>
        <v>531</v>
      </c>
      <c r="Q1540" s="22" t="str">
        <f aca="false">IF(P1540&lt;10,"a) &lt;10s",IF(P1540&lt;60,"b) 10-60s",IF(P1540&lt;600,"c) 1-10min","d) &gt;10min")))</f>
        <v>c) 1-10min</v>
      </c>
      <c r="R1540" s="38" t="n">
        <v>4402.59</v>
      </c>
      <c r="S1540" s="38" t="n">
        <v>4402.58</v>
      </c>
      <c r="T1540" s="22" t="s">
        <v>189</v>
      </c>
      <c r="U1540" s="39" t="n">
        <f aca="false">IF(R1540="","",IF(F1540="BUY",R1540-S1540,S1540-R1540))</f>
        <v>0.0100000000002183</v>
      </c>
      <c r="V1540" s="39" t="n">
        <f aca="false">IF(F1540="BUY",S1540-J1540,J1540-S1540)</f>
        <v>0.489999999999782</v>
      </c>
      <c r="W1540" s="6" t="n">
        <v>3.43</v>
      </c>
      <c r="X1540" s="26" t="n">
        <f aca="false">IFERROR(W1540/N1540,0)</f>
        <v>0.0816666666666667</v>
      </c>
      <c r="Y1540" s="22" t="str">
        <f aca="false">IF(W1540&gt;0,"Win",IF(W1540&lt;0,"Loss","Flat"))</f>
        <v>Win</v>
      </c>
      <c r="Z1540" s="24" t="n">
        <f aca="false">Summary!$C$5+SUM(W$2:W1540)</f>
        <v>4693.36</v>
      </c>
      <c r="AA1540" s="24" t="n">
        <f aca="false">MAX(AA1539,Z1540)</f>
        <v>5000</v>
      </c>
      <c r="AB1540" s="24" t="n">
        <f aca="false">AA1540-Z1540</f>
        <v>306.64</v>
      </c>
      <c r="AC1540" s="23" t="n">
        <f aca="false">IFERROR(AB1540/AA1540,0)</f>
        <v>0.0613280000000001</v>
      </c>
      <c r="AD1540" s="22" t="s">
        <v>1777</v>
      </c>
    </row>
    <row r="1541" customFormat="false" ht="15" hidden="false" customHeight="false" outlineLevel="0" collapsed="false">
      <c r="A1541" s="22" t="n">
        <v>1540</v>
      </c>
      <c r="B1541" s="22" t="s">
        <v>165</v>
      </c>
      <c r="C1541" s="37" t="n">
        <v>46027.4271064815</v>
      </c>
      <c r="D1541" s="22" t="s">
        <v>202</v>
      </c>
      <c r="E1541" s="22" t="n">
        <v>10</v>
      </c>
      <c r="F1541" s="22" t="s">
        <v>181</v>
      </c>
      <c r="G1541" s="22" t="s">
        <v>235</v>
      </c>
      <c r="H1541" s="22" t="n">
        <v>0.07</v>
      </c>
      <c r="I1541" s="38" t="n">
        <v>4426.1</v>
      </c>
      <c r="J1541" s="38" t="n">
        <v>4426.12</v>
      </c>
      <c r="K1541" s="39" t="n">
        <f aca="false">IF(F1541="BUY",J1541-I1541,I1541-J1541)</f>
        <v>0.0199999999995271</v>
      </c>
      <c r="L1541" s="38" t="n">
        <v>4420.1</v>
      </c>
      <c r="M1541" s="39" t="n">
        <f aca="false">ABS(I1541-L1541)</f>
        <v>6</v>
      </c>
      <c r="N1541" s="24" t="n">
        <f aca="false">M1541*H1541*Summary!$C$6</f>
        <v>42</v>
      </c>
      <c r="O1541" s="37" t="n">
        <v>46027.4308333333</v>
      </c>
      <c r="P1541" s="22" t="n">
        <f aca="false">ROUND((O1541-C1541)*86400,0)</f>
        <v>322</v>
      </c>
      <c r="Q1541" s="22" t="str">
        <f aca="false">IF(P1541&lt;10,"a) &lt;10s",IF(P1541&lt;60,"b) 10-60s",IF(P1541&lt;600,"c) 1-10min","d) &gt;10min")))</f>
        <v>c) 1-10min</v>
      </c>
      <c r="R1541" s="38" t="n">
        <v>4426.62</v>
      </c>
      <c r="S1541" s="38" t="n">
        <v>4426.44</v>
      </c>
      <c r="T1541" s="22" t="s">
        <v>189</v>
      </c>
      <c r="U1541" s="39" t="n">
        <f aca="false">IF(R1541="","",IF(F1541="BUY",R1541-S1541,S1541-R1541))</f>
        <v>0.180000000000291</v>
      </c>
      <c r="V1541" s="39" t="n">
        <f aca="false">IF(F1541="BUY",S1541-J1541,J1541-S1541)</f>
        <v>0.319999999999709</v>
      </c>
      <c r="W1541" s="6" t="n">
        <v>2.24</v>
      </c>
      <c r="X1541" s="26" t="n">
        <f aca="false">IFERROR(W1541/N1541,0)</f>
        <v>0.0533333333333333</v>
      </c>
      <c r="Y1541" s="22" t="str">
        <f aca="false">IF(W1541&gt;0,"Win",IF(W1541&lt;0,"Loss","Flat"))</f>
        <v>Win</v>
      </c>
      <c r="Z1541" s="24" t="n">
        <f aca="false">Summary!$C$5+SUM(W$2:W1541)</f>
        <v>4695.6</v>
      </c>
      <c r="AA1541" s="24" t="n">
        <f aca="false">MAX(AA1540,Z1541)</f>
        <v>5000</v>
      </c>
      <c r="AB1541" s="24" t="n">
        <f aca="false">AA1541-Z1541</f>
        <v>304.4</v>
      </c>
      <c r="AC1541" s="23" t="n">
        <f aca="false">IFERROR(AB1541/AA1541,0)</f>
        <v>0.0608799999999999</v>
      </c>
      <c r="AD1541" s="22" t="s">
        <v>1778</v>
      </c>
    </row>
    <row r="1542" customFormat="false" ht="15" hidden="false" customHeight="false" outlineLevel="0" collapsed="false">
      <c r="A1542" s="22" t="n">
        <v>1541</v>
      </c>
      <c r="B1542" s="22" t="s">
        <v>165</v>
      </c>
      <c r="C1542" s="37" t="n">
        <v>46028.4355092593</v>
      </c>
      <c r="D1542" s="22" t="s">
        <v>203</v>
      </c>
      <c r="E1542" s="22" t="n">
        <v>10</v>
      </c>
      <c r="F1542" s="22" t="s">
        <v>181</v>
      </c>
      <c r="G1542" s="22" t="s">
        <v>235</v>
      </c>
      <c r="H1542" s="22" t="n">
        <v>0.07</v>
      </c>
      <c r="I1542" s="38" t="n">
        <v>4473.92</v>
      </c>
      <c r="J1542" s="38" t="n">
        <v>4473.94</v>
      </c>
      <c r="K1542" s="39" t="n">
        <f aca="false">IF(F1542="BUY",J1542-I1542,I1542-J1542)</f>
        <v>0.0199999999995271</v>
      </c>
      <c r="L1542" s="38" t="n">
        <v>4467.92</v>
      </c>
      <c r="M1542" s="39" t="n">
        <f aca="false">ABS(I1542-L1542)</f>
        <v>6</v>
      </c>
      <c r="N1542" s="24" t="n">
        <f aca="false">M1542*H1542*Summary!$C$6</f>
        <v>42</v>
      </c>
      <c r="O1542" s="37" t="n">
        <v>46028.4385069445</v>
      </c>
      <c r="P1542" s="22" t="n">
        <f aca="false">ROUND((O1542-C1542)*86400,0)</f>
        <v>259</v>
      </c>
      <c r="Q1542" s="22" t="str">
        <f aca="false">IF(P1542&lt;10,"a) &lt;10s",IF(P1542&lt;60,"b) 10-60s",IF(P1542&lt;600,"c) 1-10min","d) &gt;10min")))</f>
        <v>c) 1-10min</v>
      </c>
      <c r="R1542" s="38" t="n">
        <v>4467.92</v>
      </c>
      <c r="S1542" s="38" t="n">
        <v>4467.73</v>
      </c>
      <c r="T1542" s="22" t="s">
        <v>188</v>
      </c>
      <c r="U1542" s="39" t="n">
        <f aca="false">IF(R1542="","",IF(F1542="BUY",R1542-S1542,S1542-R1542))</f>
        <v>0.190000000000509</v>
      </c>
      <c r="V1542" s="39" t="n">
        <f aca="false">IF(F1542="BUY",S1542-J1542,J1542-S1542)</f>
        <v>-6.21000000000004</v>
      </c>
      <c r="W1542" s="6" t="n">
        <v>-43.47</v>
      </c>
      <c r="X1542" s="26" t="n">
        <f aca="false">IFERROR(W1542/N1542,0)</f>
        <v>-1.035</v>
      </c>
      <c r="Y1542" s="22" t="str">
        <f aca="false">IF(W1542&gt;0,"Win",IF(W1542&lt;0,"Loss","Flat"))</f>
        <v>Loss</v>
      </c>
      <c r="Z1542" s="24" t="n">
        <f aca="false">Summary!$C$5+SUM(W$2:W1542)</f>
        <v>4652.13</v>
      </c>
      <c r="AA1542" s="24" t="n">
        <f aca="false">MAX(AA1541,Z1542)</f>
        <v>5000</v>
      </c>
      <c r="AB1542" s="24" t="n">
        <f aca="false">AA1542-Z1542</f>
        <v>347.87</v>
      </c>
      <c r="AC1542" s="23" t="n">
        <f aca="false">IFERROR(AB1542/AA1542,0)</f>
        <v>0.069574</v>
      </c>
      <c r="AD1542" s="22" t="s">
        <v>1779</v>
      </c>
    </row>
    <row r="1543" customFormat="false" ht="15" hidden="false" customHeight="false" outlineLevel="0" collapsed="false">
      <c r="A1543" s="22" t="n">
        <v>1542</v>
      </c>
      <c r="B1543" s="22" t="s">
        <v>165</v>
      </c>
      <c r="C1543" s="37" t="n">
        <v>46029.4423263889</v>
      </c>
      <c r="D1543" s="22" t="s">
        <v>204</v>
      </c>
      <c r="E1543" s="22" t="n">
        <v>10</v>
      </c>
      <c r="F1543" s="22" t="s">
        <v>181</v>
      </c>
      <c r="G1543" s="22" t="s">
        <v>235</v>
      </c>
      <c r="H1543" s="22" t="n">
        <v>0.07</v>
      </c>
      <c r="I1543" s="38" t="n">
        <v>4470.16</v>
      </c>
      <c r="J1543" s="38" t="n">
        <v>4470.19</v>
      </c>
      <c r="K1543" s="39" t="n">
        <f aca="false">IF(F1543="BUY",J1543-I1543,I1543-J1543)</f>
        <v>0.0299999999997453</v>
      </c>
      <c r="L1543" s="38" t="n">
        <v>4464.16</v>
      </c>
      <c r="M1543" s="39" t="n">
        <f aca="false">ABS(I1543-L1543)</f>
        <v>6</v>
      </c>
      <c r="N1543" s="24" t="n">
        <f aca="false">M1543*H1543*Summary!$C$6</f>
        <v>42</v>
      </c>
      <c r="O1543" s="37" t="n">
        <v>46029.4445023148</v>
      </c>
      <c r="P1543" s="22" t="n">
        <f aca="false">ROUND((O1543-C1543)*86400,0)</f>
        <v>188</v>
      </c>
      <c r="Q1543" s="22" t="str">
        <f aca="false">IF(P1543&lt;10,"a) &lt;10s",IF(P1543&lt;60,"b) 10-60s",IF(P1543&lt;600,"c) 1-10min","d) &gt;10min")))</f>
        <v>c) 1-10min</v>
      </c>
      <c r="R1543" s="38" t="n">
        <v>4470.69</v>
      </c>
      <c r="S1543" s="38" t="n">
        <v>4470.64</v>
      </c>
      <c r="T1543" s="22" t="s">
        <v>189</v>
      </c>
      <c r="U1543" s="39" t="n">
        <f aca="false">IF(R1543="","",IF(F1543="BUY",R1543-S1543,S1543-R1543))</f>
        <v>0.0499999999992724</v>
      </c>
      <c r="V1543" s="39" t="n">
        <f aca="false">IF(F1543="BUY",S1543-J1543,J1543-S1543)</f>
        <v>0.450000000000728</v>
      </c>
      <c r="W1543" s="6" t="n">
        <v>3.15</v>
      </c>
      <c r="X1543" s="26" t="n">
        <f aca="false">IFERROR(W1543/N1543,0)</f>
        <v>0.075</v>
      </c>
      <c r="Y1543" s="22" t="str">
        <f aca="false">IF(W1543&gt;0,"Win",IF(W1543&lt;0,"Loss","Flat"))</f>
        <v>Win</v>
      </c>
      <c r="Z1543" s="24" t="n">
        <f aca="false">Summary!$C$5+SUM(W$2:W1543)</f>
        <v>4655.28</v>
      </c>
      <c r="AA1543" s="24" t="n">
        <f aca="false">MAX(AA1542,Z1543)</f>
        <v>5000</v>
      </c>
      <c r="AB1543" s="24" t="n">
        <f aca="false">AA1543-Z1543</f>
        <v>344.72</v>
      </c>
      <c r="AC1543" s="23" t="n">
        <f aca="false">IFERROR(AB1543/AA1543,0)</f>
        <v>0.0689440000000001</v>
      </c>
      <c r="AD1543" s="22" t="s">
        <v>1780</v>
      </c>
    </row>
    <row r="1544" customFormat="false" ht="15" hidden="false" customHeight="false" outlineLevel="0" collapsed="false">
      <c r="A1544" s="22" t="n">
        <v>1543</v>
      </c>
      <c r="B1544" s="22" t="s">
        <v>165</v>
      </c>
      <c r="C1544" s="37" t="n">
        <v>46029.6319791667</v>
      </c>
      <c r="D1544" s="22" t="s">
        <v>204</v>
      </c>
      <c r="E1544" s="22" t="n">
        <v>15</v>
      </c>
      <c r="F1544" s="22" t="s">
        <v>182</v>
      </c>
      <c r="G1544" s="22" t="s">
        <v>237</v>
      </c>
      <c r="H1544" s="22" t="n">
        <v>0.07</v>
      </c>
      <c r="I1544" s="38" t="n">
        <v>4427.73</v>
      </c>
      <c r="J1544" s="38" t="n">
        <v>4427.67</v>
      </c>
      <c r="K1544" s="39" t="n">
        <f aca="false">IF(F1544="BUY",J1544-I1544,I1544-J1544)</f>
        <v>0.0599999999994907</v>
      </c>
      <c r="L1544" s="38" t="n">
        <v>4433.73</v>
      </c>
      <c r="M1544" s="39" t="n">
        <f aca="false">ABS(I1544-L1544)</f>
        <v>6</v>
      </c>
      <c r="N1544" s="24" t="n">
        <f aca="false">M1544*H1544*Summary!$C$6</f>
        <v>42</v>
      </c>
      <c r="O1544" s="37" t="n">
        <v>46029.632349537</v>
      </c>
      <c r="P1544" s="22" t="n">
        <f aca="false">ROUND((O1544-C1544)*86400,0)</f>
        <v>32</v>
      </c>
      <c r="Q1544" s="22" t="str">
        <f aca="false">IF(P1544&lt;10,"a) &lt;10s",IF(P1544&lt;60,"b) 10-60s",IF(P1544&lt;600,"c) 1-10min","d) &gt;10min")))</f>
        <v>b) 10-60s</v>
      </c>
      <c r="R1544" s="38" t="n">
        <v>4433.73</v>
      </c>
      <c r="S1544" s="38" t="n">
        <v>4433.86</v>
      </c>
      <c r="T1544" s="22" t="s">
        <v>188</v>
      </c>
      <c r="U1544" s="39" t="n">
        <f aca="false">IF(R1544="","",IF(F1544="BUY",R1544-S1544,S1544-R1544))</f>
        <v>0.130000000000109</v>
      </c>
      <c r="V1544" s="39" t="n">
        <f aca="false">IF(F1544="BUY",S1544-J1544,J1544-S1544)</f>
        <v>-6.1899999999996</v>
      </c>
      <c r="W1544" s="6" t="n">
        <v>-43.33</v>
      </c>
      <c r="X1544" s="26" t="n">
        <f aca="false">IFERROR(W1544/N1544,0)</f>
        <v>-1.03166666666667</v>
      </c>
      <c r="Y1544" s="22" t="str">
        <f aca="false">IF(W1544&gt;0,"Win",IF(W1544&lt;0,"Loss","Flat"))</f>
        <v>Loss</v>
      </c>
      <c r="Z1544" s="24" t="n">
        <f aca="false">Summary!$C$5+SUM(W$2:W1544)</f>
        <v>4611.95</v>
      </c>
      <c r="AA1544" s="24" t="n">
        <f aca="false">MAX(AA1543,Z1544)</f>
        <v>5000</v>
      </c>
      <c r="AB1544" s="24" t="n">
        <f aca="false">AA1544-Z1544</f>
        <v>388.05</v>
      </c>
      <c r="AC1544" s="23" t="n">
        <f aca="false">IFERROR(AB1544/AA1544,0)</f>
        <v>0.07761</v>
      </c>
      <c r="AD1544" s="22" t="s">
        <v>1781</v>
      </c>
    </row>
    <row r="1545" customFormat="false" ht="15" hidden="false" customHeight="false" outlineLevel="0" collapsed="false">
      <c r="A1545" s="22" t="n">
        <v>1544</v>
      </c>
      <c r="B1545" s="22" t="s">
        <v>165</v>
      </c>
      <c r="C1545" s="37" t="n">
        <v>46030.3031597222</v>
      </c>
      <c r="D1545" s="22" t="s">
        <v>205</v>
      </c>
      <c r="E1545" s="22" t="n">
        <v>7</v>
      </c>
      <c r="F1545" s="22" t="s">
        <v>182</v>
      </c>
      <c r="G1545" s="22" t="s">
        <v>237</v>
      </c>
      <c r="H1545" s="22" t="n">
        <v>0.07</v>
      </c>
      <c r="I1545" s="38" t="n">
        <v>4423.14</v>
      </c>
      <c r="J1545" s="38" t="n">
        <v>4422.47</v>
      </c>
      <c r="K1545" s="39" t="n">
        <f aca="false">IF(F1545="BUY",J1545-I1545,I1545-J1545)</f>
        <v>0.670000000000073</v>
      </c>
      <c r="L1545" s="38" t="n">
        <v>4429.14</v>
      </c>
      <c r="M1545" s="39" t="n">
        <f aca="false">ABS(I1545-L1545)</f>
        <v>6</v>
      </c>
      <c r="N1545" s="24" t="n">
        <f aca="false">M1545*H1545*Summary!$C$6</f>
        <v>42</v>
      </c>
      <c r="O1545" s="37" t="n">
        <v>46030.3072222222</v>
      </c>
      <c r="P1545" s="22" t="n">
        <f aca="false">ROUND((O1545-C1545)*86400,0)</f>
        <v>351</v>
      </c>
      <c r="Q1545" s="22" t="str">
        <f aca="false">IF(P1545&lt;10,"a) &lt;10s",IF(P1545&lt;60,"b) 10-60s",IF(P1545&lt;600,"c) 1-10min","d) &gt;10min")))</f>
        <v>c) 1-10min</v>
      </c>
      <c r="R1545" s="38" t="n">
        <v>4429.14</v>
      </c>
      <c r="S1545" s="38" t="n">
        <v>4429.16</v>
      </c>
      <c r="T1545" s="22" t="s">
        <v>188</v>
      </c>
      <c r="U1545" s="39" t="n">
        <f aca="false">IF(R1545="","",IF(F1545="BUY",R1545-S1545,S1545-R1545))</f>
        <v>0.0199999999995271</v>
      </c>
      <c r="V1545" s="39" t="n">
        <f aca="false">IF(F1545="BUY",S1545-J1545,J1545-S1545)</f>
        <v>-6.6899999999996</v>
      </c>
      <c r="W1545" s="6" t="n">
        <v>-46.83</v>
      </c>
      <c r="X1545" s="26" t="n">
        <f aca="false">IFERROR(W1545/N1545,0)</f>
        <v>-1.115</v>
      </c>
      <c r="Y1545" s="22" t="str">
        <f aca="false">IF(W1545&gt;0,"Win",IF(W1545&lt;0,"Loss","Flat"))</f>
        <v>Loss</v>
      </c>
      <c r="Z1545" s="24" t="n">
        <f aca="false">Summary!$C$5+SUM(W$2:W1545)</f>
        <v>4565.12</v>
      </c>
      <c r="AA1545" s="24" t="n">
        <f aca="false">MAX(AA1544,Z1545)</f>
        <v>5000</v>
      </c>
      <c r="AB1545" s="24" t="n">
        <f aca="false">AA1545-Z1545</f>
        <v>434.88</v>
      </c>
      <c r="AC1545" s="23" t="n">
        <f aca="false">IFERROR(AB1545/AA1545,0)</f>
        <v>0.086976</v>
      </c>
      <c r="AD1545" s="22" t="s">
        <v>1782</v>
      </c>
    </row>
    <row r="1546" customFormat="false" ht="15" hidden="false" customHeight="false" outlineLevel="0" collapsed="false">
      <c r="A1546" s="22" t="n">
        <v>1545</v>
      </c>
      <c r="B1546" s="22" t="s">
        <v>165</v>
      </c>
      <c r="C1546" s="37" t="n">
        <v>46030.3805555556</v>
      </c>
      <c r="D1546" s="22" t="s">
        <v>205</v>
      </c>
      <c r="E1546" s="22" t="n">
        <v>9</v>
      </c>
      <c r="F1546" s="22" t="s">
        <v>181</v>
      </c>
      <c r="G1546" s="22" t="s">
        <v>235</v>
      </c>
      <c r="H1546" s="22" t="n">
        <v>0.07</v>
      </c>
      <c r="I1546" s="38" t="n">
        <v>4437.35</v>
      </c>
      <c r="J1546" s="38" t="n">
        <v>4437.45</v>
      </c>
      <c r="K1546" s="39" t="n">
        <f aca="false">IF(F1546="BUY",J1546-I1546,I1546-J1546)</f>
        <v>0.0999999999994543</v>
      </c>
      <c r="L1546" s="38" t="n">
        <v>4431.35</v>
      </c>
      <c r="M1546" s="39" t="n">
        <f aca="false">ABS(I1546-L1546)</f>
        <v>6</v>
      </c>
      <c r="N1546" s="24" t="n">
        <f aca="false">M1546*H1546*Summary!$C$6</f>
        <v>42</v>
      </c>
      <c r="O1546" s="37" t="n">
        <v>46030.3830324074</v>
      </c>
      <c r="P1546" s="22" t="n">
        <f aca="false">ROUND((O1546-C1546)*86400,0)</f>
        <v>214</v>
      </c>
      <c r="Q1546" s="22" t="str">
        <f aca="false">IF(P1546&lt;10,"a) &lt;10s",IF(P1546&lt;60,"b) 10-60s",IF(P1546&lt;600,"c) 1-10min","d) &gt;10min")))</f>
        <v>c) 1-10min</v>
      </c>
      <c r="R1546" s="38" t="n">
        <v>4437.95</v>
      </c>
      <c r="S1546" s="38" t="n">
        <v>4437.87</v>
      </c>
      <c r="T1546" s="22" t="s">
        <v>189</v>
      </c>
      <c r="U1546" s="39" t="n">
        <f aca="false">IF(R1546="","",IF(F1546="BUY",R1546-S1546,S1546-R1546))</f>
        <v>0.0799999999999272</v>
      </c>
      <c r="V1546" s="39" t="n">
        <f aca="false">IF(F1546="BUY",S1546-J1546,J1546-S1546)</f>
        <v>0.420000000000073</v>
      </c>
      <c r="W1546" s="6" t="n">
        <v>2.94</v>
      </c>
      <c r="X1546" s="26" t="n">
        <f aca="false">IFERROR(W1546/N1546,0)</f>
        <v>0.07</v>
      </c>
      <c r="Y1546" s="22" t="str">
        <f aca="false">IF(W1546&gt;0,"Win",IF(W1546&lt;0,"Loss","Flat"))</f>
        <v>Win</v>
      </c>
      <c r="Z1546" s="24" t="n">
        <f aca="false">Summary!$C$5+SUM(W$2:W1546)</f>
        <v>4568.06</v>
      </c>
      <c r="AA1546" s="24" t="n">
        <f aca="false">MAX(AA1545,Z1546)</f>
        <v>5000</v>
      </c>
      <c r="AB1546" s="24" t="n">
        <f aca="false">AA1546-Z1546</f>
        <v>431.94</v>
      </c>
      <c r="AC1546" s="23" t="n">
        <f aca="false">IFERROR(AB1546/AA1546,0)</f>
        <v>0.0863879999999999</v>
      </c>
      <c r="AD1546" s="22" t="s">
        <v>1783</v>
      </c>
    </row>
    <row r="1547" customFormat="false" ht="15" hidden="false" customHeight="false" outlineLevel="0" collapsed="false">
      <c r="A1547" s="22" t="n">
        <v>1546</v>
      </c>
      <c r="B1547" s="22" t="s">
        <v>165</v>
      </c>
      <c r="C1547" s="37" t="n">
        <v>46031.4260763889</v>
      </c>
      <c r="D1547" s="22" t="s">
        <v>206</v>
      </c>
      <c r="E1547" s="22" t="n">
        <v>10</v>
      </c>
      <c r="F1547" s="22" t="s">
        <v>181</v>
      </c>
      <c r="G1547" s="22" t="s">
        <v>235</v>
      </c>
      <c r="H1547" s="22" t="n">
        <v>0.07</v>
      </c>
      <c r="I1547" s="38" t="n">
        <v>4477.13</v>
      </c>
      <c r="J1547" s="38" t="n">
        <v>4477.25</v>
      </c>
      <c r="K1547" s="39" t="n">
        <f aca="false">IF(F1547="BUY",J1547-I1547,I1547-J1547)</f>
        <v>0.119999999999891</v>
      </c>
      <c r="L1547" s="38" t="n">
        <v>4471.13</v>
      </c>
      <c r="M1547" s="39" t="n">
        <f aca="false">ABS(I1547-L1547)</f>
        <v>6</v>
      </c>
      <c r="N1547" s="24" t="n">
        <f aca="false">M1547*H1547*Summary!$C$6</f>
        <v>42</v>
      </c>
      <c r="O1547" s="37" t="n">
        <v>46031.4380902778</v>
      </c>
      <c r="P1547" s="22" t="n">
        <f aca="false">ROUND((O1547-C1547)*86400,0)</f>
        <v>1038</v>
      </c>
      <c r="Q1547" s="22" t="str">
        <f aca="false">IF(P1547&lt;10,"a) &lt;10s",IF(P1547&lt;60,"b) 10-60s",IF(P1547&lt;600,"c) 1-10min","d) &gt;10min")))</f>
        <v>d) &gt;10min</v>
      </c>
      <c r="R1547" s="38" t="n">
        <v>4471.13</v>
      </c>
      <c r="S1547" s="38" t="n">
        <v>4471.02</v>
      </c>
      <c r="T1547" s="22" t="s">
        <v>188</v>
      </c>
      <c r="U1547" s="39" t="n">
        <f aca="false">IF(R1547="","",IF(F1547="BUY",R1547-S1547,S1547-R1547))</f>
        <v>0.109999999999673</v>
      </c>
      <c r="V1547" s="39" t="n">
        <f aca="false">IF(F1547="BUY",S1547-J1547,J1547-S1547)</f>
        <v>-6.22999999999956</v>
      </c>
      <c r="W1547" s="6" t="n">
        <v>-43.61</v>
      </c>
      <c r="X1547" s="26" t="n">
        <f aca="false">IFERROR(W1547/N1547,0)</f>
        <v>-1.03833333333333</v>
      </c>
      <c r="Y1547" s="22" t="str">
        <f aca="false">IF(W1547&gt;0,"Win",IF(W1547&lt;0,"Loss","Flat"))</f>
        <v>Loss</v>
      </c>
      <c r="Z1547" s="24" t="n">
        <f aca="false">Summary!$C$5+SUM(W$2:W1547)</f>
        <v>4524.45</v>
      </c>
      <c r="AA1547" s="24" t="n">
        <f aca="false">MAX(AA1546,Z1547)</f>
        <v>5000</v>
      </c>
      <c r="AB1547" s="24" t="n">
        <f aca="false">AA1547-Z1547</f>
        <v>475.55</v>
      </c>
      <c r="AC1547" s="23" t="n">
        <f aca="false">IFERROR(AB1547/AA1547,0)</f>
        <v>0.09511</v>
      </c>
      <c r="AD1547" s="22" t="s">
        <v>1784</v>
      </c>
    </row>
    <row r="1548" customFormat="false" ht="15" hidden="false" customHeight="false" outlineLevel="0" collapsed="false">
      <c r="A1548" s="22" t="n">
        <v>1547</v>
      </c>
      <c r="B1548" s="22" t="s">
        <v>165</v>
      </c>
      <c r="C1548" s="37" t="n">
        <v>46034.3854282407</v>
      </c>
      <c r="D1548" s="22" t="s">
        <v>202</v>
      </c>
      <c r="E1548" s="22" t="n">
        <v>9</v>
      </c>
      <c r="F1548" s="22" t="s">
        <v>181</v>
      </c>
      <c r="G1548" s="22" t="s">
        <v>235</v>
      </c>
      <c r="H1548" s="22" t="n">
        <v>0.07</v>
      </c>
      <c r="I1548" s="38" t="n">
        <v>4584.7</v>
      </c>
      <c r="J1548" s="38" t="n">
        <v>4585.11</v>
      </c>
      <c r="K1548" s="39" t="n">
        <f aca="false">IF(F1548="BUY",J1548-I1548,I1548-J1548)</f>
        <v>0.409999999999855</v>
      </c>
      <c r="L1548" s="38" t="n">
        <v>4578.7</v>
      </c>
      <c r="M1548" s="39" t="n">
        <f aca="false">ABS(I1548-L1548)</f>
        <v>6</v>
      </c>
      <c r="N1548" s="24" t="n">
        <f aca="false">M1548*H1548*Summary!$C$6</f>
        <v>42</v>
      </c>
      <c r="O1548" s="37" t="n">
        <v>46034.3907291667</v>
      </c>
      <c r="P1548" s="22" t="n">
        <f aca="false">ROUND((O1548-C1548)*86400,0)</f>
        <v>458</v>
      </c>
      <c r="Q1548" s="22" t="str">
        <f aca="false">IF(P1548&lt;10,"a) &lt;10s",IF(P1548&lt;60,"b) 10-60s",IF(P1548&lt;600,"c) 1-10min","d) &gt;10min")))</f>
        <v>c) 1-10min</v>
      </c>
      <c r="R1548" s="38" t="n">
        <v>4585.61</v>
      </c>
      <c r="S1548" s="38" t="n">
        <v>4585.6</v>
      </c>
      <c r="T1548" s="22" t="s">
        <v>189</v>
      </c>
      <c r="U1548" s="39" t="n">
        <f aca="false">IF(R1548="","",IF(F1548="BUY",R1548-S1548,S1548-R1548))</f>
        <v>0.00999999999930878</v>
      </c>
      <c r="V1548" s="39" t="n">
        <f aca="false">IF(F1548="BUY",S1548-J1548,J1548-S1548)</f>
        <v>0.490000000000691</v>
      </c>
      <c r="W1548" s="6" t="n">
        <v>3.43</v>
      </c>
      <c r="X1548" s="26" t="n">
        <f aca="false">IFERROR(W1548/N1548,0)</f>
        <v>0.0816666666666667</v>
      </c>
      <c r="Y1548" s="22" t="str">
        <f aca="false">IF(W1548&gt;0,"Win",IF(W1548&lt;0,"Loss","Flat"))</f>
        <v>Win</v>
      </c>
      <c r="Z1548" s="24" t="n">
        <f aca="false">Summary!$C$5+SUM(W$2:W1548)</f>
        <v>4527.88</v>
      </c>
      <c r="AA1548" s="24" t="n">
        <f aca="false">MAX(AA1547,Z1548)</f>
        <v>5000</v>
      </c>
      <c r="AB1548" s="24" t="n">
        <f aca="false">AA1548-Z1548</f>
        <v>472.12</v>
      </c>
      <c r="AC1548" s="23" t="n">
        <f aca="false">IFERROR(AB1548/AA1548,0)</f>
        <v>0.094424</v>
      </c>
      <c r="AD1548" s="22" t="s">
        <v>1785</v>
      </c>
    </row>
    <row r="1549" customFormat="false" ht="15" hidden="false" customHeight="false" outlineLevel="0" collapsed="false">
      <c r="A1549" s="22" t="n">
        <v>1548</v>
      </c>
      <c r="B1549" s="22" t="s">
        <v>165</v>
      </c>
      <c r="C1549" s="37" t="n">
        <v>46035.6338541667</v>
      </c>
      <c r="D1549" s="22" t="s">
        <v>203</v>
      </c>
      <c r="E1549" s="22" t="n">
        <v>15</v>
      </c>
      <c r="F1549" s="22" t="s">
        <v>181</v>
      </c>
      <c r="G1549" s="22" t="s">
        <v>235</v>
      </c>
      <c r="H1549" s="22" t="n">
        <v>0.07</v>
      </c>
      <c r="I1549" s="38" t="n">
        <v>4601.95</v>
      </c>
      <c r="J1549" s="38" t="n">
        <v>4601.95</v>
      </c>
      <c r="K1549" s="39" t="n">
        <f aca="false">IF(F1549="BUY",J1549-I1549,I1549-J1549)</f>
        <v>0</v>
      </c>
      <c r="L1549" s="38" t="n">
        <v>4595.95</v>
      </c>
      <c r="M1549" s="39" t="n">
        <f aca="false">ABS(I1549-L1549)</f>
        <v>6</v>
      </c>
      <c r="N1549" s="24" t="n">
        <f aca="false">M1549*H1549*Summary!$C$6</f>
        <v>42</v>
      </c>
      <c r="O1549" s="37" t="n">
        <v>46035.6351388889</v>
      </c>
      <c r="P1549" s="22" t="n">
        <f aca="false">ROUND((O1549-C1549)*86400,0)</f>
        <v>111</v>
      </c>
      <c r="Q1549" s="22" t="str">
        <f aca="false">IF(P1549&lt;10,"a) &lt;10s",IF(P1549&lt;60,"b) 10-60s",IF(P1549&lt;600,"c) 1-10min","d) &gt;10min")))</f>
        <v>c) 1-10min</v>
      </c>
      <c r="R1549" s="38" t="n">
        <v>4602.45</v>
      </c>
      <c r="S1549" s="38" t="n">
        <v>4602.25</v>
      </c>
      <c r="T1549" s="22" t="s">
        <v>189</v>
      </c>
      <c r="U1549" s="39" t="n">
        <f aca="false">IF(R1549="","",IF(F1549="BUY",R1549-S1549,S1549-R1549))</f>
        <v>0.199999999999818</v>
      </c>
      <c r="V1549" s="39" t="n">
        <f aca="false">IF(F1549="BUY",S1549-J1549,J1549-S1549)</f>
        <v>0.300000000000182</v>
      </c>
      <c r="W1549" s="6" t="n">
        <v>2.1</v>
      </c>
      <c r="X1549" s="26" t="n">
        <f aca="false">IFERROR(W1549/N1549,0)</f>
        <v>0.05</v>
      </c>
      <c r="Y1549" s="22" t="str">
        <f aca="false">IF(W1549&gt;0,"Win",IF(W1549&lt;0,"Loss","Flat"))</f>
        <v>Win</v>
      </c>
      <c r="Z1549" s="24" t="n">
        <f aca="false">Summary!$C$5+SUM(W$2:W1549)</f>
        <v>4529.98</v>
      </c>
      <c r="AA1549" s="24" t="n">
        <f aca="false">MAX(AA1548,Z1549)</f>
        <v>5000</v>
      </c>
      <c r="AB1549" s="24" t="n">
        <f aca="false">AA1549-Z1549</f>
        <v>470.02</v>
      </c>
      <c r="AC1549" s="23" t="n">
        <f aca="false">IFERROR(AB1549/AA1549,0)</f>
        <v>0.0940040000000001</v>
      </c>
      <c r="AD1549" s="22" t="s">
        <v>1786</v>
      </c>
    </row>
    <row r="1550" customFormat="false" ht="15" hidden="false" customHeight="false" outlineLevel="0" collapsed="false">
      <c r="A1550" s="22" t="n">
        <v>1549</v>
      </c>
      <c r="B1550" s="22" t="s">
        <v>165</v>
      </c>
      <c r="C1550" s="37" t="n">
        <v>46035.6993518519</v>
      </c>
      <c r="D1550" s="22" t="s">
        <v>203</v>
      </c>
      <c r="E1550" s="22" t="n">
        <v>16</v>
      </c>
      <c r="F1550" s="22" t="s">
        <v>181</v>
      </c>
      <c r="G1550" s="22" t="s">
        <v>243</v>
      </c>
      <c r="H1550" s="22" t="n">
        <v>0.07</v>
      </c>
      <c r="I1550" s="38" t="n">
        <v>4629.98</v>
      </c>
      <c r="J1550" s="38" t="n">
        <v>4630.06</v>
      </c>
      <c r="K1550" s="39" t="n">
        <f aca="false">IF(F1550="BUY",J1550-I1550,I1550-J1550)</f>
        <v>0.0800000000008367</v>
      </c>
      <c r="L1550" s="38" t="n">
        <v>4623.98</v>
      </c>
      <c r="M1550" s="39" t="n">
        <f aca="false">ABS(I1550-L1550)</f>
        <v>6</v>
      </c>
      <c r="N1550" s="24" t="n">
        <f aca="false">M1550*H1550*Summary!$C$6</f>
        <v>42</v>
      </c>
      <c r="O1550" s="37" t="n">
        <v>46035.7006828704</v>
      </c>
      <c r="P1550" s="22" t="n">
        <f aca="false">ROUND((O1550-C1550)*86400,0)</f>
        <v>115</v>
      </c>
      <c r="Q1550" s="22" t="str">
        <f aca="false">IF(P1550&lt;10,"a) &lt;10s",IF(P1550&lt;60,"b) 10-60s",IF(P1550&lt;600,"c) 1-10min","d) &gt;10min")))</f>
        <v>c) 1-10min</v>
      </c>
      <c r="R1550" s="38" t="n">
        <v>4630.56</v>
      </c>
      <c r="S1550" s="38" t="n">
        <v>4630.48</v>
      </c>
      <c r="T1550" s="22" t="s">
        <v>189</v>
      </c>
      <c r="U1550" s="39" t="n">
        <f aca="false">IF(R1550="","",IF(F1550="BUY",R1550-S1550,S1550-R1550))</f>
        <v>0.0800000000008367</v>
      </c>
      <c r="V1550" s="39" t="n">
        <f aca="false">IF(F1550="BUY",S1550-J1550,J1550-S1550)</f>
        <v>0.419999999999163</v>
      </c>
      <c r="W1550" s="6" t="n">
        <v>2.94</v>
      </c>
      <c r="X1550" s="26" t="n">
        <f aca="false">IFERROR(W1550/N1550,0)</f>
        <v>0.07</v>
      </c>
      <c r="Y1550" s="22" t="str">
        <f aca="false">IF(W1550&gt;0,"Win",IF(W1550&lt;0,"Loss","Flat"))</f>
        <v>Win</v>
      </c>
      <c r="Z1550" s="24" t="n">
        <f aca="false">Summary!$C$5+SUM(W$2:W1550)</f>
        <v>4532.92</v>
      </c>
      <c r="AA1550" s="24" t="n">
        <f aca="false">MAX(AA1549,Z1550)</f>
        <v>5000</v>
      </c>
      <c r="AB1550" s="24" t="n">
        <f aca="false">AA1550-Z1550</f>
        <v>467.08</v>
      </c>
      <c r="AC1550" s="23" t="n">
        <f aca="false">IFERROR(AB1550/AA1550,0)</f>
        <v>0.093416</v>
      </c>
      <c r="AD1550" s="22" t="s">
        <v>1787</v>
      </c>
    </row>
    <row r="1551" customFormat="false" ht="15" hidden="false" customHeight="false" outlineLevel="0" collapsed="false">
      <c r="A1551" s="22" t="n">
        <v>1550</v>
      </c>
      <c r="B1551" s="22" t="s">
        <v>165</v>
      </c>
      <c r="C1551" s="37" t="n">
        <v>46036.2929976852</v>
      </c>
      <c r="D1551" s="22" t="s">
        <v>204</v>
      </c>
      <c r="E1551" s="22" t="n">
        <v>7</v>
      </c>
      <c r="F1551" s="22" t="s">
        <v>181</v>
      </c>
      <c r="G1551" s="22" t="s">
        <v>243</v>
      </c>
      <c r="H1551" s="22" t="n">
        <v>0.07</v>
      </c>
      <c r="I1551" s="38" t="n">
        <v>4634.29</v>
      </c>
      <c r="J1551" s="38" t="n">
        <v>4634.4</v>
      </c>
      <c r="K1551" s="39" t="n">
        <f aca="false">IF(F1551="BUY",J1551-I1551,I1551-J1551)</f>
        <v>0.109999999999673</v>
      </c>
      <c r="L1551" s="38" t="n">
        <v>4628.29</v>
      </c>
      <c r="M1551" s="39" t="n">
        <f aca="false">ABS(I1551-L1551)</f>
        <v>6</v>
      </c>
      <c r="N1551" s="24" t="n">
        <f aca="false">M1551*H1551*Summary!$C$6</f>
        <v>42</v>
      </c>
      <c r="O1551" s="37" t="n">
        <v>46036.296099537</v>
      </c>
      <c r="P1551" s="22" t="n">
        <f aca="false">ROUND((O1551-C1551)*86400,0)</f>
        <v>268</v>
      </c>
      <c r="Q1551" s="22" t="str">
        <f aca="false">IF(P1551&lt;10,"a) &lt;10s",IF(P1551&lt;60,"b) 10-60s",IF(P1551&lt;600,"c) 1-10min","d) &gt;10min")))</f>
        <v>c) 1-10min</v>
      </c>
      <c r="R1551" s="38" t="n">
        <v>4634.9</v>
      </c>
      <c r="S1551" s="38" t="n">
        <v>4634.9</v>
      </c>
      <c r="T1551" s="22" t="s">
        <v>189</v>
      </c>
      <c r="U1551" s="39" t="n">
        <f aca="false">IF(R1551="","",IF(F1551="BUY",R1551-S1551,S1551-R1551))</f>
        <v>0</v>
      </c>
      <c r="V1551" s="39" t="n">
        <f aca="false">IF(F1551="BUY",S1551-J1551,J1551-S1551)</f>
        <v>0.5</v>
      </c>
      <c r="W1551" s="6" t="n">
        <v>3.5</v>
      </c>
      <c r="X1551" s="26" t="n">
        <f aca="false">IFERROR(W1551/N1551,0)</f>
        <v>0.0833333333333333</v>
      </c>
      <c r="Y1551" s="22" t="str">
        <f aca="false">IF(W1551&gt;0,"Win",IF(W1551&lt;0,"Loss","Flat"))</f>
        <v>Win</v>
      </c>
      <c r="Z1551" s="24" t="n">
        <f aca="false">Summary!$C$5+SUM(W$2:W1551)</f>
        <v>4536.42</v>
      </c>
      <c r="AA1551" s="24" t="n">
        <f aca="false">MAX(AA1550,Z1551)</f>
        <v>5000</v>
      </c>
      <c r="AB1551" s="24" t="n">
        <f aca="false">AA1551-Z1551</f>
        <v>463.58</v>
      </c>
      <c r="AC1551" s="23" t="n">
        <f aca="false">IFERROR(AB1551/AA1551,0)</f>
        <v>0.092716</v>
      </c>
      <c r="AD1551" s="22" t="s">
        <v>1788</v>
      </c>
    </row>
    <row r="1552" customFormat="false" ht="15" hidden="false" customHeight="false" outlineLevel="0" collapsed="false">
      <c r="A1552" s="22" t="n">
        <v>1551</v>
      </c>
      <c r="B1552" s="22" t="s">
        <v>165</v>
      </c>
      <c r="C1552" s="37" t="n">
        <v>46036.3937731482</v>
      </c>
      <c r="D1552" s="22" t="s">
        <v>204</v>
      </c>
      <c r="E1552" s="22" t="n">
        <v>9</v>
      </c>
      <c r="F1552" s="22" t="s">
        <v>181</v>
      </c>
      <c r="G1552" s="22" t="s">
        <v>235</v>
      </c>
      <c r="H1552" s="22" t="n">
        <v>0.07</v>
      </c>
      <c r="I1552" s="38" t="n">
        <v>4639.54</v>
      </c>
      <c r="J1552" s="38" t="n">
        <v>4639.57</v>
      </c>
      <c r="K1552" s="39" t="n">
        <f aca="false">IF(F1552="BUY",J1552-I1552,I1552-J1552)</f>
        <v>0.0299999999997453</v>
      </c>
      <c r="L1552" s="38" t="n">
        <v>4633.54</v>
      </c>
      <c r="M1552" s="39" t="n">
        <f aca="false">ABS(I1552-L1552)</f>
        <v>6</v>
      </c>
      <c r="N1552" s="24" t="n">
        <f aca="false">M1552*H1552*Summary!$C$6</f>
        <v>42</v>
      </c>
      <c r="O1552" s="37" t="n">
        <v>46036.4128587963</v>
      </c>
      <c r="P1552" s="22" t="n">
        <f aca="false">ROUND((O1552-C1552)*86400,0)</f>
        <v>1649</v>
      </c>
      <c r="Q1552" s="22" t="str">
        <f aca="false">IF(P1552&lt;10,"a) &lt;10s",IF(P1552&lt;60,"b) 10-60s",IF(P1552&lt;600,"c) 1-10min","d) &gt;10min")))</f>
        <v>d) &gt;10min</v>
      </c>
      <c r="R1552" s="38" t="n">
        <v>4633.54</v>
      </c>
      <c r="S1552" s="38" t="n">
        <v>4633.36</v>
      </c>
      <c r="T1552" s="22" t="s">
        <v>188</v>
      </c>
      <c r="U1552" s="39" t="n">
        <f aca="false">IF(R1552="","",IF(F1552="BUY",R1552-S1552,S1552-R1552))</f>
        <v>0.180000000000291</v>
      </c>
      <c r="V1552" s="39" t="n">
        <f aca="false">IF(F1552="BUY",S1552-J1552,J1552-S1552)</f>
        <v>-6.21000000000004</v>
      </c>
      <c r="W1552" s="6" t="n">
        <v>-43.47</v>
      </c>
      <c r="X1552" s="26" t="n">
        <f aca="false">IFERROR(W1552/N1552,0)</f>
        <v>-1.035</v>
      </c>
      <c r="Y1552" s="22" t="str">
        <f aca="false">IF(W1552&gt;0,"Win",IF(W1552&lt;0,"Loss","Flat"))</f>
        <v>Loss</v>
      </c>
      <c r="Z1552" s="24" t="n">
        <f aca="false">Summary!$C$5+SUM(W$2:W1552)</f>
        <v>4492.95</v>
      </c>
      <c r="AA1552" s="24" t="n">
        <f aca="false">MAX(AA1551,Z1552)</f>
        <v>5000</v>
      </c>
      <c r="AB1552" s="24" t="n">
        <f aca="false">AA1552-Z1552</f>
        <v>507.05</v>
      </c>
      <c r="AC1552" s="23" t="n">
        <f aca="false">IFERROR(AB1552/AA1552,0)</f>
        <v>0.10141</v>
      </c>
      <c r="AD1552" s="22" t="s">
        <v>1789</v>
      </c>
    </row>
    <row r="1553" customFormat="false" ht="15" hidden="false" customHeight="false" outlineLevel="0" collapsed="false">
      <c r="A1553" s="22" t="n">
        <v>1552</v>
      </c>
      <c r="B1553" s="22" t="s">
        <v>165</v>
      </c>
      <c r="C1553" s="37" t="n">
        <v>46037.1471180556</v>
      </c>
      <c r="D1553" s="22" t="s">
        <v>205</v>
      </c>
      <c r="E1553" s="22" t="n">
        <v>3</v>
      </c>
      <c r="F1553" s="22" t="s">
        <v>182</v>
      </c>
      <c r="G1553" s="22" t="s">
        <v>237</v>
      </c>
      <c r="H1553" s="22" t="n">
        <v>0.07</v>
      </c>
      <c r="I1553" s="38" t="n">
        <v>4586.17</v>
      </c>
      <c r="J1553" s="38" t="n">
        <v>4586.17</v>
      </c>
      <c r="K1553" s="39" t="n">
        <f aca="false">IF(F1553="BUY",J1553-I1553,I1553-J1553)</f>
        <v>0</v>
      </c>
      <c r="L1553" s="38" t="n">
        <v>4592.17</v>
      </c>
      <c r="M1553" s="39" t="n">
        <f aca="false">ABS(I1553-L1553)</f>
        <v>6</v>
      </c>
      <c r="N1553" s="24" t="n">
        <f aca="false">M1553*H1553*Summary!$C$6</f>
        <v>42</v>
      </c>
      <c r="O1553" s="37" t="n">
        <v>46037.1473958333</v>
      </c>
      <c r="P1553" s="22" t="n">
        <f aca="false">ROUND((O1553-C1553)*86400,0)</f>
        <v>24</v>
      </c>
      <c r="Q1553" s="22" t="str">
        <f aca="false">IF(P1553&lt;10,"a) &lt;10s",IF(P1553&lt;60,"b) 10-60s",IF(P1553&lt;600,"c) 1-10min","d) &gt;10min")))</f>
        <v>b) 10-60s</v>
      </c>
      <c r="R1553" s="38" t="n">
        <v>4585.67</v>
      </c>
      <c r="S1553" s="38" t="n">
        <v>4585.76</v>
      </c>
      <c r="T1553" s="22" t="s">
        <v>189</v>
      </c>
      <c r="U1553" s="39" t="n">
        <f aca="false">IF(R1553="","",IF(F1553="BUY",R1553-S1553,S1553-R1553))</f>
        <v>0.0900000000001455</v>
      </c>
      <c r="V1553" s="39" t="n">
        <f aca="false">IF(F1553="BUY",S1553-J1553,J1553-S1553)</f>
        <v>0.409999999999855</v>
      </c>
      <c r="W1553" s="6" t="n">
        <v>2.87</v>
      </c>
      <c r="X1553" s="26" t="n">
        <f aca="false">IFERROR(W1553/N1553,0)</f>
        <v>0.0683333333333333</v>
      </c>
      <c r="Y1553" s="22" t="str">
        <f aca="false">IF(W1553&gt;0,"Win",IF(W1553&lt;0,"Loss","Flat"))</f>
        <v>Win</v>
      </c>
      <c r="Z1553" s="24" t="n">
        <f aca="false">Summary!$C$5+SUM(W$2:W1553)</f>
        <v>4495.82</v>
      </c>
      <c r="AA1553" s="24" t="n">
        <f aca="false">MAX(AA1552,Z1553)</f>
        <v>5000</v>
      </c>
      <c r="AB1553" s="24" t="n">
        <f aca="false">AA1553-Z1553</f>
        <v>504.18</v>
      </c>
      <c r="AC1553" s="23" t="n">
        <f aca="false">IFERROR(AB1553/AA1553,0)</f>
        <v>0.100836</v>
      </c>
      <c r="AD1553" s="22" t="s">
        <v>1790</v>
      </c>
    </row>
    <row r="1554" customFormat="false" ht="15" hidden="false" customHeight="false" outlineLevel="0" collapsed="false">
      <c r="A1554" s="22" t="n">
        <v>1553</v>
      </c>
      <c r="B1554" s="22" t="s">
        <v>165</v>
      </c>
      <c r="C1554" s="37" t="n">
        <v>46037.387349537</v>
      </c>
      <c r="D1554" s="22" t="s">
        <v>205</v>
      </c>
      <c r="E1554" s="22" t="n">
        <v>9</v>
      </c>
      <c r="F1554" s="22" t="s">
        <v>181</v>
      </c>
      <c r="G1554" s="22" t="s">
        <v>235</v>
      </c>
      <c r="H1554" s="22" t="n">
        <v>0.07</v>
      </c>
      <c r="I1554" s="38" t="n">
        <v>4611.79</v>
      </c>
      <c r="J1554" s="38" t="n">
        <v>4611.97</v>
      </c>
      <c r="K1554" s="39" t="n">
        <f aca="false">IF(F1554="BUY",J1554-I1554,I1554-J1554)</f>
        <v>0.180000000000291</v>
      </c>
      <c r="L1554" s="38" t="n">
        <v>4605.79</v>
      </c>
      <c r="M1554" s="39" t="n">
        <f aca="false">ABS(I1554-L1554)</f>
        <v>6</v>
      </c>
      <c r="N1554" s="24" t="n">
        <f aca="false">M1554*H1554*Summary!$C$6</f>
        <v>42</v>
      </c>
      <c r="O1554" s="37" t="n">
        <v>46037.4017361111</v>
      </c>
      <c r="P1554" s="22" t="n">
        <f aca="false">ROUND((O1554-C1554)*86400,0)</f>
        <v>1243</v>
      </c>
      <c r="Q1554" s="22" t="str">
        <f aca="false">IF(P1554&lt;10,"a) &lt;10s",IF(P1554&lt;60,"b) 10-60s",IF(P1554&lt;600,"c) 1-10min","d) &gt;10min")))</f>
        <v>d) &gt;10min</v>
      </c>
      <c r="R1554" s="38" t="n">
        <v>4605.79</v>
      </c>
      <c r="S1554" s="38" t="n">
        <v>4605.79</v>
      </c>
      <c r="T1554" s="22" t="s">
        <v>188</v>
      </c>
      <c r="U1554" s="39" t="n">
        <f aca="false">IF(R1554="","",IF(F1554="BUY",R1554-S1554,S1554-R1554))</f>
        <v>0</v>
      </c>
      <c r="V1554" s="39" t="n">
        <f aca="false">IF(F1554="BUY",S1554-J1554,J1554-S1554)</f>
        <v>-6.18000000000029</v>
      </c>
      <c r="W1554" s="6" t="n">
        <v>-43.26</v>
      </c>
      <c r="X1554" s="26" t="n">
        <f aca="false">IFERROR(W1554/N1554,0)</f>
        <v>-1.03</v>
      </c>
      <c r="Y1554" s="22" t="str">
        <f aca="false">IF(W1554&gt;0,"Win",IF(W1554&lt;0,"Loss","Flat"))</f>
        <v>Loss</v>
      </c>
      <c r="Z1554" s="24" t="n">
        <f aca="false">Summary!$C$5+SUM(W$2:W1554)</f>
        <v>4452.56</v>
      </c>
      <c r="AA1554" s="24" t="n">
        <f aca="false">MAX(AA1553,Z1554)</f>
        <v>5000</v>
      </c>
      <c r="AB1554" s="24" t="n">
        <f aca="false">AA1554-Z1554</f>
        <v>547.440000000001</v>
      </c>
      <c r="AC1554" s="23" t="n">
        <f aca="false">IFERROR(AB1554/AA1554,0)</f>
        <v>0.109488</v>
      </c>
      <c r="AD1554" s="22" t="s">
        <v>1791</v>
      </c>
    </row>
    <row r="1555" customFormat="false" ht="15" hidden="false" customHeight="false" outlineLevel="0" collapsed="false">
      <c r="A1555" s="22" t="n">
        <v>1554</v>
      </c>
      <c r="B1555" s="22" t="s">
        <v>165</v>
      </c>
      <c r="C1555" s="37" t="n">
        <v>46038.5706481482</v>
      </c>
      <c r="D1555" s="22" t="s">
        <v>206</v>
      </c>
      <c r="E1555" s="22" t="n">
        <v>13</v>
      </c>
      <c r="F1555" s="22" t="s">
        <v>181</v>
      </c>
      <c r="G1555" s="22" t="s">
        <v>235</v>
      </c>
      <c r="H1555" s="22" t="n">
        <v>0.07</v>
      </c>
      <c r="I1555" s="38" t="n">
        <v>4615.74</v>
      </c>
      <c r="J1555" s="38" t="n">
        <v>4616.1</v>
      </c>
      <c r="K1555" s="39" t="n">
        <f aca="false">IF(F1555="BUY",J1555-I1555,I1555-J1555)</f>
        <v>0.360000000000582</v>
      </c>
      <c r="L1555" s="38" t="n">
        <v>4609.74</v>
      </c>
      <c r="M1555" s="39" t="n">
        <f aca="false">ABS(I1555-L1555)</f>
        <v>6</v>
      </c>
      <c r="N1555" s="24" t="n">
        <f aca="false">M1555*H1555*Summary!$C$6</f>
        <v>42</v>
      </c>
      <c r="O1555" s="37" t="n">
        <v>46038.5868634259</v>
      </c>
      <c r="P1555" s="22" t="n">
        <f aca="false">ROUND((O1555-C1555)*86400,0)</f>
        <v>1401</v>
      </c>
      <c r="Q1555" s="22" t="str">
        <f aca="false">IF(P1555&lt;10,"a) &lt;10s",IF(P1555&lt;60,"b) 10-60s",IF(P1555&lt;600,"c) 1-10min","d) &gt;10min")))</f>
        <v>d) &gt;10min</v>
      </c>
      <c r="R1555" s="38" t="n">
        <v>4609.74</v>
      </c>
      <c r="S1555" s="38" t="n">
        <v>4609.6</v>
      </c>
      <c r="T1555" s="22" t="s">
        <v>188</v>
      </c>
      <c r="U1555" s="39" t="n">
        <f aca="false">IF(R1555="","",IF(F1555="BUY",R1555-S1555,S1555-R1555))</f>
        <v>0.139999999999418</v>
      </c>
      <c r="V1555" s="39" t="n">
        <f aca="false">IF(F1555="BUY",S1555-J1555,J1555-S1555)</f>
        <v>-6.5</v>
      </c>
      <c r="W1555" s="6" t="n">
        <v>-45.5</v>
      </c>
      <c r="X1555" s="26" t="n">
        <f aca="false">IFERROR(W1555/N1555,0)</f>
        <v>-1.08333333333333</v>
      </c>
      <c r="Y1555" s="22" t="str">
        <f aca="false">IF(W1555&gt;0,"Win",IF(W1555&lt;0,"Loss","Flat"))</f>
        <v>Loss</v>
      </c>
      <c r="Z1555" s="24" t="n">
        <f aca="false">Summary!$C$5+SUM(W$2:W1555)</f>
        <v>4407.06</v>
      </c>
      <c r="AA1555" s="24" t="n">
        <f aca="false">MAX(AA1554,Z1555)</f>
        <v>5000</v>
      </c>
      <c r="AB1555" s="24" t="n">
        <f aca="false">AA1555-Z1555</f>
        <v>592.940000000001</v>
      </c>
      <c r="AC1555" s="23" t="n">
        <f aca="false">IFERROR(AB1555/AA1555,0)</f>
        <v>0.118588</v>
      </c>
      <c r="AD1555" s="22" t="s">
        <v>1792</v>
      </c>
    </row>
    <row r="1556" customFormat="false" ht="15" hidden="false" customHeight="false" outlineLevel="0" collapsed="false">
      <c r="A1556" s="22" t="n">
        <v>1555</v>
      </c>
      <c r="B1556" s="22" t="s">
        <v>165</v>
      </c>
      <c r="C1556" s="37" t="n">
        <v>46038.7271064815</v>
      </c>
      <c r="D1556" s="22" t="s">
        <v>206</v>
      </c>
      <c r="E1556" s="22" t="n">
        <v>17</v>
      </c>
      <c r="F1556" s="22" t="s">
        <v>182</v>
      </c>
      <c r="G1556" s="22" t="s">
        <v>237</v>
      </c>
      <c r="H1556" s="22" t="n">
        <v>0.07</v>
      </c>
      <c r="I1556" s="38" t="n">
        <v>4580.82</v>
      </c>
      <c r="J1556" s="38" t="n">
        <v>4580.11</v>
      </c>
      <c r="K1556" s="39" t="n">
        <f aca="false">IF(F1556="BUY",J1556-I1556,I1556-J1556)</f>
        <v>0.710000000000036</v>
      </c>
      <c r="L1556" s="38" t="n">
        <v>4586.82</v>
      </c>
      <c r="M1556" s="39" t="n">
        <f aca="false">ABS(I1556-L1556)</f>
        <v>6</v>
      </c>
      <c r="N1556" s="24" t="n">
        <f aca="false">M1556*H1556*Summary!$C$6</f>
        <v>42</v>
      </c>
      <c r="O1556" s="37" t="n">
        <v>46038.7281018519</v>
      </c>
      <c r="P1556" s="22" t="n">
        <f aca="false">ROUND((O1556-C1556)*86400,0)</f>
        <v>86</v>
      </c>
      <c r="Q1556" s="22" t="str">
        <f aca="false">IF(P1556&lt;10,"a) &lt;10s",IF(P1556&lt;60,"b) 10-60s",IF(P1556&lt;600,"c) 1-10min","d) &gt;10min")))</f>
        <v>c) 1-10min</v>
      </c>
      <c r="R1556" s="38" t="n">
        <v>4579.61</v>
      </c>
      <c r="S1556" s="38" t="n">
        <v>4580.47</v>
      </c>
      <c r="T1556" s="22" t="s">
        <v>189</v>
      </c>
      <c r="U1556" s="39" t="n">
        <f aca="false">IF(R1556="","",IF(F1556="BUY",R1556-S1556,S1556-R1556))</f>
        <v>0.860000000000582</v>
      </c>
      <c r="V1556" s="39" t="n">
        <f aca="false">IF(F1556="BUY",S1556-J1556,J1556-S1556)</f>
        <v>-0.360000000000582</v>
      </c>
      <c r="W1556" s="6" t="n">
        <v>-2.52</v>
      </c>
      <c r="X1556" s="26" t="n">
        <f aca="false">IFERROR(W1556/N1556,0)</f>
        <v>-0.06</v>
      </c>
      <c r="Y1556" s="22" t="str">
        <f aca="false">IF(W1556&gt;0,"Win",IF(W1556&lt;0,"Loss","Flat"))</f>
        <v>Loss</v>
      </c>
      <c r="Z1556" s="24" t="n">
        <f aca="false">Summary!$C$5+SUM(W$2:W1556)</f>
        <v>4404.54</v>
      </c>
      <c r="AA1556" s="24" t="n">
        <f aca="false">MAX(AA1555,Z1556)</f>
        <v>5000</v>
      </c>
      <c r="AB1556" s="24" t="n">
        <f aca="false">AA1556-Z1556</f>
        <v>595.46</v>
      </c>
      <c r="AC1556" s="23" t="n">
        <f aca="false">IFERROR(AB1556/AA1556,0)</f>
        <v>0.119092</v>
      </c>
      <c r="AD1556" s="22" t="s">
        <v>1793</v>
      </c>
    </row>
    <row r="1557" customFormat="false" ht="15" hidden="false" customHeight="false" outlineLevel="0" collapsed="false">
      <c r="A1557" s="22" t="n">
        <v>1556</v>
      </c>
      <c r="B1557" s="22" t="s">
        <v>165</v>
      </c>
      <c r="C1557" s="37" t="n">
        <v>46041.3787847222</v>
      </c>
      <c r="D1557" s="22" t="s">
        <v>202</v>
      </c>
      <c r="E1557" s="22" t="n">
        <v>9</v>
      </c>
      <c r="F1557" s="22" t="s">
        <v>181</v>
      </c>
      <c r="G1557" s="22" t="s">
        <v>235</v>
      </c>
      <c r="H1557" s="22" t="n">
        <v>0.07</v>
      </c>
      <c r="I1557" s="38" t="n">
        <v>4678.86</v>
      </c>
      <c r="J1557" s="38" t="n">
        <v>4679.03</v>
      </c>
      <c r="K1557" s="39" t="n">
        <f aca="false">IF(F1557="BUY",J1557-I1557,I1557-J1557)</f>
        <v>0.170000000000073</v>
      </c>
      <c r="L1557" s="38" t="n">
        <v>4672.86</v>
      </c>
      <c r="M1557" s="39" t="n">
        <f aca="false">ABS(I1557-L1557)</f>
        <v>6</v>
      </c>
      <c r="N1557" s="24" t="n">
        <f aca="false">M1557*H1557*Summary!$C$6</f>
        <v>42</v>
      </c>
      <c r="O1557" s="37" t="n">
        <v>46041.3823958333</v>
      </c>
      <c r="P1557" s="22" t="n">
        <f aca="false">ROUND((O1557-C1557)*86400,0)</f>
        <v>312</v>
      </c>
      <c r="Q1557" s="22" t="str">
        <f aca="false">IF(P1557&lt;10,"a) &lt;10s",IF(P1557&lt;60,"b) 10-60s",IF(P1557&lt;600,"c) 1-10min","d) &gt;10min")))</f>
        <v>c) 1-10min</v>
      </c>
      <c r="R1557" s="38" t="n">
        <v>4672.86</v>
      </c>
      <c r="S1557" s="38" t="n">
        <v>4672.84</v>
      </c>
      <c r="T1557" s="22" t="s">
        <v>188</v>
      </c>
      <c r="U1557" s="39" t="n">
        <f aca="false">IF(R1557="","",IF(F1557="BUY",R1557-S1557,S1557-R1557))</f>
        <v>0.0199999999995271</v>
      </c>
      <c r="V1557" s="39" t="n">
        <f aca="false">IF(F1557="BUY",S1557-J1557,J1557-S1557)</f>
        <v>-6.1899999999996</v>
      </c>
      <c r="W1557" s="6" t="n">
        <v>-43.33</v>
      </c>
      <c r="X1557" s="26" t="n">
        <f aca="false">IFERROR(W1557/N1557,0)</f>
        <v>-1.03166666666667</v>
      </c>
      <c r="Y1557" s="22" t="str">
        <f aca="false">IF(W1557&gt;0,"Win",IF(W1557&lt;0,"Loss","Flat"))</f>
        <v>Loss</v>
      </c>
      <c r="Z1557" s="24" t="n">
        <f aca="false">Summary!$C$5+SUM(W$2:W1557)</f>
        <v>4361.21</v>
      </c>
      <c r="AA1557" s="24" t="n">
        <f aca="false">MAX(AA1556,Z1557)</f>
        <v>5000</v>
      </c>
      <c r="AB1557" s="24" t="n">
        <f aca="false">AA1557-Z1557</f>
        <v>638.79</v>
      </c>
      <c r="AC1557" s="23" t="n">
        <f aca="false">IFERROR(AB1557/AA1557,0)</f>
        <v>0.127758</v>
      </c>
      <c r="AD1557" s="22" t="s">
        <v>1794</v>
      </c>
    </row>
    <row r="1558" customFormat="false" ht="15" hidden="false" customHeight="false" outlineLevel="0" collapsed="false">
      <c r="A1558" s="22" t="n">
        <v>1557</v>
      </c>
      <c r="B1558" s="22" t="s">
        <v>165</v>
      </c>
      <c r="C1558" s="37" t="n">
        <v>46042.2747916667</v>
      </c>
      <c r="D1558" s="22" t="s">
        <v>203</v>
      </c>
      <c r="E1558" s="22" t="n">
        <v>6</v>
      </c>
      <c r="F1558" s="22" t="s">
        <v>181</v>
      </c>
      <c r="G1558" s="22" t="s">
        <v>243</v>
      </c>
      <c r="H1558" s="22" t="n">
        <v>0.07</v>
      </c>
      <c r="I1558" s="38" t="n">
        <v>4690.27</v>
      </c>
      <c r="J1558" s="38" t="n">
        <v>4690.27</v>
      </c>
      <c r="K1558" s="39" t="n">
        <f aca="false">IF(F1558="BUY",J1558-I1558,I1558-J1558)</f>
        <v>0</v>
      </c>
      <c r="L1558" s="38" t="n">
        <v>4684.27</v>
      </c>
      <c r="M1558" s="39" t="n">
        <f aca="false">ABS(I1558-L1558)</f>
        <v>6</v>
      </c>
      <c r="N1558" s="24" t="n">
        <f aca="false">M1558*H1558*Summary!$C$6</f>
        <v>42</v>
      </c>
      <c r="O1558" s="37" t="n">
        <v>46042.2803125</v>
      </c>
      <c r="P1558" s="22" t="n">
        <f aca="false">ROUND((O1558-C1558)*86400,0)</f>
        <v>477</v>
      </c>
      <c r="Q1558" s="22" t="str">
        <f aca="false">IF(P1558&lt;10,"a) &lt;10s",IF(P1558&lt;60,"b) 10-60s",IF(P1558&lt;600,"c) 1-10min","d) &gt;10min")))</f>
        <v>c) 1-10min</v>
      </c>
      <c r="R1558" s="38" t="n">
        <v>4690.77</v>
      </c>
      <c r="S1558" s="38" t="n">
        <v>4690.76</v>
      </c>
      <c r="T1558" s="22" t="s">
        <v>189</v>
      </c>
      <c r="U1558" s="39" t="n">
        <f aca="false">IF(R1558="","",IF(F1558="BUY",R1558-S1558,S1558-R1558))</f>
        <v>0.0100000000002183</v>
      </c>
      <c r="V1558" s="39" t="n">
        <f aca="false">IF(F1558="BUY",S1558-J1558,J1558-S1558)</f>
        <v>0.489999999999782</v>
      </c>
      <c r="W1558" s="6" t="n">
        <v>3.43</v>
      </c>
      <c r="X1558" s="26" t="n">
        <f aca="false">IFERROR(W1558/N1558,0)</f>
        <v>0.0816666666666667</v>
      </c>
      <c r="Y1558" s="22" t="str">
        <f aca="false">IF(W1558&gt;0,"Win",IF(W1558&lt;0,"Loss","Flat"))</f>
        <v>Win</v>
      </c>
      <c r="Z1558" s="24" t="n">
        <f aca="false">Summary!$C$5+SUM(W$2:W1558)</f>
        <v>4364.64</v>
      </c>
      <c r="AA1558" s="24" t="n">
        <f aca="false">MAX(AA1557,Z1558)</f>
        <v>5000</v>
      </c>
      <c r="AB1558" s="24" t="n">
        <f aca="false">AA1558-Z1558</f>
        <v>635.36</v>
      </c>
      <c r="AC1558" s="23" t="n">
        <f aca="false">IFERROR(AB1558/AA1558,0)</f>
        <v>0.127072</v>
      </c>
      <c r="AD1558" s="22" t="s">
        <v>1795</v>
      </c>
    </row>
    <row r="1559" customFormat="false" ht="15" hidden="false" customHeight="false" outlineLevel="0" collapsed="false">
      <c r="A1559" s="22" t="n">
        <v>1558</v>
      </c>
      <c r="B1559" s="22" t="s">
        <v>165</v>
      </c>
      <c r="C1559" s="37" t="n">
        <v>46042.383599537</v>
      </c>
      <c r="D1559" s="22" t="s">
        <v>203</v>
      </c>
      <c r="E1559" s="22" t="n">
        <v>9</v>
      </c>
      <c r="F1559" s="22" t="s">
        <v>181</v>
      </c>
      <c r="G1559" s="22" t="s">
        <v>235</v>
      </c>
      <c r="H1559" s="22" t="n">
        <v>0.07</v>
      </c>
      <c r="I1559" s="38" t="n">
        <v>4716.93</v>
      </c>
      <c r="J1559" s="38" t="n">
        <v>4716.94</v>
      </c>
      <c r="K1559" s="39" t="n">
        <f aca="false">IF(F1559="BUY",J1559-I1559,I1559-J1559)</f>
        <v>0.00999999999930878</v>
      </c>
      <c r="L1559" s="38" t="n">
        <v>4710.93</v>
      </c>
      <c r="M1559" s="39" t="n">
        <f aca="false">ABS(I1559-L1559)</f>
        <v>6</v>
      </c>
      <c r="N1559" s="24" t="n">
        <f aca="false">M1559*H1559*Summary!$C$6</f>
        <v>42</v>
      </c>
      <c r="O1559" s="37" t="n">
        <v>46042.393287037</v>
      </c>
      <c r="P1559" s="22" t="n">
        <f aca="false">ROUND((O1559-C1559)*86400,0)</f>
        <v>837</v>
      </c>
      <c r="Q1559" s="22" t="str">
        <f aca="false">IF(P1559&lt;10,"a) &lt;10s",IF(P1559&lt;60,"b) 10-60s",IF(P1559&lt;600,"c) 1-10min","d) &gt;10min")))</f>
        <v>d) &gt;10min</v>
      </c>
      <c r="R1559" s="38" t="n">
        <v>4717.44</v>
      </c>
      <c r="S1559" s="38" t="n">
        <v>4717.42</v>
      </c>
      <c r="T1559" s="22" t="s">
        <v>189</v>
      </c>
      <c r="U1559" s="39" t="n">
        <f aca="false">IF(R1559="","",IF(F1559="BUY",R1559-S1559,S1559-R1559))</f>
        <v>0.0199999999995271</v>
      </c>
      <c r="V1559" s="39" t="n">
        <f aca="false">IF(F1559="BUY",S1559-J1559,J1559-S1559)</f>
        <v>0.480000000000473</v>
      </c>
      <c r="W1559" s="6" t="n">
        <v>3.36</v>
      </c>
      <c r="X1559" s="26" t="n">
        <f aca="false">IFERROR(W1559/N1559,0)</f>
        <v>0.08</v>
      </c>
      <c r="Y1559" s="22" t="str">
        <f aca="false">IF(W1559&gt;0,"Win",IF(W1559&lt;0,"Loss","Flat"))</f>
        <v>Win</v>
      </c>
      <c r="Z1559" s="24" t="n">
        <f aca="false">Summary!$C$5+SUM(W$2:W1559)</f>
        <v>4368</v>
      </c>
      <c r="AA1559" s="24" t="n">
        <f aca="false">MAX(AA1558,Z1559)</f>
        <v>5000</v>
      </c>
      <c r="AB1559" s="24" t="n">
        <f aca="false">AA1559-Z1559</f>
        <v>632</v>
      </c>
      <c r="AC1559" s="23" t="n">
        <f aca="false">IFERROR(AB1559/AA1559,0)</f>
        <v>0.1264</v>
      </c>
      <c r="AD1559" s="22" t="s">
        <v>1796</v>
      </c>
    </row>
    <row r="1560" customFormat="false" ht="15" hidden="false" customHeight="false" outlineLevel="0" collapsed="false">
      <c r="A1560" s="22" t="n">
        <v>1559</v>
      </c>
      <c r="B1560" s="22" t="s">
        <v>165</v>
      </c>
      <c r="C1560" s="37" t="n">
        <v>46043.0722222222</v>
      </c>
      <c r="D1560" s="22" t="s">
        <v>204</v>
      </c>
      <c r="E1560" s="22" t="n">
        <v>1</v>
      </c>
      <c r="F1560" s="22" t="s">
        <v>181</v>
      </c>
      <c r="G1560" s="22" t="s">
        <v>243</v>
      </c>
      <c r="H1560" s="22" t="n">
        <v>0.07</v>
      </c>
      <c r="I1560" s="38" t="n">
        <v>4766.15</v>
      </c>
      <c r="J1560" s="38" t="n">
        <v>4766.32</v>
      </c>
      <c r="K1560" s="39" t="n">
        <f aca="false">IF(F1560="BUY",J1560-I1560,I1560-J1560)</f>
        <v>0.170000000000073</v>
      </c>
      <c r="L1560" s="38" t="n">
        <v>4760.15</v>
      </c>
      <c r="M1560" s="39" t="n">
        <f aca="false">ABS(I1560-L1560)</f>
        <v>6</v>
      </c>
      <c r="N1560" s="24" t="n">
        <f aca="false">M1560*H1560*Summary!$C$6</f>
        <v>42</v>
      </c>
      <c r="O1560" s="37" t="n">
        <v>46043.1297569444</v>
      </c>
      <c r="P1560" s="22" t="n">
        <f aca="false">ROUND((O1560-C1560)*86400,0)</f>
        <v>4971</v>
      </c>
      <c r="Q1560" s="22" t="str">
        <f aca="false">IF(P1560&lt;10,"a) &lt;10s",IF(P1560&lt;60,"b) 10-60s",IF(P1560&lt;600,"c) 1-10min","d) &gt;10min")))</f>
        <v>d) &gt;10min</v>
      </c>
      <c r="R1560" s="38"/>
      <c r="S1560" s="38" t="n">
        <v>4796.16</v>
      </c>
      <c r="T1560" s="22" t="s">
        <v>187</v>
      </c>
      <c r="U1560" s="39" t="str">
        <f aca="false">IF(R1560="","",IF(F1560="BUY",R1560-S1560,S1560-R1560))</f>
        <v/>
      </c>
      <c r="V1560" s="39" t="n">
        <f aca="false">IF(F1560="BUY",S1560-J1560,J1560-S1560)</f>
        <v>29.8400000000001</v>
      </c>
      <c r="W1560" s="6" t="n">
        <v>208.88</v>
      </c>
      <c r="X1560" s="26" t="n">
        <f aca="false">IFERROR(W1560/N1560,0)</f>
        <v>4.97333333333333</v>
      </c>
      <c r="Y1560" s="22" t="str">
        <f aca="false">IF(W1560&gt;0,"Win",IF(W1560&lt;0,"Loss","Flat"))</f>
        <v>Win</v>
      </c>
      <c r="Z1560" s="24" t="n">
        <f aca="false">Summary!$C$5+SUM(W$2:W1560)</f>
        <v>4576.88</v>
      </c>
      <c r="AA1560" s="24" t="n">
        <f aca="false">MAX(AA1559,Z1560)</f>
        <v>5000</v>
      </c>
      <c r="AB1560" s="24" t="n">
        <f aca="false">AA1560-Z1560</f>
        <v>423.12</v>
      </c>
      <c r="AC1560" s="23" t="n">
        <f aca="false">IFERROR(AB1560/AA1560,0)</f>
        <v>0.084624</v>
      </c>
      <c r="AD1560" s="22" t="s">
        <v>1797</v>
      </c>
    </row>
    <row r="1561" customFormat="false" ht="15" hidden="false" customHeight="false" outlineLevel="0" collapsed="false">
      <c r="A1561" s="22" t="n">
        <v>1560</v>
      </c>
      <c r="B1561" s="22" t="s">
        <v>165</v>
      </c>
      <c r="C1561" s="37" t="n">
        <v>46044.3765162037</v>
      </c>
      <c r="D1561" s="22" t="s">
        <v>205</v>
      </c>
      <c r="E1561" s="22" t="n">
        <v>9</v>
      </c>
      <c r="F1561" s="22" t="s">
        <v>181</v>
      </c>
      <c r="G1561" s="22" t="s">
        <v>235</v>
      </c>
      <c r="H1561" s="22" t="n">
        <v>0.07</v>
      </c>
      <c r="I1561" s="38" t="n">
        <v>4829.2</v>
      </c>
      <c r="J1561" s="38" t="n">
        <v>4829.26</v>
      </c>
      <c r="K1561" s="39" t="n">
        <f aca="false">IF(F1561="BUY",J1561-I1561,I1561-J1561)</f>
        <v>0.0600000000004002</v>
      </c>
      <c r="L1561" s="38" t="n">
        <v>4823.2</v>
      </c>
      <c r="M1561" s="39" t="n">
        <f aca="false">ABS(I1561-L1561)</f>
        <v>6</v>
      </c>
      <c r="N1561" s="24" t="n">
        <f aca="false">M1561*H1561*Summary!$C$6</f>
        <v>42</v>
      </c>
      <c r="O1561" s="37" t="n">
        <v>46044.4234722222</v>
      </c>
      <c r="P1561" s="22" t="n">
        <f aca="false">ROUND((O1561-C1561)*86400,0)</f>
        <v>4057</v>
      </c>
      <c r="Q1561" s="22" t="str">
        <f aca="false">IF(P1561&lt;10,"a) &lt;10s",IF(P1561&lt;60,"b) 10-60s",IF(P1561&lt;600,"c) 1-10min","d) &gt;10min")))</f>
        <v>d) &gt;10min</v>
      </c>
      <c r="R1561" s="38" t="n">
        <v>4829.76</v>
      </c>
      <c r="S1561" s="38" t="n">
        <v>4829.7</v>
      </c>
      <c r="T1561" s="22" t="s">
        <v>189</v>
      </c>
      <c r="U1561" s="39" t="n">
        <f aca="false">IF(R1561="","",IF(F1561="BUY",R1561-S1561,S1561-R1561))</f>
        <v>0.0600000000004002</v>
      </c>
      <c r="V1561" s="39" t="n">
        <f aca="false">IF(F1561="BUY",S1561-J1561,J1561-S1561)</f>
        <v>0.4399999999996</v>
      </c>
      <c r="W1561" s="6" t="n">
        <v>3.08</v>
      </c>
      <c r="X1561" s="26" t="n">
        <f aca="false">IFERROR(W1561/N1561,0)</f>
        <v>0.0733333333333333</v>
      </c>
      <c r="Y1561" s="22" t="str">
        <f aca="false">IF(W1561&gt;0,"Win",IF(W1561&lt;0,"Loss","Flat"))</f>
        <v>Win</v>
      </c>
      <c r="Z1561" s="24" t="n">
        <f aca="false">Summary!$C$5+SUM(W$2:W1561)</f>
        <v>4579.96</v>
      </c>
      <c r="AA1561" s="24" t="n">
        <f aca="false">MAX(AA1560,Z1561)</f>
        <v>5000</v>
      </c>
      <c r="AB1561" s="24" t="n">
        <f aca="false">AA1561-Z1561</f>
        <v>420.04</v>
      </c>
      <c r="AC1561" s="23" t="n">
        <f aca="false">IFERROR(AB1561/AA1561,0)</f>
        <v>0.084008</v>
      </c>
      <c r="AD1561" s="22" t="s">
        <v>1798</v>
      </c>
    </row>
    <row r="1562" customFormat="false" ht="15" hidden="false" customHeight="false" outlineLevel="0" collapsed="false">
      <c r="A1562" s="22" t="n">
        <v>1561</v>
      </c>
      <c r="B1562" s="22" t="s">
        <v>165</v>
      </c>
      <c r="C1562" s="37" t="n">
        <v>46044.8075694444</v>
      </c>
      <c r="D1562" s="22" t="s">
        <v>205</v>
      </c>
      <c r="E1562" s="22" t="n">
        <v>19</v>
      </c>
      <c r="F1562" s="22" t="s">
        <v>181</v>
      </c>
      <c r="G1562" s="22" t="s">
        <v>243</v>
      </c>
      <c r="H1562" s="22" t="n">
        <v>0.07</v>
      </c>
      <c r="I1562" s="38" t="n">
        <v>4888.08</v>
      </c>
      <c r="J1562" s="38" t="n">
        <v>4888.27</v>
      </c>
      <c r="K1562" s="39" t="n">
        <f aca="false">IF(F1562="BUY",J1562-I1562,I1562-J1562)</f>
        <v>0.190000000000509</v>
      </c>
      <c r="L1562" s="38" t="n">
        <v>4882.08</v>
      </c>
      <c r="M1562" s="39" t="n">
        <f aca="false">ABS(I1562-L1562)</f>
        <v>6</v>
      </c>
      <c r="N1562" s="24" t="n">
        <f aca="false">M1562*H1562*Summary!$C$6</f>
        <v>42</v>
      </c>
      <c r="O1562" s="37" t="n">
        <v>46044.807974537</v>
      </c>
      <c r="P1562" s="22" t="n">
        <f aca="false">ROUND((O1562-C1562)*86400,0)</f>
        <v>35</v>
      </c>
      <c r="Q1562" s="22" t="str">
        <f aca="false">IF(P1562&lt;10,"a) &lt;10s",IF(P1562&lt;60,"b) 10-60s",IF(P1562&lt;600,"c) 1-10min","d) &gt;10min")))</f>
        <v>b) 10-60s</v>
      </c>
      <c r="R1562" s="38" t="n">
        <v>4888.77</v>
      </c>
      <c r="S1562" s="38" t="n">
        <v>4888.73</v>
      </c>
      <c r="T1562" s="22" t="s">
        <v>189</v>
      </c>
      <c r="U1562" s="39" t="n">
        <f aca="false">IF(R1562="","",IF(F1562="BUY",R1562-S1562,S1562-R1562))</f>
        <v>0.0400000000008731</v>
      </c>
      <c r="V1562" s="39" t="n">
        <f aca="false">IF(F1562="BUY",S1562-J1562,J1562-S1562)</f>
        <v>0.459999999999127</v>
      </c>
      <c r="W1562" s="6" t="n">
        <v>3.22</v>
      </c>
      <c r="X1562" s="26" t="n">
        <f aca="false">IFERROR(W1562/N1562,0)</f>
        <v>0.0766666666666667</v>
      </c>
      <c r="Y1562" s="22" t="str">
        <f aca="false">IF(W1562&gt;0,"Win",IF(W1562&lt;0,"Loss","Flat"))</f>
        <v>Win</v>
      </c>
      <c r="Z1562" s="24" t="n">
        <f aca="false">Summary!$C$5+SUM(W$2:W1562)</f>
        <v>4583.18</v>
      </c>
      <c r="AA1562" s="24" t="n">
        <f aca="false">MAX(AA1561,Z1562)</f>
        <v>5000</v>
      </c>
      <c r="AB1562" s="24" t="n">
        <f aca="false">AA1562-Z1562</f>
        <v>416.82</v>
      </c>
      <c r="AC1562" s="23" t="n">
        <f aca="false">IFERROR(AB1562/AA1562,0)</f>
        <v>0.0833639999999999</v>
      </c>
      <c r="AD1562" s="22" t="s">
        <v>1799</v>
      </c>
    </row>
    <row r="1563" customFormat="false" ht="15" hidden="false" customHeight="false" outlineLevel="0" collapsed="false">
      <c r="A1563" s="22" t="n">
        <v>1562</v>
      </c>
      <c r="B1563" s="22" t="s">
        <v>165</v>
      </c>
      <c r="C1563" s="37" t="n">
        <v>46045.4066898148</v>
      </c>
      <c r="D1563" s="22" t="s">
        <v>206</v>
      </c>
      <c r="E1563" s="22" t="n">
        <v>9</v>
      </c>
      <c r="F1563" s="22" t="s">
        <v>182</v>
      </c>
      <c r="G1563" s="22" t="s">
        <v>241</v>
      </c>
      <c r="H1563" s="22" t="n">
        <v>0.07</v>
      </c>
      <c r="I1563" s="38" t="n">
        <v>4945.41</v>
      </c>
      <c r="J1563" s="38" t="n">
        <v>4945.05</v>
      </c>
      <c r="K1563" s="39" t="n">
        <f aca="false">IF(F1563="BUY",J1563-I1563,I1563-J1563)</f>
        <v>0.359999999999673</v>
      </c>
      <c r="L1563" s="38" t="n">
        <v>4951.41</v>
      </c>
      <c r="M1563" s="39" t="n">
        <f aca="false">ABS(I1563-L1563)</f>
        <v>6</v>
      </c>
      <c r="N1563" s="24" t="n">
        <f aca="false">M1563*H1563*Summary!$C$6</f>
        <v>42</v>
      </c>
      <c r="O1563" s="37" t="n">
        <v>46045.4136458333</v>
      </c>
      <c r="P1563" s="22" t="n">
        <f aca="false">ROUND((O1563-C1563)*86400,0)</f>
        <v>601</v>
      </c>
      <c r="Q1563" s="22" t="str">
        <f aca="false">IF(P1563&lt;10,"a) &lt;10s",IF(P1563&lt;60,"b) 10-60s",IF(P1563&lt;600,"c) 1-10min","d) &gt;10min")))</f>
        <v>d) &gt;10min</v>
      </c>
      <c r="R1563" s="38" t="n">
        <v>4951.41</v>
      </c>
      <c r="S1563" s="38" t="n">
        <v>4951.55</v>
      </c>
      <c r="T1563" s="22" t="s">
        <v>188</v>
      </c>
      <c r="U1563" s="39" t="n">
        <f aca="false">IF(R1563="","",IF(F1563="BUY",R1563-S1563,S1563-R1563))</f>
        <v>0.140000000000327</v>
      </c>
      <c r="V1563" s="39" t="n">
        <f aca="false">IF(F1563="BUY",S1563-J1563,J1563-S1563)</f>
        <v>-6.5</v>
      </c>
      <c r="W1563" s="6" t="n">
        <v>-45.5</v>
      </c>
      <c r="X1563" s="26" t="n">
        <f aca="false">IFERROR(W1563/N1563,0)</f>
        <v>-1.08333333333333</v>
      </c>
      <c r="Y1563" s="22" t="str">
        <f aca="false">IF(W1563&gt;0,"Win",IF(W1563&lt;0,"Loss","Flat"))</f>
        <v>Loss</v>
      </c>
      <c r="Z1563" s="24" t="n">
        <f aca="false">Summary!$C$5+SUM(W$2:W1563)</f>
        <v>4537.68</v>
      </c>
      <c r="AA1563" s="24" t="n">
        <f aca="false">MAX(AA1562,Z1563)</f>
        <v>5000</v>
      </c>
      <c r="AB1563" s="24" t="n">
        <f aca="false">AA1563-Z1563</f>
        <v>462.32</v>
      </c>
      <c r="AC1563" s="23" t="n">
        <f aca="false">IFERROR(AB1563/AA1563,0)</f>
        <v>0.0924639999999999</v>
      </c>
      <c r="AD1563" s="22" t="s">
        <v>1800</v>
      </c>
    </row>
    <row r="1564" customFormat="false" ht="15" hidden="false" customHeight="false" outlineLevel="0" collapsed="false">
      <c r="A1564" s="22" t="n">
        <v>1563</v>
      </c>
      <c r="B1564" s="22" t="s">
        <v>165</v>
      </c>
      <c r="C1564" s="37" t="n">
        <v>46048.8765277778</v>
      </c>
      <c r="D1564" s="22" t="s">
        <v>202</v>
      </c>
      <c r="E1564" s="22" t="n">
        <v>21</v>
      </c>
      <c r="F1564" s="22" t="s">
        <v>182</v>
      </c>
      <c r="G1564" s="22" t="s">
        <v>241</v>
      </c>
      <c r="H1564" s="22" t="n">
        <v>0.07</v>
      </c>
      <c r="I1564" s="38" t="n">
        <v>5052.18</v>
      </c>
      <c r="J1564" s="38" t="n">
        <v>5050.68</v>
      </c>
      <c r="K1564" s="39" t="n">
        <f aca="false">IF(F1564="BUY",J1564-I1564,I1564-J1564)</f>
        <v>1.5</v>
      </c>
      <c r="L1564" s="38" t="n">
        <v>5058.18</v>
      </c>
      <c r="M1564" s="39" t="n">
        <f aca="false">ABS(I1564-L1564)</f>
        <v>6</v>
      </c>
      <c r="N1564" s="24" t="n">
        <f aca="false">M1564*H1564*Summary!$C$6</f>
        <v>42</v>
      </c>
      <c r="O1564" s="37" t="n">
        <v>46048.8787037037</v>
      </c>
      <c r="P1564" s="22" t="n">
        <f aca="false">ROUND((O1564-C1564)*86400,0)</f>
        <v>188</v>
      </c>
      <c r="Q1564" s="22" t="str">
        <f aca="false">IF(P1564&lt;10,"a) &lt;10s",IF(P1564&lt;60,"b) 10-60s",IF(P1564&lt;600,"c) 1-10min","d) &gt;10min")))</f>
        <v>c) 1-10min</v>
      </c>
      <c r="R1564" s="38" t="n">
        <v>5050.18</v>
      </c>
      <c r="S1564" s="38" t="n">
        <v>5050.3</v>
      </c>
      <c r="T1564" s="22" t="s">
        <v>189</v>
      </c>
      <c r="U1564" s="39" t="n">
        <f aca="false">IF(R1564="","",IF(F1564="BUY",R1564-S1564,S1564-R1564))</f>
        <v>0.119999999999891</v>
      </c>
      <c r="V1564" s="39" t="n">
        <f aca="false">IF(F1564="BUY",S1564-J1564,J1564-S1564)</f>
        <v>0.380000000000109</v>
      </c>
      <c r="W1564" s="6" t="n">
        <v>2.66</v>
      </c>
      <c r="X1564" s="26" t="n">
        <f aca="false">IFERROR(W1564/N1564,0)</f>
        <v>0.0633333333333333</v>
      </c>
      <c r="Y1564" s="22" t="str">
        <f aca="false">IF(W1564&gt;0,"Win",IF(W1564&lt;0,"Loss","Flat"))</f>
        <v>Win</v>
      </c>
      <c r="Z1564" s="24" t="n">
        <f aca="false">Summary!$C$5+SUM(W$2:W1564)</f>
        <v>4540.34</v>
      </c>
      <c r="AA1564" s="24" t="n">
        <f aca="false">MAX(AA1563,Z1564)</f>
        <v>5000</v>
      </c>
      <c r="AB1564" s="24" t="n">
        <f aca="false">AA1564-Z1564</f>
        <v>459.66</v>
      </c>
      <c r="AC1564" s="23" t="n">
        <f aca="false">IFERROR(AB1564/AA1564,0)</f>
        <v>0.091932</v>
      </c>
      <c r="AD1564" s="22" t="s">
        <v>1801</v>
      </c>
    </row>
    <row r="1565" customFormat="false" ht="15" hidden="false" customHeight="false" outlineLevel="0" collapsed="false">
      <c r="A1565" s="22" t="n">
        <v>1564</v>
      </c>
      <c r="B1565" s="22" t="s">
        <v>165</v>
      </c>
      <c r="C1565" s="37" t="n">
        <v>46049.38125</v>
      </c>
      <c r="D1565" s="22" t="s">
        <v>203</v>
      </c>
      <c r="E1565" s="22" t="n">
        <v>9</v>
      </c>
      <c r="F1565" s="22" t="s">
        <v>181</v>
      </c>
      <c r="G1565" s="22" t="s">
        <v>235</v>
      </c>
      <c r="H1565" s="22" t="n">
        <v>0.07</v>
      </c>
      <c r="I1565" s="38" t="n">
        <v>5093.83</v>
      </c>
      <c r="J1565" s="38" t="n">
        <v>5093.83</v>
      </c>
      <c r="K1565" s="39" t="n">
        <f aca="false">IF(F1565="BUY",J1565-I1565,I1565-J1565)</f>
        <v>0</v>
      </c>
      <c r="L1565" s="38" t="n">
        <v>5087.83</v>
      </c>
      <c r="M1565" s="39" t="n">
        <f aca="false">ABS(I1565-L1565)</f>
        <v>6</v>
      </c>
      <c r="N1565" s="24" t="n">
        <f aca="false">M1565*H1565*Summary!$C$6</f>
        <v>42</v>
      </c>
      <c r="O1565" s="37" t="n">
        <v>46049.3835300926</v>
      </c>
      <c r="P1565" s="22" t="n">
        <f aca="false">ROUND((O1565-C1565)*86400,0)</f>
        <v>197</v>
      </c>
      <c r="Q1565" s="22" t="str">
        <f aca="false">IF(P1565&lt;10,"a) &lt;10s",IF(P1565&lt;60,"b) 10-60s",IF(P1565&lt;600,"c) 1-10min","d) &gt;10min")))</f>
        <v>c) 1-10min</v>
      </c>
      <c r="R1565" s="38" t="n">
        <v>5087.83</v>
      </c>
      <c r="S1565" s="38" t="n">
        <v>5087.83</v>
      </c>
      <c r="T1565" s="22" t="s">
        <v>188</v>
      </c>
      <c r="U1565" s="39" t="n">
        <f aca="false">IF(R1565="","",IF(F1565="BUY",R1565-S1565,S1565-R1565))</f>
        <v>0</v>
      </c>
      <c r="V1565" s="39" t="n">
        <f aca="false">IF(F1565="BUY",S1565-J1565,J1565-S1565)</f>
        <v>-6</v>
      </c>
      <c r="W1565" s="6" t="n">
        <v>-42</v>
      </c>
      <c r="X1565" s="26" t="n">
        <f aca="false">IFERROR(W1565/N1565,0)</f>
        <v>-1</v>
      </c>
      <c r="Y1565" s="22" t="str">
        <f aca="false">IF(W1565&gt;0,"Win",IF(W1565&lt;0,"Loss","Flat"))</f>
        <v>Loss</v>
      </c>
      <c r="Z1565" s="24" t="n">
        <f aca="false">Summary!$C$5+SUM(W$2:W1565)</f>
        <v>4498.34</v>
      </c>
      <c r="AA1565" s="24" t="n">
        <f aca="false">MAX(AA1564,Z1565)</f>
        <v>5000</v>
      </c>
      <c r="AB1565" s="24" t="n">
        <f aca="false">AA1565-Z1565</f>
        <v>501.66</v>
      </c>
      <c r="AC1565" s="23" t="n">
        <f aca="false">IFERROR(AB1565/AA1565,0)</f>
        <v>0.100332</v>
      </c>
      <c r="AD1565" s="22" t="s">
        <v>1802</v>
      </c>
    </row>
    <row r="1566" customFormat="false" ht="15" hidden="false" customHeight="false" outlineLevel="0" collapsed="false">
      <c r="A1566" s="22" t="n">
        <v>1565</v>
      </c>
      <c r="B1566" s="22" t="s">
        <v>165</v>
      </c>
      <c r="C1566" s="37" t="n">
        <v>46050.1296412037</v>
      </c>
      <c r="D1566" s="22" t="s">
        <v>204</v>
      </c>
      <c r="E1566" s="22" t="n">
        <v>3</v>
      </c>
      <c r="F1566" s="22" t="s">
        <v>181</v>
      </c>
      <c r="G1566" s="22" t="s">
        <v>243</v>
      </c>
      <c r="H1566" s="22" t="n">
        <v>0.07</v>
      </c>
      <c r="I1566" s="38" t="n">
        <v>5190.24</v>
      </c>
      <c r="J1566" s="38" t="n">
        <v>5191.33</v>
      </c>
      <c r="K1566" s="39" t="n">
        <f aca="false">IF(F1566="BUY",J1566-I1566,I1566-J1566)</f>
        <v>1.09000000000015</v>
      </c>
      <c r="L1566" s="38" t="n">
        <v>5184.24</v>
      </c>
      <c r="M1566" s="39" t="n">
        <f aca="false">ABS(I1566-L1566)</f>
        <v>6</v>
      </c>
      <c r="N1566" s="24" t="n">
        <f aca="false">M1566*H1566*Summary!$C$6</f>
        <v>42</v>
      </c>
      <c r="O1566" s="37" t="n">
        <v>46050.132337963</v>
      </c>
      <c r="P1566" s="22" t="n">
        <f aca="false">ROUND((O1566-C1566)*86400,0)</f>
        <v>233</v>
      </c>
      <c r="Q1566" s="22" t="str">
        <f aca="false">IF(P1566&lt;10,"a) &lt;10s",IF(P1566&lt;60,"b) 10-60s",IF(P1566&lt;600,"c) 1-10min","d) &gt;10min")))</f>
        <v>c) 1-10min</v>
      </c>
      <c r="R1566" s="38" t="n">
        <v>5191.83</v>
      </c>
      <c r="S1566" s="38" t="n">
        <v>5191.82</v>
      </c>
      <c r="T1566" s="22" t="s">
        <v>189</v>
      </c>
      <c r="U1566" s="39" t="n">
        <f aca="false">IF(R1566="","",IF(F1566="BUY",R1566-S1566,S1566-R1566))</f>
        <v>0.0100000000002183</v>
      </c>
      <c r="V1566" s="39" t="n">
        <f aca="false">IF(F1566="BUY",S1566-J1566,J1566-S1566)</f>
        <v>0.489999999999782</v>
      </c>
      <c r="W1566" s="6" t="n">
        <v>3.43</v>
      </c>
      <c r="X1566" s="26" t="n">
        <f aca="false">IFERROR(W1566/N1566,0)</f>
        <v>0.0816666666666667</v>
      </c>
      <c r="Y1566" s="22" t="str">
        <f aca="false">IF(W1566&gt;0,"Win",IF(W1566&lt;0,"Loss","Flat"))</f>
        <v>Win</v>
      </c>
      <c r="Z1566" s="24" t="n">
        <f aca="false">Summary!$C$5+SUM(W$2:W1566)</f>
        <v>4501.77</v>
      </c>
      <c r="AA1566" s="24" t="n">
        <f aca="false">MAX(AA1565,Z1566)</f>
        <v>5000</v>
      </c>
      <c r="AB1566" s="24" t="n">
        <f aca="false">AA1566-Z1566</f>
        <v>498.23</v>
      </c>
      <c r="AC1566" s="23" t="n">
        <f aca="false">IFERROR(AB1566/AA1566,0)</f>
        <v>0.0996459999999999</v>
      </c>
      <c r="AD1566" s="22" t="s">
        <v>1803</v>
      </c>
    </row>
    <row r="1567" customFormat="false" ht="15" hidden="false" customHeight="false" outlineLevel="0" collapsed="false">
      <c r="A1567" s="22" t="n">
        <v>1566</v>
      </c>
      <c r="B1567" s="22" t="s">
        <v>165</v>
      </c>
      <c r="C1567" s="37" t="n">
        <v>46050.3816203704</v>
      </c>
      <c r="D1567" s="22" t="s">
        <v>204</v>
      </c>
      <c r="E1567" s="22" t="n">
        <v>9</v>
      </c>
      <c r="F1567" s="22" t="s">
        <v>181</v>
      </c>
      <c r="G1567" s="22" t="s">
        <v>235</v>
      </c>
      <c r="H1567" s="22" t="n">
        <v>0.07</v>
      </c>
      <c r="I1567" s="38" t="n">
        <v>5271.2</v>
      </c>
      <c r="J1567" s="38" t="n">
        <v>5271.22</v>
      </c>
      <c r="K1567" s="39" t="n">
        <f aca="false">IF(F1567="BUY",J1567-I1567,I1567-J1567)</f>
        <v>0.0200000000004366</v>
      </c>
      <c r="L1567" s="38" t="n">
        <v>5265.2</v>
      </c>
      <c r="M1567" s="39" t="n">
        <f aca="false">ABS(I1567-L1567)</f>
        <v>6</v>
      </c>
      <c r="N1567" s="24" t="n">
        <f aca="false">M1567*H1567*Summary!$C$6</f>
        <v>42</v>
      </c>
      <c r="O1567" s="37" t="n">
        <v>46050.3819212963</v>
      </c>
      <c r="P1567" s="22" t="n">
        <f aca="false">ROUND((O1567-C1567)*86400,0)</f>
        <v>26</v>
      </c>
      <c r="Q1567" s="22" t="str">
        <f aca="false">IF(P1567&lt;10,"a) &lt;10s",IF(P1567&lt;60,"b) 10-60s",IF(P1567&lt;600,"c) 1-10min","d) &gt;10min")))</f>
        <v>b) 10-60s</v>
      </c>
      <c r="R1567" s="38" t="n">
        <v>5271.72</v>
      </c>
      <c r="S1567" s="38" t="n">
        <v>5271.69</v>
      </c>
      <c r="T1567" s="22" t="s">
        <v>189</v>
      </c>
      <c r="U1567" s="39" t="n">
        <f aca="false">IF(R1567="","",IF(F1567="BUY",R1567-S1567,S1567-R1567))</f>
        <v>0.0300000000006548</v>
      </c>
      <c r="V1567" s="39" t="n">
        <f aca="false">IF(F1567="BUY",S1567-J1567,J1567-S1567)</f>
        <v>0.469999999999345</v>
      </c>
      <c r="W1567" s="6" t="n">
        <v>3.29</v>
      </c>
      <c r="X1567" s="26" t="n">
        <f aca="false">IFERROR(W1567/N1567,0)</f>
        <v>0.0783333333333333</v>
      </c>
      <c r="Y1567" s="22" t="str">
        <f aca="false">IF(W1567&gt;0,"Win",IF(W1567&lt;0,"Loss","Flat"))</f>
        <v>Win</v>
      </c>
      <c r="Z1567" s="24" t="n">
        <f aca="false">Summary!$C$5+SUM(W$2:W1567)</f>
        <v>4505.06</v>
      </c>
      <c r="AA1567" s="24" t="n">
        <f aca="false">MAX(AA1566,Z1567)</f>
        <v>5000</v>
      </c>
      <c r="AB1567" s="24" t="n">
        <f aca="false">AA1567-Z1567</f>
        <v>494.94</v>
      </c>
      <c r="AC1567" s="23" t="n">
        <f aca="false">IFERROR(AB1567/AA1567,0)</f>
        <v>0.0989879999999999</v>
      </c>
      <c r="AD1567" s="22" t="s">
        <v>1804</v>
      </c>
    </row>
    <row r="1568" customFormat="false" ht="15" hidden="false" customHeight="false" outlineLevel="0" collapsed="false">
      <c r="A1568" s="22" t="n">
        <v>1567</v>
      </c>
      <c r="B1568" s="22" t="s">
        <v>165</v>
      </c>
      <c r="C1568" s="37" t="n">
        <v>46051.4444212963</v>
      </c>
      <c r="D1568" s="22" t="s">
        <v>205</v>
      </c>
      <c r="E1568" s="22" t="n">
        <v>10</v>
      </c>
      <c r="F1568" s="22" t="s">
        <v>182</v>
      </c>
      <c r="G1568" s="22" t="s">
        <v>241</v>
      </c>
      <c r="H1568" s="22" t="n">
        <v>0.07</v>
      </c>
      <c r="I1568" s="38" t="n">
        <v>5515.49</v>
      </c>
      <c r="J1568" s="38" t="n">
        <v>5514.34</v>
      </c>
      <c r="K1568" s="39" t="n">
        <f aca="false">IF(F1568="BUY",J1568-I1568,I1568-J1568)</f>
        <v>1.14999999999964</v>
      </c>
      <c r="L1568" s="38" t="n">
        <v>5521.49</v>
      </c>
      <c r="M1568" s="39" t="n">
        <f aca="false">ABS(I1568-L1568)</f>
        <v>6</v>
      </c>
      <c r="N1568" s="24" t="n">
        <f aca="false">M1568*H1568*Summary!$C$6</f>
        <v>42</v>
      </c>
      <c r="O1568" s="37" t="n">
        <v>46051.4444444445</v>
      </c>
      <c r="P1568" s="22" t="n">
        <f aca="false">ROUND((O1568-C1568)*86400,0)</f>
        <v>2</v>
      </c>
      <c r="Q1568" s="22" t="str">
        <f aca="false">IF(P1568&lt;10,"a) &lt;10s",IF(P1568&lt;60,"b) 10-60s",IF(P1568&lt;600,"c) 1-10min","d) &gt;10min")))</f>
        <v>a) &lt;10s</v>
      </c>
      <c r="R1568" s="38" t="n">
        <v>5513.84</v>
      </c>
      <c r="S1568" s="38" t="n">
        <v>5514.23</v>
      </c>
      <c r="T1568" s="22" t="s">
        <v>189</v>
      </c>
      <c r="U1568" s="39" t="n">
        <f aca="false">IF(R1568="","",IF(F1568="BUY",R1568-S1568,S1568-R1568))</f>
        <v>0.389999999999418</v>
      </c>
      <c r="V1568" s="39" t="n">
        <f aca="false">IF(F1568="BUY",S1568-J1568,J1568-S1568)</f>
        <v>0.110000000000582</v>
      </c>
      <c r="W1568" s="6" t="n">
        <v>0.77</v>
      </c>
      <c r="X1568" s="26" t="n">
        <f aca="false">IFERROR(W1568/N1568,0)</f>
        <v>0.0183333333333333</v>
      </c>
      <c r="Y1568" s="22" t="str">
        <f aca="false">IF(W1568&gt;0,"Win",IF(W1568&lt;0,"Loss","Flat"))</f>
        <v>Win</v>
      </c>
      <c r="Z1568" s="24" t="n">
        <f aca="false">Summary!$C$5+SUM(W$2:W1568)</f>
        <v>4505.83</v>
      </c>
      <c r="AA1568" s="24" t="n">
        <f aca="false">MAX(AA1567,Z1568)</f>
        <v>5000</v>
      </c>
      <c r="AB1568" s="24" t="n">
        <f aca="false">AA1568-Z1568</f>
        <v>494.17</v>
      </c>
      <c r="AC1568" s="23" t="n">
        <f aca="false">IFERROR(AB1568/AA1568,0)</f>
        <v>0.098834</v>
      </c>
      <c r="AD1568" s="22" t="s">
        <v>1805</v>
      </c>
    </row>
    <row r="1569" customFormat="false" ht="15" hidden="false" customHeight="false" outlineLevel="0" collapsed="false">
      <c r="A1569" s="22" t="n">
        <v>1568</v>
      </c>
      <c r="B1569" s="22" t="s">
        <v>165</v>
      </c>
      <c r="C1569" s="37" t="n">
        <v>46051.7276736111</v>
      </c>
      <c r="D1569" s="22" t="s">
        <v>205</v>
      </c>
      <c r="E1569" s="22" t="n">
        <v>17</v>
      </c>
      <c r="F1569" s="22" t="s">
        <v>182</v>
      </c>
      <c r="G1569" s="22" t="s">
        <v>237</v>
      </c>
      <c r="H1569" s="22" t="n">
        <v>0.07</v>
      </c>
      <c r="I1569" s="38" t="n">
        <v>5157.12</v>
      </c>
      <c r="J1569" s="38" t="n">
        <v>5152.05</v>
      </c>
      <c r="K1569" s="39" t="n">
        <f aca="false">IF(F1569="BUY",J1569-I1569,I1569-J1569)</f>
        <v>5.06999999999971</v>
      </c>
      <c r="L1569" s="38" t="n">
        <v>5163.12</v>
      </c>
      <c r="M1569" s="39" t="n">
        <f aca="false">ABS(I1569-L1569)</f>
        <v>6</v>
      </c>
      <c r="N1569" s="24" t="n">
        <f aca="false">M1569*H1569*Summary!$C$6</f>
        <v>42</v>
      </c>
      <c r="O1569" s="37" t="n">
        <v>46051.7277777778</v>
      </c>
      <c r="P1569" s="22" t="n">
        <f aca="false">ROUND((O1569-C1569)*86400,0)</f>
        <v>9</v>
      </c>
      <c r="Q1569" s="22" t="str">
        <f aca="false">IF(P1569&lt;10,"a) &lt;10s",IF(P1569&lt;60,"b) 10-60s",IF(P1569&lt;600,"c) 1-10min","d) &gt;10min")))</f>
        <v>a) &lt;10s</v>
      </c>
      <c r="R1569" s="38"/>
      <c r="S1569" s="38" t="n">
        <v>5123.24</v>
      </c>
      <c r="T1569" s="22" t="s">
        <v>187</v>
      </c>
      <c r="U1569" s="39" t="str">
        <f aca="false">IF(R1569="","",IF(F1569="BUY",R1569-S1569,S1569-R1569))</f>
        <v/>
      </c>
      <c r="V1569" s="39" t="n">
        <f aca="false">IF(F1569="BUY",S1569-J1569,J1569-S1569)</f>
        <v>28.8100000000004</v>
      </c>
      <c r="W1569" s="6" t="n">
        <v>201.67</v>
      </c>
      <c r="X1569" s="26" t="n">
        <f aca="false">IFERROR(W1569/N1569,0)</f>
        <v>4.80166666666667</v>
      </c>
      <c r="Y1569" s="22" t="str">
        <f aca="false">IF(W1569&gt;0,"Win",IF(W1569&lt;0,"Loss","Flat"))</f>
        <v>Win</v>
      </c>
      <c r="Z1569" s="24" t="n">
        <f aca="false">Summary!$C$5+SUM(W$2:W1569)</f>
        <v>4707.5</v>
      </c>
      <c r="AA1569" s="24" t="n">
        <f aca="false">MAX(AA1568,Z1569)</f>
        <v>5000</v>
      </c>
      <c r="AB1569" s="24" t="n">
        <f aca="false">AA1569-Z1569</f>
        <v>292.5</v>
      </c>
      <c r="AC1569" s="23" t="n">
        <f aca="false">IFERROR(AB1569/AA1569,0)</f>
        <v>0.0585</v>
      </c>
      <c r="AD1569" s="22" t="s">
        <v>1806</v>
      </c>
    </row>
    <row r="1570" customFormat="false" ht="15" hidden="false" customHeight="false" outlineLevel="0" collapsed="false">
      <c r="A1570" s="22" t="n">
        <v>1569</v>
      </c>
      <c r="B1570" s="22" t="s">
        <v>165</v>
      </c>
      <c r="C1570" s="37" t="n">
        <v>46052.4399074074</v>
      </c>
      <c r="D1570" s="22" t="s">
        <v>206</v>
      </c>
      <c r="E1570" s="22" t="n">
        <v>10</v>
      </c>
      <c r="F1570" s="22" t="s">
        <v>182</v>
      </c>
      <c r="G1570" s="22" t="s">
        <v>237</v>
      </c>
      <c r="H1570" s="22" t="n">
        <v>0.07</v>
      </c>
      <c r="I1570" s="38" t="n">
        <v>5098.77</v>
      </c>
      <c r="J1570" s="38" t="n">
        <v>5096.38</v>
      </c>
      <c r="K1570" s="39" t="n">
        <f aca="false">IF(F1570="BUY",J1570-I1570,I1570-J1570)</f>
        <v>2.39000000000033</v>
      </c>
      <c r="L1570" s="38" t="n">
        <v>5104.77</v>
      </c>
      <c r="M1570" s="39" t="n">
        <f aca="false">ABS(I1570-L1570)</f>
        <v>6</v>
      </c>
      <c r="N1570" s="24" t="n">
        <f aca="false">M1570*H1570*Summary!$C$6</f>
        <v>42</v>
      </c>
      <c r="O1570" s="37" t="n">
        <v>46052.4402662037</v>
      </c>
      <c r="P1570" s="22" t="n">
        <f aca="false">ROUND((O1570-C1570)*86400,0)</f>
        <v>31</v>
      </c>
      <c r="Q1570" s="22" t="str">
        <f aca="false">IF(P1570&lt;10,"a) &lt;10s",IF(P1570&lt;60,"b) 10-60s",IF(P1570&lt;600,"c) 1-10min","d) &gt;10min")))</f>
        <v>b) 10-60s</v>
      </c>
      <c r="R1570" s="38"/>
      <c r="S1570" s="38" t="n">
        <v>5064.3</v>
      </c>
      <c r="T1570" s="22" t="s">
        <v>187</v>
      </c>
      <c r="U1570" s="39" t="str">
        <f aca="false">IF(R1570="","",IF(F1570="BUY",R1570-S1570,S1570-R1570))</f>
        <v/>
      </c>
      <c r="V1570" s="39" t="n">
        <f aca="false">IF(F1570="BUY",S1570-J1570,J1570-S1570)</f>
        <v>32.0799999999999</v>
      </c>
      <c r="W1570" s="6" t="n">
        <v>224.56</v>
      </c>
      <c r="X1570" s="26" t="n">
        <f aca="false">IFERROR(W1570/N1570,0)</f>
        <v>5.34666666666667</v>
      </c>
      <c r="Y1570" s="22" t="str">
        <f aca="false">IF(W1570&gt;0,"Win",IF(W1570&lt;0,"Loss","Flat"))</f>
        <v>Win</v>
      </c>
      <c r="Z1570" s="24" t="n">
        <f aca="false">Summary!$C$5+SUM(W$2:W1570)</f>
        <v>4932.06</v>
      </c>
      <c r="AA1570" s="24" t="n">
        <f aca="false">MAX(AA1569,Z1570)</f>
        <v>5000</v>
      </c>
      <c r="AB1570" s="24" t="n">
        <f aca="false">AA1570-Z1570</f>
        <v>67.9399999999996</v>
      </c>
      <c r="AC1570" s="23" t="n">
        <f aca="false">IFERROR(AB1570/AA1570,0)</f>
        <v>0.0135879999999999</v>
      </c>
      <c r="AD1570" s="22" t="s">
        <v>1807</v>
      </c>
    </row>
    <row r="1571" customFormat="false" ht="15" hidden="false" customHeight="false" outlineLevel="0" collapsed="false">
      <c r="A1571" s="22" t="n">
        <v>1570</v>
      </c>
      <c r="B1571" s="22" t="s">
        <v>166</v>
      </c>
      <c r="C1571" s="37" t="n">
        <v>46055.1315277778</v>
      </c>
      <c r="D1571" s="22" t="s">
        <v>202</v>
      </c>
      <c r="E1571" s="22" t="n">
        <v>3</v>
      </c>
      <c r="F1571" s="22" t="s">
        <v>182</v>
      </c>
      <c r="G1571" s="22" t="s">
        <v>237</v>
      </c>
      <c r="H1571" s="22" t="n">
        <v>0.08</v>
      </c>
      <c r="I1571" s="38" t="n">
        <v>4679.73</v>
      </c>
      <c r="J1571" s="38" t="n">
        <v>4671</v>
      </c>
      <c r="K1571" s="39" t="n">
        <f aca="false">IF(F1571="BUY",J1571-I1571,I1571-J1571)</f>
        <v>8.72999999999956</v>
      </c>
      <c r="L1571" s="38" t="n">
        <v>4685.73</v>
      </c>
      <c r="M1571" s="39" t="n">
        <f aca="false">ABS(I1571-L1571)</f>
        <v>6</v>
      </c>
      <c r="N1571" s="24" t="n">
        <f aca="false">M1571*H1571*Summary!$C$6</f>
        <v>48</v>
      </c>
      <c r="O1571" s="37" t="n">
        <v>46055.1320486111</v>
      </c>
      <c r="P1571" s="22" t="n">
        <f aca="false">ROUND((O1571-C1571)*86400,0)</f>
        <v>45</v>
      </c>
      <c r="Q1571" s="22" t="str">
        <f aca="false">IF(P1571&lt;10,"a) &lt;10s",IF(P1571&lt;60,"b) 10-60s",IF(P1571&lt;600,"c) 1-10min","d) &gt;10min")))</f>
        <v>b) 10-60s</v>
      </c>
      <c r="R1571" s="38"/>
      <c r="S1571" s="38" t="n">
        <v>4649.55</v>
      </c>
      <c r="T1571" s="22" t="s">
        <v>187</v>
      </c>
      <c r="U1571" s="39" t="str">
        <f aca="false">IF(R1571="","",IF(F1571="BUY",R1571-S1571,S1571-R1571))</f>
        <v/>
      </c>
      <c r="V1571" s="39" t="n">
        <f aca="false">IF(F1571="BUY",S1571-J1571,J1571-S1571)</f>
        <v>21.4499999999998</v>
      </c>
      <c r="W1571" s="6" t="n">
        <v>171.6</v>
      </c>
      <c r="X1571" s="26" t="n">
        <f aca="false">IFERROR(W1571/N1571,0)</f>
        <v>3.575</v>
      </c>
      <c r="Y1571" s="22" t="str">
        <f aca="false">IF(W1571&gt;0,"Win",IF(W1571&lt;0,"Loss","Flat"))</f>
        <v>Win</v>
      </c>
      <c r="Z1571" s="24" t="n">
        <f aca="false">Summary!$C$5+SUM(W$2:W1571)</f>
        <v>5103.66</v>
      </c>
      <c r="AA1571" s="24" t="n">
        <f aca="false">MAX(AA1570,Z1571)</f>
        <v>5103.66</v>
      </c>
      <c r="AB1571" s="24" t="n">
        <f aca="false">AA1571-Z1571</f>
        <v>0</v>
      </c>
      <c r="AC1571" s="23" t="n">
        <f aca="false">IFERROR(AB1571/AA1571,0)</f>
        <v>0</v>
      </c>
      <c r="AD1571" s="22" t="s">
        <v>1808</v>
      </c>
    </row>
    <row r="1572" customFormat="false" ht="15" hidden="false" customHeight="false" outlineLevel="0" collapsed="false">
      <c r="A1572" s="22" t="n">
        <v>1571</v>
      </c>
      <c r="B1572" s="22" t="s">
        <v>166</v>
      </c>
      <c r="C1572" s="37" t="n">
        <v>46055.4780902778</v>
      </c>
      <c r="D1572" s="22" t="s">
        <v>202</v>
      </c>
      <c r="E1572" s="22" t="n">
        <v>11</v>
      </c>
      <c r="F1572" s="22" t="s">
        <v>181</v>
      </c>
      <c r="G1572" s="22" t="s">
        <v>235</v>
      </c>
      <c r="H1572" s="22" t="n">
        <v>0.08</v>
      </c>
      <c r="I1572" s="38" t="n">
        <v>4695.57</v>
      </c>
      <c r="J1572" s="38" t="n">
        <v>4696.65</v>
      </c>
      <c r="K1572" s="39" t="n">
        <f aca="false">IF(F1572="BUY",J1572-I1572,I1572-J1572)</f>
        <v>1.07999999999993</v>
      </c>
      <c r="L1572" s="38" t="n">
        <v>4689.57</v>
      </c>
      <c r="M1572" s="39" t="n">
        <f aca="false">ABS(I1572-L1572)</f>
        <v>6</v>
      </c>
      <c r="N1572" s="24" t="n">
        <f aca="false">M1572*H1572*Summary!$C$6</f>
        <v>48</v>
      </c>
      <c r="O1572" s="37" t="n">
        <v>46055.4782523148</v>
      </c>
      <c r="P1572" s="22" t="n">
        <f aca="false">ROUND((O1572-C1572)*86400,0)</f>
        <v>14</v>
      </c>
      <c r="Q1572" s="22" t="str">
        <f aca="false">IF(P1572&lt;10,"a) &lt;10s",IF(P1572&lt;60,"b) 10-60s",IF(P1572&lt;600,"c) 1-10min","d) &gt;10min")))</f>
        <v>b) 10-60s</v>
      </c>
      <c r="R1572" s="38" t="n">
        <v>4697.15</v>
      </c>
      <c r="S1572" s="38" t="n">
        <v>4696.67</v>
      </c>
      <c r="T1572" s="22" t="s">
        <v>189</v>
      </c>
      <c r="U1572" s="39" t="n">
        <f aca="false">IF(R1572="","",IF(F1572="BUY",R1572-S1572,S1572-R1572))</f>
        <v>0.479999999999563</v>
      </c>
      <c r="V1572" s="39" t="n">
        <f aca="false">IF(F1572="BUY",S1572-J1572,J1572-S1572)</f>
        <v>0.0200000000004366</v>
      </c>
      <c r="W1572" s="6" t="n">
        <v>0.16</v>
      </c>
      <c r="X1572" s="26" t="n">
        <f aca="false">IFERROR(W1572/N1572,0)</f>
        <v>0.00333333333333333</v>
      </c>
      <c r="Y1572" s="22" t="str">
        <f aca="false">IF(W1572&gt;0,"Win",IF(W1572&lt;0,"Loss","Flat"))</f>
        <v>Win</v>
      </c>
      <c r="Z1572" s="24" t="n">
        <f aca="false">Summary!$C$5+SUM(W$2:W1572)</f>
        <v>5103.82</v>
      </c>
      <c r="AA1572" s="24" t="n">
        <f aca="false">MAX(AA1571,Z1572)</f>
        <v>5103.82</v>
      </c>
      <c r="AB1572" s="24" t="n">
        <f aca="false">AA1572-Z1572</f>
        <v>0</v>
      </c>
      <c r="AC1572" s="23" t="n">
        <f aca="false">IFERROR(AB1572/AA1572,0)</f>
        <v>0</v>
      </c>
      <c r="AD1572" s="22" t="s">
        <v>1809</v>
      </c>
    </row>
    <row r="1573" customFormat="false" ht="15" hidden="false" customHeight="false" outlineLevel="0" collapsed="false">
      <c r="A1573" s="22" t="n">
        <v>1572</v>
      </c>
      <c r="B1573" s="22" t="s">
        <v>166</v>
      </c>
      <c r="C1573" s="37" t="n">
        <v>46056.3617013889</v>
      </c>
      <c r="D1573" s="22" t="s">
        <v>203</v>
      </c>
      <c r="E1573" s="22" t="n">
        <v>8</v>
      </c>
      <c r="F1573" s="22" t="s">
        <v>181</v>
      </c>
      <c r="G1573" s="22" t="s">
        <v>243</v>
      </c>
      <c r="H1573" s="22" t="n">
        <v>0.08</v>
      </c>
      <c r="I1573" s="38" t="n">
        <v>4884.25</v>
      </c>
      <c r="J1573" s="38" t="n">
        <v>4886.56</v>
      </c>
      <c r="K1573" s="39" t="n">
        <f aca="false">IF(F1573="BUY",J1573-I1573,I1573-J1573)</f>
        <v>2.3100000000004</v>
      </c>
      <c r="L1573" s="38" t="n">
        <v>4878.25</v>
      </c>
      <c r="M1573" s="39" t="n">
        <f aca="false">ABS(I1573-L1573)</f>
        <v>6</v>
      </c>
      <c r="N1573" s="24" t="n">
        <f aca="false">M1573*H1573*Summary!$C$6</f>
        <v>48</v>
      </c>
      <c r="O1573" s="37" t="n">
        <v>46056.3633333333</v>
      </c>
      <c r="P1573" s="22" t="n">
        <f aca="false">ROUND((O1573-C1573)*86400,0)</f>
        <v>141</v>
      </c>
      <c r="Q1573" s="22" t="str">
        <f aca="false">IF(P1573&lt;10,"a) &lt;10s",IF(P1573&lt;60,"b) 10-60s",IF(P1573&lt;600,"c) 1-10min","d) &gt;10min")))</f>
        <v>c) 1-10min</v>
      </c>
      <c r="R1573" s="38" t="n">
        <v>4887.06</v>
      </c>
      <c r="S1573" s="38" t="n">
        <v>4886.94</v>
      </c>
      <c r="T1573" s="22" t="s">
        <v>189</v>
      </c>
      <c r="U1573" s="39" t="n">
        <f aca="false">IF(R1573="","",IF(F1573="BUY",R1573-S1573,S1573-R1573))</f>
        <v>0.1200000000008</v>
      </c>
      <c r="V1573" s="39" t="n">
        <f aca="false">IF(F1573="BUY",S1573-J1573,J1573-S1573)</f>
        <v>0.3799999999992</v>
      </c>
      <c r="W1573" s="6" t="n">
        <v>3.04</v>
      </c>
      <c r="X1573" s="26" t="n">
        <f aca="false">IFERROR(W1573/N1573,0)</f>
        <v>0.0633333333333333</v>
      </c>
      <c r="Y1573" s="22" t="str">
        <f aca="false">IF(W1573&gt;0,"Win",IF(W1573&lt;0,"Loss","Flat"))</f>
        <v>Win</v>
      </c>
      <c r="Z1573" s="24" t="n">
        <f aca="false">Summary!$C$5+SUM(W$2:W1573)</f>
        <v>5106.86</v>
      </c>
      <c r="AA1573" s="24" t="n">
        <f aca="false">MAX(AA1572,Z1573)</f>
        <v>5106.86</v>
      </c>
      <c r="AB1573" s="24" t="n">
        <f aca="false">AA1573-Z1573</f>
        <v>0</v>
      </c>
      <c r="AC1573" s="23" t="n">
        <f aca="false">IFERROR(AB1573/AA1573,0)</f>
        <v>0</v>
      </c>
      <c r="AD1573" s="22" t="s">
        <v>1810</v>
      </c>
    </row>
    <row r="1574" customFormat="false" ht="15" hidden="false" customHeight="false" outlineLevel="0" collapsed="false">
      <c r="A1574" s="22" t="n">
        <v>1573</v>
      </c>
      <c r="B1574" s="22" t="s">
        <v>166</v>
      </c>
      <c r="C1574" s="37" t="n">
        <v>46056.3853935185</v>
      </c>
      <c r="D1574" s="22" t="s">
        <v>203</v>
      </c>
      <c r="E1574" s="22" t="n">
        <v>9</v>
      </c>
      <c r="F1574" s="22" t="s">
        <v>181</v>
      </c>
      <c r="G1574" s="22" t="s">
        <v>235</v>
      </c>
      <c r="H1574" s="22" t="n">
        <v>0.08</v>
      </c>
      <c r="I1574" s="38" t="n">
        <v>4893.54</v>
      </c>
      <c r="J1574" s="38" t="n">
        <v>4893.83</v>
      </c>
      <c r="K1574" s="39" t="n">
        <f aca="false">IF(F1574="BUY",J1574-I1574,I1574-J1574)</f>
        <v>0.289999999999964</v>
      </c>
      <c r="L1574" s="38" t="n">
        <v>4887.54</v>
      </c>
      <c r="M1574" s="39" t="n">
        <f aca="false">ABS(I1574-L1574)</f>
        <v>6</v>
      </c>
      <c r="N1574" s="24" t="n">
        <f aca="false">M1574*H1574*Summary!$C$6</f>
        <v>48</v>
      </c>
      <c r="O1574" s="37" t="n">
        <v>46056.385787037</v>
      </c>
      <c r="P1574" s="22" t="n">
        <f aca="false">ROUND((O1574-C1574)*86400,0)</f>
        <v>34</v>
      </c>
      <c r="Q1574" s="22" t="str">
        <f aca="false">IF(P1574&lt;10,"a) &lt;10s",IF(P1574&lt;60,"b) 10-60s",IF(P1574&lt;600,"c) 1-10min","d) &gt;10min")))</f>
        <v>b) 10-60s</v>
      </c>
      <c r="R1574" s="38" t="n">
        <v>4887.54</v>
      </c>
      <c r="S1574" s="38" t="n">
        <v>4887.26</v>
      </c>
      <c r="T1574" s="22" t="s">
        <v>188</v>
      </c>
      <c r="U1574" s="39" t="n">
        <f aca="false">IF(R1574="","",IF(F1574="BUY",R1574-S1574,S1574-R1574))</f>
        <v>0.279999999999745</v>
      </c>
      <c r="V1574" s="39" t="n">
        <f aca="false">IF(F1574="BUY",S1574-J1574,J1574-S1574)</f>
        <v>-6.56999999999971</v>
      </c>
      <c r="W1574" s="6" t="n">
        <v>-52.56</v>
      </c>
      <c r="X1574" s="26" t="n">
        <f aca="false">IFERROR(W1574/N1574,0)</f>
        <v>-1.095</v>
      </c>
      <c r="Y1574" s="22" t="str">
        <f aca="false">IF(W1574&gt;0,"Win",IF(W1574&lt;0,"Loss","Flat"))</f>
        <v>Loss</v>
      </c>
      <c r="Z1574" s="24" t="n">
        <f aca="false">Summary!$C$5+SUM(W$2:W1574)</f>
        <v>5054.3</v>
      </c>
      <c r="AA1574" s="24" t="n">
        <f aca="false">MAX(AA1573,Z1574)</f>
        <v>5106.86</v>
      </c>
      <c r="AB1574" s="24" t="n">
        <f aca="false">AA1574-Z1574</f>
        <v>52.5599999999995</v>
      </c>
      <c r="AC1574" s="23" t="n">
        <f aca="false">IFERROR(AB1574/AA1574,0)</f>
        <v>0.0102920385520652</v>
      </c>
      <c r="AD1574" s="22" t="s">
        <v>1811</v>
      </c>
    </row>
    <row r="1575" customFormat="false" ht="15" hidden="false" customHeight="false" outlineLevel="0" collapsed="false">
      <c r="A1575" s="22" t="n">
        <v>1574</v>
      </c>
      <c r="B1575" s="22" t="s">
        <v>166</v>
      </c>
      <c r="C1575" s="37" t="n">
        <v>46057.0942939815</v>
      </c>
      <c r="D1575" s="22" t="s">
        <v>204</v>
      </c>
      <c r="E1575" s="22" t="n">
        <v>2</v>
      </c>
      <c r="F1575" s="22" t="s">
        <v>181</v>
      </c>
      <c r="G1575" s="22" t="s">
        <v>243</v>
      </c>
      <c r="H1575" s="22" t="n">
        <v>0.08</v>
      </c>
      <c r="I1575" s="38" t="n">
        <v>4993.46</v>
      </c>
      <c r="J1575" s="38" t="n">
        <v>4993.95</v>
      </c>
      <c r="K1575" s="39" t="n">
        <f aca="false">IF(F1575="BUY",J1575-I1575,I1575-J1575)</f>
        <v>0.489999999999782</v>
      </c>
      <c r="L1575" s="38" t="n">
        <v>4987.46</v>
      </c>
      <c r="M1575" s="39" t="n">
        <f aca="false">ABS(I1575-L1575)</f>
        <v>6</v>
      </c>
      <c r="N1575" s="24" t="n">
        <f aca="false">M1575*H1575*Summary!$C$6</f>
        <v>48</v>
      </c>
      <c r="O1575" s="37" t="n">
        <v>46057.0944444445</v>
      </c>
      <c r="P1575" s="22" t="n">
        <f aca="false">ROUND((O1575-C1575)*86400,0)</f>
        <v>13</v>
      </c>
      <c r="Q1575" s="22" t="str">
        <f aca="false">IF(P1575&lt;10,"a) &lt;10s",IF(P1575&lt;60,"b) 10-60s",IF(P1575&lt;600,"c) 1-10min","d) &gt;10min")))</f>
        <v>b) 10-60s</v>
      </c>
      <c r="R1575" s="38" t="n">
        <v>4987.46</v>
      </c>
      <c r="S1575" s="38" t="n">
        <v>4987.4</v>
      </c>
      <c r="T1575" s="22" t="s">
        <v>188</v>
      </c>
      <c r="U1575" s="39" t="n">
        <f aca="false">IF(R1575="","",IF(F1575="BUY",R1575-S1575,S1575-R1575))</f>
        <v>0.0600000000004002</v>
      </c>
      <c r="V1575" s="39" t="n">
        <f aca="false">IF(F1575="BUY",S1575-J1575,J1575-S1575)</f>
        <v>-6.55000000000018</v>
      </c>
      <c r="W1575" s="6" t="n">
        <v>-52.4</v>
      </c>
      <c r="X1575" s="26" t="n">
        <f aca="false">IFERROR(W1575/N1575,0)</f>
        <v>-1.09166666666667</v>
      </c>
      <c r="Y1575" s="22" t="str">
        <f aca="false">IF(W1575&gt;0,"Win",IF(W1575&lt;0,"Loss","Flat"))</f>
        <v>Loss</v>
      </c>
      <c r="Z1575" s="24" t="n">
        <f aca="false">Summary!$C$5+SUM(W$2:W1575)</f>
        <v>5001.9</v>
      </c>
      <c r="AA1575" s="24" t="n">
        <f aca="false">MAX(AA1574,Z1575)</f>
        <v>5106.86</v>
      </c>
      <c r="AB1575" s="24" t="n">
        <f aca="false">AA1575-Z1575</f>
        <v>104.96</v>
      </c>
      <c r="AC1575" s="23" t="n">
        <f aca="false">IFERROR(AB1575/AA1575,0)</f>
        <v>0.0205527466975793</v>
      </c>
      <c r="AD1575" s="22" t="s">
        <v>1812</v>
      </c>
    </row>
    <row r="1576" customFormat="false" ht="15" hidden="false" customHeight="false" outlineLevel="0" collapsed="false">
      <c r="A1576" s="22" t="n">
        <v>1575</v>
      </c>
      <c r="B1576" s="22" t="s">
        <v>166</v>
      </c>
      <c r="C1576" s="37" t="n">
        <v>46057.3958449074</v>
      </c>
      <c r="D1576" s="22" t="s">
        <v>204</v>
      </c>
      <c r="E1576" s="22" t="n">
        <v>9</v>
      </c>
      <c r="F1576" s="22" t="s">
        <v>181</v>
      </c>
      <c r="G1576" s="22" t="s">
        <v>235</v>
      </c>
      <c r="H1576" s="22" t="n">
        <v>0.08</v>
      </c>
      <c r="I1576" s="38" t="n">
        <v>5090.15</v>
      </c>
      <c r="J1576" s="38" t="n">
        <v>5090.57</v>
      </c>
      <c r="K1576" s="39" t="n">
        <f aca="false">IF(F1576="BUY",J1576-I1576,I1576-J1576)</f>
        <v>0.420000000000073</v>
      </c>
      <c r="L1576" s="38" t="n">
        <v>5084.15</v>
      </c>
      <c r="M1576" s="39" t="n">
        <f aca="false">ABS(I1576-L1576)</f>
        <v>6</v>
      </c>
      <c r="N1576" s="24" t="n">
        <f aca="false">M1576*H1576*Summary!$C$6</f>
        <v>48</v>
      </c>
      <c r="O1576" s="37" t="n">
        <v>46057.3980902778</v>
      </c>
      <c r="P1576" s="22" t="n">
        <f aca="false">ROUND((O1576-C1576)*86400,0)</f>
        <v>194</v>
      </c>
      <c r="Q1576" s="22" t="str">
        <f aca="false">IF(P1576&lt;10,"a) &lt;10s",IF(P1576&lt;60,"b) 10-60s",IF(P1576&lt;600,"c) 1-10min","d) &gt;10min")))</f>
        <v>c) 1-10min</v>
      </c>
      <c r="R1576" s="38" t="n">
        <v>5084.15</v>
      </c>
      <c r="S1576" s="38" t="n">
        <v>5084.15</v>
      </c>
      <c r="T1576" s="22" t="s">
        <v>188</v>
      </c>
      <c r="U1576" s="39" t="n">
        <f aca="false">IF(R1576="","",IF(F1576="BUY",R1576-S1576,S1576-R1576))</f>
        <v>0</v>
      </c>
      <c r="V1576" s="39" t="n">
        <f aca="false">IF(F1576="BUY",S1576-J1576,J1576-S1576)</f>
        <v>-6.42000000000007</v>
      </c>
      <c r="W1576" s="6" t="n">
        <v>-51.36</v>
      </c>
      <c r="X1576" s="26" t="n">
        <f aca="false">IFERROR(W1576/N1576,0)</f>
        <v>-1.07</v>
      </c>
      <c r="Y1576" s="22" t="str">
        <f aca="false">IF(W1576&gt;0,"Win",IF(W1576&lt;0,"Loss","Flat"))</f>
        <v>Loss</v>
      </c>
      <c r="Z1576" s="24" t="n">
        <f aca="false">Summary!$C$5+SUM(W$2:W1576)</f>
        <v>4950.54</v>
      </c>
      <c r="AA1576" s="24" t="n">
        <f aca="false">MAX(AA1575,Z1576)</f>
        <v>5106.86</v>
      </c>
      <c r="AB1576" s="24" t="n">
        <f aca="false">AA1576-Z1576</f>
        <v>156.32</v>
      </c>
      <c r="AC1576" s="23" t="n">
        <f aca="false">IFERROR(AB1576/AA1576,0)</f>
        <v>0.0306098072005106</v>
      </c>
      <c r="AD1576" s="22" t="s">
        <v>1813</v>
      </c>
    </row>
    <row r="1577" customFormat="false" ht="15" hidden="false" customHeight="false" outlineLevel="0" collapsed="false">
      <c r="A1577" s="22" t="n">
        <v>1576</v>
      </c>
      <c r="B1577" s="22" t="s">
        <v>166</v>
      </c>
      <c r="C1577" s="37" t="n">
        <v>46058.1998611111</v>
      </c>
      <c r="D1577" s="22" t="s">
        <v>205</v>
      </c>
      <c r="E1577" s="22" t="n">
        <v>4</v>
      </c>
      <c r="F1577" s="22" t="s">
        <v>182</v>
      </c>
      <c r="G1577" s="22" t="s">
        <v>237</v>
      </c>
      <c r="H1577" s="22" t="n">
        <v>0.08</v>
      </c>
      <c r="I1577" s="38" t="n">
        <v>4844.17</v>
      </c>
      <c r="J1577" s="38" t="n">
        <v>4838.79</v>
      </c>
      <c r="K1577" s="39" t="n">
        <f aca="false">IF(F1577="BUY",J1577-I1577,I1577-J1577)</f>
        <v>5.38000000000011</v>
      </c>
      <c r="L1577" s="38" t="n">
        <v>4850.17</v>
      </c>
      <c r="M1577" s="39" t="n">
        <f aca="false">ABS(I1577-L1577)</f>
        <v>6</v>
      </c>
      <c r="N1577" s="24" t="n">
        <f aca="false">M1577*H1577*Summary!$C$6</f>
        <v>48</v>
      </c>
      <c r="O1577" s="37" t="n">
        <v>46058.1998611111</v>
      </c>
      <c r="P1577" s="22" t="n">
        <f aca="false">ROUND((O1577-C1577)*86400,0)</f>
        <v>0</v>
      </c>
      <c r="Q1577" s="22" t="str">
        <f aca="false">IF(P1577&lt;10,"a) &lt;10s",IF(P1577&lt;60,"b) 10-60s",IF(P1577&lt;600,"c) 1-10min","d) &gt;10min")))</f>
        <v>a) &lt;10s</v>
      </c>
      <c r="R1577" s="38" t="n">
        <v>4850.17</v>
      </c>
      <c r="S1577" s="38" t="n">
        <v>4852.6</v>
      </c>
      <c r="T1577" s="22" t="s">
        <v>188</v>
      </c>
      <c r="U1577" s="39" t="n">
        <f aca="false">IF(R1577="","",IF(F1577="BUY",R1577-S1577,S1577-R1577))</f>
        <v>2.43000000000029</v>
      </c>
      <c r="V1577" s="39" t="n">
        <f aca="false">IF(F1577="BUY",S1577-J1577,J1577-S1577)</f>
        <v>-13.8100000000004</v>
      </c>
      <c r="W1577" s="6" t="n">
        <v>-110.48</v>
      </c>
      <c r="X1577" s="26" t="n">
        <f aca="false">IFERROR(W1577/N1577,0)</f>
        <v>-2.30166666666667</v>
      </c>
      <c r="Y1577" s="22" t="str">
        <f aca="false">IF(W1577&gt;0,"Win",IF(W1577&lt;0,"Loss","Flat"))</f>
        <v>Loss</v>
      </c>
      <c r="Z1577" s="24" t="n">
        <f aca="false">Summary!$C$5+SUM(W$2:W1577)</f>
        <v>4840.06</v>
      </c>
      <c r="AA1577" s="24" t="n">
        <f aca="false">MAX(AA1576,Z1577)</f>
        <v>5106.86</v>
      </c>
      <c r="AB1577" s="24" t="n">
        <f aca="false">AA1577-Z1577</f>
        <v>266.799999999999</v>
      </c>
      <c r="AC1577" s="23" t="n">
        <f aca="false">IFERROR(AB1577/AA1577,0)</f>
        <v>0.0522434529241059</v>
      </c>
      <c r="AD1577" s="22" t="s">
        <v>1814</v>
      </c>
    </row>
    <row r="1578" customFormat="false" ht="15" hidden="false" customHeight="false" outlineLevel="0" collapsed="false">
      <c r="A1578" s="22" t="n">
        <v>1577</v>
      </c>
      <c r="B1578" s="22" t="s">
        <v>166</v>
      </c>
      <c r="C1578" s="37" t="n">
        <v>46058.3931944444</v>
      </c>
      <c r="D1578" s="22" t="s">
        <v>205</v>
      </c>
      <c r="E1578" s="22" t="n">
        <v>9</v>
      </c>
      <c r="F1578" s="22" t="s">
        <v>181</v>
      </c>
      <c r="G1578" s="22" t="s">
        <v>235</v>
      </c>
      <c r="H1578" s="22" t="n">
        <v>0.08</v>
      </c>
      <c r="I1578" s="38" t="n">
        <v>4933.58</v>
      </c>
      <c r="J1578" s="38" t="n">
        <v>4934.6</v>
      </c>
      <c r="K1578" s="39" t="n">
        <f aca="false">IF(F1578="BUY",J1578-I1578,I1578-J1578)</f>
        <v>1.02000000000044</v>
      </c>
      <c r="L1578" s="38" t="n">
        <v>4927.58</v>
      </c>
      <c r="M1578" s="39" t="n">
        <f aca="false">ABS(I1578-L1578)</f>
        <v>6</v>
      </c>
      <c r="N1578" s="24" t="n">
        <f aca="false">M1578*H1578*Summary!$C$6</f>
        <v>48</v>
      </c>
      <c r="O1578" s="37" t="n">
        <v>46058.3938888889</v>
      </c>
      <c r="P1578" s="22" t="n">
        <f aca="false">ROUND((O1578-C1578)*86400,0)</f>
        <v>60</v>
      </c>
      <c r="Q1578" s="22" t="str">
        <f aca="false">IF(P1578&lt;10,"a) &lt;10s",IF(P1578&lt;60,"b) 10-60s",IF(P1578&lt;600,"c) 1-10min","d) &gt;10min")))</f>
        <v>c) 1-10min</v>
      </c>
      <c r="R1578" s="38" t="n">
        <v>4935.1</v>
      </c>
      <c r="S1578" s="38" t="n">
        <v>4934.27</v>
      </c>
      <c r="T1578" s="22" t="s">
        <v>189</v>
      </c>
      <c r="U1578" s="39" t="n">
        <f aca="false">IF(R1578="","",IF(F1578="BUY",R1578-S1578,S1578-R1578))</f>
        <v>0.829999999999927</v>
      </c>
      <c r="V1578" s="39" t="n">
        <f aca="false">IF(F1578="BUY",S1578-J1578,J1578-S1578)</f>
        <v>-0.329999999999927</v>
      </c>
      <c r="W1578" s="6" t="n">
        <v>-2.64</v>
      </c>
      <c r="X1578" s="26" t="n">
        <f aca="false">IFERROR(W1578/N1578,0)</f>
        <v>-0.055</v>
      </c>
      <c r="Y1578" s="22" t="str">
        <f aca="false">IF(W1578&gt;0,"Win",IF(W1578&lt;0,"Loss","Flat"))</f>
        <v>Loss</v>
      </c>
      <c r="Z1578" s="24" t="n">
        <f aca="false">Summary!$C$5+SUM(W$2:W1578)</f>
        <v>4837.42</v>
      </c>
      <c r="AA1578" s="24" t="n">
        <f aca="false">MAX(AA1577,Z1578)</f>
        <v>5106.86</v>
      </c>
      <c r="AB1578" s="24" t="n">
        <f aca="false">AA1578-Z1578</f>
        <v>269.44</v>
      </c>
      <c r="AC1578" s="23" t="n">
        <f aca="false">IFERROR(AB1578/AA1578,0)</f>
        <v>0.0527604046322005</v>
      </c>
      <c r="AD1578" s="22" t="s">
        <v>1815</v>
      </c>
    </row>
    <row r="1579" customFormat="false" ht="15" hidden="false" customHeight="false" outlineLevel="0" collapsed="false">
      <c r="A1579" s="22" t="n">
        <v>1578</v>
      </c>
      <c r="B1579" s="22" t="s">
        <v>166</v>
      </c>
      <c r="C1579" s="37" t="n">
        <v>46059.5883217593</v>
      </c>
      <c r="D1579" s="22" t="s">
        <v>206</v>
      </c>
      <c r="E1579" s="22" t="n">
        <v>14</v>
      </c>
      <c r="F1579" s="22" t="s">
        <v>181</v>
      </c>
      <c r="G1579" s="22" t="s">
        <v>235</v>
      </c>
      <c r="H1579" s="22" t="n">
        <v>0.08</v>
      </c>
      <c r="I1579" s="38" t="n">
        <v>4902.98</v>
      </c>
      <c r="J1579" s="38" t="n">
        <v>4902.99</v>
      </c>
      <c r="K1579" s="39" t="n">
        <f aca="false">IF(F1579="BUY",J1579-I1579,I1579-J1579)</f>
        <v>0.0100000000002183</v>
      </c>
      <c r="L1579" s="38" t="n">
        <v>4896.98</v>
      </c>
      <c r="M1579" s="39" t="n">
        <f aca="false">ABS(I1579-L1579)</f>
        <v>6</v>
      </c>
      <c r="N1579" s="24" t="n">
        <f aca="false">M1579*H1579*Summary!$C$6</f>
        <v>48</v>
      </c>
      <c r="O1579" s="37" t="n">
        <v>46059.5903587963</v>
      </c>
      <c r="P1579" s="22" t="n">
        <f aca="false">ROUND((O1579-C1579)*86400,0)</f>
        <v>176</v>
      </c>
      <c r="Q1579" s="22" t="str">
        <f aca="false">IF(P1579&lt;10,"a) &lt;10s",IF(P1579&lt;60,"b) 10-60s",IF(P1579&lt;600,"c) 1-10min","d) &gt;10min")))</f>
        <v>c) 1-10min</v>
      </c>
      <c r="R1579" s="38" t="n">
        <v>4896.98</v>
      </c>
      <c r="S1579" s="38" t="n">
        <v>4896.98</v>
      </c>
      <c r="T1579" s="22" t="s">
        <v>188</v>
      </c>
      <c r="U1579" s="39" t="n">
        <f aca="false">IF(R1579="","",IF(F1579="BUY",R1579-S1579,S1579-R1579))</f>
        <v>0</v>
      </c>
      <c r="V1579" s="39" t="n">
        <f aca="false">IF(F1579="BUY",S1579-J1579,J1579-S1579)</f>
        <v>-6.01000000000022</v>
      </c>
      <c r="W1579" s="6" t="n">
        <v>-48.08</v>
      </c>
      <c r="X1579" s="26" t="n">
        <f aca="false">IFERROR(W1579/N1579,0)</f>
        <v>-1.00166666666667</v>
      </c>
      <c r="Y1579" s="22" t="str">
        <f aca="false">IF(W1579&gt;0,"Win",IF(W1579&lt;0,"Loss","Flat"))</f>
        <v>Loss</v>
      </c>
      <c r="Z1579" s="24" t="n">
        <f aca="false">Summary!$C$5+SUM(W$2:W1579)</f>
        <v>4789.34</v>
      </c>
      <c r="AA1579" s="24" t="n">
        <f aca="false">MAX(AA1578,Z1579)</f>
        <v>5106.86</v>
      </c>
      <c r="AB1579" s="24" t="n">
        <f aca="false">AA1579-Z1579</f>
        <v>317.52</v>
      </c>
      <c r="AC1579" s="23" t="n">
        <f aca="false">IFERROR(AB1579/AA1579,0)</f>
        <v>0.0621751918008325</v>
      </c>
      <c r="AD1579" s="22" t="s">
        <v>1816</v>
      </c>
    </row>
    <row r="1580" customFormat="false" ht="15" hidden="false" customHeight="false" outlineLevel="0" collapsed="false">
      <c r="A1580" s="22" t="n">
        <v>1579</v>
      </c>
      <c r="B1580" s="22" t="s">
        <v>166</v>
      </c>
      <c r="C1580" s="37" t="n">
        <v>46062.3847569445</v>
      </c>
      <c r="D1580" s="22" t="s">
        <v>202</v>
      </c>
      <c r="E1580" s="22" t="n">
        <v>9</v>
      </c>
      <c r="F1580" s="22" t="s">
        <v>182</v>
      </c>
      <c r="G1580" s="22" t="s">
        <v>241</v>
      </c>
      <c r="H1580" s="22" t="n">
        <v>0.07</v>
      </c>
      <c r="I1580" s="38" t="n">
        <v>5011.02</v>
      </c>
      <c r="J1580" s="38" t="n">
        <v>5010.88</v>
      </c>
      <c r="K1580" s="39" t="n">
        <f aca="false">IF(F1580="BUY",J1580-I1580,I1580-J1580)</f>
        <v>0.140000000000327</v>
      </c>
      <c r="L1580" s="38" t="n">
        <v>5017.02</v>
      </c>
      <c r="M1580" s="39" t="n">
        <f aca="false">ABS(I1580-L1580)</f>
        <v>6</v>
      </c>
      <c r="N1580" s="24" t="n">
        <f aca="false">M1580*H1580*Summary!$C$6</f>
        <v>42</v>
      </c>
      <c r="O1580" s="37" t="n">
        <v>46062.3879166667</v>
      </c>
      <c r="P1580" s="22" t="n">
        <f aca="false">ROUND((O1580-C1580)*86400,0)</f>
        <v>273</v>
      </c>
      <c r="Q1580" s="22" t="str">
        <f aca="false">IF(P1580&lt;10,"a) &lt;10s",IF(P1580&lt;60,"b) 10-60s",IF(P1580&lt;600,"c) 1-10min","d) &gt;10min")))</f>
        <v>c) 1-10min</v>
      </c>
      <c r="R1580" s="38" t="n">
        <v>5010.38</v>
      </c>
      <c r="S1580" s="38" t="n">
        <v>5010.44</v>
      </c>
      <c r="T1580" s="22" t="s">
        <v>189</v>
      </c>
      <c r="U1580" s="39" t="n">
        <f aca="false">IF(R1580="","",IF(F1580="BUY",R1580-S1580,S1580-R1580))</f>
        <v>0.0599999999994907</v>
      </c>
      <c r="V1580" s="39" t="n">
        <f aca="false">IF(F1580="BUY",S1580-J1580,J1580-S1580)</f>
        <v>0.440000000000509</v>
      </c>
      <c r="W1580" s="6" t="n">
        <v>3.08</v>
      </c>
      <c r="X1580" s="26" t="n">
        <f aca="false">IFERROR(W1580/N1580,0)</f>
        <v>0.0733333333333333</v>
      </c>
      <c r="Y1580" s="22" t="str">
        <f aca="false">IF(W1580&gt;0,"Win",IF(W1580&lt;0,"Loss","Flat"))</f>
        <v>Win</v>
      </c>
      <c r="Z1580" s="24" t="n">
        <f aca="false">Summary!$C$5+SUM(W$2:W1580)</f>
        <v>4792.42</v>
      </c>
      <c r="AA1580" s="24" t="n">
        <f aca="false">MAX(AA1579,Z1580)</f>
        <v>5106.86</v>
      </c>
      <c r="AB1580" s="24" t="n">
        <f aca="false">AA1580-Z1580</f>
        <v>314.44</v>
      </c>
      <c r="AC1580" s="23" t="n">
        <f aca="false">IFERROR(AB1580/AA1580,0)</f>
        <v>0.0615720814747222</v>
      </c>
      <c r="AD1580" s="22" t="s">
        <v>1817</v>
      </c>
    </row>
    <row r="1581" customFormat="false" ht="15" hidden="false" customHeight="false" outlineLevel="0" collapsed="false">
      <c r="A1581" s="22" t="n">
        <v>1580</v>
      </c>
      <c r="B1581" s="22" t="s">
        <v>166</v>
      </c>
      <c r="C1581" s="37" t="n">
        <v>46063.4435069444</v>
      </c>
      <c r="D1581" s="22" t="s">
        <v>203</v>
      </c>
      <c r="E1581" s="22" t="n">
        <v>10</v>
      </c>
      <c r="F1581" s="22" t="s">
        <v>181</v>
      </c>
      <c r="G1581" s="22" t="s">
        <v>235</v>
      </c>
      <c r="H1581" s="22" t="n">
        <v>0.07</v>
      </c>
      <c r="I1581" s="38" t="n">
        <v>5045.2</v>
      </c>
      <c r="J1581" s="38" t="n">
        <v>5045.31</v>
      </c>
      <c r="K1581" s="39" t="n">
        <f aca="false">IF(F1581="BUY",J1581-I1581,I1581-J1581)</f>
        <v>0.110000000000582</v>
      </c>
      <c r="L1581" s="38" t="n">
        <v>5039.2</v>
      </c>
      <c r="M1581" s="39" t="n">
        <f aca="false">ABS(I1581-L1581)</f>
        <v>6</v>
      </c>
      <c r="N1581" s="24" t="n">
        <f aca="false">M1581*H1581*Summary!$C$6</f>
        <v>42</v>
      </c>
      <c r="O1581" s="37" t="n">
        <v>46063.4472569445</v>
      </c>
      <c r="P1581" s="22" t="n">
        <f aca="false">ROUND((O1581-C1581)*86400,0)</f>
        <v>324</v>
      </c>
      <c r="Q1581" s="22" t="str">
        <f aca="false">IF(P1581&lt;10,"a) &lt;10s",IF(P1581&lt;60,"b) 10-60s",IF(P1581&lt;600,"c) 1-10min","d) &gt;10min")))</f>
        <v>c) 1-10min</v>
      </c>
      <c r="R1581" s="38" t="n">
        <v>5045.81</v>
      </c>
      <c r="S1581" s="38" t="n">
        <v>5045.75</v>
      </c>
      <c r="T1581" s="22" t="s">
        <v>189</v>
      </c>
      <c r="U1581" s="39" t="n">
        <f aca="false">IF(R1581="","",IF(F1581="BUY",R1581-S1581,S1581-R1581))</f>
        <v>0.0600000000004002</v>
      </c>
      <c r="V1581" s="39" t="n">
        <f aca="false">IF(F1581="BUY",S1581-J1581,J1581-S1581)</f>
        <v>0.4399999999996</v>
      </c>
      <c r="W1581" s="6" t="n">
        <v>3.08</v>
      </c>
      <c r="X1581" s="26" t="n">
        <f aca="false">IFERROR(W1581/N1581,0)</f>
        <v>0.0733333333333333</v>
      </c>
      <c r="Y1581" s="22" t="str">
        <f aca="false">IF(W1581&gt;0,"Win",IF(W1581&lt;0,"Loss","Flat"))</f>
        <v>Win</v>
      </c>
      <c r="Z1581" s="24" t="n">
        <f aca="false">Summary!$C$5+SUM(W$2:W1581)</f>
        <v>4795.5</v>
      </c>
      <c r="AA1581" s="24" t="n">
        <f aca="false">MAX(AA1580,Z1581)</f>
        <v>5106.86</v>
      </c>
      <c r="AB1581" s="24" t="n">
        <f aca="false">AA1581-Z1581</f>
        <v>311.36</v>
      </c>
      <c r="AC1581" s="23" t="n">
        <f aca="false">IFERROR(AB1581/AA1581,0)</f>
        <v>0.0609689711486118</v>
      </c>
      <c r="AD1581" s="22" t="s">
        <v>1818</v>
      </c>
    </row>
    <row r="1582" customFormat="false" ht="15" hidden="false" customHeight="false" outlineLevel="0" collapsed="false">
      <c r="A1582" s="22" t="n">
        <v>1581</v>
      </c>
      <c r="B1582" s="22" t="s">
        <v>166</v>
      </c>
      <c r="C1582" s="37" t="n">
        <v>46064.5283796296</v>
      </c>
      <c r="D1582" s="22" t="s">
        <v>204</v>
      </c>
      <c r="E1582" s="22" t="n">
        <v>12</v>
      </c>
      <c r="F1582" s="22" t="s">
        <v>181</v>
      </c>
      <c r="G1582" s="22" t="s">
        <v>243</v>
      </c>
      <c r="H1582" s="22" t="n">
        <v>0.07</v>
      </c>
      <c r="I1582" s="38" t="n">
        <v>5078.49</v>
      </c>
      <c r="J1582" s="38" t="n">
        <v>5083.03</v>
      </c>
      <c r="K1582" s="39" t="n">
        <f aca="false">IF(F1582="BUY",J1582-I1582,I1582-J1582)</f>
        <v>4.53999999999996</v>
      </c>
      <c r="L1582" s="38" t="n">
        <v>5072.49</v>
      </c>
      <c r="M1582" s="39" t="n">
        <f aca="false">ABS(I1582-L1582)</f>
        <v>6</v>
      </c>
      <c r="N1582" s="24" t="n">
        <f aca="false">M1582*H1582*Summary!$C$6</f>
        <v>42</v>
      </c>
      <c r="O1582" s="37" t="n">
        <v>46064.5442013889</v>
      </c>
      <c r="P1582" s="22" t="n">
        <f aca="false">ROUND((O1582-C1582)*86400,0)</f>
        <v>1367</v>
      </c>
      <c r="Q1582" s="22" t="str">
        <f aca="false">IF(P1582&lt;10,"a) &lt;10s",IF(P1582&lt;60,"b) 10-60s",IF(P1582&lt;600,"c) 1-10min","d) &gt;10min")))</f>
        <v>d) &gt;10min</v>
      </c>
      <c r="R1582" s="38" t="n">
        <v>5083.53</v>
      </c>
      <c r="S1582" s="38" t="n">
        <v>5083.19</v>
      </c>
      <c r="T1582" s="22" t="s">
        <v>189</v>
      </c>
      <c r="U1582" s="39" t="n">
        <f aca="false">IF(R1582="","",IF(F1582="BUY",R1582-S1582,S1582-R1582))</f>
        <v>0.340000000000146</v>
      </c>
      <c r="V1582" s="39" t="n">
        <f aca="false">IF(F1582="BUY",S1582-J1582,J1582-S1582)</f>
        <v>0.159999999999854</v>
      </c>
      <c r="W1582" s="6" t="n">
        <v>1.12</v>
      </c>
      <c r="X1582" s="26" t="n">
        <f aca="false">IFERROR(W1582/N1582,0)</f>
        <v>0.0266666666666667</v>
      </c>
      <c r="Y1582" s="22" t="str">
        <f aca="false">IF(W1582&gt;0,"Win",IF(W1582&lt;0,"Loss","Flat"))</f>
        <v>Win</v>
      </c>
      <c r="Z1582" s="24" t="n">
        <f aca="false">Summary!$C$5+SUM(W$2:W1582)</f>
        <v>4796.62</v>
      </c>
      <c r="AA1582" s="24" t="n">
        <f aca="false">MAX(AA1581,Z1582)</f>
        <v>5106.86</v>
      </c>
      <c r="AB1582" s="24" t="n">
        <f aca="false">AA1582-Z1582</f>
        <v>310.24</v>
      </c>
      <c r="AC1582" s="23" t="n">
        <f aca="false">IFERROR(AB1582/AA1582,0)</f>
        <v>0.0607496583027535</v>
      </c>
      <c r="AD1582" s="22" t="s">
        <v>1819</v>
      </c>
    </row>
    <row r="1583" customFormat="false" ht="15" hidden="false" customHeight="false" outlineLevel="0" collapsed="false">
      <c r="A1583" s="22" t="n">
        <v>1582</v>
      </c>
      <c r="B1583" s="22" t="s">
        <v>166</v>
      </c>
      <c r="C1583" s="37" t="n">
        <v>46064.6461574074</v>
      </c>
      <c r="D1583" s="22" t="s">
        <v>204</v>
      </c>
      <c r="E1583" s="22" t="n">
        <v>15</v>
      </c>
      <c r="F1583" s="22" t="s">
        <v>182</v>
      </c>
      <c r="G1583" s="22" t="s">
        <v>241</v>
      </c>
      <c r="H1583" s="22" t="n">
        <v>0.07</v>
      </c>
      <c r="I1583" s="38" t="n">
        <v>5043.29</v>
      </c>
      <c r="J1583" s="38" t="n">
        <v>5040.93</v>
      </c>
      <c r="K1583" s="39" t="n">
        <f aca="false">IF(F1583="BUY",J1583-I1583,I1583-J1583)</f>
        <v>2.35999999999967</v>
      </c>
      <c r="L1583" s="38" t="n">
        <v>5049.29</v>
      </c>
      <c r="M1583" s="39" t="n">
        <f aca="false">ABS(I1583-L1583)</f>
        <v>6</v>
      </c>
      <c r="N1583" s="24" t="n">
        <f aca="false">M1583*H1583*Summary!$C$6</f>
        <v>42</v>
      </c>
      <c r="O1583" s="37" t="n">
        <v>46064.6466666667</v>
      </c>
      <c r="P1583" s="22" t="n">
        <f aca="false">ROUND((O1583-C1583)*86400,0)</f>
        <v>44</v>
      </c>
      <c r="Q1583" s="22" t="str">
        <f aca="false">IF(P1583&lt;10,"a) &lt;10s",IF(P1583&lt;60,"b) 10-60s",IF(P1583&lt;600,"c) 1-10min","d) &gt;10min")))</f>
        <v>b) 10-60s</v>
      </c>
      <c r="R1583" s="38" t="n">
        <v>5040.43</v>
      </c>
      <c r="S1583" s="38" t="n">
        <v>5041.41</v>
      </c>
      <c r="T1583" s="22" t="s">
        <v>189</v>
      </c>
      <c r="U1583" s="39" t="n">
        <f aca="false">IF(R1583="","",IF(F1583="BUY",R1583-S1583,S1583-R1583))</f>
        <v>0.979999999999563</v>
      </c>
      <c r="V1583" s="39" t="n">
        <f aca="false">IF(F1583="BUY",S1583-J1583,J1583-S1583)</f>
        <v>-0.479999999999563</v>
      </c>
      <c r="W1583" s="6" t="n">
        <v>-3.36</v>
      </c>
      <c r="X1583" s="26" t="n">
        <f aca="false">IFERROR(W1583/N1583,0)</f>
        <v>-0.08</v>
      </c>
      <c r="Y1583" s="22" t="str">
        <f aca="false">IF(W1583&gt;0,"Win",IF(W1583&lt;0,"Loss","Flat"))</f>
        <v>Loss</v>
      </c>
      <c r="Z1583" s="24" t="n">
        <f aca="false">Summary!$C$5+SUM(W$2:W1583)</f>
        <v>4793.26</v>
      </c>
      <c r="AA1583" s="24" t="n">
        <f aca="false">MAX(AA1582,Z1583)</f>
        <v>5106.86</v>
      </c>
      <c r="AB1583" s="24" t="n">
        <f aca="false">AA1583-Z1583</f>
        <v>313.599999999999</v>
      </c>
      <c r="AC1583" s="23" t="n">
        <f aca="false">IFERROR(AB1583/AA1583,0)</f>
        <v>0.0614075968403284</v>
      </c>
      <c r="AD1583" s="22" t="s">
        <v>1820</v>
      </c>
    </row>
    <row r="1584" customFormat="false" ht="15" hidden="false" customHeight="false" outlineLevel="0" collapsed="false">
      <c r="A1584" s="22" t="n">
        <v>1583</v>
      </c>
      <c r="B1584" s="22" t="s">
        <v>166</v>
      </c>
      <c r="C1584" s="37" t="n">
        <v>46065.4695486111</v>
      </c>
      <c r="D1584" s="22" t="s">
        <v>205</v>
      </c>
      <c r="E1584" s="22" t="n">
        <v>11</v>
      </c>
      <c r="F1584" s="22" t="s">
        <v>181</v>
      </c>
      <c r="G1584" s="22" t="s">
        <v>235</v>
      </c>
      <c r="H1584" s="22" t="n">
        <v>0.07</v>
      </c>
      <c r="I1584" s="38" t="n">
        <v>5078</v>
      </c>
      <c r="J1584" s="38" t="n">
        <v>5078.05</v>
      </c>
      <c r="K1584" s="39" t="n">
        <f aca="false">IF(F1584="BUY",J1584-I1584,I1584-J1584)</f>
        <v>0.0500000000001819</v>
      </c>
      <c r="L1584" s="38" t="n">
        <v>5072</v>
      </c>
      <c r="M1584" s="39" t="n">
        <f aca="false">ABS(I1584-L1584)</f>
        <v>6</v>
      </c>
      <c r="N1584" s="24" t="n">
        <f aca="false">M1584*H1584*Summary!$C$6</f>
        <v>42</v>
      </c>
      <c r="O1584" s="37" t="n">
        <v>46065.4726041667</v>
      </c>
      <c r="P1584" s="22" t="n">
        <f aca="false">ROUND((O1584-C1584)*86400,0)</f>
        <v>264</v>
      </c>
      <c r="Q1584" s="22" t="str">
        <f aca="false">IF(P1584&lt;10,"a) &lt;10s",IF(P1584&lt;60,"b) 10-60s",IF(P1584&lt;600,"c) 1-10min","d) &gt;10min")))</f>
        <v>c) 1-10min</v>
      </c>
      <c r="R1584" s="38" t="n">
        <v>5072</v>
      </c>
      <c r="S1584" s="38" t="n">
        <v>5071.94</v>
      </c>
      <c r="T1584" s="22" t="s">
        <v>188</v>
      </c>
      <c r="U1584" s="39" t="n">
        <f aca="false">IF(R1584="","",IF(F1584="BUY",R1584-S1584,S1584-R1584))</f>
        <v>0.0600000000004002</v>
      </c>
      <c r="V1584" s="39" t="n">
        <f aca="false">IF(F1584="BUY",S1584-J1584,J1584-S1584)</f>
        <v>-6.11000000000058</v>
      </c>
      <c r="W1584" s="6" t="n">
        <v>-42.77</v>
      </c>
      <c r="X1584" s="26" t="n">
        <f aca="false">IFERROR(W1584/N1584,0)</f>
        <v>-1.01833333333333</v>
      </c>
      <c r="Y1584" s="22" t="str">
        <f aca="false">IF(W1584&gt;0,"Win",IF(W1584&lt;0,"Loss","Flat"))</f>
        <v>Loss</v>
      </c>
      <c r="Z1584" s="24" t="n">
        <f aca="false">Summary!$C$5+SUM(W$2:W1584)</f>
        <v>4750.49</v>
      </c>
      <c r="AA1584" s="24" t="n">
        <f aca="false">MAX(AA1583,Z1584)</f>
        <v>5106.86</v>
      </c>
      <c r="AB1584" s="24" t="n">
        <f aca="false">AA1584-Z1584</f>
        <v>356.37</v>
      </c>
      <c r="AC1584" s="23" t="n">
        <f aca="false">IFERROR(AB1584/AA1584,0)</f>
        <v>0.0697826061415429</v>
      </c>
      <c r="AD1584" s="22" t="s">
        <v>1821</v>
      </c>
    </row>
    <row r="1585" customFormat="false" ht="15" hidden="false" customHeight="false" outlineLevel="0" collapsed="false">
      <c r="A1585" s="22" t="n">
        <v>1584</v>
      </c>
      <c r="B1585" s="22" t="s">
        <v>166</v>
      </c>
      <c r="C1585" s="37" t="n">
        <v>46065.7580787037</v>
      </c>
      <c r="D1585" s="22" t="s">
        <v>205</v>
      </c>
      <c r="E1585" s="22" t="n">
        <v>18</v>
      </c>
      <c r="F1585" s="22" t="s">
        <v>182</v>
      </c>
      <c r="G1585" s="22" t="s">
        <v>237</v>
      </c>
      <c r="H1585" s="22" t="n">
        <v>0.07</v>
      </c>
      <c r="I1585" s="38" t="n">
        <v>5018</v>
      </c>
      <c r="J1585" s="38" t="n">
        <v>5017.52</v>
      </c>
      <c r="K1585" s="39" t="n">
        <f aca="false">IF(F1585="BUY",J1585-I1585,I1585-J1585)</f>
        <v>0.479999999999563</v>
      </c>
      <c r="L1585" s="38" t="n">
        <v>5024</v>
      </c>
      <c r="M1585" s="39" t="n">
        <f aca="false">ABS(I1585-L1585)</f>
        <v>6</v>
      </c>
      <c r="N1585" s="24" t="n">
        <f aca="false">M1585*H1585*Summary!$C$6</f>
        <v>42</v>
      </c>
      <c r="O1585" s="37" t="n">
        <v>46065.7581597222</v>
      </c>
      <c r="P1585" s="22" t="n">
        <f aca="false">ROUND((O1585-C1585)*86400,0)</f>
        <v>7</v>
      </c>
      <c r="Q1585" s="22" t="str">
        <f aca="false">IF(P1585&lt;10,"a) &lt;10s",IF(P1585&lt;60,"b) 10-60s",IF(P1585&lt;600,"c) 1-10min","d) &gt;10min")))</f>
        <v>a) &lt;10s</v>
      </c>
      <c r="R1585" s="38" t="n">
        <v>5017.02</v>
      </c>
      <c r="S1585" s="38" t="n">
        <v>5017.35</v>
      </c>
      <c r="T1585" s="22" t="s">
        <v>189</v>
      </c>
      <c r="U1585" s="39" t="n">
        <f aca="false">IF(R1585="","",IF(F1585="BUY",R1585-S1585,S1585-R1585))</f>
        <v>0.329999999999927</v>
      </c>
      <c r="V1585" s="39" t="n">
        <f aca="false">IF(F1585="BUY",S1585-J1585,J1585-S1585)</f>
        <v>0.170000000000073</v>
      </c>
      <c r="W1585" s="6" t="n">
        <v>1.19</v>
      </c>
      <c r="X1585" s="26" t="n">
        <f aca="false">IFERROR(W1585/N1585,0)</f>
        <v>0.0283333333333333</v>
      </c>
      <c r="Y1585" s="22" t="str">
        <f aca="false">IF(W1585&gt;0,"Win",IF(W1585&lt;0,"Loss","Flat"))</f>
        <v>Win</v>
      </c>
      <c r="Z1585" s="24" t="n">
        <f aca="false">Summary!$C$5+SUM(W$2:W1585)</f>
        <v>4751.68</v>
      </c>
      <c r="AA1585" s="24" t="n">
        <f aca="false">MAX(AA1584,Z1585)</f>
        <v>5106.86</v>
      </c>
      <c r="AB1585" s="24" t="n">
        <f aca="false">AA1585-Z1585</f>
        <v>355.179999999999</v>
      </c>
      <c r="AC1585" s="23" t="n">
        <f aca="false">IFERROR(AB1585/AA1585,0)</f>
        <v>0.0695495862428184</v>
      </c>
      <c r="AD1585" s="22" t="s">
        <v>1822</v>
      </c>
    </row>
    <row r="1586" customFormat="false" ht="15" hidden="false" customHeight="false" outlineLevel="0" collapsed="false">
      <c r="A1586" s="22" t="n">
        <v>1585</v>
      </c>
      <c r="B1586" s="22" t="s">
        <v>166</v>
      </c>
      <c r="C1586" s="37" t="n">
        <v>46066.4211689815</v>
      </c>
      <c r="D1586" s="22" t="s">
        <v>206</v>
      </c>
      <c r="E1586" s="22" t="n">
        <v>10</v>
      </c>
      <c r="F1586" s="22" t="s">
        <v>181</v>
      </c>
      <c r="G1586" s="22" t="s">
        <v>235</v>
      </c>
      <c r="H1586" s="22" t="n">
        <v>0.07</v>
      </c>
      <c r="I1586" s="38" t="n">
        <v>4986.31</v>
      </c>
      <c r="J1586" s="38" t="n">
        <v>4986.37</v>
      </c>
      <c r="K1586" s="39" t="n">
        <f aca="false">IF(F1586="BUY",J1586-I1586,I1586-J1586)</f>
        <v>0.0599999999994907</v>
      </c>
      <c r="L1586" s="38" t="n">
        <v>4980.31</v>
      </c>
      <c r="M1586" s="39" t="n">
        <f aca="false">ABS(I1586-L1586)</f>
        <v>6</v>
      </c>
      <c r="N1586" s="24" t="n">
        <f aca="false">M1586*H1586*Summary!$C$6</f>
        <v>42</v>
      </c>
      <c r="O1586" s="37" t="n">
        <v>46066.4241319444</v>
      </c>
      <c r="P1586" s="22" t="n">
        <f aca="false">ROUND((O1586-C1586)*86400,0)</f>
        <v>256</v>
      </c>
      <c r="Q1586" s="22" t="str">
        <f aca="false">IF(P1586&lt;10,"a) &lt;10s",IF(P1586&lt;60,"b) 10-60s",IF(P1586&lt;600,"c) 1-10min","d) &gt;10min")))</f>
        <v>c) 1-10min</v>
      </c>
      <c r="R1586" s="38" t="n">
        <v>4986.87</v>
      </c>
      <c r="S1586" s="38" t="n">
        <v>4986.75</v>
      </c>
      <c r="T1586" s="22" t="s">
        <v>189</v>
      </c>
      <c r="U1586" s="39" t="n">
        <f aca="false">IF(R1586="","",IF(F1586="BUY",R1586-S1586,S1586-R1586))</f>
        <v>0.119999999999891</v>
      </c>
      <c r="V1586" s="39" t="n">
        <f aca="false">IF(F1586="BUY",S1586-J1586,J1586-S1586)</f>
        <v>0.380000000000109</v>
      </c>
      <c r="W1586" s="6" t="n">
        <v>2.66</v>
      </c>
      <c r="X1586" s="26" t="n">
        <f aca="false">IFERROR(W1586/N1586,0)</f>
        <v>0.0633333333333333</v>
      </c>
      <c r="Y1586" s="22" t="str">
        <f aca="false">IF(W1586&gt;0,"Win",IF(W1586&lt;0,"Loss","Flat"))</f>
        <v>Win</v>
      </c>
      <c r="Z1586" s="24" t="n">
        <f aca="false">Summary!$C$5+SUM(W$2:W1586)</f>
        <v>4754.34</v>
      </c>
      <c r="AA1586" s="24" t="n">
        <f aca="false">MAX(AA1585,Z1586)</f>
        <v>5106.86</v>
      </c>
      <c r="AB1586" s="24" t="n">
        <f aca="false">AA1586-Z1586</f>
        <v>352.52</v>
      </c>
      <c r="AC1586" s="23" t="n">
        <f aca="false">IFERROR(AB1586/AA1586,0)</f>
        <v>0.0690287182339049</v>
      </c>
      <c r="AD1586" s="22" t="s">
        <v>1823</v>
      </c>
    </row>
    <row r="1587" customFormat="false" ht="15" hidden="false" customHeight="false" outlineLevel="0" collapsed="false">
      <c r="A1587" s="22" t="n">
        <v>1586</v>
      </c>
      <c r="B1587" s="22" t="s">
        <v>166</v>
      </c>
      <c r="C1587" s="37" t="n">
        <v>46069.4035763889</v>
      </c>
      <c r="D1587" s="22" t="s">
        <v>202</v>
      </c>
      <c r="E1587" s="22" t="n">
        <v>9</v>
      </c>
      <c r="F1587" s="22" t="s">
        <v>181</v>
      </c>
      <c r="G1587" s="22" t="s">
        <v>235</v>
      </c>
      <c r="H1587" s="22" t="n">
        <v>0.07</v>
      </c>
      <c r="I1587" s="38" t="n">
        <v>5002.78</v>
      </c>
      <c r="J1587" s="38" t="n">
        <v>5002.94</v>
      </c>
      <c r="K1587" s="39" t="n">
        <f aca="false">IF(F1587="BUY",J1587-I1587,I1587-J1587)</f>
        <v>0.159999999999854</v>
      </c>
      <c r="L1587" s="38" t="n">
        <v>4996.78</v>
      </c>
      <c r="M1587" s="39" t="n">
        <f aca="false">ABS(I1587-L1587)</f>
        <v>6</v>
      </c>
      <c r="N1587" s="24" t="n">
        <f aca="false">M1587*H1587*Summary!$C$6</f>
        <v>42</v>
      </c>
      <c r="O1587" s="37" t="n">
        <v>46069.4059027778</v>
      </c>
      <c r="P1587" s="22" t="n">
        <f aca="false">ROUND((O1587-C1587)*86400,0)</f>
        <v>201</v>
      </c>
      <c r="Q1587" s="22" t="str">
        <f aca="false">IF(P1587&lt;10,"a) &lt;10s",IF(P1587&lt;60,"b) 10-60s",IF(P1587&lt;600,"c) 1-10min","d) &gt;10min")))</f>
        <v>c) 1-10min</v>
      </c>
      <c r="R1587" s="38" t="n">
        <v>5003.44</v>
      </c>
      <c r="S1587" s="38" t="n">
        <v>5003.25</v>
      </c>
      <c r="T1587" s="22" t="s">
        <v>189</v>
      </c>
      <c r="U1587" s="39" t="n">
        <f aca="false">IF(R1587="","",IF(F1587="BUY",R1587-S1587,S1587-R1587))</f>
        <v>0.1899999999996</v>
      </c>
      <c r="V1587" s="39" t="n">
        <f aca="false">IF(F1587="BUY",S1587-J1587,J1587-S1587)</f>
        <v>0.3100000000004</v>
      </c>
      <c r="W1587" s="6" t="n">
        <v>2.17</v>
      </c>
      <c r="X1587" s="26" t="n">
        <f aca="false">IFERROR(W1587/N1587,0)</f>
        <v>0.0516666666666667</v>
      </c>
      <c r="Y1587" s="22" t="str">
        <f aca="false">IF(W1587&gt;0,"Win",IF(W1587&lt;0,"Loss","Flat"))</f>
        <v>Win</v>
      </c>
      <c r="Z1587" s="24" t="n">
        <f aca="false">Summary!$C$5+SUM(W$2:W1587)</f>
        <v>4756.51</v>
      </c>
      <c r="AA1587" s="24" t="n">
        <f aca="false">MAX(AA1586,Z1587)</f>
        <v>5106.86</v>
      </c>
      <c r="AB1587" s="24" t="n">
        <f aca="false">AA1587-Z1587</f>
        <v>350.349999999999</v>
      </c>
      <c r="AC1587" s="23" t="n">
        <f aca="false">IFERROR(AB1587/AA1587,0)</f>
        <v>0.0686037995950544</v>
      </c>
      <c r="AD1587" s="22" t="s">
        <v>1824</v>
      </c>
    </row>
    <row r="1588" customFormat="false" ht="15" hidden="false" customHeight="false" outlineLevel="0" collapsed="false">
      <c r="A1588" s="22" t="n">
        <v>1587</v>
      </c>
      <c r="B1588" s="22" t="s">
        <v>166</v>
      </c>
      <c r="C1588" s="37" t="n">
        <v>46070.1196180556</v>
      </c>
      <c r="D1588" s="22" t="s">
        <v>203</v>
      </c>
      <c r="E1588" s="22" t="n">
        <v>2</v>
      </c>
      <c r="F1588" s="22" t="s">
        <v>182</v>
      </c>
      <c r="G1588" s="22" t="s">
        <v>237</v>
      </c>
      <c r="H1588" s="22" t="n">
        <v>0.07</v>
      </c>
      <c r="I1588" s="38" t="n">
        <v>4964.87</v>
      </c>
      <c r="J1588" s="38" t="n">
        <v>4960.81</v>
      </c>
      <c r="K1588" s="39" t="n">
        <f aca="false">IF(F1588="BUY",J1588-I1588,I1588-J1588)</f>
        <v>4.05999999999949</v>
      </c>
      <c r="L1588" s="38" t="n">
        <v>4970.87</v>
      </c>
      <c r="M1588" s="39" t="n">
        <f aca="false">ABS(I1588-L1588)</f>
        <v>6</v>
      </c>
      <c r="N1588" s="24" t="n">
        <f aca="false">M1588*H1588*Summary!$C$6</f>
        <v>42</v>
      </c>
      <c r="O1588" s="37" t="n">
        <v>46070.1239351852</v>
      </c>
      <c r="P1588" s="22" t="n">
        <f aca="false">ROUND((O1588-C1588)*86400,0)</f>
        <v>373</v>
      </c>
      <c r="Q1588" s="22" t="str">
        <f aca="false">IF(P1588&lt;10,"a) &lt;10s",IF(P1588&lt;60,"b) 10-60s",IF(P1588&lt;600,"c) 1-10min","d) &gt;10min")))</f>
        <v>c) 1-10min</v>
      </c>
      <c r="R1588" s="38"/>
      <c r="S1588" s="38" t="n">
        <v>4934.87</v>
      </c>
      <c r="T1588" s="22" t="s">
        <v>187</v>
      </c>
      <c r="U1588" s="39" t="str">
        <f aca="false">IF(R1588="","",IF(F1588="BUY",R1588-S1588,S1588-R1588))</f>
        <v/>
      </c>
      <c r="V1588" s="39" t="n">
        <f aca="false">IF(F1588="BUY",S1588-J1588,J1588-S1588)</f>
        <v>25.9400000000005</v>
      </c>
      <c r="W1588" s="6" t="n">
        <v>181.58</v>
      </c>
      <c r="X1588" s="26" t="n">
        <f aca="false">IFERROR(W1588/N1588,0)</f>
        <v>4.32333333333333</v>
      </c>
      <c r="Y1588" s="22" t="str">
        <f aca="false">IF(W1588&gt;0,"Win",IF(W1588&lt;0,"Loss","Flat"))</f>
        <v>Win</v>
      </c>
      <c r="Z1588" s="24" t="n">
        <f aca="false">Summary!$C$5+SUM(W$2:W1588)</f>
        <v>4938.09</v>
      </c>
      <c r="AA1588" s="24" t="n">
        <f aca="false">MAX(AA1587,Z1588)</f>
        <v>5106.86</v>
      </c>
      <c r="AB1588" s="24" t="n">
        <f aca="false">AA1588-Z1588</f>
        <v>168.77</v>
      </c>
      <c r="AC1588" s="23" t="n">
        <f aca="false">IFERROR(AB1588/AA1588,0)</f>
        <v>0.0330477044602749</v>
      </c>
      <c r="AD1588" s="22" t="s">
        <v>1825</v>
      </c>
    </row>
    <row r="1589" customFormat="false" ht="15" hidden="false" customHeight="false" outlineLevel="0" collapsed="false">
      <c r="A1589" s="22" t="n">
        <v>1588</v>
      </c>
      <c r="B1589" s="22" t="s">
        <v>166</v>
      </c>
      <c r="C1589" s="37" t="n">
        <v>46070.6676157407</v>
      </c>
      <c r="D1589" s="22" t="s">
        <v>203</v>
      </c>
      <c r="E1589" s="22" t="n">
        <v>16</v>
      </c>
      <c r="F1589" s="22" t="s">
        <v>182</v>
      </c>
      <c r="G1589" s="22" t="s">
        <v>241</v>
      </c>
      <c r="H1589" s="22" t="n">
        <v>0.08</v>
      </c>
      <c r="I1589" s="38" t="n">
        <v>4856.65</v>
      </c>
      <c r="J1589" s="38" t="n">
        <v>4851.15</v>
      </c>
      <c r="K1589" s="39" t="n">
        <f aca="false">IF(F1589="BUY",J1589-I1589,I1589-J1589)</f>
        <v>5.5</v>
      </c>
      <c r="L1589" s="38" t="n">
        <v>4862.65</v>
      </c>
      <c r="M1589" s="39" t="n">
        <f aca="false">ABS(I1589-L1589)</f>
        <v>6</v>
      </c>
      <c r="N1589" s="24" t="n">
        <f aca="false">M1589*H1589*Summary!$C$6</f>
        <v>48</v>
      </c>
      <c r="O1589" s="37" t="n">
        <v>46070.6677893519</v>
      </c>
      <c r="P1589" s="22" t="n">
        <f aca="false">ROUND((O1589-C1589)*86400,0)</f>
        <v>15</v>
      </c>
      <c r="Q1589" s="22" t="str">
        <f aca="false">IF(P1589&lt;10,"a) &lt;10s",IF(P1589&lt;60,"b) 10-60s",IF(P1589&lt;600,"c) 1-10min","d) &gt;10min")))</f>
        <v>b) 10-60s</v>
      </c>
      <c r="R1589" s="38" t="n">
        <v>4850.65</v>
      </c>
      <c r="S1589" s="38" t="n">
        <v>4851.36</v>
      </c>
      <c r="T1589" s="22" t="s">
        <v>189</v>
      </c>
      <c r="U1589" s="39" t="n">
        <f aca="false">IF(R1589="","",IF(F1589="BUY",R1589-S1589,S1589-R1589))</f>
        <v>0.710000000000036</v>
      </c>
      <c r="V1589" s="39" t="n">
        <f aca="false">IF(F1589="BUY",S1589-J1589,J1589-S1589)</f>
        <v>-0.210000000000036</v>
      </c>
      <c r="W1589" s="6" t="n">
        <v>-1.68</v>
      </c>
      <c r="X1589" s="26" t="n">
        <f aca="false">IFERROR(W1589/N1589,0)</f>
        <v>-0.035</v>
      </c>
      <c r="Y1589" s="22" t="str">
        <f aca="false">IF(W1589&gt;0,"Win",IF(W1589&lt;0,"Loss","Flat"))</f>
        <v>Loss</v>
      </c>
      <c r="Z1589" s="24" t="n">
        <f aca="false">Summary!$C$5+SUM(W$2:W1589)</f>
        <v>4936.41</v>
      </c>
      <c r="AA1589" s="24" t="n">
        <f aca="false">MAX(AA1588,Z1589)</f>
        <v>5106.86</v>
      </c>
      <c r="AB1589" s="24" t="n">
        <f aca="false">AA1589-Z1589</f>
        <v>170.45</v>
      </c>
      <c r="AC1589" s="23" t="n">
        <f aca="false">IFERROR(AB1589/AA1589,0)</f>
        <v>0.0333766737290624</v>
      </c>
      <c r="AD1589" s="22" t="s">
        <v>1826</v>
      </c>
    </row>
    <row r="1590" customFormat="false" ht="15" hidden="false" customHeight="false" outlineLevel="0" collapsed="false">
      <c r="A1590" s="22" t="n">
        <v>1589</v>
      </c>
      <c r="B1590" s="22" t="s">
        <v>166</v>
      </c>
      <c r="C1590" s="37" t="n">
        <v>46071.3805787037</v>
      </c>
      <c r="D1590" s="22" t="s">
        <v>204</v>
      </c>
      <c r="E1590" s="22" t="n">
        <v>9</v>
      </c>
      <c r="F1590" s="22" t="s">
        <v>181</v>
      </c>
      <c r="G1590" s="22" t="s">
        <v>235</v>
      </c>
      <c r="H1590" s="22" t="n">
        <v>0.08</v>
      </c>
      <c r="I1590" s="38" t="n">
        <v>4939.53</v>
      </c>
      <c r="J1590" s="38" t="n">
        <v>4939.66</v>
      </c>
      <c r="K1590" s="39" t="n">
        <f aca="false">IF(F1590="BUY",J1590-I1590,I1590-J1590)</f>
        <v>0.130000000000109</v>
      </c>
      <c r="L1590" s="38" t="n">
        <v>4933.53</v>
      </c>
      <c r="M1590" s="39" t="n">
        <f aca="false">ABS(I1590-L1590)</f>
        <v>6</v>
      </c>
      <c r="N1590" s="24" t="n">
        <f aca="false">M1590*H1590*Summary!$C$6</f>
        <v>48</v>
      </c>
      <c r="O1590" s="37" t="n">
        <v>46071.3852083333</v>
      </c>
      <c r="P1590" s="22" t="n">
        <f aca="false">ROUND((O1590-C1590)*86400,0)</f>
        <v>400</v>
      </c>
      <c r="Q1590" s="22" t="str">
        <f aca="false">IF(P1590&lt;10,"a) &lt;10s",IF(P1590&lt;60,"b) 10-60s",IF(P1590&lt;600,"c) 1-10min","d) &gt;10min")))</f>
        <v>c) 1-10min</v>
      </c>
      <c r="R1590" s="38" t="n">
        <v>4940.16</v>
      </c>
      <c r="S1590" s="38" t="n">
        <v>4939.95</v>
      </c>
      <c r="T1590" s="22" t="s">
        <v>189</v>
      </c>
      <c r="U1590" s="39" t="n">
        <f aca="false">IF(R1590="","",IF(F1590="BUY",R1590-S1590,S1590-R1590))</f>
        <v>0.210000000000036</v>
      </c>
      <c r="V1590" s="39" t="n">
        <f aca="false">IF(F1590="BUY",S1590-J1590,J1590-S1590)</f>
        <v>0.289999999999964</v>
      </c>
      <c r="W1590" s="6" t="n">
        <v>2.32</v>
      </c>
      <c r="X1590" s="26" t="n">
        <f aca="false">IFERROR(W1590/N1590,0)</f>
        <v>0.0483333333333333</v>
      </c>
      <c r="Y1590" s="22" t="str">
        <f aca="false">IF(W1590&gt;0,"Win",IF(W1590&lt;0,"Loss","Flat"))</f>
        <v>Win</v>
      </c>
      <c r="Z1590" s="24" t="n">
        <f aca="false">Summary!$C$5+SUM(W$2:W1590)</f>
        <v>4938.73</v>
      </c>
      <c r="AA1590" s="24" t="n">
        <f aca="false">MAX(AA1589,Z1590)</f>
        <v>5106.86</v>
      </c>
      <c r="AB1590" s="24" t="n">
        <f aca="false">AA1590-Z1590</f>
        <v>168.13</v>
      </c>
      <c r="AC1590" s="23" t="n">
        <f aca="false">IFERROR(AB1590/AA1590,0)</f>
        <v>0.0329223828340703</v>
      </c>
      <c r="AD1590" s="22" t="s">
        <v>1827</v>
      </c>
    </row>
    <row r="1591" customFormat="false" ht="15" hidden="false" customHeight="false" outlineLevel="0" collapsed="false">
      <c r="A1591" s="22" t="n">
        <v>1590</v>
      </c>
      <c r="B1591" s="22" t="s">
        <v>166</v>
      </c>
      <c r="C1591" s="37" t="n">
        <v>46071.7096875</v>
      </c>
      <c r="D1591" s="22" t="s">
        <v>204</v>
      </c>
      <c r="E1591" s="22" t="n">
        <v>17</v>
      </c>
      <c r="F1591" s="22" t="s">
        <v>181</v>
      </c>
      <c r="G1591" s="22" t="s">
        <v>243</v>
      </c>
      <c r="H1591" s="22" t="n">
        <v>0.08</v>
      </c>
      <c r="I1591" s="38" t="n">
        <v>5000.65</v>
      </c>
      <c r="J1591" s="38" t="n">
        <v>5000.77</v>
      </c>
      <c r="K1591" s="39" t="n">
        <f aca="false">IF(F1591="BUY",J1591-I1591,I1591-J1591)</f>
        <v>0.1200000000008</v>
      </c>
      <c r="L1591" s="38" t="n">
        <v>4994.65</v>
      </c>
      <c r="M1591" s="39" t="n">
        <f aca="false">ABS(I1591-L1591)</f>
        <v>6</v>
      </c>
      <c r="N1591" s="24" t="n">
        <f aca="false">M1591*H1591*Summary!$C$6</f>
        <v>48</v>
      </c>
      <c r="O1591" s="37" t="n">
        <v>46071.7126967593</v>
      </c>
      <c r="P1591" s="22" t="n">
        <f aca="false">ROUND((O1591-C1591)*86400,0)</f>
        <v>260</v>
      </c>
      <c r="Q1591" s="22" t="str">
        <f aca="false">IF(P1591&lt;10,"a) &lt;10s",IF(P1591&lt;60,"b) 10-60s",IF(P1591&lt;600,"c) 1-10min","d) &gt;10min")))</f>
        <v>c) 1-10min</v>
      </c>
      <c r="R1591" s="38" t="n">
        <v>5001.27</v>
      </c>
      <c r="S1591" s="38" t="n">
        <v>5001.14</v>
      </c>
      <c r="T1591" s="22" t="s">
        <v>189</v>
      </c>
      <c r="U1591" s="39" t="n">
        <f aca="false">IF(R1591="","",IF(F1591="BUY",R1591-S1591,S1591-R1591))</f>
        <v>0.130000000000109</v>
      </c>
      <c r="V1591" s="39" t="n">
        <f aca="false">IF(F1591="BUY",S1591-J1591,J1591-S1591)</f>
        <v>0.369999999999891</v>
      </c>
      <c r="W1591" s="6" t="n">
        <v>2.96</v>
      </c>
      <c r="X1591" s="26" t="n">
        <f aca="false">IFERROR(W1591/N1591,0)</f>
        <v>0.0616666666666667</v>
      </c>
      <c r="Y1591" s="22" t="str">
        <f aca="false">IF(W1591&gt;0,"Win",IF(W1591&lt;0,"Loss","Flat"))</f>
        <v>Win</v>
      </c>
      <c r="Z1591" s="24" t="n">
        <f aca="false">Summary!$C$5+SUM(W$2:W1591)</f>
        <v>4941.69</v>
      </c>
      <c r="AA1591" s="24" t="n">
        <f aca="false">MAX(AA1590,Z1591)</f>
        <v>5106.86</v>
      </c>
      <c r="AB1591" s="24" t="n">
        <f aca="false">AA1591-Z1591</f>
        <v>165.17</v>
      </c>
      <c r="AC1591" s="23" t="n">
        <f aca="false">IFERROR(AB1591/AA1591,0)</f>
        <v>0.0323427703128733</v>
      </c>
      <c r="AD1591" s="22" t="s">
        <v>1828</v>
      </c>
    </row>
    <row r="1592" customFormat="false" ht="15" hidden="false" customHeight="false" outlineLevel="0" collapsed="false">
      <c r="A1592" s="22" t="n">
        <v>1591</v>
      </c>
      <c r="B1592" s="22" t="s">
        <v>166</v>
      </c>
      <c r="C1592" s="37" t="n">
        <v>46072.3622453704</v>
      </c>
      <c r="D1592" s="22" t="s">
        <v>205</v>
      </c>
      <c r="E1592" s="22" t="n">
        <v>8</v>
      </c>
      <c r="F1592" s="22" t="s">
        <v>181</v>
      </c>
      <c r="G1592" s="22" t="s">
        <v>243</v>
      </c>
      <c r="H1592" s="22" t="n">
        <v>0.08</v>
      </c>
      <c r="I1592" s="38" t="n">
        <v>5010.82</v>
      </c>
      <c r="J1592" s="38" t="n">
        <v>5011.06</v>
      </c>
      <c r="K1592" s="39" t="n">
        <f aca="false">IF(F1592="BUY",J1592-I1592,I1592-J1592)</f>
        <v>0.240000000000691</v>
      </c>
      <c r="L1592" s="38" t="n">
        <v>5004.82</v>
      </c>
      <c r="M1592" s="39" t="n">
        <f aca="false">ABS(I1592-L1592)</f>
        <v>6</v>
      </c>
      <c r="N1592" s="24" t="n">
        <f aca="false">M1592*H1592*Summary!$C$6</f>
        <v>48</v>
      </c>
      <c r="O1592" s="37" t="n">
        <v>46072.3648958333</v>
      </c>
      <c r="P1592" s="22" t="n">
        <f aca="false">ROUND((O1592-C1592)*86400,0)</f>
        <v>229</v>
      </c>
      <c r="Q1592" s="22" t="str">
        <f aca="false">IF(P1592&lt;10,"a) &lt;10s",IF(P1592&lt;60,"b) 10-60s",IF(P1592&lt;600,"c) 1-10min","d) &gt;10min")))</f>
        <v>c) 1-10min</v>
      </c>
      <c r="R1592" s="38" t="n">
        <v>5011.56</v>
      </c>
      <c r="S1592" s="38" t="n">
        <v>5011.56</v>
      </c>
      <c r="T1592" s="22" t="s">
        <v>189</v>
      </c>
      <c r="U1592" s="39" t="n">
        <f aca="false">IF(R1592="","",IF(F1592="BUY",R1592-S1592,S1592-R1592))</f>
        <v>0</v>
      </c>
      <c r="V1592" s="39" t="n">
        <f aca="false">IF(F1592="BUY",S1592-J1592,J1592-S1592)</f>
        <v>0.5</v>
      </c>
      <c r="W1592" s="6" t="n">
        <v>4</v>
      </c>
      <c r="X1592" s="26" t="n">
        <f aca="false">IFERROR(W1592/N1592,0)</f>
        <v>0.0833333333333333</v>
      </c>
      <c r="Y1592" s="22" t="str">
        <f aca="false">IF(W1592&gt;0,"Win",IF(W1592&lt;0,"Loss","Flat"))</f>
        <v>Win</v>
      </c>
      <c r="Z1592" s="24" t="n">
        <f aca="false">Summary!$C$5+SUM(W$2:W1592)</f>
        <v>4945.69</v>
      </c>
      <c r="AA1592" s="24" t="n">
        <f aca="false">MAX(AA1591,Z1592)</f>
        <v>5106.86</v>
      </c>
      <c r="AB1592" s="24" t="n">
        <f aca="false">AA1592-Z1592</f>
        <v>161.17</v>
      </c>
      <c r="AC1592" s="23" t="n">
        <f aca="false">IFERROR(AB1592/AA1592,0)</f>
        <v>0.0315595101490936</v>
      </c>
      <c r="AD1592" s="22" t="s">
        <v>1829</v>
      </c>
    </row>
    <row r="1593" customFormat="false" ht="15" hidden="false" customHeight="false" outlineLevel="0" collapsed="false">
      <c r="A1593" s="22" t="n">
        <v>1592</v>
      </c>
      <c r="B1593" s="22" t="s">
        <v>166</v>
      </c>
      <c r="C1593" s="37" t="n">
        <v>46072.5077430556</v>
      </c>
      <c r="D1593" s="22" t="s">
        <v>205</v>
      </c>
      <c r="E1593" s="22" t="n">
        <v>12</v>
      </c>
      <c r="F1593" s="22" t="s">
        <v>182</v>
      </c>
      <c r="G1593" s="22" t="s">
        <v>241</v>
      </c>
      <c r="H1593" s="22" t="n">
        <v>0.08</v>
      </c>
      <c r="I1593" s="38" t="n">
        <v>4983.93</v>
      </c>
      <c r="J1593" s="38" t="n">
        <v>4983.77</v>
      </c>
      <c r="K1593" s="39" t="n">
        <f aca="false">IF(F1593="BUY",J1593-I1593,I1593-J1593)</f>
        <v>0.159999999999854</v>
      </c>
      <c r="L1593" s="38" t="n">
        <v>4989.93</v>
      </c>
      <c r="M1593" s="39" t="n">
        <f aca="false">ABS(I1593-L1593)</f>
        <v>6</v>
      </c>
      <c r="N1593" s="24" t="n">
        <f aca="false">M1593*H1593*Summary!$C$6</f>
        <v>48</v>
      </c>
      <c r="O1593" s="37" t="n">
        <v>46072.5093287037</v>
      </c>
      <c r="P1593" s="22" t="n">
        <f aca="false">ROUND((O1593-C1593)*86400,0)</f>
        <v>137</v>
      </c>
      <c r="Q1593" s="22" t="str">
        <f aca="false">IF(P1593&lt;10,"a) &lt;10s",IF(P1593&lt;60,"b) 10-60s",IF(P1593&lt;600,"c) 1-10min","d) &gt;10min")))</f>
        <v>c) 1-10min</v>
      </c>
      <c r="R1593" s="38" t="n">
        <v>4989.93</v>
      </c>
      <c r="S1593" s="38" t="n">
        <v>4990.26</v>
      </c>
      <c r="T1593" s="22" t="s">
        <v>188</v>
      </c>
      <c r="U1593" s="39" t="n">
        <f aca="false">IF(R1593="","",IF(F1593="BUY",R1593-S1593,S1593-R1593))</f>
        <v>0.329999999999927</v>
      </c>
      <c r="V1593" s="39" t="n">
        <f aca="false">IF(F1593="BUY",S1593-J1593,J1593-S1593)</f>
        <v>-6.48999999999978</v>
      </c>
      <c r="W1593" s="6" t="n">
        <v>-51.92</v>
      </c>
      <c r="X1593" s="26" t="n">
        <f aca="false">IFERROR(W1593/N1593,0)</f>
        <v>-1.08166666666667</v>
      </c>
      <c r="Y1593" s="22" t="str">
        <f aca="false">IF(W1593&gt;0,"Win",IF(W1593&lt;0,"Loss","Flat"))</f>
        <v>Loss</v>
      </c>
      <c r="Z1593" s="24" t="n">
        <f aca="false">Summary!$C$5+SUM(W$2:W1593)</f>
        <v>4893.77</v>
      </c>
      <c r="AA1593" s="24" t="n">
        <f aca="false">MAX(AA1592,Z1593)</f>
        <v>5106.86</v>
      </c>
      <c r="AB1593" s="24" t="n">
        <f aca="false">AA1593-Z1593</f>
        <v>213.089999999999</v>
      </c>
      <c r="AC1593" s="23" t="n">
        <f aca="false">IFERROR(AB1593/AA1593,0)</f>
        <v>0.0417262270749539</v>
      </c>
      <c r="AD1593" s="22" t="s">
        <v>1830</v>
      </c>
    </row>
    <row r="1594" customFormat="false" ht="15" hidden="false" customHeight="false" outlineLevel="0" collapsed="false">
      <c r="A1594" s="22" t="n">
        <v>1593</v>
      </c>
      <c r="B1594" s="22" t="s">
        <v>166</v>
      </c>
      <c r="C1594" s="37" t="n">
        <v>46073.3493634259</v>
      </c>
      <c r="D1594" s="22" t="s">
        <v>206</v>
      </c>
      <c r="E1594" s="22" t="n">
        <v>8</v>
      </c>
      <c r="F1594" s="22" t="s">
        <v>181</v>
      </c>
      <c r="G1594" s="22" t="s">
        <v>243</v>
      </c>
      <c r="H1594" s="22" t="n">
        <v>0.08</v>
      </c>
      <c r="I1594" s="38" t="n">
        <v>5022.02</v>
      </c>
      <c r="J1594" s="38" t="n">
        <v>5022.06</v>
      </c>
      <c r="K1594" s="39" t="n">
        <f aca="false">IF(F1594="BUY",J1594-I1594,I1594-J1594)</f>
        <v>0.0399999999999636</v>
      </c>
      <c r="L1594" s="38" t="n">
        <v>5016.02</v>
      </c>
      <c r="M1594" s="39" t="n">
        <f aca="false">ABS(I1594-L1594)</f>
        <v>6</v>
      </c>
      <c r="N1594" s="24" t="n">
        <f aca="false">M1594*H1594*Summary!$C$6</f>
        <v>48</v>
      </c>
      <c r="O1594" s="37" t="n">
        <v>46073.3512731482</v>
      </c>
      <c r="P1594" s="22" t="n">
        <f aca="false">ROUND((O1594-C1594)*86400,0)</f>
        <v>165</v>
      </c>
      <c r="Q1594" s="22" t="str">
        <f aca="false">IF(P1594&lt;10,"a) &lt;10s",IF(P1594&lt;60,"b) 10-60s",IF(P1594&lt;600,"c) 1-10min","d) &gt;10min")))</f>
        <v>c) 1-10min</v>
      </c>
      <c r="R1594" s="38" t="n">
        <v>5022.56</v>
      </c>
      <c r="S1594" s="38" t="n">
        <v>5022.37</v>
      </c>
      <c r="T1594" s="22" t="s">
        <v>189</v>
      </c>
      <c r="U1594" s="39" t="n">
        <f aca="false">IF(R1594="","",IF(F1594="BUY",R1594-S1594,S1594-R1594))</f>
        <v>0.190000000000509</v>
      </c>
      <c r="V1594" s="39" t="n">
        <f aca="false">IF(F1594="BUY",S1594-J1594,J1594-S1594)</f>
        <v>0.309999999999491</v>
      </c>
      <c r="W1594" s="6" t="n">
        <v>2.48</v>
      </c>
      <c r="X1594" s="26" t="n">
        <f aca="false">IFERROR(W1594/N1594,0)</f>
        <v>0.0516666666666667</v>
      </c>
      <c r="Y1594" s="22" t="str">
        <f aca="false">IF(W1594&gt;0,"Win",IF(W1594&lt;0,"Loss","Flat"))</f>
        <v>Win</v>
      </c>
      <c r="Z1594" s="24" t="n">
        <f aca="false">Summary!$C$5+SUM(W$2:W1594)</f>
        <v>4896.25</v>
      </c>
      <c r="AA1594" s="24" t="n">
        <f aca="false">MAX(AA1593,Z1594)</f>
        <v>5106.86</v>
      </c>
      <c r="AB1594" s="24" t="n">
        <f aca="false">AA1594-Z1594</f>
        <v>210.61</v>
      </c>
      <c r="AC1594" s="23" t="n">
        <f aca="false">IFERROR(AB1594/AA1594,0)</f>
        <v>0.0412406057734106</v>
      </c>
      <c r="AD1594" s="22" t="s">
        <v>1831</v>
      </c>
    </row>
    <row r="1595" customFormat="false" ht="15" hidden="false" customHeight="false" outlineLevel="0" collapsed="false">
      <c r="A1595" s="22" t="n">
        <v>1594</v>
      </c>
      <c r="B1595" s="22" t="s">
        <v>166</v>
      </c>
      <c r="C1595" s="37" t="n">
        <v>46073.4542939815</v>
      </c>
      <c r="D1595" s="22" t="s">
        <v>206</v>
      </c>
      <c r="E1595" s="22" t="n">
        <v>10</v>
      </c>
      <c r="F1595" s="22" t="s">
        <v>181</v>
      </c>
      <c r="G1595" s="22" t="s">
        <v>235</v>
      </c>
      <c r="H1595" s="22" t="n">
        <v>0.08</v>
      </c>
      <c r="I1595" s="38" t="n">
        <v>5029.68</v>
      </c>
      <c r="J1595" s="38" t="n">
        <v>5029.86</v>
      </c>
      <c r="K1595" s="39" t="n">
        <f aca="false">IF(F1595="BUY",J1595-I1595,I1595-J1595)</f>
        <v>0.179999999999382</v>
      </c>
      <c r="L1595" s="38" t="n">
        <v>5023.68</v>
      </c>
      <c r="M1595" s="39" t="n">
        <f aca="false">ABS(I1595-L1595)</f>
        <v>6</v>
      </c>
      <c r="N1595" s="24" t="n">
        <f aca="false">M1595*H1595*Summary!$C$6</f>
        <v>48</v>
      </c>
      <c r="O1595" s="37" t="n">
        <v>46073.4813888889</v>
      </c>
      <c r="P1595" s="22" t="n">
        <f aca="false">ROUND((O1595-C1595)*86400,0)</f>
        <v>2341</v>
      </c>
      <c r="Q1595" s="22" t="str">
        <f aca="false">IF(P1595&lt;10,"a) &lt;10s",IF(P1595&lt;60,"b) 10-60s",IF(P1595&lt;600,"c) 1-10min","d) &gt;10min")))</f>
        <v>d) &gt;10min</v>
      </c>
      <c r="R1595" s="38" t="n">
        <v>5030.36</v>
      </c>
      <c r="S1595" s="38" t="n">
        <v>5030.3</v>
      </c>
      <c r="T1595" s="22" t="s">
        <v>189</v>
      </c>
      <c r="U1595" s="39" t="n">
        <f aca="false">IF(R1595="","",IF(F1595="BUY",R1595-S1595,S1595-R1595))</f>
        <v>0.0599999999994907</v>
      </c>
      <c r="V1595" s="39" t="n">
        <f aca="false">IF(F1595="BUY",S1595-J1595,J1595-S1595)</f>
        <v>0.440000000000509</v>
      </c>
      <c r="W1595" s="6" t="n">
        <v>3.52</v>
      </c>
      <c r="X1595" s="26" t="n">
        <f aca="false">IFERROR(W1595/N1595,0)</f>
        <v>0.0733333333333333</v>
      </c>
      <c r="Y1595" s="22" t="str">
        <f aca="false">IF(W1595&gt;0,"Win",IF(W1595&lt;0,"Loss","Flat"))</f>
        <v>Win</v>
      </c>
      <c r="Z1595" s="24" t="n">
        <f aca="false">Summary!$C$5+SUM(W$2:W1595)</f>
        <v>4899.77</v>
      </c>
      <c r="AA1595" s="24" t="n">
        <f aca="false">MAX(AA1594,Z1595)</f>
        <v>5106.86</v>
      </c>
      <c r="AB1595" s="24" t="n">
        <f aca="false">AA1595-Z1595</f>
        <v>207.089999999999</v>
      </c>
      <c r="AC1595" s="23" t="n">
        <f aca="false">IFERROR(AB1595/AA1595,0)</f>
        <v>0.0405513368292844</v>
      </c>
      <c r="AD1595" s="22" t="s">
        <v>1832</v>
      </c>
    </row>
    <row r="1596" customFormat="false" ht="15" hidden="false" customHeight="false" outlineLevel="0" collapsed="false">
      <c r="A1596" s="22" t="n">
        <v>1595</v>
      </c>
      <c r="B1596" s="22" t="s">
        <v>166</v>
      </c>
      <c r="C1596" s="37" t="n">
        <v>46076.5385532407</v>
      </c>
      <c r="D1596" s="22" t="s">
        <v>202</v>
      </c>
      <c r="E1596" s="22" t="n">
        <v>12</v>
      </c>
      <c r="F1596" s="22" t="s">
        <v>181</v>
      </c>
      <c r="G1596" s="22" t="s">
        <v>235</v>
      </c>
      <c r="H1596" s="22" t="n">
        <v>0.08</v>
      </c>
      <c r="I1596" s="38" t="n">
        <v>5161.44</v>
      </c>
      <c r="J1596" s="38" t="n">
        <v>5161.45</v>
      </c>
      <c r="K1596" s="39" t="n">
        <f aca="false">IF(F1596="BUY",J1596-I1596,I1596-J1596)</f>
        <v>0.0100000000002183</v>
      </c>
      <c r="L1596" s="38" t="n">
        <v>5155.44</v>
      </c>
      <c r="M1596" s="39" t="n">
        <f aca="false">ABS(I1596-L1596)</f>
        <v>6</v>
      </c>
      <c r="N1596" s="24" t="n">
        <f aca="false">M1596*H1596*Summary!$C$6</f>
        <v>48</v>
      </c>
      <c r="O1596" s="37" t="n">
        <v>46076.5503009259</v>
      </c>
      <c r="P1596" s="22" t="n">
        <f aca="false">ROUND((O1596-C1596)*86400,0)</f>
        <v>1015</v>
      </c>
      <c r="Q1596" s="22" t="str">
        <f aca="false">IF(P1596&lt;10,"a) &lt;10s",IF(P1596&lt;60,"b) 10-60s",IF(P1596&lt;600,"c) 1-10min","d) &gt;10min")))</f>
        <v>d) &gt;10min</v>
      </c>
      <c r="R1596" s="38" t="n">
        <v>5155.44</v>
      </c>
      <c r="S1596" s="38" t="n">
        <v>5155.12</v>
      </c>
      <c r="T1596" s="22" t="s">
        <v>188</v>
      </c>
      <c r="U1596" s="39" t="n">
        <f aca="false">IF(R1596="","",IF(F1596="BUY",R1596-S1596,S1596-R1596))</f>
        <v>0.319999999999709</v>
      </c>
      <c r="V1596" s="39" t="n">
        <f aca="false">IF(F1596="BUY",S1596-J1596,J1596-S1596)</f>
        <v>-6.32999999999993</v>
      </c>
      <c r="W1596" s="6" t="n">
        <v>-50.64</v>
      </c>
      <c r="X1596" s="26" t="n">
        <f aca="false">IFERROR(W1596/N1596,0)</f>
        <v>-1.055</v>
      </c>
      <c r="Y1596" s="22" t="str">
        <f aca="false">IF(W1596&gt;0,"Win",IF(W1596&lt;0,"Loss","Flat"))</f>
        <v>Loss</v>
      </c>
      <c r="Z1596" s="24" t="n">
        <f aca="false">Summary!$C$5+SUM(W$2:W1596)</f>
        <v>4849.13</v>
      </c>
      <c r="AA1596" s="24" t="n">
        <f aca="false">MAX(AA1595,Z1596)</f>
        <v>5106.86</v>
      </c>
      <c r="AB1596" s="24" t="n">
        <f aca="false">AA1596-Z1596</f>
        <v>257.73</v>
      </c>
      <c r="AC1596" s="23" t="n">
        <f aca="false">IFERROR(AB1596/AA1596,0)</f>
        <v>0.0504674105027355</v>
      </c>
      <c r="AD1596" s="22" t="s">
        <v>1833</v>
      </c>
    </row>
    <row r="1597" customFormat="false" ht="15" hidden="false" customHeight="false" outlineLevel="0" collapsed="false">
      <c r="A1597" s="22" t="n">
        <v>1596</v>
      </c>
      <c r="B1597" s="22" t="s">
        <v>166</v>
      </c>
      <c r="C1597" s="37" t="n">
        <v>46077.5959490741</v>
      </c>
      <c r="D1597" s="22" t="s">
        <v>203</v>
      </c>
      <c r="E1597" s="22" t="n">
        <v>14</v>
      </c>
      <c r="F1597" s="22" t="s">
        <v>182</v>
      </c>
      <c r="G1597" s="22" t="s">
        <v>241</v>
      </c>
      <c r="H1597" s="22" t="n">
        <v>0.08</v>
      </c>
      <c r="I1597" s="38" t="n">
        <v>5156.31</v>
      </c>
      <c r="J1597" s="38" t="n">
        <v>5156.08</v>
      </c>
      <c r="K1597" s="39" t="n">
        <f aca="false">IF(F1597="BUY",J1597-I1597,I1597-J1597)</f>
        <v>0.230000000000473</v>
      </c>
      <c r="L1597" s="38" t="n">
        <v>5162.31</v>
      </c>
      <c r="M1597" s="39" t="n">
        <f aca="false">ABS(I1597-L1597)</f>
        <v>6</v>
      </c>
      <c r="N1597" s="24" t="n">
        <f aca="false">M1597*H1597*Summary!$C$6</f>
        <v>48</v>
      </c>
      <c r="O1597" s="37" t="n">
        <v>46077.5963078704</v>
      </c>
      <c r="P1597" s="22" t="n">
        <f aca="false">ROUND((O1597-C1597)*86400,0)</f>
        <v>31</v>
      </c>
      <c r="Q1597" s="22" t="str">
        <f aca="false">IF(P1597&lt;10,"a) &lt;10s",IF(P1597&lt;60,"b) 10-60s",IF(P1597&lt;600,"c) 1-10min","d) &gt;10min")))</f>
        <v>b) 10-60s</v>
      </c>
      <c r="R1597" s="38" t="n">
        <v>5155.58</v>
      </c>
      <c r="S1597" s="38" t="n">
        <v>5155.88</v>
      </c>
      <c r="T1597" s="22" t="s">
        <v>189</v>
      </c>
      <c r="U1597" s="39" t="n">
        <f aca="false">IF(R1597="","",IF(F1597="BUY",R1597-S1597,S1597-R1597))</f>
        <v>0.300000000000182</v>
      </c>
      <c r="V1597" s="39" t="n">
        <f aca="false">IF(F1597="BUY",S1597-J1597,J1597-S1597)</f>
        <v>0.199999999999818</v>
      </c>
      <c r="W1597" s="6" t="n">
        <v>1.6</v>
      </c>
      <c r="X1597" s="26" t="n">
        <f aca="false">IFERROR(W1597/N1597,0)</f>
        <v>0.0333333333333333</v>
      </c>
      <c r="Y1597" s="22" t="str">
        <f aca="false">IF(W1597&gt;0,"Win",IF(W1597&lt;0,"Loss","Flat"))</f>
        <v>Win</v>
      </c>
      <c r="Z1597" s="24" t="n">
        <f aca="false">Summary!$C$5+SUM(W$2:W1597)</f>
        <v>4850.73</v>
      </c>
      <c r="AA1597" s="24" t="n">
        <f aca="false">MAX(AA1596,Z1597)</f>
        <v>5106.86</v>
      </c>
      <c r="AB1597" s="24" t="n">
        <f aca="false">AA1597-Z1597</f>
        <v>256.13</v>
      </c>
      <c r="AC1597" s="23" t="n">
        <f aca="false">IFERROR(AB1597/AA1597,0)</f>
        <v>0.0501541064372237</v>
      </c>
      <c r="AD1597" s="22" t="s">
        <v>1834</v>
      </c>
    </row>
    <row r="1598" customFormat="false" ht="15" hidden="false" customHeight="false" outlineLevel="0" collapsed="false">
      <c r="A1598" s="22" t="n">
        <v>1597</v>
      </c>
      <c r="B1598" s="22" t="s">
        <v>166</v>
      </c>
      <c r="C1598" s="37" t="n">
        <v>46077.6761111111</v>
      </c>
      <c r="D1598" s="22" t="s">
        <v>203</v>
      </c>
      <c r="E1598" s="22" t="n">
        <v>16</v>
      </c>
      <c r="F1598" s="22" t="s">
        <v>182</v>
      </c>
      <c r="G1598" s="22" t="s">
        <v>237</v>
      </c>
      <c r="H1598" s="22" t="n">
        <v>0.08</v>
      </c>
      <c r="I1598" s="38" t="n">
        <v>5096.96</v>
      </c>
      <c r="J1598" s="38" t="n">
        <v>5094.53</v>
      </c>
      <c r="K1598" s="39" t="n">
        <f aca="false">IF(F1598="BUY",J1598-I1598,I1598-J1598)</f>
        <v>2.43000000000029</v>
      </c>
      <c r="L1598" s="38" t="n">
        <v>5102.96</v>
      </c>
      <c r="M1598" s="39" t="n">
        <f aca="false">ABS(I1598-L1598)</f>
        <v>6</v>
      </c>
      <c r="N1598" s="24" t="n">
        <f aca="false">M1598*H1598*Summary!$C$6</f>
        <v>48</v>
      </c>
      <c r="O1598" s="37" t="n">
        <v>46077.6765509259</v>
      </c>
      <c r="P1598" s="22" t="n">
        <f aca="false">ROUND((O1598-C1598)*86400,0)</f>
        <v>38</v>
      </c>
      <c r="Q1598" s="22" t="str">
        <f aca="false">IF(P1598&lt;10,"a) &lt;10s",IF(P1598&lt;60,"b) 10-60s",IF(P1598&lt;600,"c) 1-10min","d) &gt;10min")))</f>
        <v>b) 10-60s</v>
      </c>
      <c r="R1598" s="38" t="n">
        <v>5102.96</v>
      </c>
      <c r="S1598" s="38" t="n">
        <v>5103.34</v>
      </c>
      <c r="T1598" s="22" t="s">
        <v>188</v>
      </c>
      <c r="U1598" s="39" t="n">
        <f aca="false">IF(R1598="","",IF(F1598="BUY",R1598-S1598,S1598-R1598))</f>
        <v>0.380000000000109</v>
      </c>
      <c r="V1598" s="39" t="n">
        <f aca="false">IF(F1598="BUY",S1598-J1598,J1598-S1598)</f>
        <v>-8.8100000000004</v>
      </c>
      <c r="W1598" s="6" t="n">
        <v>-70.48</v>
      </c>
      <c r="X1598" s="26" t="n">
        <f aca="false">IFERROR(W1598/N1598,0)</f>
        <v>-1.46833333333333</v>
      </c>
      <c r="Y1598" s="22" t="str">
        <f aca="false">IF(W1598&gt;0,"Win",IF(W1598&lt;0,"Loss","Flat"))</f>
        <v>Loss</v>
      </c>
      <c r="Z1598" s="24" t="n">
        <f aca="false">Summary!$C$5+SUM(W$2:W1598)</f>
        <v>4780.25</v>
      </c>
      <c r="AA1598" s="24" t="n">
        <f aca="false">MAX(AA1597,Z1598)</f>
        <v>5106.86</v>
      </c>
      <c r="AB1598" s="24" t="n">
        <f aca="false">AA1598-Z1598</f>
        <v>326.61</v>
      </c>
      <c r="AC1598" s="23" t="n">
        <f aca="false">IFERROR(AB1598/AA1598,0)</f>
        <v>0.0639551505230219</v>
      </c>
      <c r="AD1598" s="22" t="s">
        <v>1835</v>
      </c>
    </row>
    <row r="1599" customFormat="false" ht="15" hidden="false" customHeight="false" outlineLevel="0" collapsed="false">
      <c r="A1599" s="22" t="n">
        <v>1598</v>
      </c>
      <c r="B1599" s="22" t="s">
        <v>166</v>
      </c>
      <c r="C1599" s="37" t="n">
        <v>46078.3935416667</v>
      </c>
      <c r="D1599" s="22" t="s">
        <v>204</v>
      </c>
      <c r="E1599" s="22" t="n">
        <v>9</v>
      </c>
      <c r="F1599" s="22" t="s">
        <v>182</v>
      </c>
      <c r="G1599" s="22" t="s">
        <v>241</v>
      </c>
      <c r="H1599" s="22" t="n">
        <v>0.07</v>
      </c>
      <c r="I1599" s="38" t="n">
        <v>5182.18</v>
      </c>
      <c r="J1599" s="38" t="n">
        <v>5181.99</v>
      </c>
      <c r="K1599" s="39" t="n">
        <f aca="false">IF(F1599="BUY",J1599-I1599,I1599-J1599)</f>
        <v>0.190000000000509</v>
      </c>
      <c r="L1599" s="38" t="n">
        <v>5188.18</v>
      </c>
      <c r="M1599" s="39" t="n">
        <f aca="false">ABS(I1599-L1599)</f>
        <v>6</v>
      </c>
      <c r="N1599" s="24" t="n">
        <f aca="false">M1599*H1599*Summary!$C$6</f>
        <v>42</v>
      </c>
      <c r="O1599" s="37" t="n">
        <v>46078.394525463</v>
      </c>
      <c r="P1599" s="22" t="n">
        <f aca="false">ROUND((O1599-C1599)*86400,0)</f>
        <v>85</v>
      </c>
      <c r="Q1599" s="22" t="str">
        <f aca="false">IF(P1599&lt;10,"a) &lt;10s",IF(P1599&lt;60,"b) 10-60s",IF(P1599&lt;600,"c) 1-10min","d) &gt;10min")))</f>
        <v>c) 1-10min</v>
      </c>
      <c r="R1599" s="38" t="n">
        <v>5188.18</v>
      </c>
      <c r="S1599" s="38" t="n">
        <v>5188.25</v>
      </c>
      <c r="T1599" s="22" t="s">
        <v>188</v>
      </c>
      <c r="U1599" s="39" t="n">
        <f aca="false">IF(R1599="","",IF(F1599="BUY",R1599-S1599,S1599-R1599))</f>
        <v>0.069999999999709</v>
      </c>
      <c r="V1599" s="39" t="n">
        <f aca="false">IF(F1599="BUY",S1599-J1599,J1599-S1599)</f>
        <v>-6.26000000000022</v>
      </c>
      <c r="W1599" s="6" t="n">
        <v>-43.82</v>
      </c>
      <c r="X1599" s="26" t="n">
        <f aca="false">IFERROR(W1599/N1599,0)</f>
        <v>-1.04333333333333</v>
      </c>
      <c r="Y1599" s="22" t="str">
        <f aca="false">IF(W1599&gt;0,"Win",IF(W1599&lt;0,"Loss","Flat"))</f>
        <v>Loss</v>
      </c>
      <c r="Z1599" s="24" t="n">
        <f aca="false">Summary!$C$5+SUM(W$2:W1599)</f>
        <v>4736.43</v>
      </c>
      <c r="AA1599" s="24" t="n">
        <f aca="false">MAX(AA1598,Z1599)</f>
        <v>5106.86</v>
      </c>
      <c r="AB1599" s="24" t="n">
        <f aca="false">AA1599-Z1599</f>
        <v>370.429999999999</v>
      </c>
      <c r="AC1599" s="23" t="n">
        <f aca="false">IFERROR(AB1599/AA1599,0)</f>
        <v>0.0725357656172285</v>
      </c>
      <c r="AD1599" s="22" t="s">
        <v>1836</v>
      </c>
    </row>
    <row r="1600" customFormat="false" ht="15" hidden="false" customHeight="false" outlineLevel="0" collapsed="false">
      <c r="A1600" s="22" t="n">
        <v>1599</v>
      </c>
      <c r="B1600" s="22" t="s">
        <v>166</v>
      </c>
      <c r="C1600" s="37" t="n">
        <v>46079.3767939815</v>
      </c>
      <c r="D1600" s="22" t="s">
        <v>205</v>
      </c>
      <c r="E1600" s="22" t="n">
        <v>9</v>
      </c>
      <c r="F1600" s="22" t="s">
        <v>182</v>
      </c>
      <c r="G1600" s="22" t="s">
        <v>241</v>
      </c>
      <c r="H1600" s="22" t="n">
        <v>0.07</v>
      </c>
      <c r="I1600" s="38" t="n">
        <v>5189.77</v>
      </c>
      <c r="J1600" s="38" t="n">
        <v>5189.7</v>
      </c>
      <c r="K1600" s="39" t="n">
        <f aca="false">IF(F1600="BUY",J1600-I1600,I1600-J1600)</f>
        <v>0.0700000000006185</v>
      </c>
      <c r="L1600" s="38" t="n">
        <v>5195.77</v>
      </c>
      <c r="M1600" s="39" t="n">
        <f aca="false">ABS(I1600-L1600)</f>
        <v>6</v>
      </c>
      <c r="N1600" s="24" t="n">
        <f aca="false">M1600*H1600*Summary!$C$6</f>
        <v>42</v>
      </c>
      <c r="O1600" s="37" t="n">
        <v>46079.3779513889</v>
      </c>
      <c r="P1600" s="22" t="n">
        <f aca="false">ROUND((O1600-C1600)*86400,0)</f>
        <v>100</v>
      </c>
      <c r="Q1600" s="22" t="str">
        <f aca="false">IF(P1600&lt;10,"a) &lt;10s",IF(P1600&lt;60,"b) 10-60s",IF(P1600&lt;600,"c) 1-10min","d) &gt;10min")))</f>
        <v>c) 1-10min</v>
      </c>
      <c r="R1600" s="38" t="n">
        <v>5189.2</v>
      </c>
      <c r="S1600" s="38" t="n">
        <v>5189.22</v>
      </c>
      <c r="T1600" s="22" t="s">
        <v>189</v>
      </c>
      <c r="U1600" s="39" t="n">
        <f aca="false">IF(R1600="","",IF(F1600="BUY",R1600-S1600,S1600-R1600))</f>
        <v>0.0200000000004366</v>
      </c>
      <c r="V1600" s="39" t="n">
        <f aca="false">IF(F1600="BUY",S1600-J1600,J1600-S1600)</f>
        <v>0.479999999999563</v>
      </c>
      <c r="W1600" s="6" t="n">
        <v>3.36</v>
      </c>
      <c r="X1600" s="26" t="n">
        <f aca="false">IFERROR(W1600/N1600,0)</f>
        <v>0.08</v>
      </c>
      <c r="Y1600" s="22" t="str">
        <f aca="false">IF(W1600&gt;0,"Win",IF(W1600&lt;0,"Loss","Flat"))</f>
        <v>Win</v>
      </c>
      <c r="Z1600" s="24" t="n">
        <f aca="false">Summary!$C$5+SUM(W$2:W1600)</f>
        <v>4739.79</v>
      </c>
      <c r="AA1600" s="24" t="n">
        <f aca="false">MAX(AA1599,Z1600)</f>
        <v>5106.86</v>
      </c>
      <c r="AB1600" s="24" t="n">
        <f aca="false">AA1600-Z1600</f>
        <v>367.07</v>
      </c>
      <c r="AC1600" s="23" t="n">
        <f aca="false">IFERROR(AB1600/AA1600,0)</f>
        <v>0.0718778270796536</v>
      </c>
      <c r="AD1600" s="22" t="s">
        <v>1837</v>
      </c>
    </row>
    <row r="1601" customFormat="false" ht="15" hidden="false" customHeight="false" outlineLevel="0" collapsed="false">
      <c r="A1601" s="22" t="n">
        <v>1600</v>
      </c>
      <c r="B1601" s="22" t="s">
        <v>166</v>
      </c>
      <c r="C1601" s="37" t="n">
        <v>46080.3853356482</v>
      </c>
      <c r="D1601" s="22" t="s">
        <v>206</v>
      </c>
      <c r="E1601" s="22" t="n">
        <v>9</v>
      </c>
      <c r="F1601" s="22" t="s">
        <v>182</v>
      </c>
      <c r="G1601" s="22" t="s">
        <v>241</v>
      </c>
      <c r="H1601" s="22" t="n">
        <v>0.07</v>
      </c>
      <c r="I1601" s="38" t="n">
        <v>5181.08</v>
      </c>
      <c r="J1601" s="38" t="n">
        <v>5180.98</v>
      </c>
      <c r="K1601" s="39" t="n">
        <f aca="false">IF(F1601="BUY",J1601-I1601,I1601-J1601)</f>
        <v>0.100000000000364</v>
      </c>
      <c r="L1601" s="38" t="n">
        <v>5187.08</v>
      </c>
      <c r="M1601" s="39" t="n">
        <f aca="false">ABS(I1601-L1601)</f>
        <v>6</v>
      </c>
      <c r="N1601" s="24" t="n">
        <f aca="false">M1601*H1601*Summary!$C$6</f>
        <v>42</v>
      </c>
      <c r="O1601" s="37" t="n">
        <v>46080.3891550926</v>
      </c>
      <c r="P1601" s="22" t="n">
        <f aca="false">ROUND((O1601-C1601)*86400,0)</f>
        <v>330</v>
      </c>
      <c r="Q1601" s="22" t="str">
        <f aca="false">IF(P1601&lt;10,"a) &lt;10s",IF(P1601&lt;60,"b) 10-60s",IF(P1601&lt;600,"c) 1-10min","d) &gt;10min")))</f>
        <v>c) 1-10min</v>
      </c>
      <c r="R1601" s="38" t="n">
        <v>5180.48</v>
      </c>
      <c r="S1601" s="38" t="n">
        <v>5180.48</v>
      </c>
      <c r="T1601" s="22" t="s">
        <v>189</v>
      </c>
      <c r="U1601" s="39" t="n">
        <f aca="false">IF(R1601="","",IF(F1601="BUY",R1601-S1601,S1601-R1601))</f>
        <v>0</v>
      </c>
      <c r="V1601" s="39" t="n">
        <f aca="false">IF(F1601="BUY",S1601-J1601,J1601-S1601)</f>
        <v>0.5</v>
      </c>
      <c r="W1601" s="6" t="n">
        <v>3.5</v>
      </c>
      <c r="X1601" s="26" t="n">
        <f aca="false">IFERROR(W1601/N1601,0)</f>
        <v>0.0833333333333333</v>
      </c>
      <c r="Y1601" s="22" t="str">
        <f aca="false">IF(W1601&gt;0,"Win",IF(W1601&lt;0,"Loss","Flat"))</f>
        <v>Win</v>
      </c>
      <c r="Z1601" s="24" t="n">
        <f aca="false">Summary!$C$5+SUM(W$2:W1601)</f>
        <v>4743.29</v>
      </c>
      <c r="AA1601" s="24" t="n">
        <f aca="false">MAX(AA1600,Z1601)</f>
        <v>5106.86</v>
      </c>
      <c r="AB1601" s="24" t="n">
        <f aca="false">AA1601-Z1601</f>
        <v>363.57</v>
      </c>
      <c r="AC1601" s="23" t="n">
        <f aca="false">IFERROR(AB1601/AA1601,0)</f>
        <v>0.0711924744363464</v>
      </c>
      <c r="AD1601" s="22" t="s">
        <v>1838</v>
      </c>
    </row>
    <row r="1602" customFormat="false" ht="15" hidden="false" customHeight="false" outlineLevel="0" collapsed="false">
      <c r="A1602" s="22" t="n">
        <v>1601</v>
      </c>
      <c r="B1602" s="22" t="s">
        <v>166</v>
      </c>
      <c r="C1602" s="37" t="n">
        <v>46080.6303240741</v>
      </c>
      <c r="D1602" s="22" t="s">
        <v>206</v>
      </c>
      <c r="E1602" s="22" t="n">
        <v>15</v>
      </c>
      <c r="F1602" s="22" t="s">
        <v>181</v>
      </c>
      <c r="G1602" s="22" t="s">
        <v>243</v>
      </c>
      <c r="H1602" s="22" t="n">
        <v>0.07</v>
      </c>
      <c r="I1602" s="38" t="n">
        <v>5205.22</v>
      </c>
      <c r="J1602" s="38" t="n">
        <v>5205.54</v>
      </c>
      <c r="K1602" s="39" t="n">
        <f aca="false">IF(F1602="BUY",J1602-I1602,I1602-J1602)</f>
        <v>0.319999999999709</v>
      </c>
      <c r="L1602" s="38" t="n">
        <v>5199.22</v>
      </c>
      <c r="M1602" s="39" t="n">
        <f aca="false">ABS(I1602-L1602)</f>
        <v>6</v>
      </c>
      <c r="N1602" s="24" t="n">
        <f aca="false">M1602*H1602*Summary!$C$6</f>
        <v>42</v>
      </c>
      <c r="O1602" s="37" t="n">
        <v>46080.6421296296</v>
      </c>
      <c r="P1602" s="22" t="n">
        <f aca="false">ROUND((O1602-C1602)*86400,0)</f>
        <v>1020</v>
      </c>
      <c r="Q1602" s="22" t="str">
        <f aca="false">IF(P1602&lt;10,"a) &lt;10s",IF(P1602&lt;60,"b) 10-60s",IF(P1602&lt;600,"c) 1-10min","d) &gt;10min")))</f>
        <v>d) &gt;10min</v>
      </c>
      <c r="R1602" s="38"/>
      <c r="S1602" s="38" t="n">
        <v>5235.46</v>
      </c>
      <c r="T1602" s="22" t="s">
        <v>187</v>
      </c>
      <c r="U1602" s="39" t="str">
        <f aca="false">IF(R1602="","",IF(F1602="BUY",R1602-S1602,S1602-R1602))</f>
        <v/>
      </c>
      <c r="V1602" s="39" t="n">
        <f aca="false">IF(F1602="BUY",S1602-J1602,J1602-S1602)</f>
        <v>29.9200000000001</v>
      </c>
      <c r="W1602" s="6" t="n">
        <v>209.44</v>
      </c>
      <c r="X1602" s="26" t="n">
        <f aca="false">IFERROR(W1602/N1602,0)</f>
        <v>4.98666666666667</v>
      </c>
      <c r="Y1602" s="22" t="str">
        <f aca="false">IF(W1602&gt;0,"Win",IF(W1602&lt;0,"Loss","Flat"))</f>
        <v>Win</v>
      </c>
      <c r="Z1602" s="24" t="n">
        <f aca="false">Summary!$C$5+SUM(W$2:W1602)</f>
        <v>4952.73</v>
      </c>
      <c r="AA1602" s="24" t="n">
        <f aca="false">MAX(AA1601,Z1602)</f>
        <v>5106.86</v>
      </c>
      <c r="AB1602" s="24" t="n">
        <f aca="false">AA1602-Z1602</f>
        <v>154.13</v>
      </c>
      <c r="AC1602" s="23" t="n">
        <f aca="false">IFERROR(AB1602/AA1602,0)</f>
        <v>0.0301809722608413</v>
      </c>
      <c r="AD1602" s="22" t="s">
        <v>1839</v>
      </c>
    </row>
    <row r="1603" customFormat="false" ht="15" hidden="false" customHeight="false" outlineLevel="0" collapsed="false">
      <c r="A1603" s="22" t="n">
        <v>1602</v>
      </c>
      <c r="B1603" s="22" t="s">
        <v>167</v>
      </c>
      <c r="C1603" s="37" t="n">
        <v>46083.376412037</v>
      </c>
      <c r="D1603" s="22" t="s">
        <v>202</v>
      </c>
      <c r="E1603" s="22" t="n">
        <v>9</v>
      </c>
      <c r="F1603" s="22" t="s">
        <v>181</v>
      </c>
      <c r="G1603" s="22" t="s">
        <v>235</v>
      </c>
      <c r="H1603" s="22" t="n">
        <v>0.08</v>
      </c>
      <c r="I1603" s="38" t="n">
        <v>5389.51</v>
      </c>
      <c r="J1603" s="38" t="n">
        <v>5389.64</v>
      </c>
      <c r="K1603" s="39" t="n">
        <f aca="false">IF(F1603="BUY",J1603-I1603,I1603-J1603)</f>
        <v>0.130000000000109</v>
      </c>
      <c r="L1603" s="38" t="n">
        <v>5383.51</v>
      </c>
      <c r="M1603" s="39" t="n">
        <f aca="false">ABS(I1603-L1603)</f>
        <v>6</v>
      </c>
      <c r="N1603" s="24" t="n">
        <f aca="false">M1603*H1603*Summary!$C$6</f>
        <v>48</v>
      </c>
      <c r="O1603" s="37" t="n">
        <v>46083.3809490741</v>
      </c>
      <c r="P1603" s="22" t="n">
        <f aca="false">ROUND((O1603-C1603)*86400,0)</f>
        <v>392</v>
      </c>
      <c r="Q1603" s="22" t="str">
        <f aca="false">IF(P1603&lt;10,"a) &lt;10s",IF(P1603&lt;60,"b) 10-60s",IF(P1603&lt;600,"c) 1-10min","d) &gt;10min")))</f>
        <v>c) 1-10min</v>
      </c>
      <c r="R1603" s="38" t="n">
        <v>5390.14</v>
      </c>
      <c r="S1603" s="38" t="n">
        <v>5390.08</v>
      </c>
      <c r="T1603" s="22" t="s">
        <v>189</v>
      </c>
      <c r="U1603" s="39" t="n">
        <f aca="false">IF(R1603="","",IF(F1603="BUY",R1603-S1603,S1603-R1603))</f>
        <v>0.0600000000004002</v>
      </c>
      <c r="V1603" s="39" t="n">
        <f aca="false">IF(F1603="BUY",S1603-J1603,J1603-S1603)</f>
        <v>0.4399999999996</v>
      </c>
      <c r="W1603" s="6" t="n">
        <v>3.52</v>
      </c>
      <c r="X1603" s="26" t="n">
        <f aca="false">IFERROR(W1603/N1603,0)</f>
        <v>0.0733333333333333</v>
      </c>
      <c r="Y1603" s="22" t="str">
        <f aca="false">IF(W1603&gt;0,"Win",IF(W1603&lt;0,"Loss","Flat"))</f>
        <v>Win</v>
      </c>
      <c r="Z1603" s="24" t="n">
        <f aca="false">Summary!$C$5+SUM(W$2:W1603)</f>
        <v>4956.25</v>
      </c>
      <c r="AA1603" s="24" t="n">
        <f aca="false">MAX(AA1602,Z1603)</f>
        <v>5106.86</v>
      </c>
      <c r="AB1603" s="24" t="n">
        <f aca="false">AA1603-Z1603</f>
        <v>150.61</v>
      </c>
      <c r="AC1603" s="23" t="n">
        <f aca="false">IFERROR(AB1603/AA1603,0)</f>
        <v>0.0294917033167151</v>
      </c>
      <c r="AD1603" s="22" t="s">
        <v>1840</v>
      </c>
    </row>
    <row r="1604" customFormat="false" ht="15" hidden="false" customHeight="false" outlineLevel="0" collapsed="false">
      <c r="A1604" s="22" t="n">
        <v>1603</v>
      </c>
      <c r="B1604" s="22" t="s">
        <v>167</v>
      </c>
      <c r="C1604" s="37" t="n">
        <v>46084.4758564815</v>
      </c>
      <c r="D1604" s="22" t="s">
        <v>203</v>
      </c>
      <c r="E1604" s="22" t="n">
        <v>11</v>
      </c>
      <c r="F1604" s="22" t="s">
        <v>182</v>
      </c>
      <c r="G1604" s="22" t="s">
        <v>241</v>
      </c>
      <c r="H1604" s="22" t="n">
        <v>0.08</v>
      </c>
      <c r="I1604" s="38" t="n">
        <v>5278.6</v>
      </c>
      <c r="J1604" s="38" t="n">
        <v>5278.36</v>
      </c>
      <c r="K1604" s="39" t="n">
        <f aca="false">IF(F1604="BUY",J1604-I1604,I1604-J1604)</f>
        <v>0.240000000000691</v>
      </c>
      <c r="L1604" s="38" t="n">
        <v>5284.6</v>
      </c>
      <c r="M1604" s="39" t="n">
        <f aca="false">ABS(I1604-L1604)</f>
        <v>6</v>
      </c>
      <c r="N1604" s="24" t="n">
        <f aca="false">M1604*H1604*Summary!$C$6</f>
        <v>48</v>
      </c>
      <c r="O1604" s="37" t="n">
        <v>46084.4758680556</v>
      </c>
      <c r="P1604" s="22" t="n">
        <f aca="false">ROUND((O1604-C1604)*86400,0)</f>
        <v>1</v>
      </c>
      <c r="Q1604" s="22" t="str">
        <f aca="false">IF(P1604&lt;10,"a) &lt;10s",IF(P1604&lt;60,"b) 10-60s",IF(P1604&lt;600,"c) 1-10min","d) &gt;10min")))</f>
        <v>a) &lt;10s</v>
      </c>
      <c r="R1604" s="38" t="n">
        <v>5277.86</v>
      </c>
      <c r="S1604" s="38" t="n">
        <v>5277.95</v>
      </c>
      <c r="T1604" s="22" t="s">
        <v>189</v>
      </c>
      <c r="U1604" s="39" t="n">
        <f aca="false">IF(R1604="","",IF(F1604="BUY",R1604-S1604,S1604-R1604))</f>
        <v>0.0900000000001455</v>
      </c>
      <c r="V1604" s="39" t="n">
        <f aca="false">IF(F1604="BUY",S1604-J1604,J1604-S1604)</f>
        <v>0.409999999999855</v>
      </c>
      <c r="W1604" s="6" t="n">
        <v>3.28</v>
      </c>
      <c r="X1604" s="26" t="n">
        <f aca="false">IFERROR(W1604/N1604,0)</f>
        <v>0.0683333333333333</v>
      </c>
      <c r="Y1604" s="22" t="str">
        <f aca="false">IF(W1604&gt;0,"Win",IF(W1604&lt;0,"Loss","Flat"))</f>
        <v>Win</v>
      </c>
      <c r="Z1604" s="24" t="n">
        <f aca="false">Summary!$C$5+SUM(W$2:W1604)</f>
        <v>4959.53</v>
      </c>
      <c r="AA1604" s="24" t="n">
        <f aca="false">MAX(AA1603,Z1604)</f>
        <v>5106.86</v>
      </c>
      <c r="AB1604" s="24" t="n">
        <f aca="false">AA1604-Z1604</f>
        <v>147.33</v>
      </c>
      <c r="AC1604" s="23" t="n">
        <f aca="false">IFERROR(AB1604/AA1604,0)</f>
        <v>0.0288494299824158</v>
      </c>
      <c r="AD1604" s="22" t="s">
        <v>1841</v>
      </c>
    </row>
    <row r="1605" customFormat="false" ht="15" hidden="false" customHeight="false" outlineLevel="0" collapsed="false">
      <c r="A1605" s="22" t="n">
        <v>1604</v>
      </c>
      <c r="B1605" s="22" t="s">
        <v>167</v>
      </c>
      <c r="C1605" s="37" t="n">
        <v>46084.4759953704</v>
      </c>
      <c r="D1605" s="22" t="s">
        <v>203</v>
      </c>
      <c r="E1605" s="22" t="n">
        <v>11</v>
      </c>
      <c r="F1605" s="22" t="s">
        <v>182</v>
      </c>
      <c r="G1605" s="22" t="s">
        <v>237</v>
      </c>
      <c r="H1605" s="22" t="n">
        <v>0.08</v>
      </c>
      <c r="I1605" s="38" t="n">
        <v>5260.1</v>
      </c>
      <c r="J1605" s="38" t="n">
        <v>5257.7</v>
      </c>
      <c r="K1605" s="39" t="n">
        <f aca="false">IF(F1605="BUY",J1605-I1605,I1605-J1605)</f>
        <v>2.40000000000055</v>
      </c>
      <c r="L1605" s="38" t="n">
        <v>5266.1</v>
      </c>
      <c r="M1605" s="39" t="n">
        <f aca="false">ABS(I1605-L1605)</f>
        <v>6</v>
      </c>
      <c r="N1605" s="24" t="n">
        <f aca="false">M1605*H1605*Summary!$C$6</f>
        <v>48</v>
      </c>
      <c r="O1605" s="37" t="n">
        <v>46084.4759953704</v>
      </c>
      <c r="P1605" s="22" t="n">
        <f aca="false">ROUND((O1605-C1605)*86400,0)</f>
        <v>0</v>
      </c>
      <c r="Q1605" s="22" t="str">
        <f aca="false">IF(P1605&lt;10,"a) &lt;10s",IF(P1605&lt;60,"b) 10-60s",IF(P1605&lt;600,"c) 1-10min","d) &gt;10min")))</f>
        <v>a) &lt;10s</v>
      </c>
      <c r="R1605" s="38" t="n">
        <v>5266.1</v>
      </c>
      <c r="S1605" s="38" t="n">
        <v>5267.63</v>
      </c>
      <c r="T1605" s="22" t="s">
        <v>188</v>
      </c>
      <c r="U1605" s="39" t="n">
        <f aca="false">IF(R1605="","",IF(F1605="BUY",R1605-S1605,S1605-R1605))</f>
        <v>1.52999999999975</v>
      </c>
      <c r="V1605" s="39" t="n">
        <f aca="false">IF(F1605="BUY",S1605-J1605,J1605-S1605)</f>
        <v>-9.93000000000029</v>
      </c>
      <c r="W1605" s="6" t="n">
        <v>-79.44</v>
      </c>
      <c r="X1605" s="26" t="n">
        <f aca="false">IFERROR(W1605/N1605,0)</f>
        <v>-1.655</v>
      </c>
      <c r="Y1605" s="22" t="str">
        <f aca="false">IF(W1605&gt;0,"Win",IF(W1605&lt;0,"Loss","Flat"))</f>
        <v>Loss</v>
      </c>
      <c r="Z1605" s="24" t="n">
        <f aca="false">Summary!$C$5+SUM(W$2:W1605)</f>
        <v>4880.09</v>
      </c>
      <c r="AA1605" s="24" t="n">
        <f aca="false">MAX(AA1604,Z1605)</f>
        <v>5106.86</v>
      </c>
      <c r="AB1605" s="24" t="n">
        <f aca="false">AA1605-Z1605</f>
        <v>226.77</v>
      </c>
      <c r="AC1605" s="23" t="n">
        <f aca="false">IFERROR(AB1605/AA1605,0)</f>
        <v>0.0444049768350806</v>
      </c>
      <c r="AD1605" s="22" t="s">
        <v>1842</v>
      </c>
    </row>
    <row r="1606" customFormat="false" ht="15" hidden="false" customHeight="false" outlineLevel="0" collapsed="false">
      <c r="A1606" s="22" t="n">
        <v>1605</v>
      </c>
      <c r="B1606" s="22" t="s">
        <v>167</v>
      </c>
      <c r="C1606" s="37" t="n">
        <v>46085.3766203704</v>
      </c>
      <c r="D1606" s="22" t="s">
        <v>204</v>
      </c>
      <c r="E1606" s="22" t="n">
        <v>9</v>
      </c>
      <c r="F1606" s="22" t="s">
        <v>181</v>
      </c>
      <c r="G1606" s="22" t="s">
        <v>235</v>
      </c>
      <c r="H1606" s="22" t="n">
        <v>0.08</v>
      </c>
      <c r="I1606" s="38" t="n">
        <v>5168.07</v>
      </c>
      <c r="J1606" s="38" t="n">
        <v>5168.58</v>
      </c>
      <c r="K1606" s="39" t="n">
        <f aca="false">IF(F1606="BUY",J1606-I1606,I1606-J1606)</f>
        <v>0.510000000000218</v>
      </c>
      <c r="L1606" s="38" t="n">
        <v>5162.07</v>
      </c>
      <c r="M1606" s="39" t="n">
        <f aca="false">ABS(I1606-L1606)</f>
        <v>6</v>
      </c>
      <c r="N1606" s="24" t="n">
        <f aca="false">M1606*H1606*Summary!$C$6</f>
        <v>48</v>
      </c>
      <c r="O1606" s="37" t="n">
        <v>46085.3838888889</v>
      </c>
      <c r="P1606" s="22" t="n">
        <f aca="false">ROUND((O1606-C1606)*86400,0)</f>
        <v>628</v>
      </c>
      <c r="Q1606" s="22" t="str">
        <f aca="false">IF(P1606&lt;10,"a) &lt;10s",IF(P1606&lt;60,"b) 10-60s",IF(P1606&lt;600,"c) 1-10min","d) &gt;10min")))</f>
        <v>d) &gt;10min</v>
      </c>
      <c r="R1606" s="38" t="n">
        <v>5169.08</v>
      </c>
      <c r="S1606" s="38" t="n">
        <v>5169.03</v>
      </c>
      <c r="T1606" s="22" t="s">
        <v>189</v>
      </c>
      <c r="U1606" s="39" t="n">
        <f aca="false">IF(R1606="","",IF(F1606="BUY",R1606-S1606,S1606-R1606))</f>
        <v>0.0500000000001819</v>
      </c>
      <c r="V1606" s="39" t="n">
        <f aca="false">IF(F1606="BUY",S1606-J1606,J1606-S1606)</f>
        <v>0.449999999999818</v>
      </c>
      <c r="W1606" s="6" t="n">
        <v>3.6</v>
      </c>
      <c r="X1606" s="26" t="n">
        <f aca="false">IFERROR(W1606/N1606,0)</f>
        <v>0.075</v>
      </c>
      <c r="Y1606" s="22" t="str">
        <f aca="false">IF(W1606&gt;0,"Win",IF(W1606&lt;0,"Loss","Flat"))</f>
        <v>Win</v>
      </c>
      <c r="Z1606" s="24" t="n">
        <f aca="false">Summary!$C$5+SUM(W$2:W1606)</f>
        <v>4883.69</v>
      </c>
      <c r="AA1606" s="24" t="n">
        <f aca="false">MAX(AA1605,Z1606)</f>
        <v>5106.86</v>
      </c>
      <c r="AB1606" s="24" t="n">
        <f aca="false">AA1606-Z1606</f>
        <v>223.17</v>
      </c>
      <c r="AC1606" s="23" t="n">
        <f aca="false">IFERROR(AB1606/AA1606,0)</f>
        <v>0.0437000426876789</v>
      </c>
      <c r="AD1606" s="22" t="s">
        <v>1843</v>
      </c>
    </row>
    <row r="1607" customFormat="false" ht="15" hidden="false" customHeight="false" outlineLevel="0" collapsed="false">
      <c r="A1607" s="22" t="n">
        <v>1606</v>
      </c>
      <c r="B1607" s="22" t="s">
        <v>167</v>
      </c>
      <c r="C1607" s="37" t="n">
        <v>46086.4641666667</v>
      </c>
      <c r="D1607" s="22" t="s">
        <v>205</v>
      </c>
      <c r="E1607" s="22" t="n">
        <v>11</v>
      </c>
      <c r="F1607" s="22" t="s">
        <v>181</v>
      </c>
      <c r="G1607" s="22" t="s">
        <v>235</v>
      </c>
      <c r="H1607" s="22" t="n">
        <v>0.08</v>
      </c>
      <c r="I1607" s="38" t="n">
        <v>5176.56</v>
      </c>
      <c r="J1607" s="38" t="n">
        <v>5176.86</v>
      </c>
      <c r="K1607" s="39" t="n">
        <f aca="false">IF(F1607="BUY",J1607-I1607,I1607-J1607)</f>
        <v>0.299999999999272</v>
      </c>
      <c r="L1607" s="38" t="n">
        <v>5170.56</v>
      </c>
      <c r="M1607" s="39" t="n">
        <f aca="false">ABS(I1607-L1607)</f>
        <v>6</v>
      </c>
      <c r="N1607" s="24" t="n">
        <f aca="false">M1607*H1607*Summary!$C$6</f>
        <v>48</v>
      </c>
      <c r="O1607" s="37" t="n">
        <v>46086.4649537037</v>
      </c>
      <c r="P1607" s="22" t="n">
        <f aca="false">ROUND((O1607-C1607)*86400,0)</f>
        <v>68</v>
      </c>
      <c r="Q1607" s="22" t="str">
        <f aca="false">IF(P1607&lt;10,"a) &lt;10s",IF(P1607&lt;60,"b) 10-60s",IF(P1607&lt;600,"c) 1-10min","d) &gt;10min")))</f>
        <v>c) 1-10min</v>
      </c>
      <c r="R1607" s="38" t="n">
        <v>5177.36</v>
      </c>
      <c r="S1607" s="38" t="n">
        <v>5177.36</v>
      </c>
      <c r="T1607" s="22" t="s">
        <v>189</v>
      </c>
      <c r="U1607" s="39" t="n">
        <f aca="false">IF(R1607="","",IF(F1607="BUY",R1607-S1607,S1607-R1607))</f>
        <v>0</v>
      </c>
      <c r="V1607" s="39" t="n">
        <f aca="false">IF(F1607="BUY",S1607-J1607,J1607-S1607)</f>
        <v>0.5</v>
      </c>
      <c r="W1607" s="6" t="n">
        <v>4</v>
      </c>
      <c r="X1607" s="26" t="n">
        <f aca="false">IFERROR(W1607/N1607,0)</f>
        <v>0.0833333333333333</v>
      </c>
      <c r="Y1607" s="22" t="str">
        <f aca="false">IF(W1607&gt;0,"Win",IF(W1607&lt;0,"Loss","Flat"))</f>
        <v>Win</v>
      </c>
      <c r="Z1607" s="24" t="n">
        <f aca="false">Summary!$C$5+SUM(W$2:W1607)</f>
        <v>4887.69</v>
      </c>
      <c r="AA1607" s="24" t="n">
        <f aca="false">MAX(AA1606,Z1607)</f>
        <v>5106.86</v>
      </c>
      <c r="AB1607" s="24" t="n">
        <f aca="false">AA1607-Z1607</f>
        <v>219.17</v>
      </c>
      <c r="AC1607" s="23" t="n">
        <f aca="false">IFERROR(AB1607/AA1607,0)</f>
        <v>0.0429167825238992</v>
      </c>
      <c r="AD1607" s="22" t="s">
        <v>1844</v>
      </c>
    </row>
    <row r="1608" customFormat="false" ht="15" hidden="false" customHeight="false" outlineLevel="0" collapsed="false">
      <c r="A1608" s="22" t="n">
        <v>1607</v>
      </c>
      <c r="B1608" s="22" t="s">
        <v>167</v>
      </c>
      <c r="C1608" s="37" t="n">
        <v>46086.641099537</v>
      </c>
      <c r="D1608" s="22" t="s">
        <v>205</v>
      </c>
      <c r="E1608" s="22" t="n">
        <v>15</v>
      </c>
      <c r="F1608" s="22" t="s">
        <v>182</v>
      </c>
      <c r="G1608" s="22" t="s">
        <v>237</v>
      </c>
      <c r="H1608" s="22" t="n">
        <v>0.08</v>
      </c>
      <c r="I1608" s="38" t="n">
        <v>5086.87</v>
      </c>
      <c r="J1608" s="38" t="n">
        <v>5083.71</v>
      </c>
      <c r="K1608" s="39" t="n">
        <f aca="false">IF(F1608="BUY",J1608-I1608,I1608-J1608)</f>
        <v>3.15999999999985</v>
      </c>
      <c r="L1608" s="38" t="n">
        <v>5092.87</v>
      </c>
      <c r="M1608" s="39" t="n">
        <f aca="false">ABS(I1608-L1608)</f>
        <v>6</v>
      </c>
      <c r="N1608" s="24" t="n">
        <f aca="false">M1608*H1608*Summary!$C$6</f>
        <v>48</v>
      </c>
      <c r="O1608" s="37" t="n">
        <v>46086.641099537</v>
      </c>
      <c r="P1608" s="22" t="n">
        <f aca="false">ROUND((O1608-C1608)*86400,0)</f>
        <v>0</v>
      </c>
      <c r="Q1608" s="22" t="str">
        <f aca="false">IF(P1608&lt;10,"a) &lt;10s",IF(P1608&lt;60,"b) 10-60s",IF(P1608&lt;600,"c) 1-10min","d) &gt;10min")))</f>
        <v>a) &lt;10s</v>
      </c>
      <c r="R1608" s="38" t="n">
        <v>5092.87</v>
      </c>
      <c r="S1608" s="38" t="n">
        <v>5095.44</v>
      </c>
      <c r="T1608" s="22" t="s">
        <v>188</v>
      </c>
      <c r="U1608" s="39" t="n">
        <f aca="false">IF(R1608="","",IF(F1608="BUY",R1608-S1608,S1608-R1608))</f>
        <v>2.56999999999971</v>
      </c>
      <c r="V1608" s="39" t="n">
        <f aca="false">IF(F1608="BUY",S1608-J1608,J1608-S1608)</f>
        <v>-11.7299999999996</v>
      </c>
      <c r="W1608" s="6" t="n">
        <v>-93.84</v>
      </c>
      <c r="X1608" s="26" t="n">
        <f aca="false">IFERROR(W1608/N1608,0)</f>
        <v>-1.955</v>
      </c>
      <c r="Y1608" s="22" t="str">
        <f aca="false">IF(W1608&gt;0,"Win",IF(W1608&lt;0,"Loss","Flat"))</f>
        <v>Loss</v>
      </c>
      <c r="Z1608" s="24" t="n">
        <f aca="false">Summary!$C$5+SUM(W$2:W1608)</f>
        <v>4793.85</v>
      </c>
      <c r="AA1608" s="24" t="n">
        <f aca="false">MAX(AA1607,Z1608)</f>
        <v>5106.86</v>
      </c>
      <c r="AB1608" s="24" t="n">
        <f aca="false">AA1608-Z1608</f>
        <v>313.009999999999</v>
      </c>
      <c r="AC1608" s="23" t="n">
        <f aca="false">IFERROR(AB1608/AA1608,0)</f>
        <v>0.0612920659661709</v>
      </c>
      <c r="AD1608" s="22" t="s">
        <v>1845</v>
      </c>
    </row>
    <row r="1609" customFormat="false" ht="15" hidden="false" customHeight="false" outlineLevel="0" collapsed="false">
      <c r="A1609" s="22" t="n">
        <v>1608</v>
      </c>
      <c r="B1609" s="22" t="s">
        <v>167</v>
      </c>
      <c r="C1609" s="37" t="n">
        <v>46087.3800347222</v>
      </c>
      <c r="D1609" s="22" t="s">
        <v>206</v>
      </c>
      <c r="E1609" s="22" t="n">
        <v>9</v>
      </c>
      <c r="F1609" s="22" t="s">
        <v>182</v>
      </c>
      <c r="G1609" s="22" t="s">
        <v>241</v>
      </c>
      <c r="H1609" s="22" t="n">
        <v>0.07</v>
      </c>
      <c r="I1609" s="38" t="n">
        <v>5108.8</v>
      </c>
      <c r="J1609" s="38" t="n">
        <v>5108.58</v>
      </c>
      <c r="K1609" s="39" t="n">
        <f aca="false">IF(F1609="BUY",J1609-I1609,I1609-J1609)</f>
        <v>0.220000000000255</v>
      </c>
      <c r="L1609" s="38" t="n">
        <v>5114.8</v>
      </c>
      <c r="M1609" s="39" t="n">
        <f aca="false">ABS(I1609-L1609)</f>
        <v>6</v>
      </c>
      <c r="N1609" s="24" t="n">
        <f aca="false">M1609*H1609*Summary!$C$6</f>
        <v>42</v>
      </c>
      <c r="O1609" s="37" t="n">
        <v>46087.3811342593</v>
      </c>
      <c r="P1609" s="22" t="n">
        <f aca="false">ROUND((O1609-C1609)*86400,0)</f>
        <v>95</v>
      </c>
      <c r="Q1609" s="22" t="str">
        <f aca="false">IF(P1609&lt;10,"a) &lt;10s",IF(P1609&lt;60,"b) 10-60s",IF(P1609&lt;600,"c) 1-10min","d) &gt;10min")))</f>
        <v>c) 1-10min</v>
      </c>
      <c r="R1609" s="38" t="n">
        <v>5108.08</v>
      </c>
      <c r="S1609" s="38" t="n">
        <v>5108.11</v>
      </c>
      <c r="T1609" s="22" t="s">
        <v>189</v>
      </c>
      <c r="U1609" s="39" t="n">
        <f aca="false">IF(R1609="","",IF(F1609="BUY",R1609-S1609,S1609-R1609))</f>
        <v>0.0299999999997453</v>
      </c>
      <c r="V1609" s="39" t="n">
        <f aca="false">IF(F1609="BUY",S1609-J1609,J1609-S1609)</f>
        <v>0.470000000000255</v>
      </c>
      <c r="W1609" s="6" t="n">
        <v>3.29</v>
      </c>
      <c r="X1609" s="26" t="n">
        <f aca="false">IFERROR(W1609/N1609,0)</f>
        <v>0.0783333333333333</v>
      </c>
      <c r="Y1609" s="22" t="str">
        <f aca="false">IF(W1609&gt;0,"Win",IF(W1609&lt;0,"Loss","Flat"))</f>
        <v>Win</v>
      </c>
      <c r="Z1609" s="24" t="n">
        <f aca="false">Summary!$C$5+SUM(W$2:W1609)</f>
        <v>4797.14</v>
      </c>
      <c r="AA1609" s="24" t="n">
        <f aca="false">MAX(AA1608,Z1609)</f>
        <v>5106.86</v>
      </c>
      <c r="AB1609" s="24" t="n">
        <f aca="false">AA1609-Z1609</f>
        <v>309.719999999999</v>
      </c>
      <c r="AC1609" s="23" t="n">
        <f aca="false">IFERROR(AB1609/AA1609,0)</f>
        <v>0.0606478344814621</v>
      </c>
      <c r="AD1609" s="22" t="s">
        <v>1846</v>
      </c>
    </row>
    <row r="1610" customFormat="false" ht="15" hidden="false" customHeight="false" outlineLevel="0" collapsed="false">
      <c r="A1610" s="22" t="n">
        <v>1609</v>
      </c>
      <c r="B1610" s="22" t="s">
        <v>167</v>
      </c>
      <c r="C1610" s="37" t="n">
        <v>46090.1131365741</v>
      </c>
      <c r="D1610" s="22" t="s">
        <v>202</v>
      </c>
      <c r="E1610" s="22" t="n">
        <v>2</v>
      </c>
      <c r="F1610" s="22" t="s">
        <v>182</v>
      </c>
      <c r="G1610" s="22" t="s">
        <v>237</v>
      </c>
      <c r="H1610" s="22" t="n">
        <v>0.07</v>
      </c>
      <c r="I1610" s="38" t="n">
        <v>5062.13</v>
      </c>
      <c r="J1610" s="38" t="n">
        <v>5061.71</v>
      </c>
      <c r="K1610" s="39" t="n">
        <f aca="false">IF(F1610="BUY",J1610-I1610,I1610-J1610)</f>
        <v>0.420000000000073</v>
      </c>
      <c r="L1610" s="38" t="n">
        <v>5068.13</v>
      </c>
      <c r="M1610" s="39" t="n">
        <f aca="false">ABS(I1610-L1610)</f>
        <v>6</v>
      </c>
      <c r="N1610" s="24" t="n">
        <f aca="false">M1610*H1610*Summary!$C$6</f>
        <v>42</v>
      </c>
      <c r="O1610" s="37" t="n">
        <v>46090.1139236111</v>
      </c>
      <c r="P1610" s="22" t="n">
        <f aca="false">ROUND((O1610-C1610)*86400,0)</f>
        <v>68</v>
      </c>
      <c r="Q1610" s="22" t="str">
        <f aca="false">IF(P1610&lt;10,"a) &lt;10s",IF(P1610&lt;60,"b) 10-60s",IF(P1610&lt;600,"c) 1-10min","d) &gt;10min")))</f>
        <v>c) 1-10min</v>
      </c>
      <c r="R1610" s="38" t="n">
        <v>5061.21</v>
      </c>
      <c r="S1610" s="38" t="n">
        <v>5061.75</v>
      </c>
      <c r="T1610" s="22" t="s">
        <v>189</v>
      </c>
      <c r="U1610" s="39" t="n">
        <f aca="false">IF(R1610="","",IF(F1610="BUY",R1610-S1610,S1610-R1610))</f>
        <v>0.539999999999964</v>
      </c>
      <c r="V1610" s="39" t="n">
        <f aca="false">IF(F1610="BUY",S1610-J1610,J1610-S1610)</f>
        <v>-0.0399999999999636</v>
      </c>
      <c r="W1610" s="6" t="n">
        <v>-0.28</v>
      </c>
      <c r="X1610" s="26" t="n">
        <f aca="false">IFERROR(W1610/N1610,0)</f>
        <v>-0.00666666666666667</v>
      </c>
      <c r="Y1610" s="22" t="str">
        <f aca="false">IF(W1610&gt;0,"Win",IF(W1610&lt;0,"Loss","Flat"))</f>
        <v>Loss</v>
      </c>
      <c r="Z1610" s="24" t="n">
        <f aca="false">Summary!$C$5+SUM(W$2:W1610)</f>
        <v>4796.86</v>
      </c>
      <c r="AA1610" s="24" t="n">
        <f aca="false">MAX(AA1609,Z1610)</f>
        <v>5106.86</v>
      </c>
      <c r="AB1610" s="24" t="n">
        <f aca="false">AA1610-Z1610</f>
        <v>310</v>
      </c>
      <c r="AC1610" s="23" t="n">
        <f aca="false">IFERROR(AB1610/AA1610,0)</f>
        <v>0.0607026626929268</v>
      </c>
      <c r="AD1610" s="22" t="s">
        <v>1847</v>
      </c>
    </row>
    <row r="1611" customFormat="false" ht="15" hidden="false" customHeight="false" outlineLevel="0" collapsed="false">
      <c r="A1611" s="22" t="n">
        <v>1610</v>
      </c>
      <c r="B1611" s="22" t="s">
        <v>167</v>
      </c>
      <c r="C1611" s="37" t="n">
        <v>46090.5975231482</v>
      </c>
      <c r="D1611" s="22" t="s">
        <v>202</v>
      </c>
      <c r="E1611" s="22" t="n">
        <v>14</v>
      </c>
      <c r="F1611" s="22" t="s">
        <v>182</v>
      </c>
      <c r="G1611" s="22" t="s">
        <v>241</v>
      </c>
      <c r="H1611" s="22" t="n">
        <v>0.07</v>
      </c>
      <c r="I1611" s="38" t="n">
        <v>5080.77</v>
      </c>
      <c r="J1611" s="38" t="n">
        <v>5080.77</v>
      </c>
      <c r="K1611" s="39" t="n">
        <f aca="false">IF(F1611="BUY",J1611-I1611,I1611-J1611)</f>
        <v>0</v>
      </c>
      <c r="L1611" s="38" t="n">
        <v>5086.77</v>
      </c>
      <c r="M1611" s="39" t="n">
        <f aca="false">ABS(I1611-L1611)</f>
        <v>6</v>
      </c>
      <c r="N1611" s="24" t="n">
        <f aca="false">M1611*H1611*Summary!$C$6</f>
        <v>42</v>
      </c>
      <c r="O1611" s="37" t="n">
        <v>46090.5990046296</v>
      </c>
      <c r="P1611" s="22" t="n">
        <f aca="false">ROUND((O1611-C1611)*86400,0)</f>
        <v>128</v>
      </c>
      <c r="Q1611" s="22" t="str">
        <f aca="false">IF(P1611&lt;10,"a) &lt;10s",IF(P1611&lt;60,"b) 10-60s",IF(P1611&lt;600,"c) 1-10min","d) &gt;10min")))</f>
        <v>c) 1-10min</v>
      </c>
      <c r="R1611" s="38" t="n">
        <v>5086.77</v>
      </c>
      <c r="S1611" s="38" t="n">
        <v>5086.94</v>
      </c>
      <c r="T1611" s="22" t="s">
        <v>188</v>
      </c>
      <c r="U1611" s="39" t="n">
        <f aca="false">IF(R1611="","",IF(F1611="BUY",R1611-S1611,S1611-R1611))</f>
        <v>0.169999999999163</v>
      </c>
      <c r="V1611" s="39" t="n">
        <f aca="false">IF(F1611="BUY",S1611-J1611,J1611-S1611)</f>
        <v>-6.16999999999916</v>
      </c>
      <c r="W1611" s="6" t="n">
        <v>-43.19</v>
      </c>
      <c r="X1611" s="26" t="n">
        <f aca="false">IFERROR(W1611/N1611,0)</f>
        <v>-1.02833333333333</v>
      </c>
      <c r="Y1611" s="22" t="str">
        <f aca="false">IF(W1611&gt;0,"Win",IF(W1611&lt;0,"Loss","Flat"))</f>
        <v>Loss</v>
      </c>
      <c r="Z1611" s="24" t="n">
        <f aca="false">Summary!$C$5+SUM(W$2:W1611)</f>
        <v>4753.67</v>
      </c>
      <c r="AA1611" s="24" t="n">
        <f aca="false">MAX(AA1610,Z1611)</f>
        <v>5106.86</v>
      </c>
      <c r="AB1611" s="24" t="n">
        <f aca="false">AA1611-Z1611</f>
        <v>353.19</v>
      </c>
      <c r="AC1611" s="23" t="n">
        <f aca="false">IFERROR(AB1611/AA1611,0)</f>
        <v>0.069159914311338</v>
      </c>
      <c r="AD1611" s="22" t="s">
        <v>1848</v>
      </c>
    </row>
    <row r="1612" customFormat="false" ht="15" hidden="false" customHeight="false" outlineLevel="0" collapsed="false">
      <c r="A1612" s="22" t="n">
        <v>1611</v>
      </c>
      <c r="B1612" s="22" t="s">
        <v>167</v>
      </c>
      <c r="C1612" s="37" t="n">
        <v>46091.6673842593</v>
      </c>
      <c r="D1612" s="22" t="s">
        <v>203</v>
      </c>
      <c r="E1612" s="22" t="n">
        <v>16</v>
      </c>
      <c r="F1612" s="22" t="s">
        <v>181</v>
      </c>
      <c r="G1612" s="22" t="s">
        <v>243</v>
      </c>
      <c r="H1612" s="22" t="n">
        <v>0.07</v>
      </c>
      <c r="I1612" s="38" t="n">
        <v>5196.7</v>
      </c>
      <c r="J1612" s="38" t="n">
        <v>5196.7</v>
      </c>
      <c r="K1612" s="39" t="n">
        <f aca="false">IF(F1612="BUY",J1612-I1612,I1612-J1612)</f>
        <v>0</v>
      </c>
      <c r="L1612" s="38" t="n">
        <v>5190.7</v>
      </c>
      <c r="M1612" s="39" t="n">
        <f aca="false">ABS(I1612-L1612)</f>
        <v>6</v>
      </c>
      <c r="N1612" s="24" t="n">
        <f aca="false">M1612*H1612*Summary!$C$6</f>
        <v>42</v>
      </c>
      <c r="O1612" s="37" t="n">
        <v>46091.6676157407</v>
      </c>
      <c r="P1612" s="22" t="n">
        <f aca="false">ROUND((O1612-C1612)*86400,0)</f>
        <v>20</v>
      </c>
      <c r="Q1612" s="22" t="str">
        <f aca="false">IF(P1612&lt;10,"a) &lt;10s",IF(P1612&lt;60,"b) 10-60s",IF(P1612&lt;600,"c) 1-10min","d) &gt;10min")))</f>
        <v>b) 10-60s</v>
      </c>
      <c r="R1612" s="38" t="n">
        <v>5197.2</v>
      </c>
      <c r="S1612" s="38" t="n">
        <v>5197.03</v>
      </c>
      <c r="T1612" s="22" t="s">
        <v>189</v>
      </c>
      <c r="U1612" s="39" t="n">
        <f aca="false">IF(R1612="","",IF(F1612="BUY",R1612-S1612,S1612-R1612))</f>
        <v>0.170000000000073</v>
      </c>
      <c r="V1612" s="39" t="n">
        <f aca="false">IF(F1612="BUY",S1612-J1612,J1612-S1612)</f>
        <v>0.329999999999927</v>
      </c>
      <c r="W1612" s="6" t="n">
        <v>2.31</v>
      </c>
      <c r="X1612" s="26" t="n">
        <f aca="false">IFERROR(W1612/N1612,0)</f>
        <v>0.055</v>
      </c>
      <c r="Y1612" s="22" t="str">
        <f aca="false">IF(W1612&gt;0,"Win",IF(W1612&lt;0,"Loss","Flat"))</f>
        <v>Win</v>
      </c>
      <c r="Z1612" s="24" t="n">
        <f aca="false">Summary!$C$5+SUM(W$2:W1612)</f>
        <v>4755.98</v>
      </c>
      <c r="AA1612" s="24" t="n">
        <f aca="false">MAX(AA1611,Z1612)</f>
        <v>5106.86</v>
      </c>
      <c r="AB1612" s="24" t="n">
        <f aca="false">AA1612-Z1612</f>
        <v>350.88</v>
      </c>
      <c r="AC1612" s="23" t="n">
        <f aca="false">IFERROR(AB1612/AA1612,0)</f>
        <v>0.0687075815667553</v>
      </c>
      <c r="AD1612" s="22" t="s">
        <v>1849</v>
      </c>
    </row>
    <row r="1613" customFormat="false" ht="15" hidden="false" customHeight="false" outlineLevel="0" collapsed="false">
      <c r="A1613" s="22" t="n">
        <v>1612</v>
      </c>
      <c r="B1613" s="22" t="s">
        <v>167</v>
      </c>
      <c r="C1613" s="37" t="n">
        <v>46092.3843402778</v>
      </c>
      <c r="D1613" s="22" t="s">
        <v>204</v>
      </c>
      <c r="E1613" s="22" t="n">
        <v>9</v>
      </c>
      <c r="F1613" s="22" t="s">
        <v>181</v>
      </c>
      <c r="G1613" s="22" t="s">
        <v>235</v>
      </c>
      <c r="H1613" s="22" t="n">
        <v>0.07</v>
      </c>
      <c r="I1613" s="38" t="n">
        <v>5208.38</v>
      </c>
      <c r="J1613" s="38" t="n">
        <v>5208.39</v>
      </c>
      <c r="K1613" s="39" t="n">
        <f aca="false">IF(F1613="BUY",J1613-I1613,I1613-J1613)</f>
        <v>0.0100000000002183</v>
      </c>
      <c r="L1613" s="38" t="n">
        <v>5202.38</v>
      </c>
      <c r="M1613" s="39" t="n">
        <f aca="false">ABS(I1613-L1613)</f>
        <v>6</v>
      </c>
      <c r="N1613" s="24" t="n">
        <f aca="false">M1613*H1613*Summary!$C$6</f>
        <v>42</v>
      </c>
      <c r="O1613" s="37" t="n">
        <v>46092.3869560185</v>
      </c>
      <c r="P1613" s="22" t="n">
        <f aca="false">ROUND((O1613-C1613)*86400,0)</f>
        <v>226</v>
      </c>
      <c r="Q1613" s="22" t="str">
        <f aca="false">IF(P1613&lt;10,"a) &lt;10s",IF(P1613&lt;60,"b) 10-60s",IF(P1613&lt;600,"c) 1-10min","d) &gt;10min")))</f>
        <v>c) 1-10min</v>
      </c>
      <c r="R1613" s="38" t="n">
        <v>5208.89</v>
      </c>
      <c r="S1613" s="38" t="n">
        <v>5208.87</v>
      </c>
      <c r="T1613" s="22" t="s">
        <v>189</v>
      </c>
      <c r="U1613" s="39" t="n">
        <f aca="false">IF(R1613="","",IF(F1613="BUY",R1613-S1613,S1613-R1613))</f>
        <v>0.0200000000004366</v>
      </c>
      <c r="V1613" s="39" t="n">
        <f aca="false">IF(F1613="BUY",S1613-J1613,J1613-S1613)</f>
        <v>0.479999999999563</v>
      </c>
      <c r="W1613" s="6" t="n">
        <v>3.36</v>
      </c>
      <c r="X1613" s="26" t="n">
        <f aca="false">IFERROR(W1613/N1613,0)</f>
        <v>0.08</v>
      </c>
      <c r="Y1613" s="22" t="str">
        <f aca="false">IF(W1613&gt;0,"Win",IF(W1613&lt;0,"Loss","Flat"))</f>
        <v>Win</v>
      </c>
      <c r="Z1613" s="24" t="n">
        <f aca="false">Summary!$C$5+SUM(W$2:W1613)</f>
        <v>4759.34</v>
      </c>
      <c r="AA1613" s="24" t="n">
        <f aca="false">MAX(AA1612,Z1613)</f>
        <v>5106.86</v>
      </c>
      <c r="AB1613" s="24" t="n">
        <f aca="false">AA1613-Z1613</f>
        <v>347.52</v>
      </c>
      <c r="AC1613" s="23" t="n">
        <f aca="false">IFERROR(AB1613/AA1613,0)</f>
        <v>0.0680496430291803</v>
      </c>
      <c r="AD1613" s="22" t="s">
        <v>1850</v>
      </c>
    </row>
    <row r="1614" customFormat="false" ht="15" hidden="false" customHeight="false" outlineLevel="0" collapsed="false">
      <c r="A1614" s="22" t="n">
        <v>1613</v>
      </c>
      <c r="B1614" s="22" t="s">
        <v>167</v>
      </c>
      <c r="C1614" s="37" t="n">
        <v>46093.0808333333</v>
      </c>
      <c r="D1614" s="22" t="s">
        <v>205</v>
      </c>
      <c r="E1614" s="22" t="n">
        <v>1</v>
      </c>
      <c r="F1614" s="22" t="s">
        <v>182</v>
      </c>
      <c r="G1614" s="22" t="s">
        <v>237</v>
      </c>
      <c r="H1614" s="22" t="n">
        <v>0.07</v>
      </c>
      <c r="I1614" s="38" t="n">
        <v>5149.07</v>
      </c>
      <c r="J1614" s="38" t="n">
        <v>5148.39</v>
      </c>
      <c r="K1614" s="39" t="n">
        <f aca="false">IF(F1614="BUY",J1614-I1614,I1614-J1614)</f>
        <v>0.679999999999382</v>
      </c>
      <c r="L1614" s="38" t="n">
        <v>5155.07</v>
      </c>
      <c r="M1614" s="39" t="n">
        <f aca="false">ABS(I1614-L1614)</f>
        <v>6</v>
      </c>
      <c r="N1614" s="24" t="n">
        <f aca="false">M1614*H1614*Summary!$C$6</f>
        <v>42</v>
      </c>
      <c r="O1614" s="37" t="n">
        <v>46093.085150463</v>
      </c>
      <c r="P1614" s="22" t="n">
        <f aca="false">ROUND((O1614-C1614)*86400,0)</f>
        <v>373</v>
      </c>
      <c r="Q1614" s="22" t="str">
        <f aca="false">IF(P1614&lt;10,"a) &lt;10s",IF(P1614&lt;60,"b) 10-60s",IF(P1614&lt;600,"c) 1-10min","d) &gt;10min")))</f>
        <v>c) 1-10min</v>
      </c>
      <c r="R1614" s="38" t="n">
        <v>5147.89</v>
      </c>
      <c r="S1614" s="38" t="n">
        <v>5148.01</v>
      </c>
      <c r="T1614" s="22" t="s">
        <v>189</v>
      </c>
      <c r="U1614" s="39" t="n">
        <f aca="false">IF(R1614="","",IF(F1614="BUY",R1614-S1614,S1614-R1614))</f>
        <v>0.119999999999891</v>
      </c>
      <c r="V1614" s="39" t="n">
        <f aca="false">IF(F1614="BUY",S1614-J1614,J1614-S1614)</f>
        <v>0.380000000000109</v>
      </c>
      <c r="W1614" s="6" t="n">
        <v>2.66</v>
      </c>
      <c r="X1614" s="26" t="n">
        <f aca="false">IFERROR(W1614/N1614,0)</f>
        <v>0.0633333333333333</v>
      </c>
      <c r="Y1614" s="22" t="str">
        <f aca="false">IF(W1614&gt;0,"Win",IF(W1614&lt;0,"Loss","Flat"))</f>
        <v>Win</v>
      </c>
      <c r="Z1614" s="24" t="n">
        <f aca="false">Summary!$C$5+SUM(W$2:W1614)</f>
        <v>4762</v>
      </c>
      <c r="AA1614" s="24" t="n">
        <f aca="false">MAX(AA1613,Z1614)</f>
        <v>5106.86</v>
      </c>
      <c r="AB1614" s="24" t="n">
        <f aca="false">AA1614-Z1614</f>
        <v>344.86</v>
      </c>
      <c r="AC1614" s="23" t="n">
        <f aca="false">IFERROR(AB1614/AA1614,0)</f>
        <v>0.0675287750202668</v>
      </c>
      <c r="AD1614" s="22" t="s">
        <v>1851</v>
      </c>
    </row>
    <row r="1615" customFormat="false" ht="15" hidden="false" customHeight="false" outlineLevel="0" collapsed="false">
      <c r="A1615" s="22" t="n">
        <v>1614</v>
      </c>
      <c r="B1615" s="22" t="s">
        <v>167</v>
      </c>
      <c r="C1615" s="37" t="n">
        <v>46093.3759375</v>
      </c>
      <c r="D1615" s="22" t="s">
        <v>205</v>
      </c>
      <c r="E1615" s="22" t="n">
        <v>9</v>
      </c>
      <c r="F1615" s="22" t="s">
        <v>181</v>
      </c>
      <c r="G1615" s="22" t="s">
        <v>235</v>
      </c>
      <c r="H1615" s="22" t="n">
        <v>0.07</v>
      </c>
      <c r="I1615" s="38" t="n">
        <v>5157.66</v>
      </c>
      <c r="J1615" s="38" t="n">
        <v>5157.66</v>
      </c>
      <c r="K1615" s="39" t="n">
        <f aca="false">IF(F1615="BUY",J1615-I1615,I1615-J1615)</f>
        <v>0</v>
      </c>
      <c r="L1615" s="38" t="n">
        <v>5151.66</v>
      </c>
      <c r="M1615" s="39" t="n">
        <f aca="false">ABS(I1615-L1615)</f>
        <v>6</v>
      </c>
      <c r="N1615" s="24" t="n">
        <f aca="false">M1615*H1615*Summary!$C$6</f>
        <v>42</v>
      </c>
      <c r="O1615" s="37" t="n">
        <v>46093.3830092593</v>
      </c>
      <c r="P1615" s="22" t="n">
        <f aca="false">ROUND((O1615-C1615)*86400,0)</f>
        <v>611</v>
      </c>
      <c r="Q1615" s="22" t="str">
        <f aca="false">IF(P1615&lt;10,"a) &lt;10s",IF(P1615&lt;60,"b) 10-60s",IF(P1615&lt;600,"c) 1-10min","d) &gt;10min")))</f>
        <v>d) &gt;10min</v>
      </c>
      <c r="R1615" s="38" t="n">
        <v>5151.66</v>
      </c>
      <c r="S1615" s="38" t="n">
        <v>5151.55</v>
      </c>
      <c r="T1615" s="22" t="s">
        <v>188</v>
      </c>
      <c r="U1615" s="39" t="n">
        <f aca="false">IF(R1615="","",IF(F1615="BUY",R1615-S1615,S1615-R1615))</f>
        <v>0.109999999999673</v>
      </c>
      <c r="V1615" s="39" t="n">
        <f aca="false">IF(F1615="BUY",S1615-J1615,J1615-S1615)</f>
        <v>-6.10999999999967</v>
      </c>
      <c r="W1615" s="6" t="n">
        <v>-42.77</v>
      </c>
      <c r="X1615" s="26" t="n">
        <f aca="false">IFERROR(W1615/N1615,0)</f>
        <v>-1.01833333333333</v>
      </c>
      <c r="Y1615" s="22" t="str">
        <f aca="false">IF(W1615&gt;0,"Win",IF(W1615&lt;0,"Loss","Flat"))</f>
        <v>Loss</v>
      </c>
      <c r="Z1615" s="24" t="n">
        <f aca="false">Summary!$C$5+SUM(W$2:W1615)</f>
        <v>4719.23</v>
      </c>
      <c r="AA1615" s="24" t="n">
        <f aca="false">MAX(AA1614,Z1615)</f>
        <v>5106.86</v>
      </c>
      <c r="AB1615" s="24" t="n">
        <f aca="false">AA1615-Z1615</f>
        <v>387.63</v>
      </c>
      <c r="AC1615" s="23" t="n">
        <f aca="false">IFERROR(AB1615/AA1615,0)</f>
        <v>0.0759037843214813</v>
      </c>
      <c r="AD1615" s="22" t="s">
        <v>1852</v>
      </c>
    </row>
    <row r="1616" customFormat="false" ht="15" hidden="false" customHeight="false" outlineLevel="0" collapsed="false">
      <c r="A1616" s="22" t="n">
        <v>1615</v>
      </c>
      <c r="B1616" s="22" t="s">
        <v>167</v>
      </c>
      <c r="C1616" s="37" t="n">
        <v>46094.3897685185</v>
      </c>
      <c r="D1616" s="22" t="s">
        <v>206</v>
      </c>
      <c r="E1616" s="22" t="n">
        <v>9</v>
      </c>
      <c r="F1616" s="22" t="s">
        <v>182</v>
      </c>
      <c r="G1616" s="22" t="s">
        <v>241</v>
      </c>
      <c r="H1616" s="22" t="n">
        <v>0.07</v>
      </c>
      <c r="I1616" s="38" t="n">
        <v>5097.78</v>
      </c>
      <c r="J1616" s="38" t="n">
        <v>5097.67</v>
      </c>
      <c r="K1616" s="39" t="n">
        <f aca="false">IF(F1616="BUY",J1616-I1616,I1616-J1616)</f>
        <v>0.109999999999673</v>
      </c>
      <c r="L1616" s="38" t="n">
        <v>5103.78</v>
      </c>
      <c r="M1616" s="39" t="n">
        <f aca="false">ABS(I1616-L1616)</f>
        <v>6</v>
      </c>
      <c r="N1616" s="24" t="n">
        <f aca="false">M1616*H1616*Summary!$C$6</f>
        <v>42</v>
      </c>
      <c r="O1616" s="37" t="n">
        <v>46094.3918981482</v>
      </c>
      <c r="P1616" s="22" t="n">
        <f aca="false">ROUND((O1616-C1616)*86400,0)</f>
        <v>184</v>
      </c>
      <c r="Q1616" s="22" t="str">
        <f aca="false">IF(P1616&lt;10,"a) &lt;10s",IF(P1616&lt;60,"b) 10-60s",IF(P1616&lt;600,"c) 1-10min","d) &gt;10min")))</f>
        <v>c) 1-10min</v>
      </c>
      <c r="R1616" s="38" t="n">
        <v>5097.17</v>
      </c>
      <c r="S1616" s="38" t="n">
        <v>5097.22</v>
      </c>
      <c r="T1616" s="22" t="s">
        <v>189</v>
      </c>
      <c r="U1616" s="39" t="n">
        <f aca="false">IF(R1616="","",IF(F1616="BUY",R1616-S1616,S1616-R1616))</f>
        <v>0.0500000000001819</v>
      </c>
      <c r="V1616" s="39" t="n">
        <f aca="false">IF(F1616="BUY",S1616-J1616,J1616-S1616)</f>
        <v>0.449999999999818</v>
      </c>
      <c r="W1616" s="6" t="n">
        <v>3.15</v>
      </c>
      <c r="X1616" s="26" t="n">
        <f aca="false">IFERROR(W1616/N1616,0)</f>
        <v>0.075</v>
      </c>
      <c r="Y1616" s="22" t="str">
        <f aca="false">IF(W1616&gt;0,"Win",IF(W1616&lt;0,"Loss","Flat"))</f>
        <v>Win</v>
      </c>
      <c r="Z1616" s="24" t="n">
        <f aca="false">Summary!$C$5+SUM(W$2:W1616)</f>
        <v>4722.38</v>
      </c>
      <c r="AA1616" s="24" t="n">
        <f aca="false">MAX(AA1615,Z1616)</f>
        <v>5106.86</v>
      </c>
      <c r="AB1616" s="24" t="n">
        <f aca="false">AA1616-Z1616</f>
        <v>384.48</v>
      </c>
      <c r="AC1616" s="23" t="n">
        <f aca="false">IFERROR(AB1616/AA1616,0)</f>
        <v>0.0752869669425047</v>
      </c>
      <c r="AD1616" s="22" t="s">
        <v>1853</v>
      </c>
    </row>
    <row r="1617" customFormat="false" ht="15" hidden="false" customHeight="false" outlineLevel="0" collapsed="false">
      <c r="A1617" s="22" t="n">
        <v>1616</v>
      </c>
      <c r="B1617" s="22" t="s">
        <v>167</v>
      </c>
      <c r="C1617" s="37" t="n">
        <v>46094.7467939815</v>
      </c>
      <c r="D1617" s="22" t="s">
        <v>206</v>
      </c>
      <c r="E1617" s="22" t="n">
        <v>17</v>
      </c>
      <c r="F1617" s="22" t="s">
        <v>182</v>
      </c>
      <c r="G1617" s="22" t="s">
        <v>237</v>
      </c>
      <c r="H1617" s="22" t="n">
        <v>0.07</v>
      </c>
      <c r="I1617" s="38" t="n">
        <v>5054.8</v>
      </c>
      <c r="J1617" s="38" t="n">
        <v>5054.01</v>
      </c>
      <c r="K1617" s="39" t="n">
        <f aca="false">IF(F1617="BUY",J1617-I1617,I1617-J1617)</f>
        <v>0.789999999999964</v>
      </c>
      <c r="L1617" s="38" t="n">
        <v>5060.8</v>
      </c>
      <c r="M1617" s="39" t="n">
        <f aca="false">ABS(I1617-L1617)</f>
        <v>6</v>
      </c>
      <c r="N1617" s="24" t="n">
        <f aca="false">M1617*H1617*Summary!$C$6</f>
        <v>42</v>
      </c>
      <c r="O1617" s="37" t="n">
        <v>46094.7468171296</v>
      </c>
      <c r="P1617" s="22" t="n">
        <f aca="false">ROUND((O1617-C1617)*86400,0)</f>
        <v>2</v>
      </c>
      <c r="Q1617" s="22" t="str">
        <f aca="false">IF(P1617&lt;10,"a) &lt;10s",IF(P1617&lt;60,"b) 10-60s",IF(P1617&lt;600,"c) 1-10min","d) &gt;10min")))</f>
        <v>a) &lt;10s</v>
      </c>
      <c r="R1617" s="38" t="n">
        <v>5053.51</v>
      </c>
      <c r="S1617" s="38" t="n">
        <v>5053.77</v>
      </c>
      <c r="T1617" s="22" t="s">
        <v>189</v>
      </c>
      <c r="U1617" s="39" t="n">
        <f aca="false">IF(R1617="","",IF(F1617="BUY",R1617-S1617,S1617-R1617))</f>
        <v>0.260000000000218</v>
      </c>
      <c r="V1617" s="39" t="n">
        <f aca="false">IF(F1617="BUY",S1617-J1617,J1617-S1617)</f>
        <v>0.239999999999782</v>
      </c>
      <c r="W1617" s="6" t="n">
        <v>1.68</v>
      </c>
      <c r="X1617" s="26" t="n">
        <f aca="false">IFERROR(W1617/N1617,0)</f>
        <v>0.04</v>
      </c>
      <c r="Y1617" s="22" t="str">
        <f aca="false">IF(W1617&gt;0,"Win",IF(W1617&lt;0,"Loss","Flat"))</f>
        <v>Win</v>
      </c>
      <c r="Z1617" s="24" t="n">
        <f aca="false">Summary!$C$5+SUM(W$2:W1617)</f>
        <v>4724.06</v>
      </c>
      <c r="AA1617" s="24" t="n">
        <f aca="false">MAX(AA1616,Z1617)</f>
        <v>5106.86</v>
      </c>
      <c r="AB1617" s="24" t="n">
        <f aca="false">AA1617-Z1617</f>
        <v>382.799999999999</v>
      </c>
      <c r="AC1617" s="23" t="n">
        <f aca="false">IFERROR(AB1617/AA1617,0)</f>
        <v>0.0749579976737172</v>
      </c>
      <c r="AD1617" s="22" t="s">
        <v>1854</v>
      </c>
    </row>
    <row r="1618" customFormat="false" ht="15" hidden="false" customHeight="false" outlineLevel="0" collapsed="false">
      <c r="A1618" s="22" t="n">
        <v>1617</v>
      </c>
      <c r="B1618" s="22" t="s">
        <v>167</v>
      </c>
      <c r="C1618" s="37" t="n">
        <v>46097.3845601852</v>
      </c>
      <c r="D1618" s="22" t="s">
        <v>202</v>
      </c>
      <c r="E1618" s="22" t="n">
        <v>9</v>
      </c>
      <c r="F1618" s="22" t="s">
        <v>181</v>
      </c>
      <c r="G1618" s="22" t="s">
        <v>235</v>
      </c>
      <c r="H1618" s="22" t="n">
        <v>0.07</v>
      </c>
      <c r="I1618" s="38" t="n">
        <v>5026.05</v>
      </c>
      <c r="J1618" s="38" t="n">
        <v>5026.09</v>
      </c>
      <c r="K1618" s="39" t="n">
        <f aca="false">IF(F1618="BUY",J1618-I1618,I1618-J1618)</f>
        <v>0.0399999999999636</v>
      </c>
      <c r="L1618" s="38" t="n">
        <v>5020.05</v>
      </c>
      <c r="M1618" s="39" t="n">
        <f aca="false">ABS(I1618-L1618)</f>
        <v>6</v>
      </c>
      <c r="N1618" s="24" t="n">
        <f aca="false">M1618*H1618*Summary!$C$6</f>
        <v>42</v>
      </c>
      <c r="O1618" s="37" t="n">
        <v>46097.3930671296</v>
      </c>
      <c r="P1618" s="22" t="n">
        <f aca="false">ROUND((O1618-C1618)*86400,0)</f>
        <v>735</v>
      </c>
      <c r="Q1618" s="22" t="str">
        <f aca="false">IF(P1618&lt;10,"a) &lt;10s",IF(P1618&lt;60,"b) 10-60s",IF(P1618&lt;600,"c) 1-10min","d) &gt;10min")))</f>
        <v>d) &gt;10min</v>
      </c>
      <c r="R1618" s="38" t="n">
        <v>5026.59</v>
      </c>
      <c r="S1618" s="38" t="n">
        <v>5026.5</v>
      </c>
      <c r="T1618" s="22" t="s">
        <v>189</v>
      </c>
      <c r="U1618" s="39" t="n">
        <f aca="false">IF(R1618="","",IF(F1618="BUY",R1618-S1618,S1618-R1618))</f>
        <v>0.0900000000001455</v>
      </c>
      <c r="V1618" s="39" t="n">
        <f aca="false">IF(F1618="BUY",S1618-J1618,J1618-S1618)</f>
        <v>0.409999999999855</v>
      </c>
      <c r="W1618" s="6" t="n">
        <v>2.87</v>
      </c>
      <c r="X1618" s="26" t="n">
        <f aca="false">IFERROR(W1618/N1618,0)</f>
        <v>0.0683333333333333</v>
      </c>
      <c r="Y1618" s="22" t="str">
        <f aca="false">IF(W1618&gt;0,"Win",IF(W1618&lt;0,"Loss","Flat"))</f>
        <v>Win</v>
      </c>
      <c r="Z1618" s="24" t="n">
        <f aca="false">Summary!$C$5+SUM(W$2:W1618)</f>
        <v>4726.93</v>
      </c>
      <c r="AA1618" s="24" t="n">
        <f aca="false">MAX(AA1617,Z1618)</f>
        <v>5106.86</v>
      </c>
      <c r="AB1618" s="24" t="n">
        <f aca="false">AA1618-Z1618</f>
        <v>379.929999999999</v>
      </c>
      <c r="AC1618" s="23" t="n">
        <f aca="false">IFERROR(AB1618/AA1618,0)</f>
        <v>0.0743960085062053</v>
      </c>
      <c r="AD1618" s="22" t="s">
        <v>1855</v>
      </c>
    </row>
    <row r="1619" customFormat="false" ht="15" hidden="false" customHeight="false" outlineLevel="0" collapsed="false">
      <c r="A1619" s="22" t="n">
        <v>1618</v>
      </c>
      <c r="B1619" s="22" t="s">
        <v>167</v>
      </c>
      <c r="C1619" s="37" t="n">
        <v>46098.3227314815</v>
      </c>
      <c r="D1619" s="22" t="s">
        <v>203</v>
      </c>
      <c r="E1619" s="22" t="n">
        <v>7</v>
      </c>
      <c r="F1619" s="22" t="s">
        <v>181</v>
      </c>
      <c r="G1619" s="22" t="s">
        <v>243</v>
      </c>
      <c r="H1619" s="22" t="n">
        <v>0.07</v>
      </c>
      <c r="I1619" s="38" t="n">
        <v>5037.72</v>
      </c>
      <c r="J1619" s="38" t="n">
        <v>5038.05</v>
      </c>
      <c r="K1619" s="39" t="n">
        <f aca="false">IF(F1619="BUY",J1619-I1619,I1619-J1619)</f>
        <v>0.329999999999927</v>
      </c>
      <c r="L1619" s="38" t="n">
        <v>5031.72</v>
      </c>
      <c r="M1619" s="39" t="n">
        <f aca="false">ABS(I1619-L1619)</f>
        <v>6</v>
      </c>
      <c r="N1619" s="24" t="n">
        <f aca="false">M1619*H1619*Summary!$C$6</f>
        <v>42</v>
      </c>
      <c r="O1619" s="37" t="n">
        <v>46098.3227662037</v>
      </c>
      <c r="P1619" s="22" t="n">
        <f aca="false">ROUND((O1619-C1619)*86400,0)</f>
        <v>3</v>
      </c>
      <c r="Q1619" s="22" t="str">
        <f aca="false">IF(P1619&lt;10,"a) &lt;10s",IF(P1619&lt;60,"b) 10-60s",IF(P1619&lt;600,"c) 1-10min","d) &gt;10min")))</f>
        <v>a) &lt;10s</v>
      </c>
      <c r="R1619" s="38" t="n">
        <v>5038.55</v>
      </c>
      <c r="S1619" s="38" t="n">
        <v>5038.54</v>
      </c>
      <c r="T1619" s="22" t="s">
        <v>189</v>
      </c>
      <c r="U1619" s="39" t="n">
        <f aca="false">IF(R1619="","",IF(F1619="BUY",R1619-S1619,S1619-R1619))</f>
        <v>0.0100000000002183</v>
      </c>
      <c r="V1619" s="39" t="n">
        <f aca="false">IF(F1619="BUY",S1619-J1619,J1619-S1619)</f>
        <v>0.489999999999782</v>
      </c>
      <c r="W1619" s="6" t="n">
        <v>3.43</v>
      </c>
      <c r="X1619" s="26" t="n">
        <f aca="false">IFERROR(W1619/N1619,0)</f>
        <v>0.0816666666666667</v>
      </c>
      <c r="Y1619" s="22" t="str">
        <f aca="false">IF(W1619&gt;0,"Win",IF(W1619&lt;0,"Loss","Flat"))</f>
        <v>Win</v>
      </c>
      <c r="Z1619" s="24" t="n">
        <f aca="false">Summary!$C$5+SUM(W$2:W1619)</f>
        <v>4730.36</v>
      </c>
      <c r="AA1619" s="24" t="n">
        <f aca="false">MAX(AA1618,Z1619)</f>
        <v>5106.86</v>
      </c>
      <c r="AB1619" s="24" t="n">
        <f aca="false">AA1619-Z1619</f>
        <v>376.5</v>
      </c>
      <c r="AC1619" s="23" t="n">
        <f aca="false">IFERROR(AB1619/AA1619,0)</f>
        <v>0.0737243629157643</v>
      </c>
      <c r="AD1619" s="22" t="s">
        <v>1856</v>
      </c>
    </row>
    <row r="1620" customFormat="false" ht="15" hidden="false" customHeight="false" outlineLevel="0" collapsed="false">
      <c r="A1620" s="22" t="n">
        <v>1619</v>
      </c>
      <c r="B1620" s="22" t="s">
        <v>167</v>
      </c>
      <c r="C1620" s="37" t="n">
        <v>46099.3816898148</v>
      </c>
      <c r="D1620" s="22" t="s">
        <v>204</v>
      </c>
      <c r="E1620" s="22" t="n">
        <v>9</v>
      </c>
      <c r="F1620" s="22" t="s">
        <v>181</v>
      </c>
      <c r="G1620" s="22" t="s">
        <v>235</v>
      </c>
      <c r="H1620" s="22" t="n">
        <v>0.07</v>
      </c>
      <c r="I1620" s="38" t="n">
        <v>5002.27</v>
      </c>
      <c r="J1620" s="38" t="n">
        <v>5002.39</v>
      </c>
      <c r="K1620" s="39" t="n">
        <f aca="false">IF(F1620="BUY",J1620-I1620,I1620-J1620)</f>
        <v>0.119999999999891</v>
      </c>
      <c r="L1620" s="38" t="n">
        <v>4996.27</v>
      </c>
      <c r="M1620" s="39" t="n">
        <f aca="false">ABS(I1620-L1620)</f>
        <v>6</v>
      </c>
      <c r="N1620" s="24" t="n">
        <f aca="false">M1620*H1620*Summary!$C$6</f>
        <v>42</v>
      </c>
      <c r="O1620" s="37" t="n">
        <v>46099.4474652778</v>
      </c>
      <c r="P1620" s="22" t="n">
        <f aca="false">ROUND((O1620-C1620)*86400,0)</f>
        <v>5683</v>
      </c>
      <c r="Q1620" s="22" t="str">
        <f aca="false">IF(P1620&lt;10,"a) &lt;10s",IF(P1620&lt;60,"b) 10-60s",IF(P1620&lt;600,"c) 1-10min","d) &gt;10min")))</f>
        <v>d) &gt;10min</v>
      </c>
      <c r="R1620" s="38" t="n">
        <v>5002.89</v>
      </c>
      <c r="S1620" s="38" t="n">
        <v>5002.68</v>
      </c>
      <c r="T1620" s="22" t="s">
        <v>189</v>
      </c>
      <c r="U1620" s="39" t="n">
        <f aca="false">IF(R1620="","",IF(F1620="BUY",R1620-S1620,S1620-R1620))</f>
        <v>0.210000000000036</v>
      </c>
      <c r="V1620" s="39" t="n">
        <f aca="false">IF(F1620="BUY",S1620-J1620,J1620-S1620)</f>
        <v>0.289999999999964</v>
      </c>
      <c r="W1620" s="6" t="n">
        <v>2.03</v>
      </c>
      <c r="X1620" s="26" t="n">
        <f aca="false">IFERROR(W1620/N1620,0)</f>
        <v>0.0483333333333333</v>
      </c>
      <c r="Y1620" s="22" t="str">
        <f aca="false">IF(W1620&gt;0,"Win",IF(W1620&lt;0,"Loss","Flat"))</f>
        <v>Win</v>
      </c>
      <c r="Z1620" s="24" t="n">
        <f aca="false">Summary!$C$5+SUM(W$2:W1620)</f>
        <v>4732.39</v>
      </c>
      <c r="AA1620" s="24" t="n">
        <f aca="false">MAX(AA1619,Z1620)</f>
        <v>5106.86</v>
      </c>
      <c r="AB1620" s="24" t="n">
        <f aca="false">AA1620-Z1620</f>
        <v>374.469999999999</v>
      </c>
      <c r="AC1620" s="23" t="n">
        <f aca="false">IFERROR(AB1620/AA1620,0)</f>
        <v>0.073326858382646</v>
      </c>
      <c r="AD1620" s="22" t="s">
        <v>1857</v>
      </c>
    </row>
    <row r="1621" customFormat="false" ht="15" hidden="false" customHeight="false" outlineLevel="0" collapsed="false">
      <c r="A1621" s="22" t="n">
        <v>1620</v>
      </c>
      <c r="B1621" s="22" t="s">
        <v>167</v>
      </c>
      <c r="C1621" s="37" t="n">
        <v>46099.5663657407</v>
      </c>
      <c r="D1621" s="22" t="s">
        <v>204</v>
      </c>
      <c r="E1621" s="22" t="n">
        <v>13</v>
      </c>
      <c r="F1621" s="22" t="s">
        <v>182</v>
      </c>
      <c r="G1621" s="22" t="s">
        <v>237</v>
      </c>
      <c r="H1621" s="22" t="n">
        <v>0.07</v>
      </c>
      <c r="I1621" s="38" t="n">
        <v>4973.5</v>
      </c>
      <c r="J1621" s="38" t="n">
        <v>4972.06</v>
      </c>
      <c r="K1621" s="39" t="n">
        <f aca="false">IF(F1621="BUY",J1621-I1621,I1621-J1621)</f>
        <v>1.4399999999996</v>
      </c>
      <c r="L1621" s="38" t="n">
        <v>4979.5</v>
      </c>
      <c r="M1621" s="39" t="n">
        <f aca="false">ABS(I1621-L1621)</f>
        <v>6</v>
      </c>
      <c r="N1621" s="24" t="n">
        <f aca="false">M1621*H1621*Summary!$C$6</f>
        <v>42</v>
      </c>
      <c r="O1621" s="37" t="n">
        <v>46099.567962963</v>
      </c>
      <c r="P1621" s="22" t="n">
        <f aca="false">ROUND((O1621-C1621)*86400,0)</f>
        <v>138</v>
      </c>
      <c r="Q1621" s="22" t="str">
        <f aca="false">IF(P1621&lt;10,"a) &lt;10s",IF(P1621&lt;60,"b) 10-60s",IF(P1621&lt;600,"c) 1-10min","d) &gt;10min")))</f>
        <v>c) 1-10min</v>
      </c>
      <c r="R1621" s="38" t="n">
        <v>4971.56</v>
      </c>
      <c r="S1621" s="38" t="n">
        <v>4971.8</v>
      </c>
      <c r="T1621" s="22" t="s">
        <v>189</v>
      </c>
      <c r="U1621" s="39" t="n">
        <f aca="false">IF(R1621="","",IF(F1621="BUY",R1621-S1621,S1621-R1621))</f>
        <v>0.239999999999782</v>
      </c>
      <c r="V1621" s="39" t="n">
        <f aca="false">IF(F1621="BUY",S1621-J1621,J1621-S1621)</f>
        <v>0.260000000000218</v>
      </c>
      <c r="W1621" s="6" t="n">
        <v>1.82</v>
      </c>
      <c r="X1621" s="26" t="n">
        <f aca="false">IFERROR(W1621/N1621,0)</f>
        <v>0.0433333333333333</v>
      </c>
      <c r="Y1621" s="22" t="str">
        <f aca="false">IF(W1621&gt;0,"Win",IF(W1621&lt;0,"Loss","Flat"))</f>
        <v>Win</v>
      </c>
      <c r="Z1621" s="24" t="n">
        <f aca="false">Summary!$C$5+SUM(W$2:W1621)</f>
        <v>4734.21</v>
      </c>
      <c r="AA1621" s="24" t="n">
        <f aca="false">MAX(AA1620,Z1621)</f>
        <v>5106.86</v>
      </c>
      <c r="AB1621" s="24" t="n">
        <f aca="false">AA1621-Z1621</f>
        <v>372.65</v>
      </c>
      <c r="AC1621" s="23" t="n">
        <f aca="false">IFERROR(AB1621/AA1621,0)</f>
        <v>0.0729704750081263</v>
      </c>
      <c r="AD1621" s="22" t="s">
        <v>1858</v>
      </c>
    </row>
    <row r="1622" customFormat="false" ht="15" hidden="false" customHeight="false" outlineLevel="0" collapsed="false">
      <c r="A1622" s="22" t="n">
        <v>1621</v>
      </c>
      <c r="B1622" s="22" t="s">
        <v>167</v>
      </c>
      <c r="C1622" s="37" t="n">
        <v>46100.0564236111</v>
      </c>
      <c r="D1622" s="22" t="s">
        <v>205</v>
      </c>
      <c r="E1622" s="22" t="n">
        <v>1</v>
      </c>
      <c r="F1622" s="22" t="s">
        <v>182</v>
      </c>
      <c r="G1622" s="22" t="s">
        <v>237</v>
      </c>
      <c r="H1622" s="22" t="n">
        <v>0.07</v>
      </c>
      <c r="I1622" s="38" t="n">
        <v>4806.68</v>
      </c>
      <c r="J1622" s="38" t="n">
        <v>4806.6</v>
      </c>
      <c r="K1622" s="39" t="n">
        <f aca="false">IF(F1622="BUY",J1622-I1622,I1622-J1622)</f>
        <v>0.0799999999999272</v>
      </c>
      <c r="L1622" s="38" t="n">
        <v>4812.68</v>
      </c>
      <c r="M1622" s="39" t="n">
        <f aca="false">ABS(I1622-L1622)</f>
        <v>6</v>
      </c>
      <c r="N1622" s="24" t="n">
        <f aca="false">M1622*H1622*Summary!$C$6</f>
        <v>42</v>
      </c>
      <c r="O1622" s="37" t="n">
        <v>46100.0565856482</v>
      </c>
      <c r="P1622" s="22" t="n">
        <f aca="false">ROUND((O1622-C1622)*86400,0)</f>
        <v>14</v>
      </c>
      <c r="Q1622" s="22" t="str">
        <f aca="false">IF(P1622&lt;10,"a) &lt;10s",IF(P1622&lt;60,"b) 10-60s",IF(P1622&lt;600,"c) 1-10min","d) &gt;10min")))</f>
        <v>b) 10-60s</v>
      </c>
      <c r="R1622" s="38" t="n">
        <v>4812.68</v>
      </c>
      <c r="S1622" s="38" t="n">
        <v>4812.91</v>
      </c>
      <c r="T1622" s="22" t="s">
        <v>188</v>
      </c>
      <c r="U1622" s="39" t="n">
        <f aca="false">IF(R1622="","",IF(F1622="BUY",R1622-S1622,S1622-R1622))</f>
        <v>0.229999999999563</v>
      </c>
      <c r="V1622" s="39" t="n">
        <f aca="false">IF(F1622="BUY",S1622-J1622,J1622-S1622)</f>
        <v>-6.30999999999949</v>
      </c>
      <c r="W1622" s="6" t="n">
        <v>-44.17</v>
      </c>
      <c r="X1622" s="26" t="n">
        <f aca="false">IFERROR(W1622/N1622,0)</f>
        <v>-1.05166666666667</v>
      </c>
      <c r="Y1622" s="22" t="str">
        <f aca="false">IF(W1622&gt;0,"Win",IF(W1622&lt;0,"Loss","Flat"))</f>
        <v>Loss</v>
      </c>
      <c r="Z1622" s="24" t="n">
        <f aca="false">Summary!$C$5+SUM(W$2:W1622)</f>
        <v>4690.04</v>
      </c>
      <c r="AA1622" s="24" t="n">
        <f aca="false">MAX(AA1621,Z1622)</f>
        <v>5106.86</v>
      </c>
      <c r="AB1622" s="24" t="n">
        <f aca="false">AA1622-Z1622</f>
        <v>416.82</v>
      </c>
      <c r="AC1622" s="23" t="n">
        <f aca="false">IFERROR(AB1622/AA1622,0)</f>
        <v>0.0816196253666636</v>
      </c>
      <c r="AD1622" s="22" t="s">
        <v>1859</v>
      </c>
    </row>
    <row r="1623" customFormat="false" ht="15" hidden="false" customHeight="false" outlineLevel="0" collapsed="false">
      <c r="A1623" s="22" t="n">
        <v>1622</v>
      </c>
      <c r="B1623" s="22" t="s">
        <v>167</v>
      </c>
      <c r="C1623" s="37" t="n">
        <v>46100.3869212963</v>
      </c>
      <c r="D1623" s="22" t="s">
        <v>205</v>
      </c>
      <c r="E1623" s="22" t="n">
        <v>9</v>
      </c>
      <c r="F1623" s="22" t="s">
        <v>182</v>
      </c>
      <c r="G1623" s="22" t="s">
        <v>241</v>
      </c>
      <c r="H1623" s="22" t="n">
        <v>0.07</v>
      </c>
      <c r="I1623" s="38" t="n">
        <v>4826.68</v>
      </c>
      <c r="J1623" s="38" t="n">
        <v>4826.65</v>
      </c>
      <c r="K1623" s="39" t="n">
        <f aca="false">IF(F1623="BUY",J1623-I1623,I1623-J1623)</f>
        <v>0.0300000000006548</v>
      </c>
      <c r="L1623" s="38" t="n">
        <v>4832.68</v>
      </c>
      <c r="M1623" s="39" t="n">
        <f aca="false">ABS(I1623-L1623)</f>
        <v>6</v>
      </c>
      <c r="N1623" s="24" t="n">
        <f aca="false">M1623*H1623*Summary!$C$6</f>
        <v>42</v>
      </c>
      <c r="O1623" s="37" t="n">
        <v>46100.3885069444</v>
      </c>
      <c r="P1623" s="22" t="n">
        <f aca="false">ROUND((O1623-C1623)*86400,0)</f>
        <v>137</v>
      </c>
      <c r="Q1623" s="22" t="str">
        <f aca="false">IF(P1623&lt;10,"a) &lt;10s",IF(P1623&lt;60,"b) 10-60s",IF(P1623&lt;600,"c) 1-10min","d) &gt;10min")))</f>
        <v>c) 1-10min</v>
      </c>
      <c r="R1623" s="38" t="n">
        <v>4826.15</v>
      </c>
      <c r="S1623" s="38" t="n">
        <v>4826.16</v>
      </c>
      <c r="T1623" s="22" t="s">
        <v>189</v>
      </c>
      <c r="U1623" s="39" t="n">
        <f aca="false">IF(R1623="","",IF(F1623="BUY",R1623-S1623,S1623-R1623))</f>
        <v>0.0100000000002183</v>
      </c>
      <c r="V1623" s="39" t="n">
        <f aca="false">IF(F1623="BUY",S1623-J1623,J1623-S1623)</f>
        <v>0.489999999999782</v>
      </c>
      <c r="W1623" s="6" t="n">
        <v>3.43</v>
      </c>
      <c r="X1623" s="26" t="n">
        <f aca="false">IFERROR(W1623/N1623,0)</f>
        <v>0.0816666666666667</v>
      </c>
      <c r="Y1623" s="22" t="str">
        <f aca="false">IF(W1623&gt;0,"Win",IF(W1623&lt;0,"Loss","Flat"))</f>
        <v>Win</v>
      </c>
      <c r="Z1623" s="24" t="n">
        <f aca="false">Summary!$C$5+SUM(W$2:W1623)</f>
        <v>4693.47</v>
      </c>
      <c r="AA1623" s="24" t="n">
        <f aca="false">MAX(AA1622,Z1623)</f>
        <v>5106.86</v>
      </c>
      <c r="AB1623" s="24" t="n">
        <f aca="false">AA1623-Z1623</f>
        <v>413.389999999999</v>
      </c>
      <c r="AC1623" s="23" t="n">
        <f aca="false">IFERROR(AB1623/AA1623,0)</f>
        <v>0.0809479797762225</v>
      </c>
      <c r="AD1623" s="22" t="s">
        <v>1860</v>
      </c>
    </row>
    <row r="1624" customFormat="false" ht="15" hidden="false" customHeight="false" outlineLevel="0" collapsed="false">
      <c r="A1624" s="22" t="n">
        <v>1623</v>
      </c>
      <c r="B1624" s="22" t="s">
        <v>167</v>
      </c>
      <c r="C1624" s="37" t="n">
        <v>46101.3826736111</v>
      </c>
      <c r="D1624" s="22" t="s">
        <v>206</v>
      </c>
      <c r="E1624" s="22" t="n">
        <v>9</v>
      </c>
      <c r="F1624" s="22" t="s">
        <v>182</v>
      </c>
      <c r="G1624" s="22" t="s">
        <v>241</v>
      </c>
      <c r="H1624" s="22" t="n">
        <v>0.07</v>
      </c>
      <c r="I1624" s="38" t="n">
        <v>4685.49</v>
      </c>
      <c r="J1624" s="38" t="n">
        <v>4685.13</v>
      </c>
      <c r="K1624" s="39" t="n">
        <f aca="false">IF(F1624="BUY",J1624-I1624,I1624-J1624)</f>
        <v>0.359999999999673</v>
      </c>
      <c r="L1624" s="38" t="n">
        <v>4691.49</v>
      </c>
      <c r="M1624" s="39" t="n">
        <f aca="false">ABS(I1624-L1624)</f>
        <v>6</v>
      </c>
      <c r="N1624" s="24" t="n">
        <f aca="false">M1624*H1624*Summary!$C$6</f>
        <v>42</v>
      </c>
      <c r="O1624" s="37" t="n">
        <v>46101.3834837963</v>
      </c>
      <c r="P1624" s="22" t="n">
        <f aca="false">ROUND((O1624-C1624)*86400,0)</f>
        <v>70</v>
      </c>
      <c r="Q1624" s="22" t="str">
        <f aca="false">IF(P1624&lt;10,"a) &lt;10s",IF(P1624&lt;60,"b) 10-60s",IF(P1624&lt;600,"c) 1-10min","d) &gt;10min")))</f>
        <v>c) 1-10min</v>
      </c>
      <c r="R1624" s="38" t="n">
        <v>4691.49</v>
      </c>
      <c r="S1624" s="38" t="n">
        <v>4691.75</v>
      </c>
      <c r="T1624" s="22" t="s">
        <v>188</v>
      </c>
      <c r="U1624" s="39" t="n">
        <f aca="false">IF(R1624="","",IF(F1624="BUY",R1624-S1624,S1624-R1624))</f>
        <v>0.260000000000218</v>
      </c>
      <c r="V1624" s="39" t="n">
        <f aca="false">IF(F1624="BUY",S1624-J1624,J1624-S1624)</f>
        <v>-6.61999999999989</v>
      </c>
      <c r="W1624" s="6" t="n">
        <v>-46.34</v>
      </c>
      <c r="X1624" s="26" t="n">
        <f aca="false">IFERROR(W1624/N1624,0)</f>
        <v>-1.10333333333333</v>
      </c>
      <c r="Y1624" s="22" t="str">
        <f aca="false">IF(W1624&gt;0,"Win",IF(W1624&lt;0,"Loss","Flat"))</f>
        <v>Loss</v>
      </c>
      <c r="Z1624" s="24" t="n">
        <f aca="false">Summary!$C$5+SUM(W$2:W1624)</f>
        <v>4647.13</v>
      </c>
      <c r="AA1624" s="24" t="n">
        <f aca="false">MAX(AA1623,Z1624)</f>
        <v>5106.86</v>
      </c>
      <c r="AB1624" s="24" t="n">
        <f aca="false">AA1624-Z1624</f>
        <v>459.73</v>
      </c>
      <c r="AC1624" s="23" t="n">
        <f aca="false">IFERROR(AB1624/AA1624,0)</f>
        <v>0.0900220487736103</v>
      </c>
      <c r="AD1624" s="22" t="s">
        <v>1861</v>
      </c>
    </row>
    <row r="1625" customFormat="false" ht="15" hidden="false" customHeight="false" outlineLevel="0" collapsed="false">
      <c r="A1625" s="22" t="n">
        <v>1624</v>
      </c>
      <c r="B1625" s="22" t="s">
        <v>167</v>
      </c>
      <c r="C1625" s="37" t="n">
        <v>46101.9101157407</v>
      </c>
      <c r="D1625" s="22" t="s">
        <v>206</v>
      </c>
      <c r="E1625" s="22" t="n">
        <v>21</v>
      </c>
      <c r="F1625" s="22" t="s">
        <v>182</v>
      </c>
      <c r="G1625" s="22" t="s">
        <v>237</v>
      </c>
      <c r="H1625" s="22" t="n">
        <v>0.07</v>
      </c>
      <c r="I1625" s="38" t="n">
        <v>4502.11</v>
      </c>
      <c r="J1625" s="38" t="n">
        <v>4501.61</v>
      </c>
      <c r="K1625" s="39" t="n">
        <f aca="false">IF(F1625="BUY",J1625-I1625,I1625-J1625)</f>
        <v>0.5</v>
      </c>
      <c r="L1625" s="38" t="n">
        <v>4508.11</v>
      </c>
      <c r="M1625" s="39" t="n">
        <f aca="false">ABS(I1625-L1625)</f>
        <v>6</v>
      </c>
      <c r="N1625" s="24" t="n">
        <f aca="false">M1625*H1625*Summary!$C$6</f>
        <v>42</v>
      </c>
      <c r="O1625" s="37" t="n">
        <v>46101.9102430556</v>
      </c>
      <c r="P1625" s="22" t="n">
        <f aca="false">ROUND((O1625-C1625)*86400,0)</f>
        <v>11</v>
      </c>
      <c r="Q1625" s="22" t="str">
        <f aca="false">IF(P1625&lt;10,"a) &lt;10s",IF(P1625&lt;60,"b) 10-60s",IF(P1625&lt;600,"c) 1-10min","d) &gt;10min")))</f>
        <v>b) 10-60s</v>
      </c>
      <c r="R1625" s="38" t="n">
        <v>4508.11</v>
      </c>
      <c r="S1625" s="38" t="n">
        <v>4508.19</v>
      </c>
      <c r="T1625" s="22" t="s">
        <v>188</v>
      </c>
      <c r="U1625" s="39" t="n">
        <f aca="false">IF(R1625="","",IF(F1625="BUY",R1625-S1625,S1625-R1625))</f>
        <v>0.0799999999999272</v>
      </c>
      <c r="V1625" s="39" t="n">
        <f aca="false">IF(F1625="BUY",S1625-J1625,J1625-S1625)</f>
        <v>-6.57999999999993</v>
      </c>
      <c r="W1625" s="6" t="n">
        <v>-46.06</v>
      </c>
      <c r="X1625" s="26" t="n">
        <f aca="false">IFERROR(W1625/N1625,0)</f>
        <v>-1.09666666666667</v>
      </c>
      <c r="Y1625" s="22" t="str">
        <f aca="false">IF(W1625&gt;0,"Win",IF(W1625&lt;0,"Loss","Flat"))</f>
        <v>Loss</v>
      </c>
      <c r="Z1625" s="24" t="n">
        <f aca="false">Summary!$C$5+SUM(W$2:W1625)</f>
        <v>4601.07</v>
      </c>
      <c r="AA1625" s="24" t="n">
        <f aca="false">MAX(AA1624,Z1625)</f>
        <v>5106.86</v>
      </c>
      <c r="AB1625" s="24" t="n">
        <f aca="false">AA1625-Z1625</f>
        <v>505.79</v>
      </c>
      <c r="AC1625" s="23" t="n">
        <f aca="false">IFERROR(AB1625/AA1625,0)</f>
        <v>0.0990412895595337</v>
      </c>
      <c r="AD1625" s="22" t="s">
        <v>1862</v>
      </c>
    </row>
    <row r="1626" customFormat="false" ht="15" hidden="false" customHeight="false" outlineLevel="0" collapsed="false">
      <c r="A1626" s="22" t="n">
        <v>1625</v>
      </c>
      <c r="B1626" s="22" t="s">
        <v>167</v>
      </c>
      <c r="C1626" s="37" t="n">
        <v>46104.3758912037</v>
      </c>
      <c r="D1626" s="22" t="s">
        <v>202</v>
      </c>
      <c r="E1626" s="22" t="n">
        <v>9</v>
      </c>
      <c r="F1626" s="22" t="s">
        <v>182</v>
      </c>
      <c r="G1626" s="22" t="s">
        <v>241</v>
      </c>
      <c r="H1626" s="22" t="n">
        <v>0.07</v>
      </c>
      <c r="I1626" s="38" t="n">
        <v>4301.7</v>
      </c>
      <c r="J1626" s="38" t="n">
        <v>4301.58</v>
      </c>
      <c r="K1626" s="39" t="n">
        <f aca="false">IF(F1626="BUY",J1626-I1626,I1626-J1626)</f>
        <v>0.119999999999891</v>
      </c>
      <c r="L1626" s="38" t="n">
        <v>4307.7</v>
      </c>
      <c r="M1626" s="39" t="n">
        <f aca="false">ABS(I1626-L1626)</f>
        <v>6</v>
      </c>
      <c r="N1626" s="24" t="n">
        <f aca="false">M1626*H1626*Summary!$C$6</f>
        <v>42</v>
      </c>
      <c r="O1626" s="37" t="n">
        <v>46104.3800115741</v>
      </c>
      <c r="P1626" s="22" t="n">
        <f aca="false">ROUND((O1626-C1626)*86400,0)</f>
        <v>356</v>
      </c>
      <c r="Q1626" s="22" t="str">
        <f aca="false">IF(P1626&lt;10,"a) &lt;10s",IF(P1626&lt;60,"b) 10-60s",IF(P1626&lt;600,"c) 1-10min","d) &gt;10min")))</f>
        <v>c) 1-10min</v>
      </c>
      <c r="R1626" s="38"/>
      <c r="S1626" s="38" t="n">
        <v>4271.57</v>
      </c>
      <c r="T1626" s="22" t="s">
        <v>187</v>
      </c>
      <c r="U1626" s="39" t="str">
        <f aca="false">IF(R1626="","",IF(F1626="BUY",R1626-S1626,S1626-R1626))</f>
        <v/>
      </c>
      <c r="V1626" s="39" t="n">
        <f aca="false">IF(F1626="BUY",S1626-J1626,J1626-S1626)</f>
        <v>30.0100000000002</v>
      </c>
      <c r="W1626" s="6" t="n">
        <v>210.07</v>
      </c>
      <c r="X1626" s="26" t="n">
        <f aca="false">IFERROR(W1626/N1626,0)</f>
        <v>5.00166666666667</v>
      </c>
      <c r="Y1626" s="22" t="str">
        <f aca="false">IF(W1626&gt;0,"Win",IF(W1626&lt;0,"Loss","Flat"))</f>
        <v>Win</v>
      </c>
      <c r="Z1626" s="24" t="n">
        <f aca="false">Summary!$C$5+SUM(W$2:W1626)</f>
        <v>4811.14</v>
      </c>
      <c r="AA1626" s="24" t="n">
        <f aca="false">MAX(AA1625,Z1626)</f>
        <v>5106.86</v>
      </c>
      <c r="AB1626" s="24" t="n">
        <f aca="false">AA1626-Z1626</f>
        <v>295.719999999999</v>
      </c>
      <c r="AC1626" s="23" t="n">
        <f aca="false">IFERROR(AB1626/AA1626,0)</f>
        <v>0.0579064239082331</v>
      </c>
      <c r="AD1626" s="22" t="s">
        <v>1863</v>
      </c>
    </row>
    <row r="1627" customFormat="false" ht="15" hidden="false" customHeight="false" outlineLevel="0" collapsed="false">
      <c r="A1627" s="22" t="n">
        <v>1626</v>
      </c>
      <c r="B1627" s="22" t="s">
        <v>167</v>
      </c>
      <c r="C1627" s="37" t="n">
        <v>46105.3826041667</v>
      </c>
      <c r="D1627" s="22" t="s">
        <v>203</v>
      </c>
      <c r="E1627" s="22" t="n">
        <v>9</v>
      </c>
      <c r="F1627" s="22" t="s">
        <v>181</v>
      </c>
      <c r="G1627" s="22" t="s">
        <v>235</v>
      </c>
      <c r="H1627" s="22" t="n">
        <v>0.08</v>
      </c>
      <c r="I1627" s="38" t="n">
        <v>4373.6</v>
      </c>
      <c r="J1627" s="38" t="n">
        <v>4374.49</v>
      </c>
      <c r="K1627" s="39" t="n">
        <f aca="false">IF(F1627="BUY",J1627-I1627,I1627-J1627)</f>
        <v>0.889999999999418</v>
      </c>
      <c r="L1627" s="38" t="n">
        <v>4367.6</v>
      </c>
      <c r="M1627" s="39" t="n">
        <f aca="false">ABS(I1627-L1627)</f>
        <v>6</v>
      </c>
      <c r="N1627" s="24" t="n">
        <f aca="false">M1627*H1627*Summary!$C$6</f>
        <v>48</v>
      </c>
      <c r="O1627" s="37" t="n">
        <v>46105.3834143519</v>
      </c>
      <c r="P1627" s="22" t="n">
        <f aca="false">ROUND((O1627-C1627)*86400,0)</f>
        <v>70</v>
      </c>
      <c r="Q1627" s="22" t="str">
        <f aca="false">IF(P1627&lt;10,"a) &lt;10s",IF(P1627&lt;60,"b) 10-60s",IF(P1627&lt;600,"c) 1-10min","d) &gt;10min")))</f>
        <v>c) 1-10min</v>
      </c>
      <c r="R1627" s="38" t="n">
        <v>4367.6</v>
      </c>
      <c r="S1627" s="38" t="n">
        <v>4367.39</v>
      </c>
      <c r="T1627" s="22" t="s">
        <v>188</v>
      </c>
      <c r="U1627" s="39" t="n">
        <f aca="false">IF(R1627="","",IF(F1627="BUY",R1627-S1627,S1627-R1627))</f>
        <v>0.210000000000036</v>
      </c>
      <c r="V1627" s="39" t="n">
        <f aca="false">IF(F1627="BUY",S1627-J1627,J1627-S1627)</f>
        <v>-7.09999999999945</v>
      </c>
      <c r="W1627" s="6" t="n">
        <v>-56.8</v>
      </c>
      <c r="X1627" s="26" t="n">
        <f aca="false">IFERROR(W1627/N1627,0)</f>
        <v>-1.18333333333333</v>
      </c>
      <c r="Y1627" s="22" t="str">
        <f aca="false">IF(W1627&gt;0,"Win",IF(W1627&lt;0,"Loss","Flat"))</f>
        <v>Loss</v>
      </c>
      <c r="Z1627" s="24" t="n">
        <f aca="false">Summary!$C$5+SUM(W$2:W1627)</f>
        <v>4754.34</v>
      </c>
      <c r="AA1627" s="24" t="n">
        <f aca="false">MAX(AA1626,Z1627)</f>
        <v>5106.86</v>
      </c>
      <c r="AB1627" s="24" t="n">
        <f aca="false">AA1627-Z1627</f>
        <v>352.52</v>
      </c>
      <c r="AC1627" s="23" t="n">
        <f aca="false">IFERROR(AB1627/AA1627,0)</f>
        <v>0.0690287182339049</v>
      </c>
      <c r="AD1627" s="22" t="s">
        <v>1864</v>
      </c>
    </row>
    <row r="1628" customFormat="false" ht="15" hidden="false" customHeight="false" outlineLevel="0" collapsed="false">
      <c r="A1628" s="22" t="n">
        <v>1627</v>
      </c>
      <c r="B1628" s="22" t="s">
        <v>167</v>
      </c>
      <c r="C1628" s="37" t="n">
        <v>46106.3766550926</v>
      </c>
      <c r="D1628" s="22" t="s">
        <v>204</v>
      </c>
      <c r="E1628" s="22" t="n">
        <v>9</v>
      </c>
      <c r="F1628" s="22" t="s">
        <v>182</v>
      </c>
      <c r="G1628" s="22" t="s">
        <v>241</v>
      </c>
      <c r="H1628" s="22" t="n">
        <v>0.07</v>
      </c>
      <c r="I1628" s="38" t="n">
        <v>4548.9</v>
      </c>
      <c r="J1628" s="38" t="n">
        <v>4548.58</v>
      </c>
      <c r="K1628" s="39" t="n">
        <f aca="false">IF(F1628="BUY",J1628-I1628,I1628-J1628)</f>
        <v>0.319999999999709</v>
      </c>
      <c r="L1628" s="38" t="n">
        <v>4554.9</v>
      </c>
      <c r="M1628" s="39" t="n">
        <f aca="false">ABS(I1628-L1628)</f>
        <v>6</v>
      </c>
      <c r="N1628" s="24" t="n">
        <f aca="false">M1628*H1628*Summary!$C$6</f>
        <v>42</v>
      </c>
      <c r="O1628" s="37" t="n">
        <v>46106.3800115741</v>
      </c>
      <c r="P1628" s="22" t="n">
        <f aca="false">ROUND((O1628-C1628)*86400,0)</f>
        <v>290</v>
      </c>
      <c r="Q1628" s="22" t="str">
        <f aca="false">IF(P1628&lt;10,"a) &lt;10s",IF(P1628&lt;60,"b) 10-60s",IF(P1628&lt;600,"c) 1-10min","d) &gt;10min")))</f>
        <v>c) 1-10min</v>
      </c>
      <c r="R1628" s="38" t="n">
        <v>4548.08</v>
      </c>
      <c r="S1628" s="38" t="n">
        <v>4548.09</v>
      </c>
      <c r="T1628" s="22" t="s">
        <v>189</v>
      </c>
      <c r="U1628" s="39" t="n">
        <f aca="false">IF(R1628="","",IF(F1628="BUY",R1628-S1628,S1628-R1628))</f>
        <v>0.0100000000002183</v>
      </c>
      <c r="V1628" s="39" t="n">
        <f aca="false">IF(F1628="BUY",S1628-J1628,J1628-S1628)</f>
        <v>0.489999999999782</v>
      </c>
      <c r="W1628" s="6" t="n">
        <v>3.43</v>
      </c>
      <c r="X1628" s="26" t="n">
        <f aca="false">IFERROR(W1628/N1628,0)</f>
        <v>0.0816666666666667</v>
      </c>
      <c r="Y1628" s="22" t="str">
        <f aca="false">IF(W1628&gt;0,"Win",IF(W1628&lt;0,"Loss","Flat"))</f>
        <v>Win</v>
      </c>
      <c r="Z1628" s="24" t="n">
        <f aca="false">Summary!$C$5+SUM(W$2:W1628)</f>
        <v>4757.77</v>
      </c>
      <c r="AA1628" s="24" t="n">
        <f aca="false">MAX(AA1627,Z1628)</f>
        <v>5106.86</v>
      </c>
      <c r="AB1628" s="24" t="n">
        <f aca="false">AA1628-Z1628</f>
        <v>349.09</v>
      </c>
      <c r="AC1628" s="23" t="n">
        <f aca="false">IFERROR(AB1628/AA1628,0)</f>
        <v>0.0683570726434639</v>
      </c>
      <c r="AD1628" s="22" t="s">
        <v>1865</v>
      </c>
    </row>
    <row r="1629" customFormat="false" ht="15" hidden="false" customHeight="false" outlineLevel="0" collapsed="false">
      <c r="A1629" s="22" t="n">
        <v>1628</v>
      </c>
      <c r="B1629" s="22" t="s">
        <v>167</v>
      </c>
      <c r="C1629" s="37" t="n">
        <v>46107.3725231482</v>
      </c>
      <c r="D1629" s="22" t="s">
        <v>205</v>
      </c>
      <c r="E1629" s="22" t="n">
        <v>8</v>
      </c>
      <c r="F1629" s="22" t="s">
        <v>182</v>
      </c>
      <c r="G1629" s="22" t="s">
        <v>237</v>
      </c>
      <c r="H1629" s="22" t="n">
        <v>0.07</v>
      </c>
      <c r="I1629" s="38" t="n">
        <v>4455.26</v>
      </c>
      <c r="J1629" s="38" t="n">
        <v>4454.87</v>
      </c>
      <c r="K1629" s="39" t="n">
        <f aca="false">IF(F1629="BUY",J1629-I1629,I1629-J1629)</f>
        <v>0.390000000000327</v>
      </c>
      <c r="L1629" s="38" t="n">
        <v>4461.26</v>
      </c>
      <c r="M1629" s="39" t="n">
        <f aca="false">ABS(I1629-L1629)</f>
        <v>6</v>
      </c>
      <c r="N1629" s="24" t="n">
        <f aca="false">M1629*H1629*Summary!$C$6</f>
        <v>42</v>
      </c>
      <c r="O1629" s="37" t="n">
        <v>46107.372650463</v>
      </c>
      <c r="P1629" s="22" t="n">
        <f aca="false">ROUND((O1629-C1629)*86400,0)</f>
        <v>11</v>
      </c>
      <c r="Q1629" s="22" t="str">
        <f aca="false">IF(P1629&lt;10,"a) &lt;10s",IF(P1629&lt;60,"b) 10-60s",IF(P1629&lt;600,"c) 1-10min","d) &gt;10min")))</f>
        <v>b) 10-60s</v>
      </c>
      <c r="R1629" s="38" t="n">
        <v>4454.37</v>
      </c>
      <c r="S1629" s="38" t="n">
        <v>4454.47</v>
      </c>
      <c r="T1629" s="22" t="s">
        <v>189</v>
      </c>
      <c r="U1629" s="39" t="n">
        <f aca="false">IF(R1629="","",IF(F1629="BUY",R1629-S1629,S1629-R1629))</f>
        <v>0.100000000000364</v>
      </c>
      <c r="V1629" s="39" t="n">
        <f aca="false">IF(F1629="BUY",S1629-J1629,J1629-S1629)</f>
        <v>0.399999999999636</v>
      </c>
      <c r="W1629" s="6" t="n">
        <v>2.8</v>
      </c>
      <c r="X1629" s="26" t="n">
        <f aca="false">IFERROR(W1629/N1629,0)</f>
        <v>0.0666666666666667</v>
      </c>
      <c r="Y1629" s="22" t="str">
        <f aca="false">IF(W1629&gt;0,"Win",IF(W1629&lt;0,"Loss","Flat"))</f>
        <v>Win</v>
      </c>
      <c r="Z1629" s="24" t="n">
        <f aca="false">Summary!$C$5+SUM(W$2:W1629)</f>
        <v>4760.57</v>
      </c>
      <c r="AA1629" s="24" t="n">
        <f aca="false">MAX(AA1628,Z1629)</f>
        <v>5106.86</v>
      </c>
      <c r="AB1629" s="24" t="n">
        <f aca="false">AA1629-Z1629</f>
        <v>346.29</v>
      </c>
      <c r="AC1629" s="23" t="n">
        <f aca="false">IFERROR(AB1629/AA1629,0)</f>
        <v>0.0678087905288181</v>
      </c>
      <c r="AD1629" s="22" t="s">
        <v>1866</v>
      </c>
    </row>
    <row r="1630" customFormat="false" ht="15" hidden="false" customHeight="false" outlineLevel="0" collapsed="false">
      <c r="A1630" s="22" t="n">
        <v>1629</v>
      </c>
      <c r="B1630" s="22" t="s">
        <v>167</v>
      </c>
      <c r="C1630" s="37" t="n">
        <v>46108.4774305556</v>
      </c>
      <c r="D1630" s="22" t="s">
        <v>206</v>
      </c>
      <c r="E1630" s="22" t="n">
        <v>11</v>
      </c>
      <c r="F1630" s="22" t="s">
        <v>182</v>
      </c>
      <c r="G1630" s="22" t="s">
        <v>241</v>
      </c>
      <c r="H1630" s="22" t="n">
        <v>0.07</v>
      </c>
      <c r="I1630" s="38" t="n">
        <v>4431.22</v>
      </c>
      <c r="J1630" s="38" t="n">
        <v>4431.22</v>
      </c>
      <c r="K1630" s="39" t="n">
        <f aca="false">IF(F1630="BUY",J1630-I1630,I1630-J1630)</f>
        <v>0</v>
      </c>
      <c r="L1630" s="38" t="n">
        <v>4437.22</v>
      </c>
      <c r="M1630" s="39" t="n">
        <f aca="false">ABS(I1630-L1630)</f>
        <v>6</v>
      </c>
      <c r="N1630" s="24" t="n">
        <f aca="false">M1630*H1630*Summary!$C$6</f>
        <v>42</v>
      </c>
      <c r="O1630" s="37" t="n">
        <v>46108.4813194444</v>
      </c>
      <c r="P1630" s="22" t="n">
        <f aca="false">ROUND((O1630-C1630)*86400,0)</f>
        <v>336</v>
      </c>
      <c r="Q1630" s="22" t="str">
        <f aca="false">IF(P1630&lt;10,"a) &lt;10s",IF(P1630&lt;60,"b) 10-60s",IF(P1630&lt;600,"c) 1-10min","d) &gt;10min")))</f>
        <v>c) 1-10min</v>
      </c>
      <c r="R1630" s="38" t="n">
        <v>4437.22</v>
      </c>
      <c r="S1630" s="38" t="n">
        <v>4437.51</v>
      </c>
      <c r="T1630" s="22" t="s">
        <v>188</v>
      </c>
      <c r="U1630" s="39" t="n">
        <f aca="false">IF(R1630="","",IF(F1630="BUY",R1630-S1630,S1630-R1630))</f>
        <v>0.289999999999964</v>
      </c>
      <c r="V1630" s="39" t="n">
        <f aca="false">IF(F1630="BUY",S1630-J1630,J1630-S1630)</f>
        <v>-6.28999999999996</v>
      </c>
      <c r="W1630" s="6" t="n">
        <v>-44.03</v>
      </c>
      <c r="X1630" s="26" t="n">
        <f aca="false">IFERROR(W1630/N1630,0)</f>
        <v>-1.04833333333333</v>
      </c>
      <c r="Y1630" s="22" t="str">
        <f aca="false">IF(W1630&gt;0,"Win",IF(W1630&lt;0,"Loss","Flat"))</f>
        <v>Loss</v>
      </c>
      <c r="Z1630" s="24" t="n">
        <f aca="false">Summary!$C$5+SUM(W$2:W1630)</f>
        <v>4716.54</v>
      </c>
      <c r="AA1630" s="24" t="n">
        <f aca="false">MAX(AA1629,Z1630)</f>
        <v>5106.86</v>
      </c>
      <c r="AB1630" s="24" t="n">
        <f aca="false">AA1630-Z1630</f>
        <v>390.32</v>
      </c>
      <c r="AC1630" s="23" t="n">
        <f aca="false">IFERROR(AB1630/AA1630,0)</f>
        <v>0.0764305267816231</v>
      </c>
      <c r="AD1630" s="22" t="s">
        <v>1867</v>
      </c>
    </row>
    <row r="1631" customFormat="false" ht="15" hidden="false" customHeight="false" outlineLevel="0" collapsed="false">
      <c r="A1631" s="22" t="n">
        <v>1630</v>
      </c>
      <c r="B1631" s="22" t="s">
        <v>167</v>
      </c>
      <c r="C1631" s="37" t="n">
        <v>46108.7649884259</v>
      </c>
      <c r="D1631" s="22" t="s">
        <v>206</v>
      </c>
      <c r="E1631" s="22" t="n">
        <v>18</v>
      </c>
      <c r="F1631" s="22" t="s">
        <v>181</v>
      </c>
      <c r="G1631" s="22" t="s">
        <v>243</v>
      </c>
      <c r="H1631" s="22" t="n">
        <v>0.07</v>
      </c>
      <c r="I1631" s="38" t="n">
        <v>4544.28</v>
      </c>
      <c r="J1631" s="38" t="n">
        <v>4544.33</v>
      </c>
      <c r="K1631" s="39" t="n">
        <f aca="false">IF(F1631="BUY",J1631-I1631,I1631-J1631)</f>
        <v>0.0500000000001819</v>
      </c>
      <c r="L1631" s="38" t="n">
        <v>4538.28</v>
      </c>
      <c r="M1631" s="39" t="n">
        <f aca="false">ABS(I1631-L1631)</f>
        <v>6</v>
      </c>
      <c r="N1631" s="24" t="n">
        <f aca="false">M1631*H1631*Summary!$C$6</f>
        <v>42</v>
      </c>
      <c r="O1631" s="37" t="n">
        <v>46108.7652430556</v>
      </c>
      <c r="P1631" s="22" t="n">
        <f aca="false">ROUND((O1631-C1631)*86400,0)</f>
        <v>22</v>
      </c>
      <c r="Q1631" s="22" t="str">
        <f aca="false">IF(P1631&lt;10,"a) &lt;10s",IF(P1631&lt;60,"b) 10-60s",IF(P1631&lt;600,"c) 1-10min","d) &gt;10min")))</f>
        <v>b) 10-60s</v>
      </c>
      <c r="R1631" s="38" t="n">
        <v>4544.83</v>
      </c>
      <c r="S1631" s="38" t="n">
        <v>4544.64</v>
      </c>
      <c r="T1631" s="22" t="s">
        <v>189</v>
      </c>
      <c r="U1631" s="39" t="n">
        <f aca="false">IF(R1631="","",IF(F1631="BUY",R1631-S1631,S1631-R1631))</f>
        <v>0.1899999999996</v>
      </c>
      <c r="V1631" s="39" t="n">
        <f aca="false">IF(F1631="BUY",S1631-J1631,J1631-S1631)</f>
        <v>0.3100000000004</v>
      </c>
      <c r="W1631" s="6" t="n">
        <v>2.17</v>
      </c>
      <c r="X1631" s="26" t="n">
        <f aca="false">IFERROR(W1631/N1631,0)</f>
        <v>0.0516666666666667</v>
      </c>
      <c r="Y1631" s="22" t="str">
        <f aca="false">IF(W1631&gt;0,"Win",IF(W1631&lt;0,"Loss","Flat"))</f>
        <v>Win</v>
      </c>
      <c r="Z1631" s="24" t="n">
        <f aca="false">Summary!$C$5+SUM(W$2:W1631)</f>
        <v>4718.71</v>
      </c>
      <c r="AA1631" s="24" t="n">
        <f aca="false">MAX(AA1630,Z1631)</f>
        <v>5106.86</v>
      </c>
      <c r="AB1631" s="24" t="n">
        <f aca="false">AA1631-Z1631</f>
        <v>388.15</v>
      </c>
      <c r="AC1631" s="23" t="n">
        <f aca="false">IFERROR(AB1631/AA1631,0)</f>
        <v>0.0760056081427726</v>
      </c>
      <c r="AD1631" s="22" t="s">
        <v>1868</v>
      </c>
    </row>
    <row r="1632" customFormat="false" ht="15" hidden="false" customHeight="false" outlineLevel="0" collapsed="false">
      <c r="A1632" s="22" t="n">
        <v>1631</v>
      </c>
      <c r="B1632" s="22" t="s">
        <v>167</v>
      </c>
      <c r="C1632" s="37" t="n">
        <v>46111.378587963</v>
      </c>
      <c r="D1632" s="22" t="s">
        <v>202</v>
      </c>
      <c r="E1632" s="22" t="n">
        <v>9</v>
      </c>
      <c r="F1632" s="22" t="s">
        <v>181</v>
      </c>
      <c r="G1632" s="22" t="s">
        <v>235</v>
      </c>
      <c r="H1632" s="22" t="n">
        <v>0.07</v>
      </c>
      <c r="I1632" s="38" t="n">
        <v>4528.22</v>
      </c>
      <c r="J1632" s="38" t="n">
        <v>4528.42</v>
      </c>
      <c r="K1632" s="39" t="n">
        <f aca="false">IF(F1632="BUY",J1632-I1632,I1632-J1632)</f>
        <v>0.199999999999818</v>
      </c>
      <c r="L1632" s="38" t="n">
        <v>4522.22</v>
      </c>
      <c r="M1632" s="39" t="n">
        <f aca="false">ABS(I1632-L1632)</f>
        <v>6</v>
      </c>
      <c r="N1632" s="24" t="n">
        <f aca="false">M1632*H1632*Summary!$C$6</f>
        <v>42</v>
      </c>
      <c r="O1632" s="37" t="n">
        <v>46111.3817708333</v>
      </c>
      <c r="P1632" s="22" t="n">
        <f aca="false">ROUND((O1632-C1632)*86400,0)</f>
        <v>275</v>
      </c>
      <c r="Q1632" s="22" t="str">
        <f aca="false">IF(P1632&lt;10,"a) &lt;10s",IF(P1632&lt;60,"b) 10-60s",IF(P1632&lt;600,"c) 1-10min","d) &gt;10min")))</f>
        <v>c) 1-10min</v>
      </c>
      <c r="R1632" s="38" t="n">
        <v>4528.92</v>
      </c>
      <c r="S1632" s="38" t="n">
        <v>4528.87</v>
      </c>
      <c r="T1632" s="22" t="s">
        <v>189</v>
      </c>
      <c r="U1632" s="39" t="n">
        <f aca="false">IF(R1632="","",IF(F1632="BUY",R1632-S1632,S1632-R1632))</f>
        <v>0.0500000000001819</v>
      </c>
      <c r="V1632" s="39" t="n">
        <f aca="false">IF(F1632="BUY",S1632-J1632,J1632-S1632)</f>
        <v>0.449999999999818</v>
      </c>
      <c r="W1632" s="6" t="n">
        <v>3.15</v>
      </c>
      <c r="X1632" s="26" t="n">
        <f aca="false">IFERROR(W1632/N1632,0)</f>
        <v>0.075</v>
      </c>
      <c r="Y1632" s="22" t="str">
        <f aca="false">IF(W1632&gt;0,"Win",IF(W1632&lt;0,"Loss","Flat"))</f>
        <v>Win</v>
      </c>
      <c r="Z1632" s="24" t="n">
        <f aca="false">Summary!$C$5+SUM(W$2:W1632)</f>
        <v>4721.86</v>
      </c>
      <c r="AA1632" s="24" t="n">
        <f aca="false">MAX(AA1631,Z1632)</f>
        <v>5106.86</v>
      </c>
      <c r="AB1632" s="24" t="n">
        <f aca="false">AA1632-Z1632</f>
        <v>385</v>
      </c>
      <c r="AC1632" s="23" t="n">
        <f aca="false">IFERROR(AB1632/AA1632,0)</f>
        <v>0.0753887907637962</v>
      </c>
      <c r="AD1632" s="22" t="s">
        <v>1869</v>
      </c>
    </row>
    <row r="1633" customFormat="false" ht="15" hidden="false" customHeight="false" outlineLevel="0" collapsed="false">
      <c r="A1633" s="22" t="n">
        <v>1632</v>
      </c>
      <c r="B1633" s="22" t="s">
        <v>167</v>
      </c>
      <c r="C1633" s="37" t="n">
        <v>46111.6144675926</v>
      </c>
      <c r="D1633" s="22" t="s">
        <v>202</v>
      </c>
      <c r="E1633" s="22" t="n">
        <v>14</v>
      </c>
      <c r="F1633" s="22" t="s">
        <v>181</v>
      </c>
      <c r="G1633" s="22" t="s">
        <v>243</v>
      </c>
      <c r="H1633" s="22" t="n">
        <v>0.07</v>
      </c>
      <c r="I1633" s="38" t="n">
        <v>4554.97</v>
      </c>
      <c r="J1633" s="38" t="n">
        <v>4556.85</v>
      </c>
      <c r="K1633" s="39" t="n">
        <f aca="false">IF(F1633="BUY",J1633-I1633,I1633-J1633)</f>
        <v>1.88000000000011</v>
      </c>
      <c r="L1633" s="38" t="n">
        <v>4548.97</v>
      </c>
      <c r="M1633" s="39" t="n">
        <f aca="false">ABS(I1633-L1633)</f>
        <v>6</v>
      </c>
      <c r="N1633" s="24" t="n">
        <f aca="false">M1633*H1633*Summary!$C$6</f>
        <v>42</v>
      </c>
      <c r="O1633" s="37" t="n">
        <v>46111.6239351852</v>
      </c>
      <c r="P1633" s="22" t="n">
        <f aca="false">ROUND((O1633-C1633)*86400,0)</f>
        <v>818</v>
      </c>
      <c r="Q1633" s="22" t="str">
        <f aca="false">IF(P1633&lt;10,"a) &lt;10s",IF(P1633&lt;60,"b) 10-60s",IF(P1633&lt;600,"c) 1-10min","d) &gt;10min")))</f>
        <v>d) &gt;10min</v>
      </c>
      <c r="R1633" s="38" t="n">
        <v>4557.35</v>
      </c>
      <c r="S1633" s="38" t="n">
        <v>4557.27</v>
      </c>
      <c r="T1633" s="22" t="s">
        <v>189</v>
      </c>
      <c r="U1633" s="39" t="n">
        <f aca="false">IF(R1633="","",IF(F1633="BUY",R1633-S1633,S1633-R1633))</f>
        <v>0.0799999999999272</v>
      </c>
      <c r="V1633" s="39" t="n">
        <f aca="false">IF(F1633="BUY",S1633-J1633,J1633-S1633)</f>
        <v>0.420000000000073</v>
      </c>
      <c r="W1633" s="6" t="n">
        <v>2.94</v>
      </c>
      <c r="X1633" s="26" t="n">
        <f aca="false">IFERROR(W1633/N1633,0)</f>
        <v>0.07</v>
      </c>
      <c r="Y1633" s="22" t="str">
        <f aca="false">IF(W1633&gt;0,"Win",IF(W1633&lt;0,"Loss","Flat"))</f>
        <v>Win</v>
      </c>
      <c r="Z1633" s="24" t="n">
        <f aca="false">Summary!$C$5+SUM(W$2:W1633)</f>
        <v>4724.8</v>
      </c>
      <c r="AA1633" s="24" t="n">
        <f aca="false">MAX(AA1632,Z1633)</f>
        <v>5106.86</v>
      </c>
      <c r="AB1633" s="24" t="n">
        <f aca="false">AA1633-Z1633</f>
        <v>382.06</v>
      </c>
      <c r="AC1633" s="23" t="n">
        <f aca="false">IFERROR(AB1633/AA1633,0)</f>
        <v>0.074813094543418</v>
      </c>
      <c r="AD1633" s="22" t="s">
        <v>1870</v>
      </c>
    </row>
    <row r="1634" customFormat="false" ht="15" hidden="false" customHeight="false" outlineLevel="0" collapsed="false">
      <c r="A1634" s="22" t="n">
        <v>1633</v>
      </c>
      <c r="B1634" s="22" t="s">
        <v>167</v>
      </c>
      <c r="C1634" s="37" t="n">
        <v>46112.1839699074</v>
      </c>
      <c r="D1634" s="22" t="s">
        <v>203</v>
      </c>
      <c r="E1634" s="22" t="n">
        <v>4</v>
      </c>
      <c r="F1634" s="22" t="s">
        <v>181</v>
      </c>
      <c r="G1634" s="22" t="s">
        <v>243</v>
      </c>
      <c r="H1634" s="22" t="n">
        <v>0.07</v>
      </c>
      <c r="I1634" s="38" t="n">
        <v>4580.47</v>
      </c>
      <c r="J1634" s="38" t="n">
        <v>4580.95</v>
      </c>
      <c r="K1634" s="39" t="n">
        <f aca="false">IF(F1634="BUY",J1634-I1634,I1634-J1634)</f>
        <v>0.479999999999563</v>
      </c>
      <c r="L1634" s="38" t="n">
        <v>4574.47</v>
      </c>
      <c r="M1634" s="39" t="n">
        <f aca="false">ABS(I1634-L1634)</f>
        <v>6</v>
      </c>
      <c r="N1634" s="24" t="n">
        <f aca="false">M1634*H1634*Summary!$C$6</f>
        <v>42</v>
      </c>
      <c r="O1634" s="37" t="n">
        <v>46112.1846759259</v>
      </c>
      <c r="P1634" s="22" t="n">
        <f aca="false">ROUND((O1634-C1634)*86400,0)</f>
        <v>61</v>
      </c>
      <c r="Q1634" s="22" t="str">
        <f aca="false">IF(P1634&lt;10,"a) &lt;10s",IF(P1634&lt;60,"b) 10-60s",IF(P1634&lt;600,"c) 1-10min","d) &gt;10min")))</f>
        <v>c) 1-10min</v>
      </c>
      <c r="R1634" s="38" t="n">
        <v>4581.45</v>
      </c>
      <c r="S1634" s="38" t="n">
        <v>4581.16</v>
      </c>
      <c r="T1634" s="22" t="s">
        <v>189</v>
      </c>
      <c r="U1634" s="39" t="n">
        <f aca="false">IF(R1634="","",IF(F1634="BUY",R1634-S1634,S1634-R1634))</f>
        <v>0.289999999999964</v>
      </c>
      <c r="V1634" s="39" t="n">
        <f aca="false">IF(F1634="BUY",S1634-J1634,J1634-S1634)</f>
        <v>0.210000000000036</v>
      </c>
      <c r="W1634" s="6" t="n">
        <v>1.47</v>
      </c>
      <c r="X1634" s="26" t="n">
        <f aca="false">IFERROR(W1634/N1634,0)</f>
        <v>0.035</v>
      </c>
      <c r="Y1634" s="22" t="str">
        <f aca="false">IF(W1634&gt;0,"Win",IF(W1634&lt;0,"Loss","Flat"))</f>
        <v>Win</v>
      </c>
      <c r="Z1634" s="24" t="n">
        <f aca="false">Summary!$C$5+SUM(W$2:W1634)</f>
        <v>4726.27</v>
      </c>
      <c r="AA1634" s="24" t="n">
        <f aca="false">MAX(AA1633,Z1634)</f>
        <v>5106.86</v>
      </c>
      <c r="AB1634" s="24" t="n">
        <f aca="false">AA1634-Z1634</f>
        <v>380.589999999999</v>
      </c>
      <c r="AC1634" s="23" t="n">
        <f aca="false">IFERROR(AB1634/AA1634,0)</f>
        <v>0.0745252464332289</v>
      </c>
      <c r="AD1634" s="22" t="s">
        <v>1871</v>
      </c>
    </row>
    <row r="1635" customFormat="false" ht="15" hidden="false" customHeight="false" outlineLevel="0" collapsed="false">
      <c r="A1635" s="22" t="n">
        <v>1634</v>
      </c>
      <c r="B1635" s="22" t="s">
        <v>167</v>
      </c>
      <c r="C1635" s="37" t="n">
        <v>46112.4300810185</v>
      </c>
      <c r="D1635" s="22" t="s">
        <v>203</v>
      </c>
      <c r="E1635" s="22" t="n">
        <v>10</v>
      </c>
      <c r="F1635" s="22" t="s">
        <v>182</v>
      </c>
      <c r="G1635" s="22" t="s">
        <v>241</v>
      </c>
      <c r="H1635" s="22" t="n">
        <v>0.07</v>
      </c>
      <c r="I1635" s="38" t="n">
        <v>4547.44</v>
      </c>
      <c r="J1635" s="38" t="n">
        <v>4547.41</v>
      </c>
      <c r="K1635" s="39" t="n">
        <f aca="false">IF(F1635="BUY",J1635-I1635,I1635-J1635)</f>
        <v>0.0299999999997453</v>
      </c>
      <c r="L1635" s="38" t="n">
        <v>4553.44</v>
      </c>
      <c r="M1635" s="39" t="n">
        <f aca="false">ABS(I1635-L1635)</f>
        <v>6</v>
      </c>
      <c r="N1635" s="24" t="n">
        <f aca="false">M1635*H1635*Summary!$C$6</f>
        <v>42</v>
      </c>
      <c r="O1635" s="37" t="n">
        <v>46112.430462963</v>
      </c>
      <c r="P1635" s="22" t="n">
        <f aca="false">ROUND((O1635-C1635)*86400,0)</f>
        <v>33</v>
      </c>
      <c r="Q1635" s="22" t="str">
        <f aca="false">IF(P1635&lt;10,"a) &lt;10s",IF(P1635&lt;60,"b) 10-60s",IF(P1635&lt;600,"c) 1-10min","d) &gt;10min")))</f>
        <v>b) 10-60s</v>
      </c>
      <c r="R1635" s="38" t="n">
        <v>4546.91</v>
      </c>
      <c r="S1635" s="38" t="n">
        <v>4547.33</v>
      </c>
      <c r="T1635" s="22" t="s">
        <v>189</v>
      </c>
      <c r="U1635" s="39" t="n">
        <f aca="false">IF(R1635="","",IF(F1635="BUY",R1635-S1635,S1635-R1635))</f>
        <v>0.420000000000073</v>
      </c>
      <c r="V1635" s="39" t="n">
        <f aca="false">IF(F1635="BUY",S1635-J1635,J1635-S1635)</f>
        <v>0.0799999999999272</v>
      </c>
      <c r="W1635" s="6" t="n">
        <v>0.56</v>
      </c>
      <c r="X1635" s="26" t="n">
        <f aca="false">IFERROR(W1635/N1635,0)</f>
        <v>0.0133333333333333</v>
      </c>
      <c r="Y1635" s="22" t="str">
        <f aca="false">IF(W1635&gt;0,"Win",IF(W1635&lt;0,"Loss","Flat"))</f>
        <v>Win</v>
      </c>
      <c r="Z1635" s="24" t="n">
        <f aca="false">Summary!$C$5+SUM(W$2:W1635)</f>
        <v>4726.83</v>
      </c>
      <c r="AA1635" s="24" t="n">
        <f aca="false">MAX(AA1634,Z1635)</f>
        <v>5106.86</v>
      </c>
      <c r="AB1635" s="24" t="n">
        <f aca="false">AA1635-Z1635</f>
        <v>380.03</v>
      </c>
      <c r="AC1635" s="23" t="n">
        <f aca="false">IFERROR(AB1635/AA1635,0)</f>
        <v>0.0744155900102998</v>
      </c>
      <c r="AD1635" s="22" t="s">
        <v>1872</v>
      </c>
    </row>
    <row r="1636" customFormat="false" ht="15" hidden="false" customHeight="false" outlineLevel="0" collapsed="false">
      <c r="A1636" s="22" t="n">
        <v>1635</v>
      </c>
      <c r="B1636" s="22" t="s">
        <v>168</v>
      </c>
      <c r="C1636" s="37" t="n">
        <v>46113.0682523148</v>
      </c>
      <c r="D1636" s="22" t="s">
        <v>204</v>
      </c>
      <c r="E1636" s="22" t="n">
        <v>1</v>
      </c>
      <c r="F1636" s="22" t="s">
        <v>181</v>
      </c>
      <c r="G1636" s="22" t="s">
        <v>243</v>
      </c>
      <c r="H1636" s="22" t="n">
        <v>0.07</v>
      </c>
      <c r="I1636" s="38" t="n">
        <v>4686.94</v>
      </c>
      <c r="J1636" s="38" t="n">
        <v>4687.32</v>
      </c>
      <c r="K1636" s="39" t="n">
        <f aca="false">IF(F1636="BUY",J1636-I1636,I1636-J1636)</f>
        <v>0.380000000000109</v>
      </c>
      <c r="L1636" s="38" t="n">
        <v>4680.94</v>
      </c>
      <c r="M1636" s="39" t="n">
        <f aca="false">ABS(I1636-L1636)</f>
        <v>6</v>
      </c>
      <c r="N1636" s="24" t="n">
        <f aca="false">M1636*H1636*Summary!$C$6</f>
        <v>42</v>
      </c>
      <c r="O1636" s="37" t="n">
        <v>46113.068900463</v>
      </c>
      <c r="P1636" s="22" t="n">
        <f aca="false">ROUND((O1636-C1636)*86400,0)</f>
        <v>56</v>
      </c>
      <c r="Q1636" s="22" t="str">
        <f aca="false">IF(P1636&lt;10,"a) &lt;10s",IF(P1636&lt;60,"b) 10-60s",IF(P1636&lt;600,"c) 1-10min","d) &gt;10min")))</f>
        <v>b) 10-60s</v>
      </c>
      <c r="R1636" s="38" t="n">
        <v>4687.82</v>
      </c>
      <c r="S1636" s="38" t="n">
        <v>4687.78</v>
      </c>
      <c r="T1636" s="22" t="s">
        <v>189</v>
      </c>
      <c r="U1636" s="39" t="n">
        <f aca="false">IF(R1636="","",IF(F1636="BUY",R1636-S1636,S1636-R1636))</f>
        <v>0.0399999999999636</v>
      </c>
      <c r="V1636" s="39" t="n">
        <f aca="false">IF(F1636="BUY",S1636-J1636,J1636-S1636)</f>
        <v>0.460000000000036</v>
      </c>
      <c r="W1636" s="6" t="n">
        <v>3.22</v>
      </c>
      <c r="X1636" s="26" t="n">
        <f aca="false">IFERROR(W1636/N1636,0)</f>
        <v>0.0766666666666667</v>
      </c>
      <c r="Y1636" s="22" t="str">
        <f aca="false">IF(W1636&gt;0,"Win",IF(W1636&lt;0,"Loss","Flat"))</f>
        <v>Win</v>
      </c>
      <c r="Z1636" s="24" t="n">
        <f aca="false">Summary!$C$5+SUM(W$2:W1636)</f>
        <v>4730.05</v>
      </c>
      <c r="AA1636" s="24" t="n">
        <f aca="false">MAX(AA1635,Z1636)</f>
        <v>5106.86</v>
      </c>
      <c r="AB1636" s="24" t="n">
        <f aca="false">AA1636-Z1636</f>
        <v>376.81</v>
      </c>
      <c r="AC1636" s="23" t="n">
        <f aca="false">IFERROR(AB1636/AA1636,0)</f>
        <v>0.0737850655784571</v>
      </c>
      <c r="AD1636" s="22" t="s">
        <v>1873</v>
      </c>
    </row>
    <row r="1637" customFormat="false" ht="15" hidden="false" customHeight="false" outlineLevel="0" collapsed="false">
      <c r="A1637" s="22" t="n">
        <v>1636</v>
      </c>
      <c r="B1637" s="22" t="s">
        <v>168</v>
      </c>
      <c r="C1637" s="37" t="n">
        <v>46113.3909259259</v>
      </c>
      <c r="D1637" s="22" t="s">
        <v>204</v>
      </c>
      <c r="E1637" s="22" t="n">
        <v>9</v>
      </c>
      <c r="F1637" s="22" t="s">
        <v>181</v>
      </c>
      <c r="G1637" s="22" t="s">
        <v>235</v>
      </c>
      <c r="H1637" s="22" t="n">
        <v>0.07</v>
      </c>
      <c r="I1637" s="38" t="n">
        <v>4703.2</v>
      </c>
      <c r="J1637" s="38" t="n">
        <v>4703.2</v>
      </c>
      <c r="K1637" s="39" t="n">
        <f aca="false">IF(F1637="BUY",J1637-I1637,I1637-J1637)</f>
        <v>0</v>
      </c>
      <c r="L1637" s="38" t="n">
        <v>4697.2</v>
      </c>
      <c r="M1637" s="39" t="n">
        <f aca="false">ABS(I1637-L1637)</f>
        <v>6</v>
      </c>
      <c r="N1637" s="24" t="n">
        <f aca="false">M1637*H1637*Summary!$C$6</f>
        <v>42</v>
      </c>
      <c r="O1637" s="37" t="n">
        <v>46113.3996990741</v>
      </c>
      <c r="P1637" s="22" t="n">
        <f aca="false">ROUND((O1637-C1637)*86400,0)</f>
        <v>758</v>
      </c>
      <c r="Q1637" s="22" t="str">
        <f aca="false">IF(P1637&lt;10,"a) &lt;10s",IF(P1637&lt;60,"b) 10-60s",IF(P1637&lt;600,"c) 1-10min","d) &gt;10min")))</f>
        <v>d) &gt;10min</v>
      </c>
      <c r="R1637" s="38" t="n">
        <v>4703.7</v>
      </c>
      <c r="S1637" s="38" t="n">
        <v>4703.41</v>
      </c>
      <c r="T1637" s="22" t="s">
        <v>189</v>
      </c>
      <c r="U1637" s="39" t="n">
        <f aca="false">IF(R1637="","",IF(F1637="BUY",R1637-S1637,S1637-R1637))</f>
        <v>0.289999999999964</v>
      </c>
      <c r="V1637" s="39" t="n">
        <f aca="false">IF(F1637="BUY",S1637-J1637,J1637-S1637)</f>
        <v>0.210000000000036</v>
      </c>
      <c r="W1637" s="6" t="n">
        <v>1.47</v>
      </c>
      <c r="X1637" s="26" t="n">
        <f aca="false">IFERROR(W1637/N1637,0)</f>
        <v>0.035</v>
      </c>
      <c r="Y1637" s="22" t="str">
        <f aca="false">IF(W1637&gt;0,"Win",IF(W1637&lt;0,"Loss","Flat"))</f>
        <v>Win</v>
      </c>
      <c r="Z1637" s="24" t="n">
        <f aca="false">Summary!$C$5+SUM(W$2:W1637)</f>
        <v>4731.52</v>
      </c>
      <c r="AA1637" s="24" t="n">
        <f aca="false">MAX(AA1636,Z1637)</f>
        <v>5106.86</v>
      </c>
      <c r="AB1637" s="24" t="n">
        <f aca="false">AA1637-Z1637</f>
        <v>375.339999999999</v>
      </c>
      <c r="AC1637" s="23" t="n">
        <f aca="false">IFERROR(AB1637/AA1637,0)</f>
        <v>0.073497217468268</v>
      </c>
      <c r="AD1637" s="22" t="s">
        <v>1874</v>
      </c>
    </row>
    <row r="1638" customFormat="false" ht="15" hidden="false" customHeight="false" outlineLevel="0" collapsed="false">
      <c r="A1638" s="22" t="n">
        <v>1637</v>
      </c>
      <c r="B1638" s="22" t="s">
        <v>168</v>
      </c>
      <c r="C1638" s="37" t="n">
        <v>46114.0938657407</v>
      </c>
      <c r="D1638" s="22" t="s">
        <v>205</v>
      </c>
      <c r="E1638" s="22" t="n">
        <v>2</v>
      </c>
      <c r="F1638" s="22" t="s">
        <v>181</v>
      </c>
      <c r="G1638" s="22" t="s">
        <v>243</v>
      </c>
      <c r="H1638" s="22" t="n">
        <v>0.07</v>
      </c>
      <c r="I1638" s="38" t="n">
        <v>4793.14</v>
      </c>
      <c r="J1638" s="38" t="n">
        <v>4793.21</v>
      </c>
      <c r="K1638" s="39" t="n">
        <f aca="false">IF(F1638="BUY",J1638-I1638,I1638-J1638)</f>
        <v>0.069999999999709</v>
      </c>
      <c r="L1638" s="38" t="n">
        <v>4787.14</v>
      </c>
      <c r="M1638" s="39" t="n">
        <f aca="false">ABS(I1638-L1638)</f>
        <v>6</v>
      </c>
      <c r="N1638" s="24" t="n">
        <f aca="false">M1638*H1638*Summary!$C$6</f>
        <v>42</v>
      </c>
      <c r="O1638" s="37" t="n">
        <v>46114.0938888889</v>
      </c>
      <c r="P1638" s="22" t="n">
        <f aca="false">ROUND((O1638-C1638)*86400,0)</f>
        <v>2</v>
      </c>
      <c r="Q1638" s="22" t="str">
        <f aca="false">IF(P1638&lt;10,"a) &lt;10s",IF(P1638&lt;60,"b) 10-60s",IF(P1638&lt;600,"c) 1-10min","d) &gt;10min")))</f>
        <v>a) &lt;10s</v>
      </c>
      <c r="R1638" s="38" t="n">
        <v>4793.71</v>
      </c>
      <c r="S1638" s="38" t="n">
        <v>4793.58</v>
      </c>
      <c r="T1638" s="22" t="s">
        <v>189</v>
      </c>
      <c r="U1638" s="39" t="n">
        <f aca="false">IF(R1638="","",IF(F1638="BUY",R1638-S1638,S1638-R1638))</f>
        <v>0.130000000000109</v>
      </c>
      <c r="V1638" s="39" t="n">
        <f aca="false">IF(F1638="BUY",S1638-J1638,J1638-S1638)</f>
        <v>0.369999999999891</v>
      </c>
      <c r="W1638" s="6" t="n">
        <v>2.59</v>
      </c>
      <c r="X1638" s="26" t="n">
        <f aca="false">IFERROR(W1638/N1638,0)</f>
        <v>0.0616666666666667</v>
      </c>
      <c r="Y1638" s="22" t="str">
        <f aca="false">IF(W1638&gt;0,"Win",IF(W1638&lt;0,"Loss","Flat"))</f>
        <v>Win</v>
      </c>
      <c r="Z1638" s="24" t="n">
        <f aca="false">Summary!$C$5+SUM(W$2:W1638)</f>
        <v>4734.11</v>
      </c>
      <c r="AA1638" s="24" t="n">
        <f aca="false">MAX(AA1637,Z1638)</f>
        <v>5106.86</v>
      </c>
      <c r="AB1638" s="24" t="n">
        <f aca="false">AA1638-Z1638</f>
        <v>372.75</v>
      </c>
      <c r="AC1638" s="23" t="n">
        <f aca="false">IFERROR(AB1638/AA1638,0)</f>
        <v>0.0729900565122208</v>
      </c>
      <c r="AD1638" s="22" t="s">
        <v>1875</v>
      </c>
    </row>
    <row r="1639" customFormat="false" ht="15" hidden="false" customHeight="false" outlineLevel="0" collapsed="false">
      <c r="A1639" s="22" t="n">
        <v>1638</v>
      </c>
      <c r="B1639" s="22" t="s">
        <v>168</v>
      </c>
      <c r="C1639" s="37" t="n">
        <v>46114.376400463</v>
      </c>
      <c r="D1639" s="22" t="s">
        <v>205</v>
      </c>
      <c r="E1639" s="22" t="n">
        <v>9</v>
      </c>
      <c r="F1639" s="22" t="s">
        <v>182</v>
      </c>
      <c r="G1639" s="22" t="s">
        <v>241</v>
      </c>
      <c r="H1639" s="22" t="n">
        <v>0.07</v>
      </c>
      <c r="I1639" s="38" t="n">
        <v>4585.41</v>
      </c>
      <c r="J1639" s="38" t="n">
        <v>4585.32</v>
      </c>
      <c r="K1639" s="39" t="n">
        <f aca="false">IF(F1639="BUY",J1639-I1639,I1639-J1639)</f>
        <v>0.0900000000001455</v>
      </c>
      <c r="L1639" s="38" t="n">
        <v>4591.41</v>
      </c>
      <c r="M1639" s="39" t="n">
        <f aca="false">ABS(I1639-L1639)</f>
        <v>6</v>
      </c>
      <c r="N1639" s="24" t="n">
        <f aca="false">M1639*H1639*Summary!$C$6</f>
        <v>42</v>
      </c>
      <c r="O1639" s="37" t="n">
        <v>46114.3764814815</v>
      </c>
      <c r="P1639" s="22" t="n">
        <f aca="false">ROUND((O1639-C1639)*86400,0)</f>
        <v>7</v>
      </c>
      <c r="Q1639" s="22" t="str">
        <f aca="false">IF(P1639&lt;10,"a) &lt;10s",IF(P1639&lt;60,"b) 10-60s",IF(P1639&lt;600,"c) 1-10min","d) &gt;10min")))</f>
        <v>a) &lt;10s</v>
      </c>
      <c r="R1639" s="38" t="n">
        <v>4584.82</v>
      </c>
      <c r="S1639" s="38" t="n">
        <v>4584.88</v>
      </c>
      <c r="T1639" s="22" t="s">
        <v>189</v>
      </c>
      <c r="U1639" s="39" t="n">
        <f aca="false">IF(R1639="","",IF(F1639="BUY",R1639-S1639,S1639-R1639))</f>
        <v>0.0600000000004002</v>
      </c>
      <c r="V1639" s="39" t="n">
        <f aca="false">IF(F1639="BUY",S1639-J1639,J1639-S1639)</f>
        <v>0.4399999999996</v>
      </c>
      <c r="W1639" s="6" t="n">
        <v>3.08</v>
      </c>
      <c r="X1639" s="26" t="n">
        <f aca="false">IFERROR(W1639/N1639,0)</f>
        <v>0.0733333333333333</v>
      </c>
      <c r="Y1639" s="22" t="str">
        <f aca="false">IF(W1639&gt;0,"Win",IF(W1639&lt;0,"Loss","Flat"))</f>
        <v>Win</v>
      </c>
      <c r="Z1639" s="24" t="n">
        <f aca="false">Summary!$C$5+SUM(W$2:W1639)</f>
        <v>4737.19</v>
      </c>
      <c r="AA1639" s="24" t="n">
        <f aca="false">MAX(AA1638,Z1639)</f>
        <v>5106.86</v>
      </c>
      <c r="AB1639" s="24" t="n">
        <f aca="false">AA1639-Z1639</f>
        <v>369.67</v>
      </c>
      <c r="AC1639" s="23" t="n">
        <f aca="false">IFERROR(AB1639/AA1639,0)</f>
        <v>0.0723869461861105</v>
      </c>
      <c r="AD1639" s="22" t="s">
        <v>1876</v>
      </c>
    </row>
    <row r="1640" customFormat="false" ht="15" hidden="false" customHeight="false" outlineLevel="0" collapsed="false">
      <c r="A1640" s="22" t="n">
        <v>1639</v>
      </c>
      <c r="B1640" s="22" t="s">
        <v>168</v>
      </c>
      <c r="C1640" s="37" t="n">
        <v>46118.4522916667</v>
      </c>
      <c r="D1640" s="22" t="s">
        <v>202</v>
      </c>
      <c r="E1640" s="22" t="n">
        <v>10</v>
      </c>
      <c r="F1640" s="22" t="s">
        <v>181</v>
      </c>
      <c r="G1640" s="22" t="s">
        <v>235</v>
      </c>
      <c r="H1640" s="22" t="n">
        <v>0.07</v>
      </c>
      <c r="I1640" s="38" t="n">
        <v>4678.45</v>
      </c>
      <c r="J1640" s="38" t="n">
        <v>4678.55</v>
      </c>
      <c r="K1640" s="39" t="n">
        <f aca="false">IF(F1640="BUY",J1640-I1640,I1640-J1640)</f>
        <v>0.100000000000364</v>
      </c>
      <c r="L1640" s="38" t="n">
        <v>4672.45</v>
      </c>
      <c r="M1640" s="39" t="n">
        <f aca="false">ABS(I1640-L1640)</f>
        <v>6</v>
      </c>
      <c r="N1640" s="24" t="n">
        <f aca="false">M1640*H1640*Summary!$C$6</f>
        <v>42</v>
      </c>
      <c r="O1640" s="37" t="n">
        <v>46118.4524305556</v>
      </c>
      <c r="P1640" s="22" t="n">
        <f aca="false">ROUND((O1640-C1640)*86400,0)</f>
        <v>12</v>
      </c>
      <c r="Q1640" s="22" t="str">
        <f aca="false">IF(P1640&lt;10,"a) &lt;10s",IF(P1640&lt;60,"b) 10-60s",IF(P1640&lt;600,"c) 1-10min","d) &gt;10min")))</f>
        <v>b) 10-60s</v>
      </c>
      <c r="R1640" s="38" t="n">
        <v>4679.05</v>
      </c>
      <c r="S1640" s="38" t="n">
        <v>4678.91</v>
      </c>
      <c r="T1640" s="22" t="s">
        <v>189</v>
      </c>
      <c r="U1640" s="39" t="n">
        <f aca="false">IF(R1640="","",IF(F1640="BUY",R1640-S1640,S1640-R1640))</f>
        <v>0.140000000000327</v>
      </c>
      <c r="V1640" s="39" t="n">
        <f aca="false">IF(F1640="BUY",S1640-J1640,J1640-S1640)</f>
        <v>0.359999999999673</v>
      </c>
      <c r="W1640" s="6" t="n">
        <v>2.52</v>
      </c>
      <c r="X1640" s="26" t="n">
        <f aca="false">IFERROR(W1640/N1640,0)</f>
        <v>0.06</v>
      </c>
      <c r="Y1640" s="22" t="str">
        <f aca="false">IF(W1640&gt;0,"Win",IF(W1640&lt;0,"Loss","Flat"))</f>
        <v>Win</v>
      </c>
      <c r="Z1640" s="24" t="n">
        <f aca="false">Summary!$C$5+SUM(W$2:W1640)</f>
        <v>4739.71</v>
      </c>
      <c r="AA1640" s="24" t="n">
        <f aca="false">MAX(AA1639,Z1640)</f>
        <v>5106.86</v>
      </c>
      <c r="AB1640" s="24" t="n">
        <f aca="false">AA1640-Z1640</f>
        <v>367.15</v>
      </c>
      <c r="AC1640" s="23" t="n">
        <f aca="false">IFERROR(AB1640/AA1640,0)</f>
        <v>0.0718934922829292</v>
      </c>
      <c r="AD1640" s="22" t="s">
        <v>1877</v>
      </c>
    </row>
    <row r="1641" customFormat="false" ht="15" hidden="false" customHeight="false" outlineLevel="0" collapsed="false">
      <c r="A1641" s="22" t="n">
        <v>1640</v>
      </c>
      <c r="B1641" s="22" t="s">
        <v>168</v>
      </c>
      <c r="C1641" s="37" t="n">
        <v>46119.4684375</v>
      </c>
      <c r="D1641" s="22" t="s">
        <v>203</v>
      </c>
      <c r="E1641" s="22" t="n">
        <v>11</v>
      </c>
      <c r="F1641" s="22" t="s">
        <v>181</v>
      </c>
      <c r="G1641" s="22" t="s">
        <v>235</v>
      </c>
      <c r="H1641" s="22" t="n">
        <v>0.07</v>
      </c>
      <c r="I1641" s="38" t="n">
        <v>4663.82</v>
      </c>
      <c r="J1641" s="38" t="n">
        <v>4664.31</v>
      </c>
      <c r="K1641" s="39" t="n">
        <f aca="false">IF(F1641="BUY",J1641-I1641,I1641-J1641)</f>
        <v>0.490000000000691</v>
      </c>
      <c r="L1641" s="38" t="n">
        <v>4657.82</v>
      </c>
      <c r="M1641" s="39" t="n">
        <f aca="false">ABS(I1641-L1641)</f>
        <v>6</v>
      </c>
      <c r="N1641" s="24" t="n">
        <f aca="false">M1641*H1641*Summary!$C$6</f>
        <v>42</v>
      </c>
      <c r="O1641" s="37" t="n">
        <v>46119.4705555556</v>
      </c>
      <c r="P1641" s="22" t="n">
        <f aca="false">ROUND((O1641-C1641)*86400,0)</f>
        <v>183</v>
      </c>
      <c r="Q1641" s="22" t="str">
        <f aca="false">IF(P1641&lt;10,"a) &lt;10s",IF(P1641&lt;60,"b) 10-60s",IF(P1641&lt;600,"c) 1-10min","d) &gt;10min")))</f>
        <v>c) 1-10min</v>
      </c>
      <c r="R1641" s="38" t="n">
        <v>4657.82</v>
      </c>
      <c r="S1641" s="38" t="n">
        <v>4657.42</v>
      </c>
      <c r="T1641" s="22" t="s">
        <v>188</v>
      </c>
      <c r="U1641" s="39" t="n">
        <f aca="false">IF(R1641="","",IF(F1641="BUY",R1641-S1641,S1641-R1641))</f>
        <v>0.399999999999636</v>
      </c>
      <c r="V1641" s="39" t="n">
        <f aca="false">IF(F1641="BUY",S1641-J1641,J1641-S1641)</f>
        <v>-6.89000000000033</v>
      </c>
      <c r="W1641" s="6" t="n">
        <v>-48.23</v>
      </c>
      <c r="X1641" s="26" t="n">
        <f aca="false">IFERROR(W1641/N1641,0)</f>
        <v>-1.14833333333333</v>
      </c>
      <c r="Y1641" s="22" t="str">
        <f aca="false">IF(W1641&gt;0,"Win",IF(W1641&lt;0,"Loss","Flat"))</f>
        <v>Loss</v>
      </c>
      <c r="Z1641" s="24" t="n">
        <f aca="false">Summary!$C$5+SUM(W$2:W1641)</f>
        <v>4691.48</v>
      </c>
      <c r="AA1641" s="24" t="n">
        <f aca="false">MAX(AA1640,Z1641)</f>
        <v>5106.86</v>
      </c>
      <c r="AB1641" s="24" t="n">
        <f aca="false">AA1641-Z1641</f>
        <v>415.38</v>
      </c>
      <c r="AC1641" s="23" t="n">
        <f aca="false">IFERROR(AB1641/AA1641,0)</f>
        <v>0.081337651707703</v>
      </c>
      <c r="AD1641" s="22" t="s">
        <v>1878</v>
      </c>
    </row>
    <row r="1642" customFormat="false" ht="15" hidden="false" customHeight="false" outlineLevel="0" collapsed="false">
      <c r="A1642" s="22" t="n">
        <v>1641</v>
      </c>
      <c r="B1642" s="22" t="s">
        <v>168</v>
      </c>
      <c r="C1642" s="37" t="n">
        <v>46120.5300578704</v>
      </c>
      <c r="D1642" s="22" t="s">
        <v>204</v>
      </c>
      <c r="E1642" s="22" t="n">
        <v>12</v>
      </c>
      <c r="F1642" s="22" t="s">
        <v>182</v>
      </c>
      <c r="G1642" s="22" t="s">
        <v>241</v>
      </c>
      <c r="H1642" s="22" t="n">
        <v>0.07</v>
      </c>
      <c r="I1642" s="38" t="n">
        <v>4789.99</v>
      </c>
      <c r="J1642" s="38" t="n">
        <v>4789.47</v>
      </c>
      <c r="K1642" s="39" t="n">
        <f aca="false">IF(F1642="BUY",J1642-I1642,I1642-J1642)</f>
        <v>0.519999999999527</v>
      </c>
      <c r="L1642" s="38" t="n">
        <v>4795.99</v>
      </c>
      <c r="M1642" s="39" t="n">
        <f aca="false">ABS(I1642-L1642)</f>
        <v>6</v>
      </c>
      <c r="N1642" s="24" t="n">
        <f aca="false">M1642*H1642*Summary!$C$6</f>
        <v>42</v>
      </c>
      <c r="O1642" s="37" t="n">
        <v>46120.5304861111</v>
      </c>
      <c r="P1642" s="22" t="n">
        <f aca="false">ROUND((O1642-C1642)*86400,0)</f>
        <v>37</v>
      </c>
      <c r="Q1642" s="22" t="str">
        <f aca="false">IF(P1642&lt;10,"a) &lt;10s",IF(P1642&lt;60,"b) 10-60s",IF(P1642&lt;600,"c) 1-10min","d) &gt;10min")))</f>
        <v>b) 10-60s</v>
      </c>
      <c r="R1642" s="38" t="n">
        <v>4788.97</v>
      </c>
      <c r="S1642" s="38" t="n">
        <v>4789.39</v>
      </c>
      <c r="T1642" s="22" t="s">
        <v>189</v>
      </c>
      <c r="U1642" s="39" t="n">
        <f aca="false">IF(R1642="","",IF(F1642="BUY",R1642-S1642,S1642-R1642))</f>
        <v>0.420000000000073</v>
      </c>
      <c r="V1642" s="39" t="n">
        <f aca="false">IF(F1642="BUY",S1642-J1642,J1642-S1642)</f>
        <v>0.0799999999999272</v>
      </c>
      <c r="W1642" s="6" t="n">
        <v>0.56</v>
      </c>
      <c r="X1642" s="26" t="n">
        <f aca="false">IFERROR(W1642/N1642,0)</f>
        <v>0.0133333333333333</v>
      </c>
      <c r="Y1642" s="22" t="str">
        <f aca="false">IF(W1642&gt;0,"Win",IF(W1642&lt;0,"Loss","Flat"))</f>
        <v>Win</v>
      </c>
      <c r="Z1642" s="24" t="n">
        <f aca="false">Summary!$C$5+SUM(W$2:W1642)</f>
        <v>4692.04</v>
      </c>
      <c r="AA1642" s="24" t="n">
        <f aca="false">MAX(AA1641,Z1642)</f>
        <v>5106.86</v>
      </c>
      <c r="AB1642" s="24" t="n">
        <f aca="false">AA1642-Z1642</f>
        <v>414.82</v>
      </c>
      <c r="AC1642" s="23" t="n">
        <f aca="false">IFERROR(AB1642/AA1642,0)</f>
        <v>0.0812279952847738</v>
      </c>
      <c r="AD1642" s="22" t="s">
        <v>1879</v>
      </c>
    </row>
    <row r="1643" customFormat="false" ht="15" hidden="false" customHeight="false" outlineLevel="0" collapsed="false">
      <c r="A1643" s="22" t="n">
        <v>1642</v>
      </c>
      <c r="B1643" s="22" t="s">
        <v>168</v>
      </c>
      <c r="C1643" s="37" t="n">
        <v>46121.1302430556</v>
      </c>
      <c r="D1643" s="22" t="s">
        <v>205</v>
      </c>
      <c r="E1643" s="22" t="n">
        <v>3</v>
      </c>
      <c r="F1643" s="22" t="s">
        <v>182</v>
      </c>
      <c r="G1643" s="22" t="s">
        <v>237</v>
      </c>
      <c r="H1643" s="22" t="n">
        <v>0.07</v>
      </c>
      <c r="I1643" s="38" t="n">
        <v>4699.24</v>
      </c>
      <c r="J1643" s="38" t="n">
        <v>4698.88</v>
      </c>
      <c r="K1643" s="39" t="n">
        <f aca="false">IF(F1643="BUY",J1643-I1643,I1643-J1643)</f>
        <v>0.359999999999673</v>
      </c>
      <c r="L1643" s="38" t="n">
        <v>4705.24</v>
      </c>
      <c r="M1643" s="39" t="n">
        <f aca="false">ABS(I1643-L1643)</f>
        <v>6</v>
      </c>
      <c r="N1643" s="24" t="n">
        <f aca="false">M1643*H1643*Summary!$C$6</f>
        <v>42</v>
      </c>
      <c r="O1643" s="37" t="n">
        <v>46121.1365046296</v>
      </c>
      <c r="P1643" s="22" t="n">
        <f aca="false">ROUND((O1643-C1643)*86400,0)</f>
        <v>541</v>
      </c>
      <c r="Q1643" s="22" t="str">
        <f aca="false">IF(P1643&lt;10,"a) &lt;10s",IF(P1643&lt;60,"b) 10-60s",IF(P1643&lt;600,"c) 1-10min","d) &gt;10min")))</f>
        <v>c) 1-10min</v>
      </c>
      <c r="R1643" s="38" t="n">
        <v>4705.24</v>
      </c>
      <c r="S1643" s="38" t="n">
        <v>4705.54</v>
      </c>
      <c r="T1643" s="22" t="s">
        <v>188</v>
      </c>
      <c r="U1643" s="39" t="n">
        <f aca="false">IF(R1643="","",IF(F1643="BUY",R1643-S1643,S1643-R1643))</f>
        <v>0.300000000000182</v>
      </c>
      <c r="V1643" s="39" t="n">
        <f aca="false">IF(F1643="BUY",S1643-J1643,J1643-S1643)</f>
        <v>-6.65999999999985</v>
      </c>
      <c r="W1643" s="6" t="n">
        <v>-46.62</v>
      </c>
      <c r="X1643" s="26" t="n">
        <f aca="false">IFERROR(W1643/N1643,0)</f>
        <v>-1.11</v>
      </c>
      <c r="Y1643" s="22" t="str">
        <f aca="false">IF(W1643&gt;0,"Win",IF(W1643&lt;0,"Loss","Flat"))</f>
        <v>Loss</v>
      </c>
      <c r="Z1643" s="24" t="n">
        <f aca="false">Summary!$C$5+SUM(W$2:W1643)</f>
        <v>4645.42</v>
      </c>
      <c r="AA1643" s="24" t="n">
        <f aca="false">MAX(AA1642,Z1643)</f>
        <v>5106.86</v>
      </c>
      <c r="AB1643" s="24" t="n">
        <f aca="false">AA1643-Z1643</f>
        <v>461.44</v>
      </c>
      <c r="AC1643" s="23" t="n">
        <f aca="false">IFERROR(AB1643/AA1643,0)</f>
        <v>0.0903568924936262</v>
      </c>
      <c r="AD1643" s="22" t="s">
        <v>1880</v>
      </c>
    </row>
    <row r="1644" customFormat="false" ht="15" hidden="false" customHeight="false" outlineLevel="0" collapsed="false">
      <c r="A1644" s="22" t="n">
        <v>1643</v>
      </c>
      <c r="B1644" s="22" t="s">
        <v>168</v>
      </c>
      <c r="C1644" s="37" t="n">
        <v>46121.4124421296</v>
      </c>
      <c r="D1644" s="22" t="s">
        <v>205</v>
      </c>
      <c r="E1644" s="22" t="n">
        <v>9</v>
      </c>
      <c r="F1644" s="22" t="s">
        <v>182</v>
      </c>
      <c r="G1644" s="22" t="s">
        <v>241</v>
      </c>
      <c r="H1644" s="22" t="n">
        <v>0.07</v>
      </c>
      <c r="I1644" s="38" t="n">
        <v>4705.52</v>
      </c>
      <c r="J1644" s="38" t="n">
        <v>4705.31</v>
      </c>
      <c r="K1644" s="39" t="n">
        <f aca="false">IF(F1644="BUY",J1644-I1644,I1644-J1644)</f>
        <v>0.210000000000036</v>
      </c>
      <c r="L1644" s="38" t="n">
        <v>4711.52</v>
      </c>
      <c r="M1644" s="39" t="n">
        <f aca="false">ABS(I1644-L1644)</f>
        <v>6</v>
      </c>
      <c r="N1644" s="24" t="n">
        <f aca="false">M1644*H1644*Summary!$C$6</f>
        <v>42</v>
      </c>
      <c r="O1644" s="37" t="n">
        <v>46121.4136342593</v>
      </c>
      <c r="P1644" s="22" t="n">
        <f aca="false">ROUND((O1644-C1644)*86400,0)</f>
        <v>103</v>
      </c>
      <c r="Q1644" s="22" t="str">
        <f aca="false">IF(P1644&lt;10,"a) &lt;10s",IF(P1644&lt;60,"b) 10-60s",IF(P1644&lt;600,"c) 1-10min","d) &gt;10min")))</f>
        <v>c) 1-10min</v>
      </c>
      <c r="R1644" s="38" t="n">
        <v>4711.52</v>
      </c>
      <c r="S1644" s="38" t="n">
        <v>4711.57</v>
      </c>
      <c r="T1644" s="22" t="s">
        <v>188</v>
      </c>
      <c r="U1644" s="39" t="n">
        <f aca="false">IF(R1644="","",IF(F1644="BUY",R1644-S1644,S1644-R1644))</f>
        <v>0.0499999999992724</v>
      </c>
      <c r="V1644" s="39" t="n">
        <f aca="false">IF(F1644="BUY",S1644-J1644,J1644-S1644)</f>
        <v>-6.25999999999931</v>
      </c>
      <c r="W1644" s="6" t="n">
        <v>-43.82</v>
      </c>
      <c r="X1644" s="26" t="n">
        <f aca="false">IFERROR(W1644/N1644,0)</f>
        <v>-1.04333333333333</v>
      </c>
      <c r="Y1644" s="22" t="str">
        <f aca="false">IF(W1644&gt;0,"Win",IF(W1644&lt;0,"Loss","Flat"))</f>
        <v>Loss</v>
      </c>
      <c r="Z1644" s="24" t="n">
        <f aca="false">Summary!$C$5+SUM(W$2:W1644)</f>
        <v>4601.6</v>
      </c>
      <c r="AA1644" s="24" t="n">
        <f aca="false">MAX(AA1643,Z1644)</f>
        <v>5106.86</v>
      </c>
      <c r="AB1644" s="24" t="n">
        <f aca="false">AA1644-Z1644</f>
        <v>505.259999999999</v>
      </c>
      <c r="AC1644" s="23" t="n">
        <f aca="false">IFERROR(AB1644/AA1644,0)</f>
        <v>0.0989375075878327</v>
      </c>
      <c r="AD1644" s="22" t="s">
        <v>1881</v>
      </c>
    </row>
    <row r="1645" customFormat="false" ht="15" hidden="false" customHeight="false" outlineLevel="0" collapsed="false">
      <c r="A1645" s="22" t="n">
        <v>1644</v>
      </c>
      <c r="B1645" s="22" t="s">
        <v>168</v>
      </c>
      <c r="C1645" s="37" t="n">
        <v>46122.3849074074</v>
      </c>
      <c r="D1645" s="22" t="s">
        <v>206</v>
      </c>
      <c r="E1645" s="22" t="n">
        <v>9</v>
      </c>
      <c r="F1645" s="22" t="s">
        <v>182</v>
      </c>
      <c r="G1645" s="22" t="s">
        <v>241</v>
      </c>
      <c r="H1645" s="22" t="n">
        <v>0.07</v>
      </c>
      <c r="I1645" s="38" t="n">
        <v>4756.93</v>
      </c>
      <c r="J1645" s="38" t="n">
        <v>4756.93</v>
      </c>
      <c r="K1645" s="39" t="n">
        <f aca="false">IF(F1645="BUY",J1645-I1645,I1645-J1645)</f>
        <v>0</v>
      </c>
      <c r="L1645" s="38" t="n">
        <v>4762.93</v>
      </c>
      <c r="M1645" s="39" t="n">
        <f aca="false">ABS(I1645-L1645)</f>
        <v>6</v>
      </c>
      <c r="N1645" s="24" t="n">
        <f aca="false">M1645*H1645*Summary!$C$6</f>
        <v>42</v>
      </c>
      <c r="O1645" s="37" t="n">
        <v>46122.3960069444</v>
      </c>
      <c r="P1645" s="22" t="n">
        <f aca="false">ROUND((O1645-C1645)*86400,0)</f>
        <v>959</v>
      </c>
      <c r="Q1645" s="22" t="str">
        <f aca="false">IF(P1645&lt;10,"a) &lt;10s",IF(P1645&lt;60,"b) 10-60s",IF(P1645&lt;600,"c) 1-10min","d) &gt;10min")))</f>
        <v>d) &gt;10min</v>
      </c>
      <c r="R1645" s="38" t="n">
        <v>4756.43</v>
      </c>
      <c r="S1645" s="38" t="n">
        <v>4756.52</v>
      </c>
      <c r="T1645" s="22" t="s">
        <v>189</v>
      </c>
      <c r="U1645" s="39" t="n">
        <f aca="false">IF(R1645="","",IF(F1645="BUY",R1645-S1645,S1645-R1645))</f>
        <v>0.0900000000001455</v>
      </c>
      <c r="V1645" s="39" t="n">
        <f aca="false">IF(F1645="BUY",S1645-J1645,J1645-S1645)</f>
        <v>0.409999999999855</v>
      </c>
      <c r="W1645" s="6" t="n">
        <v>2.87</v>
      </c>
      <c r="X1645" s="26" t="n">
        <f aca="false">IFERROR(W1645/N1645,0)</f>
        <v>0.0683333333333333</v>
      </c>
      <c r="Y1645" s="22" t="str">
        <f aca="false">IF(W1645&gt;0,"Win",IF(W1645&lt;0,"Loss","Flat"))</f>
        <v>Win</v>
      </c>
      <c r="Z1645" s="24" t="n">
        <f aca="false">Summary!$C$5+SUM(W$2:W1645)</f>
        <v>4604.47</v>
      </c>
      <c r="AA1645" s="24" t="n">
        <f aca="false">MAX(AA1644,Z1645)</f>
        <v>5106.86</v>
      </c>
      <c r="AB1645" s="24" t="n">
        <f aca="false">AA1645-Z1645</f>
        <v>502.389999999999</v>
      </c>
      <c r="AC1645" s="23" t="n">
        <f aca="false">IFERROR(AB1645/AA1645,0)</f>
        <v>0.0983755184203208</v>
      </c>
      <c r="AD1645" s="22" t="s">
        <v>1882</v>
      </c>
    </row>
    <row r="1646" customFormat="false" ht="15" hidden="false" customHeight="false" outlineLevel="0" collapsed="false">
      <c r="A1646" s="22" t="n">
        <v>1645</v>
      </c>
      <c r="B1646" s="22" t="s">
        <v>168</v>
      </c>
      <c r="C1646" s="37" t="n">
        <v>46125.3856828704</v>
      </c>
      <c r="D1646" s="22" t="s">
        <v>202</v>
      </c>
      <c r="E1646" s="22" t="n">
        <v>9</v>
      </c>
      <c r="F1646" s="22" t="s">
        <v>181</v>
      </c>
      <c r="G1646" s="22" t="s">
        <v>235</v>
      </c>
      <c r="H1646" s="22" t="n">
        <v>0.07</v>
      </c>
      <c r="I1646" s="38" t="n">
        <v>4730.61</v>
      </c>
      <c r="J1646" s="38" t="n">
        <v>4730.74</v>
      </c>
      <c r="K1646" s="39" t="n">
        <f aca="false">IF(F1646="BUY",J1646-I1646,I1646-J1646)</f>
        <v>0.130000000000109</v>
      </c>
      <c r="L1646" s="38" t="n">
        <v>4724.61</v>
      </c>
      <c r="M1646" s="39" t="n">
        <f aca="false">ABS(I1646-L1646)</f>
        <v>6</v>
      </c>
      <c r="N1646" s="24" t="n">
        <f aca="false">M1646*H1646*Summary!$C$6</f>
        <v>42</v>
      </c>
      <c r="O1646" s="37" t="n">
        <v>46125.4064583333</v>
      </c>
      <c r="P1646" s="22" t="n">
        <f aca="false">ROUND((O1646-C1646)*86400,0)</f>
        <v>1795</v>
      </c>
      <c r="Q1646" s="22" t="str">
        <f aca="false">IF(P1646&lt;10,"a) &lt;10s",IF(P1646&lt;60,"b) 10-60s",IF(P1646&lt;600,"c) 1-10min","d) &gt;10min")))</f>
        <v>d) &gt;10min</v>
      </c>
      <c r="R1646" s="38" t="n">
        <v>4724.61</v>
      </c>
      <c r="S1646" s="38" t="n">
        <v>4724.5</v>
      </c>
      <c r="T1646" s="22" t="s">
        <v>188</v>
      </c>
      <c r="U1646" s="39" t="n">
        <f aca="false">IF(R1646="","",IF(F1646="BUY",R1646-S1646,S1646-R1646))</f>
        <v>0.109999999999673</v>
      </c>
      <c r="V1646" s="39" t="n">
        <f aca="false">IF(F1646="BUY",S1646-J1646,J1646-S1646)</f>
        <v>-6.23999999999978</v>
      </c>
      <c r="W1646" s="6" t="n">
        <v>-43.68</v>
      </c>
      <c r="X1646" s="26" t="n">
        <f aca="false">IFERROR(W1646/N1646,0)</f>
        <v>-1.04</v>
      </c>
      <c r="Y1646" s="22" t="str">
        <f aca="false">IF(W1646&gt;0,"Win",IF(W1646&lt;0,"Loss","Flat"))</f>
        <v>Loss</v>
      </c>
      <c r="Z1646" s="24" t="n">
        <f aca="false">Summary!$C$5+SUM(W$2:W1646)</f>
        <v>4560.79</v>
      </c>
      <c r="AA1646" s="24" t="n">
        <f aca="false">MAX(AA1645,Z1646)</f>
        <v>5106.86</v>
      </c>
      <c r="AB1646" s="24" t="n">
        <f aca="false">AA1646-Z1646</f>
        <v>546.07</v>
      </c>
      <c r="AC1646" s="23" t="n">
        <f aca="false">IFERROR(AB1646/AA1646,0)</f>
        <v>0.106928719408795</v>
      </c>
      <c r="AD1646" s="22" t="s">
        <v>1883</v>
      </c>
    </row>
    <row r="1647" customFormat="false" ht="15" hidden="false" customHeight="false" outlineLevel="0" collapsed="false">
      <c r="A1647" s="22" t="n">
        <v>1646</v>
      </c>
      <c r="B1647" s="22" t="s">
        <v>168</v>
      </c>
      <c r="C1647" s="37" t="n">
        <v>46126.4116203704</v>
      </c>
      <c r="D1647" s="22" t="s">
        <v>203</v>
      </c>
      <c r="E1647" s="22" t="n">
        <v>9</v>
      </c>
      <c r="F1647" s="22" t="s">
        <v>181</v>
      </c>
      <c r="G1647" s="22" t="s">
        <v>235</v>
      </c>
      <c r="H1647" s="22" t="n">
        <v>0.07</v>
      </c>
      <c r="I1647" s="38" t="n">
        <v>4776.94</v>
      </c>
      <c r="J1647" s="38" t="n">
        <v>4776.96</v>
      </c>
      <c r="K1647" s="39" t="n">
        <f aca="false">IF(F1647="BUY",J1647-I1647,I1647-J1647)</f>
        <v>0.0200000000004366</v>
      </c>
      <c r="L1647" s="38" t="n">
        <v>4770.94</v>
      </c>
      <c r="M1647" s="39" t="n">
        <f aca="false">ABS(I1647-L1647)</f>
        <v>6</v>
      </c>
      <c r="N1647" s="24" t="n">
        <f aca="false">M1647*H1647*Summary!$C$6</f>
        <v>42</v>
      </c>
      <c r="O1647" s="37" t="n">
        <v>46126.4126736111</v>
      </c>
      <c r="P1647" s="22" t="n">
        <f aca="false">ROUND((O1647-C1647)*86400,0)</f>
        <v>91</v>
      </c>
      <c r="Q1647" s="22" t="str">
        <f aca="false">IF(P1647&lt;10,"a) &lt;10s",IF(P1647&lt;60,"b) 10-60s",IF(P1647&lt;600,"c) 1-10min","d) &gt;10min")))</f>
        <v>c) 1-10min</v>
      </c>
      <c r="R1647" s="38" t="n">
        <v>4777.46</v>
      </c>
      <c r="S1647" s="38" t="n">
        <v>4777.46</v>
      </c>
      <c r="T1647" s="22" t="s">
        <v>189</v>
      </c>
      <c r="U1647" s="39" t="n">
        <f aca="false">IF(R1647="","",IF(F1647="BUY",R1647-S1647,S1647-R1647))</f>
        <v>0</v>
      </c>
      <c r="V1647" s="39" t="n">
        <f aca="false">IF(F1647="BUY",S1647-J1647,J1647-S1647)</f>
        <v>0.5</v>
      </c>
      <c r="W1647" s="6" t="n">
        <v>3.5</v>
      </c>
      <c r="X1647" s="26" t="n">
        <f aca="false">IFERROR(W1647/N1647,0)</f>
        <v>0.0833333333333333</v>
      </c>
      <c r="Y1647" s="22" t="str">
        <f aca="false">IF(W1647&gt;0,"Win",IF(W1647&lt;0,"Loss","Flat"))</f>
        <v>Win</v>
      </c>
      <c r="Z1647" s="24" t="n">
        <f aca="false">Summary!$C$5+SUM(W$2:W1647)</f>
        <v>4564.29</v>
      </c>
      <c r="AA1647" s="24" t="n">
        <f aca="false">MAX(AA1646,Z1647)</f>
        <v>5106.86</v>
      </c>
      <c r="AB1647" s="24" t="n">
        <f aca="false">AA1647-Z1647</f>
        <v>542.57</v>
      </c>
      <c r="AC1647" s="23" t="n">
        <f aca="false">IFERROR(AB1647/AA1647,0)</f>
        <v>0.106243366765488</v>
      </c>
      <c r="AD1647" s="22" t="s">
        <v>1884</v>
      </c>
    </row>
    <row r="1648" customFormat="false" ht="15" hidden="false" customHeight="false" outlineLevel="0" collapsed="false">
      <c r="A1648" s="22" t="n">
        <v>1647</v>
      </c>
      <c r="B1648" s="22" t="s">
        <v>168</v>
      </c>
      <c r="C1648" s="37" t="n">
        <v>46127.3975810185</v>
      </c>
      <c r="D1648" s="22" t="s">
        <v>204</v>
      </c>
      <c r="E1648" s="22" t="n">
        <v>9</v>
      </c>
      <c r="F1648" s="22" t="s">
        <v>182</v>
      </c>
      <c r="G1648" s="22" t="s">
        <v>241</v>
      </c>
      <c r="H1648" s="22" t="n">
        <v>0.07</v>
      </c>
      <c r="I1648" s="38" t="n">
        <v>4812.45</v>
      </c>
      <c r="J1648" s="38" t="n">
        <v>4811.82</v>
      </c>
      <c r="K1648" s="39" t="n">
        <f aca="false">IF(F1648="BUY",J1648-I1648,I1648-J1648)</f>
        <v>0.630000000000109</v>
      </c>
      <c r="L1648" s="38" t="n">
        <v>4818.45</v>
      </c>
      <c r="M1648" s="39" t="n">
        <f aca="false">ABS(I1648-L1648)</f>
        <v>6</v>
      </c>
      <c r="N1648" s="24" t="n">
        <f aca="false">M1648*H1648*Summary!$C$6</f>
        <v>42</v>
      </c>
      <c r="O1648" s="37" t="n">
        <v>46127.4076851852</v>
      </c>
      <c r="P1648" s="22" t="n">
        <f aca="false">ROUND((O1648-C1648)*86400,0)</f>
        <v>873</v>
      </c>
      <c r="Q1648" s="22" t="str">
        <f aca="false">IF(P1648&lt;10,"a) &lt;10s",IF(P1648&lt;60,"b) 10-60s",IF(P1648&lt;600,"c) 1-10min","d) &gt;10min")))</f>
        <v>d) &gt;10min</v>
      </c>
      <c r="R1648" s="38" t="n">
        <v>4818.45</v>
      </c>
      <c r="S1648" s="38" t="n">
        <v>4818.52</v>
      </c>
      <c r="T1648" s="22" t="s">
        <v>188</v>
      </c>
      <c r="U1648" s="39" t="n">
        <f aca="false">IF(R1648="","",IF(F1648="BUY",R1648-S1648,S1648-R1648))</f>
        <v>0.0700000000006185</v>
      </c>
      <c r="V1648" s="39" t="n">
        <f aca="false">IF(F1648="BUY",S1648-J1648,J1648-S1648)</f>
        <v>-6.70000000000073</v>
      </c>
      <c r="W1648" s="6" t="n">
        <v>-46.9</v>
      </c>
      <c r="X1648" s="26" t="n">
        <f aca="false">IFERROR(W1648/N1648,0)</f>
        <v>-1.11666666666667</v>
      </c>
      <c r="Y1648" s="22" t="str">
        <f aca="false">IF(W1648&gt;0,"Win",IF(W1648&lt;0,"Loss","Flat"))</f>
        <v>Loss</v>
      </c>
      <c r="Z1648" s="24" t="n">
        <f aca="false">Summary!$C$5+SUM(W$2:W1648)</f>
        <v>4517.39</v>
      </c>
      <c r="AA1648" s="24" t="n">
        <f aca="false">MAX(AA1647,Z1648)</f>
        <v>5106.86</v>
      </c>
      <c r="AB1648" s="24" t="n">
        <f aca="false">AA1648-Z1648</f>
        <v>589.469999999999</v>
      </c>
      <c r="AC1648" s="23" t="n">
        <f aca="false">IFERROR(AB1648/AA1648,0)</f>
        <v>0.115427092185805</v>
      </c>
      <c r="AD1648" s="22" t="s">
        <v>1885</v>
      </c>
    </row>
    <row r="1649" customFormat="false" ht="15" hidden="false" customHeight="false" outlineLevel="0" collapsed="false">
      <c r="A1649" s="22" t="n">
        <v>1648</v>
      </c>
      <c r="B1649" s="22" t="s">
        <v>168</v>
      </c>
      <c r="C1649" s="37" t="n">
        <v>46128.7051388889</v>
      </c>
      <c r="D1649" s="22" t="s">
        <v>205</v>
      </c>
      <c r="E1649" s="22" t="n">
        <v>16</v>
      </c>
      <c r="F1649" s="22" t="s">
        <v>182</v>
      </c>
      <c r="G1649" s="22" t="s">
        <v>237</v>
      </c>
      <c r="H1649" s="22" t="n">
        <v>0.07</v>
      </c>
      <c r="I1649" s="38" t="n">
        <v>4785.89</v>
      </c>
      <c r="J1649" s="38" t="n">
        <v>4785.03</v>
      </c>
      <c r="K1649" s="39" t="n">
        <f aca="false">IF(F1649="BUY",J1649-I1649,I1649-J1649)</f>
        <v>0.860000000000582</v>
      </c>
      <c r="L1649" s="38" t="n">
        <v>4791.89</v>
      </c>
      <c r="M1649" s="39" t="n">
        <f aca="false">ABS(I1649-L1649)</f>
        <v>6</v>
      </c>
      <c r="N1649" s="24" t="n">
        <f aca="false">M1649*H1649*Summary!$C$6</f>
        <v>42</v>
      </c>
      <c r="O1649" s="37" t="n">
        <v>46128.7055092593</v>
      </c>
      <c r="P1649" s="22" t="n">
        <f aca="false">ROUND((O1649-C1649)*86400,0)</f>
        <v>32</v>
      </c>
      <c r="Q1649" s="22" t="str">
        <f aca="false">IF(P1649&lt;10,"a) &lt;10s",IF(P1649&lt;60,"b) 10-60s",IF(P1649&lt;600,"c) 1-10min","d) &gt;10min")))</f>
        <v>b) 10-60s</v>
      </c>
      <c r="R1649" s="38" t="n">
        <v>4791.89</v>
      </c>
      <c r="S1649" s="38" t="n">
        <v>4792.17</v>
      </c>
      <c r="T1649" s="22" t="s">
        <v>188</v>
      </c>
      <c r="U1649" s="39" t="n">
        <f aca="false">IF(R1649="","",IF(F1649="BUY",R1649-S1649,S1649-R1649))</f>
        <v>0.279999999999745</v>
      </c>
      <c r="V1649" s="39" t="n">
        <f aca="false">IF(F1649="BUY",S1649-J1649,J1649-S1649)</f>
        <v>-7.14000000000033</v>
      </c>
      <c r="W1649" s="6" t="n">
        <v>-49.98</v>
      </c>
      <c r="X1649" s="26" t="n">
        <f aca="false">IFERROR(W1649/N1649,0)</f>
        <v>-1.19</v>
      </c>
      <c r="Y1649" s="22" t="str">
        <f aca="false">IF(W1649&gt;0,"Win",IF(W1649&lt;0,"Loss","Flat"))</f>
        <v>Loss</v>
      </c>
      <c r="Z1649" s="24" t="n">
        <f aca="false">Summary!$C$5+SUM(W$2:W1649)</f>
        <v>4467.41</v>
      </c>
      <c r="AA1649" s="24" t="n">
        <f aca="false">MAX(AA1648,Z1649)</f>
        <v>5106.86</v>
      </c>
      <c r="AB1649" s="24" t="n">
        <f aca="false">AA1649-Z1649</f>
        <v>639.45</v>
      </c>
      <c r="AC1649" s="23" t="n">
        <f aca="false">IFERROR(AB1649/AA1649,0)</f>
        <v>0.125213927932232</v>
      </c>
      <c r="AD1649" s="22" t="s">
        <v>1886</v>
      </c>
    </row>
    <row r="1650" customFormat="false" ht="15" hidden="false" customHeight="false" outlineLevel="0" collapsed="false">
      <c r="A1650" s="22" t="n">
        <v>1649</v>
      </c>
      <c r="B1650" s="22" t="s">
        <v>168</v>
      </c>
      <c r="C1650" s="37" t="n">
        <v>46129.1752314815</v>
      </c>
      <c r="D1650" s="22" t="s">
        <v>206</v>
      </c>
      <c r="E1650" s="22" t="n">
        <v>4</v>
      </c>
      <c r="F1650" s="22" t="s">
        <v>182</v>
      </c>
      <c r="G1650" s="22" t="s">
        <v>237</v>
      </c>
      <c r="H1650" s="22" t="n">
        <v>0.07</v>
      </c>
      <c r="I1650" s="38" t="n">
        <v>4772.9</v>
      </c>
      <c r="J1650" s="38" t="n">
        <v>4769.38</v>
      </c>
      <c r="K1650" s="39" t="n">
        <f aca="false">IF(F1650="BUY",J1650-I1650,I1650-J1650)</f>
        <v>3.51999999999953</v>
      </c>
      <c r="L1650" s="38" t="n">
        <v>4778.9</v>
      </c>
      <c r="M1650" s="39" t="n">
        <f aca="false">ABS(I1650-L1650)</f>
        <v>6</v>
      </c>
      <c r="N1650" s="24" t="n">
        <f aca="false">M1650*H1650*Summary!$C$6</f>
        <v>42</v>
      </c>
      <c r="O1650" s="37" t="n">
        <v>46129.1756828704</v>
      </c>
      <c r="P1650" s="22" t="n">
        <f aca="false">ROUND((O1650-C1650)*86400,0)</f>
        <v>39</v>
      </c>
      <c r="Q1650" s="22" t="str">
        <f aca="false">IF(P1650&lt;10,"a) &lt;10s",IF(P1650&lt;60,"b) 10-60s",IF(P1650&lt;600,"c) 1-10min","d) &gt;10min")))</f>
        <v>b) 10-60s</v>
      </c>
      <c r="R1650" s="38" t="n">
        <v>4778.9</v>
      </c>
      <c r="S1650" s="38" t="n">
        <v>4779.17</v>
      </c>
      <c r="T1650" s="22" t="s">
        <v>188</v>
      </c>
      <c r="U1650" s="39" t="n">
        <f aca="false">IF(R1650="","",IF(F1650="BUY",R1650-S1650,S1650-R1650))</f>
        <v>0.270000000000437</v>
      </c>
      <c r="V1650" s="39" t="n">
        <f aca="false">IF(F1650="BUY",S1650-J1650,J1650-S1650)</f>
        <v>-9.78999999999996</v>
      </c>
      <c r="W1650" s="6" t="n">
        <v>-68.53</v>
      </c>
      <c r="X1650" s="26" t="n">
        <f aca="false">IFERROR(W1650/N1650,0)</f>
        <v>-1.63166666666667</v>
      </c>
      <c r="Y1650" s="22" t="str">
        <f aca="false">IF(W1650&gt;0,"Win",IF(W1650&lt;0,"Loss","Flat"))</f>
        <v>Loss</v>
      </c>
      <c r="Z1650" s="24" t="n">
        <f aca="false">Summary!$C$5+SUM(W$2:W1650)</f>
        <v>4398.88</v>
      </c>
      <c r="AA1650" s="24" t="n">
        <f aca="false">MAX(AA1649,Z1650)</f>
        <v>5106.86</v>
      </c>
      <c r="AB1650" s="24" t="n">
        <f aca="false">AA1650-Z1650</f>
        <v>707.98</v>
      </c>
      <c r="AC1650" s="23" t="n">
        <f aca="false">IFERROR(AB1650/AA1650,0)</f>
        <v>0.138633132688188</v>
      </c>
      <c r="AD1650" s="22" t="s">
        <v>1887</v>
      </c>
    </row>
    <row r="1651" customFormat="false" ht="15" hidden="false" customHeight="false" outlineLevel="0" collapsed="false">
      <c r="A1651" s="22" t="n">
        <v>1650</v>
      </c>
      <c r="B1651" s="22" t="s">
        <v>168</v>
      </c>
      <c r="C1651" s="37" t="n">
        <v>46129.3750925926</v>
      </c>
      <c r="D1651" s="22" t="s">
        <v>206</v>
      </c>
      <c r="E1651" s="22" t="n">
        <v>9</v>
      </c>
      <c r="F1651" s="22" t="s">
        <v>182</v>
      </c>
      <c r="G1651" s="22" t="s">
        <v>241</v>
      </c>
      <c r="H1651" s="22" t="n">
        <v>0.07</v>
      </c>
      <c r="I1651" s="38" t="n">
        <v>4792.27</v>
      </c>
      <c r="J1651" s="38" t="n">
        <v>4792.16</v>
      </c>
      <c r="K1651" s="39" t="n">
        <f aca="false">IF(F1651="BUY",J1651-I1651,I1651-J1651)</f>
        <v>0.110000000000582</v>
      </c>
      <c r="L1651" s="38" t="n">
        <v>4798.27</v>
      </c>
      <c r="M1651" s="39" t="n">
        <f aca="false">ABS(I1651-L1651)</f>
        <v>6</v>
      </c>
      <c r="N1651" s="24" t="n">
        <f aca="false">M1651*H1651*Summary!$C$6</f>
        <v>42</v>
      </c>
      <c r="O1651" s="37" t="n">
        <v>46129.4344097222</v>
      </c>
      <c r="P1651" s="22" t="n">
        <f aca="false">ROUND((O1651-C1651)*86400,0)</f>
        <v>5125</v>
      </c>
      <c r="Q1651" s="22" t="str">
        <f aca="false">IF(P1651&lt;10,"a) &lt;10s",IF(P1651&lt;60,"b) 10-60s",IF(P1651&lt;600,"c) 1-10min","d) &gt;10min")))</f>
        <v>d) &gt;10min</v>
      </c>
      <c r="R1651" s="38" t="n">
        <v>4791.66</v>
      </c>
      <c r="S1651" s="38" t="n">
        <v>4791.77</v>
      </c>
      <c r="T1651" s="22" t="s">
        <v>189</v>
      </c>
      <c r="U1651" s="39" t="n">
        <f aca="false">IF(R1651="","",IF(F1651="BUY",R1651-S1651,S1651-R1651))</f>
        <v>0.110000000000582</v>
      </c>
      <c r="V1651" s="39" t="n">
        <f aca="false">IF(F1651="BUY",S1651-J1651,J1651-S1651)</f>
        <v>0.389999999999418</v>
      </c>
      <c r="W1651" s="6" t="n">
        <v>2.73</v>
      </c>
      <c r="X1651" s="26" t="n">
        <f aca="false">IFERROR(W1651/N1651,0)</f>
        <v>0.065</v>
      </c>
      <c r="Y1651" s="22" t="str">
        <f aca="false">IF(W1651&gt;0,"Win",IF(W1651&lt;0,"Loss","Flat"))</f>
        <v>Win</v>
      </c>
      <c r="Z1651" s="24" t="n">
        <f aca="false">Summary!$C$5+SUM(W$2:W1651)</f>
        <v>4401.61</v>
      </c>
      <c r="AA1651" s="24" t="n">
        <f aca="false">MAX(AA1650,Z1651)</f>
        <v>5106.86</v>
      </c>
      <c r="AB1651" s="24" t="n">
        <f aca="false">AA1651-Z1651</f>
        <v>705.25</v>
      </c>
      <c r="AC1651" s="23" t="n">
        <f aca="false">IFERROR(AB1651/AA1651,0)</f>
        <v>0.138098557626408</v>
      </c>
      <c r="AD1651" s="22" t="s">
        <v>1888</v>
      </c>
    </row>
    <row r="1652" customFormat="false" ht="15" hidden="false" customHeight="false" outlineLevel="0" collapsed="false">
      <c r="A1652" s="22" t="n">
        <v>1651</v>
      </c>
      <c r="B1652" s="22" t="s">
        <v>168</v>
      </c>
      <c r="C1652" s="37" t="n">
        <v>46132.4166087963</v>
      </c>
      <c r="D1652" s="22" t="s">
        <v>202</v>
      </c>
      <c r="E1652" s="22" t="n">
        <v>9</v>
      </c>
      <c r="F1652" s="22" t="s">
        <v>181</v>
      </c>
      <c r="G1652" s="22" t="s">
        <v>235</v>
      </c>
      <c r="H1652" s="22" t="n">
        <v>0.07</v>
      </c>
      <c r="I1652" s="38" t="n">
        <v>4795.85</v>
      </c>
      <c r="J1652" s="38" t="n">
        <v>4795.88</v>
      </c>
      <c r="K1652" s="39" t="n">
        <f aca="false">IF(F1652="BUY",J1652-I1652,I1652-J1652)</f>
        <v>0.0299999999997453</v>
      </c>
      <c r="L1652" s="38" t="n">
        <v>4789.85</v>
      </c>
      <c r="M1652" s="39" t="n">
        <f aca="false">ABS(I1652-L1652)</f>
        <v>6</v>
      </c>
      <c r="N1652" s="24" t="n">
        <f aca="false">M1652*H1652*Summary!$C$6</f>
        <v>42</v>
      </c>
      <c r="O1652" s="37" t="n">
        <v>46132.4166898148</v>
      </c>
      <c r="P1652" s="22" t="n">
        <f aca="false">ROUND((O1652-C1652)*86400,0)</f>
        <v>7</v>
      </c>
      <c r="Q1652" s="22" t="str">
        <f aca="false">IF(P1652&lt;10,"a) &lt;10s",IF(P1652&lt;60,"b) 10-60s",IF(P1652&lt;600,"c) 1-10min","d) &gt;10min")))</f>
        <v>a) &lt;10s</v>
      </c>
      <c r="R1652" s="38" t="n">
        <v>4796.38</v>
      </c>
      <c r="S1652" s="38" t="n">
        <v>4796.1</v>
      </c>
      <c r="T1652" s="22" t="s">
        <v>189</v>
      </c>
      <c r="U1652" s="39" t="n">
        <f aca="false">IF(R1652="","",IF(F1652="BUY",R1652-S1652,S1652-R1652))</f>
        <v>0.279999999999745</v>
      </c>
      <c r="V1652" s="39" t="n">
        <f aca="false">IF(F1652="BUY",S1652-J1652,J1652-S1652)</f>
        <v>0.220000000000255</v>
      </c>
      <c r="W1652" s="6" t="n">
        <v>1.54</v>
      </c>
      <c r="X1652" s="26" t="n">
        <f aca="false">IFERROR(W1652/N1652,0)</f>
        <v>0.0366666666666667</v>
      </c>
      <c r="Y1652" s="22" t="str">
        <f aca="false">IF(W1652&gt;0,"Win",IF(W1652&lt;0,"Loss","Flat"))</f>
        <v>Win</v>
      </c>
      <c r="Z1652" s="24" t="n">
        <f aca="false">Summary!$C$5+SUM(W$2:W1652)</f>
        <v>4403.15</v>
      </c>
      <c r="AA1652" s="24" t="n">
        <f aca="false">MAX(AA1651,Z1652)</f>
        <v>5106.86</v>
      </c>
      <c r="AB1652" s="24" t="n">
        <f aca="false">AA1652-Z1652</f>
        <v>703.71</v>
      </c>
      <c r="AC1652" s="23" t="n">
        <f aca="false">IFERROR(AB1652/AA1652,0)</f>
        <v>0.137797002463353</v>
      </c>
      <c r="AD1652" s="22" t="s">
        <v>1889</v>
      </c>
    </row>
    <row r="1653" customFormat="false" ht="15" hidden="false" customHeight="false" outlineLevel="0" collapsed="false">
      <c r="A1653" s="22" t="n">
        <v>1652</v>
      </c>
      <c r="B1653" s="22" t="s">
        <v>168</v>
      </c>
      <c r="C1653" s="37" t="n">
        <v>46133.3750810185</v>
      </c>
      <c r="D1653" s="22" t="s">
        <v>203</v>
      </c>
      <c r="E1653" s="22" t="n">
        <v>9</v>
      </c>
      <c r="F1653" s="22" t="s">
        <v>182</v>
      </c>
      <c r="G1653" s="22" t="s">
        <v>241</v>
      </c>
      <c r="H1653" s="22" t="n">
        <v>0.07</v>
      </c>
      <c r="I1653" s="38" t="n">
        <v>4782.79</v>
      </c>
      <c r="J1653" s="38" t="n">
        <v>4782.74</v>
      </c>
      <c r="K1653" s="39" t="n">
        <f aca="false">IF(F1653="BUY",J1653-I1653,I1653-J1653)</f>
        <v>0.0500000000001819</v>
      </c>
      <c r="L1653" s="38" t="n">
        <v>4788.79</v>
      </c>
      <c r="M1653" s="39" t="n">
        <f aca="false">ABS(I1653-L1653)</f>
        <v>6</v>
      </c>
      <c r="N1653" s="24" t="n">
        <f aca="false">M1653*H1653*Summary!$C$6</f>
        <v>42</v>
      </c>
      <c r="O1653" s="37" t="n">
        <v>46133.3753703704</v>
      </c>
      <c r="P1653" s="22" t="n">
        <f aca="false">ROUND((O1653-C1653)*86400,0)</f>
        <v>25</v>
      </c>
      <c r="Q1653" s="22" t="str">
        <f aca="false">IF(P1653&lt;10,"a) &lt;10s",IF(P1653&lt;60,"b) 10-60s",IF(P1653&lt;600,"c) 1-10min","d) &gt;10min")))</f>
        <v>b) 10-60s</v>
      </c>
      <c r="R1653" s="38" t="n">
        <v>4782.24</v>
      </c>
      <c r="S1653" s="38" t="n">
        <v>4782.92</v>
      </c>
      <c r="T1653" s="22" t="s">
        <v>189</v>
      </c>
      <c r="U1653" s="39" t="n">
        <f aca="false">IF(R1653="","",IF(F1653="BUY",R1653-S1653,S1653-R1653))</f>
        <v>0.680000000000291</v>
      </c>
      <c r="V1653" s="39" t="n">
        <f aca="false">IF(F1653="BUY",S1653-J1653,J1653-S1653)</f>
        <v>-0.180000000000291</v>
      </c>
      <c r="W1653" s="6" t="n">
        <v>-1.26</v>
      </c>
      <c r="X1653" s="26" t="n">
        <f aca="false">IFERROR(W1653/N1653,0)</f>
        <v>-0.03</v>
      </c>
      <c r="Y1653" s="22" t="str">
        <f aca="false">IF(W1653&gt;0,"Win",IF(W1653&lt;0,"Loss","Flat"))</f>
        <v>Loss</v>
      </c>
      <c r="Z1653" s="24" t="n">
        <f aca="false">Summary!$C$5+SUM(W$2:W1653)</f>
        <v>4401.89</v>
      </c>
      <c r="AA1653" s="24" t="n">
        <f aca="false">MAX(AA1652,Z1653)</f>
        <v>5106.86</v>
      </c>
      <c r="AB1653" s="24" t="n">
        <f aca="false">AA1653-Z1653</f>
        <v>704.969999999999</v>
      </c>
      <c r="AC1653" s="23" t="n">
        <f aca="false">IFERROR(AB1653/AA1653,0)</f>
        <v>0.138043729414944</v>
      </c>
      <c r="AD1653" s="22" t="s">
        <v>1890</v>
      </c>
    </row>
    <row r="1654" customFormat="false" ht="15" hidden="false" customHeight="false" outlineLevel="0" collapsed="false">
      <c r="A1654" s="22" t="n">
        <v>1653</v>
      </c>
      <c r="B1654" s="22" t="s">
        <v>168</v>
      </c>
      <c r="C1654" s="37" t="n">
        <v>46133.7407291667</v>
      </c>
      <c r="D1654" s="22" t="s">
        <v>203</v>
      </c>
      <c r="E1654" s="22" t="n">
        <v>17</v>
      </c>
      <c r="F1654" s="22" t="s">
        <v>182</v>
      </c>
      <c r="G1654" s="22" t="s">
        <v>237</v>
      </c>
      <c r="H1654" s="22" t="n">
        <v>0.07</v>
      </c>
      <c r="I1654" s="38" t="n">
        <v>4736.64</v>
      </c>
      <c r="J1654" s="38" t="n">
        <v>4735.81</v>
      </c>
      <c r="K1654" s="39" t="n">
        <f aca="false">IF(F1654="BUY",J1654-I1654,I1654-J1654)</f>
        <v>0.829999999999927</v>
      </c>
      <c r="L1654" s="38" t="n">
        <v>4742.64</v>
      </c>
      <c r="M1654" s="39" t="n">
        <f aca="false">ABS(I1654-L1654)</f>
        <v>6</v>
      </c>
      <c r="N1654" s="24" t="n">
        <f aca="false">M1654*H1654*Summary!$C$6</f>
        <v>42</v>
      </c>
      <c r="O1654" s="37" t="n">
        <v>46133.7451388889</v>
      </c>
      <c r="P1654" s="22" t="n">
        <f aca="false">ROUND((O1654-C1654)*86400,0)</f>
        <v>381</v>
      </c>
      <c r="Q1654" s="22" t="str">
        <f aca="false">IF(P1654&lt;10,"a) &lt;10s",IF(P1654&lt;60,"b) 10-60s",IF(P1654&lt;600,"c) 1-10min","d) &gt;10min")))</f>
        <v>c) 1-10min</v>
      </c>
      <c r="R1654" s="38" t="n">
        <v>4735.31</v>
      </c>
      <c r="S1654" s="38" t="n">
        <v>4735.61</v>
      </c>
      <c r="T1654" s="22" t="s">
        <v>189</v>
      </c>
      <c r="U1654" s="39" t="n">
        <f aca="false">IF(R1654="","",IF(F1654="BUY",R1654-S1654,S1654-R1654))</f>
        <v>0.299999999999272</v>
      </c>
      <c r="V1654" s="39" t="n">
        <f aca="false">IF(F1654="BUY",S1654-J1654,J1654-S1654)</f>
        <v>0.200000000000728</v>
      </c>
      <c r="W1654" s="6" t="n">
        <v>1.4</v>
      </c>
      <c r="X1654" s="26" t="n">
        <f aca="false">IFERROR(W1654/N1654,0)</f>
        <v>0.0333333333333333</v>
      </c>
      <c r="Y1654" s="22" t="str">
        <f aca="false">IF(W1654&gt;0,"Win",IF(W1654&lt;0,"Loss","Flat"))</f>
        <v>Win</v>
      </c>
      <c r="Z1654" s="24" t="n">
        <f aca="false">Summary!$C$5+SUM(W$2:W1654)</f>
        <v>4403.29</v>
      </c>
      <c r="AA1654" s="24" t="n">
        <f aca="false">MAX(AA1653,Z1654)</f>
        <v>5106.86</v>
      </c>
      <c r="AB1654" s="24" t="n">
        <f aca="false">AA1654-Z1654</f>
        <v>703.57</v>
      </c>
      <c r="AC1654" s="23" t="n">
        <f aca="false">IFERROR(AB1654/AA1654,0)</f>
        <v>0.137769588357621</v>
      </c>
      <c r="AD1654" s="22" t="s">
        <v>1891</v>
      </c>
    </row>
    <row r="1655" customFormat="false" ht="15" hidden="false" customHeight="false" outlineLevel="0" collapsed="false">
      <c r="A1655" s="22" t="n">
        <v>1654</v>
      </c>
      <c r="B1655" s="22" t="s">
        <v>168</v>
      </c>
      <c r="C1655" s="37" t="n">
        <v>46134.4224768519</v>
      </c>
      <c r="D1655" s="22" t="s">
        <v>204</v>
      </c>
      <c r="E1655" s="22" t="n">
        <v>10</v>
      </c>
      <c r="F1655" s="22" t="s">
        <v>181</v>
      </c>
      <c r="G1655" s="22" t="s">
        <v>235</v>
      </c>
      <c r="H1655" s="22" t="n">
        <v>0.07</v>
      </c>
      <c r="I1655" s="38" t="n">
        <v>4771.94</v>
      </c>
      <c r="J1655" s="38" t="n">
        <v>4772.06</v>
      </c>
      <c r="K1655" s="39" t="n">
        <f aca="false">IF(F1655="BUY",J1655-I1655,I1655-J1655)</f>
        <v>0.1200000000008</v>
      </c>
      <c r="L1655" s="38" t="n">
        <v>4765.94</v>
      </c>
      <c r="M1655" s="39" t="n">
        <f aca="false">ABS(I1655-L1655)</f>
        <v>6</v>
      </c>
      <c r="N1655" s="24" t="n">
        <f aca="false">M1655*H1655*Summary!$C$6</f>
        <v>42</v>
      </c>
      <c r="O1655" s="37" t="n">
        <v>46134.4247337963</v>
      </c>
      <c r="P1655" s="22" t="n">
        <f aca="false">ROUND((O1655-C1655)*86400,0)</f>
        <v>195</v>
      </c>
      <c r="Q1655" s="22" t="str">
        <f aca="false">IF(P1655&lt;10,"a) &lt;10s",IF(P1655&lt;60,"b) 10-60s",IF(P1655&lt;600,"c) 1-10min","d) &gt;10min")))</f>
        <v>c) 1-10min</v>
      </c>
      <c r="R1655" s="38" t="n">
        <v>4765.94</v>
      </c>
      <c r="S1655" s="38" t="n">
        <v>4765.89</v>
      </c>
      <c r="T1655" s="22" t="s">
        <v>188</v>
      </c>
      <c r="U1655" s="39" t="n">
        <f aca="false">IF(R1655="","",IF(F1655="BUY",R1655-S1655,S1655-R1655))</f>
        <v>0.0499999999992724</v>
      </c>
      <c r="V1655" s="39" t="n">
        <f aca="false">IF(F1655="BUY",S1655-J1655,J1655-S1655)</f>
        <v>-6.17000000000007</v>
      </c>
      <c r="W1655" s="6" t="n">
        <v>-43.19</v>
      </c>
      <c r="X1655" s="26" t="n">
        <f aca="false">IFERROR(W1655/N1655,0)</f>
        <v>-1.02833333333333</v>
      </c>
      <c r="Y1655" s="22" t="str">
        <f aca="false">IF(W1655&gt;0,"Win",IF(W1655&lt;0,"Loss","Flat"))</f>
        <v>Loss</v>
      </c>
      <c r="Z1655" s="24" t="n">
        <f aca="false">Summary!$C$5+SUM(W$2:W1655)</f>
        <v>4360.1</v>
      </c>
      <c r="AA1655" s="24" t="n">
        <f aca="false">MAX(AA1654,Z1655)</f>
        <v>5106.86</v>
      </c>
      <c r="AB1655" s="24" t="n">
        <f aca="false">AA1655-Z1655</f>
        <v>746.759999999999</v>
      </c>
      <c r="AC1655" s="23" t="n">
        <f aca="false">IFERROR(AB1655/AA1655,0)</f>
        <v>0.146226839976032</v>
      </c>
      <c r="AD1655" s="22" t="s">
        <v>1892</v>
      </c>
    </row>
    <row r="1656" customFormat="false" ht="15" hidden="false" customHeight="false" outlineLevel="0" collapsed="false">
      <c r="A1656" s="22" t="n">
        <v>1655</v>
      </c>
      <c r="B1656" s="22" t="s">
        <v>168</v>
      </c>
      <c r="C1656" s="37" t="n">
        <v>46135.1316898148</v>
      </c>
      <c r="D1656" s="22" t="s">
        <v>205</v>
      </c>
      <c r="E1656" s="22" t="n">
        <v>3</v>
      </c>
      <c r="F1656" s="22" t="s">
        <v>182</v>
      </c>
      <c r="G1656" s="22" t="s">
        <v>237</v>
      </c>
      <c r="H1656" s="22" t="n">
        <v>0.07</v>
      </c>
      <c r="I1656" s="38" t="n">
        <v>4715.06</v>
      </c>
      <c r="J1656" s="38" t="n">
        <v>4714.36</v>
      </c>
      <c r="K1656" s="39" t="n">
        <f aca="false">IF(F1656="BUY",J1656-I1656,I1656-J1656)</f>
        <v>0.700000000000728</v>
      </c>
      <c r="L1656" s="38" t="n">
        <v>4721.06</v>
      </c>
      <c r="M1656" s="39" t="n">
        <f aca="false">ABS(I1656-L1656)</f>
        <v>6</v>
      </c>
      <c r="N1656" s="24" t="n">
        <f aca="false">M1656*H1656*Summary!$C$6</f>
        <v>42</v>
      </c>
      <c r="O1656" s="37" t="n">
        <v>46135.1378125</v>
      </c>
      <c r="P1656" s="22" t="n">
        <f aca="false">ROUND((O1656-C1656)*86400,0)</f>
        <v>529</v>
      </c>
      <c r="Q1656" s="22" t="str">
        <f aca="false">IF(P1656&lt;10,"a) &lt;10s",IF(P1656&lt;60,"b) 10-60s",IF(P1656&lt;600,"c) 1-10min","d) &gt;10min")))</f>
        <v>c) 1-10min</v>
      </c>
      <c r="R1656" s="38" t="n">
        <v>4713.86</v>
      </c>
      <c r="S1656" s="38" t="n">
        <v>4714.59</v>
      </c>
      <c r="T1656" s="22" t="s">
        <v>189</v>
      </c>
      <c r="U1656" s="39" t="n">
        <f aca="false">IF(R1656="","",IF(F1656="BUY",R1656-S1656,S1656-R1656))</f>
        <v>0.730000000000473</v>
      </c>
      <c r="V1656" s="39" t="n">
        <f aca="false">IF(F1656="BUY",S1656-J1656,J1656-S1656)</f>
        <v>-0.230000000000473</v>
      </c>
      <c r="W1656" s="6" t="n">
        <v>-1.61</v>
      </c>
      <c r="X1656" s="26" t="n">
        <f aca="false">IFERROR(W1656/N1656,0)</f>
        <v>-0.0383333333333333</v>
      </c>
      <c r="Y1656" s="22" t="str">
        <f aca="false">IF(W1656&gt;0,"Win",IF(W1656&lt;0,"Loss","Flat"))</f>
        <v>Loss</v>
      </c>
      <c r="Z1656" s="24" t="n">
        <f aca="false">Summary!$C$5+SUM(W$2:W1656)</f>
        <v>4358.49</v>
      </c>
      <c r="AA1656" s="24" t="n">
        <f aca="false">MAX(AA1655,Z1656)</f>
        <v>5106.86</v>
      </c>
      <c r="AB1656" s="24" t="n">
        <f aca="false">AA1656-Z1656</f>
        <v>748.37</v>
      </c>
      <c r="AC1656" s="23" t="n">
        <f aca="false">IFERROR(AB1656/AA1656,0)</f>
        <v>0.146542102191954</v>
      </c>
      <c r="AD1656" s="22" t="s">
        <v>1893</v>
      </c>
    </row>
    <row r="1657" customFormat="false" ht="15" hidden="false" customHeight="false" outlineLevel="0" collapsed="false">
      <c r="A1657" s="22" t="n">
        <v>1656</v>
      </c>
      <c r="B1657" s="22" t="s">
        <v>168</v>
      </c>
      <c r="C1657" s="37" t="n">
        <v>46135.375150463</v>
      </c>
      <c r="D1657" s="22" t="s">
        <v>205</v>
      </c>
      <c r="E1657" s="22" t="n">
        <v>9</v>
      </c>
      <c r="F1657" s="22" t="s">
        <v>181</v>
      </c>
      <c r="G1657" s="22" t="s">
        <v>235</v>
      </c>
      <c r="H1657" s="22" t="n">
        <v>0.07</v>
      </c>
      <c r="I1657" s="38" t="n">
        <v>4715.23</v>
      </c>
      <c r="J1657" s="38" t="n">
        <v>4715.26</v>
      </c>
      <c r="K1657" s="39" t="n">
        <f aca="false">IF(F1657="BUY",J1657-I1657,I1657-J1657)</f>
        <v>0.0300000000006548</v>
      </c>
      <c r="L1657" s="38" t="n">
        <v>4709.23</v>
      </c>
      <c r="M1657" s="39" t="n">
        <f aca="false">ABS(I1657-L1657)</f>
        <v>6</v>
      </c>
      <c r="N1657" s="24" t="n">
        <f aca="false">M1657*H1657*Summary!$C$6</f>
        <v>42</v>
      </c>
      <c r="O1657" s="37" t="n">
        <v>46135.3774074074</v>
      </c>
      <c r="P1657" s="22" t="n">
        <f aca="false">ROUND((O1657-C1657)*86400,0)</f>
        <v>195</v>
      </c>
      <c r="Q1657" s="22" t="str">
        <f aca="false">IF(P1657&lt;10,"a) &lt;10s",IF(P1657&lt;60,"b) 10-60s",IF(P1657&lt;600,"c) 1-10min","d) &gt;10min")))</f>
        <v>c) 1-10min</v>
      </c>
      <c r="R1657" s="38" t="n">
        <v>4715.76</v>
      </c>
      <c r="S1657" s="38" t="n">
        <v>4715.7</v>
      </c>
      <c r="T1657" s="22" t="s">
        <v>189</v>
      </c>
      <c r="U1657" s="39" t="n">
        <f aca="false">IF(R1657="","",IF(F1657="BUY",R1657-S1657,S1657-R1657))</f>
        <v>0.0600000000004002</v>
      </c>
      <c r="V1657" s="39" t="n">
        <f aca="false">IF(F1657="BUY",S1657-J1657,J1657-S1657)</f>
        <v>0.4399999999996</v>
      </c>
      <c r="W1657" s="6" t="n">
        <v>3.08</v>
      </c>
      <c r="X1657" s="26" t="n">
        <f aca="false">IFERROR(W1657/N1657,0)</f>
        <v>0.0733333333333333</v>
      </c>
      <c r="Y1657" s="22" t="str">
        <f aca="false">IF(W1657&gt;0,"Win",IF(W1657&lt;0,"Loss","Flat"))</f>
        <v>Win</v>
      </c>
      <c r="Z1657" s="24" t="n">
        <f aca="false">Summary!$C$5+SUM(W$2:W1657)</f>
        <v>4361.57</v>
      </c>
      <c r="AA1657" s="24" t="n">
        <f aca="false">MAX(AA1656,Z1657)</f>
        <v>5106.86</v>
      </c>
      <c r="AB1657" s="24" t="n">
        <f aca="false">AA1657-Z1657</f>
        <v>745.29</v>
      </c>
      <c r="AC1657" s="23" t="n">
        <f aca="false">IFERROR(AB1657/AA1657,0)</f>
        <v>0.145938991865843</v>
      </c>
      <c r="AD1657" s="22" t="s">
        <v>1894</v>
      </c>
    </row>
    <row r="1658" customFormat="false" ht="15" hidden="false" customHeight="false" outlineLevel="0" collapsed="false">
      <c r="A1658" s="22" t="n">
        <v>1657</v>
      </c>
      <c r="B1658" s="22" t="s">
        <v>168</v>
      </c>
      <c r="C1658" s="37" t="n">
        <v>46136.3070486111</v>
      </c>
      <c r="D1658" s="22" t="s">
        <v>206</v>
      </c>
      <c r="E1658" s="22" t="n">
        <v>7</v>
      </c>
      <c r="F1658" s="22" t="s">
        <v>182</v>
      </c>
      <c r="G1658" s="22" t="s">
        <v>237</v>
      </c>
      <c r="H1658" s="22" t="n">
        <v>0.07</v>
      </c>
      <c r="I1658" s="38" t="n">
        <v>4664.05</v>
      </c>
      <c r="J1658" s="38" t="n">
        <v>4663.74</v>
      </c>
      <c r="K1658" s="39" t="n">
        <f aca="false">IF(F1658="BUY",J1658-I1658,I1658-J1658)</f>
        <v>0.3100000000004</v>
      </c>
      <c r="L1658" s="38" t="n">
        <v>4670.05</v>
      </c>
      <c r="M1658" s="39" t="n">
        <f aca="false">ABS(I1658-L1658)</f>
        <v>6</v>
      </c>
      <c r="N1658" s="24" t="n">
        <f aca="false">M1658*H1658*Summary!$C$6</f>
        <v>42</v>
      </c>
      <c r="O1658" s="37" t="n">
        <v>46136.3164699074</v>
      </c>
      <c r="P1658" s="22" t="n">
        <f aca="false">ROUND((O1658-C1658)*86400,0)</f>
        <v>814</v>
      </c>
      <c r="Q1658" s="22" t="str">
        <f aca="false">IF(P1658&lt;10,"a) &lt;10s",IF(P1658&lt;60,"b) 10-60s",IF(P1658&lt;600,"c) 1-10min","d) &gt;10min")))</f>
        <v>d) &gt;10min</v>
      </c>
      <c r="R1658" s="38" t="n">
        <v>4663.24</v>
      </c>
      <c r="S1658" s="38" t="n">
        <v>4663.3</v>
      </c>
      <c r="T1658" s="22" t="s">
        <v>189</v>
      </c>
      <c r="U1658" s="39" t="n">
        <f aca="false">IF(R1658="","",IF(F1658="BUY",R1658-S1658,S1658-R1658))</f>
        <v>0.0600000000004002</v>
      </c>
      <c r="V1658" s="39" t="n">
        <f aca="false">IF(F1658="BUY",S1658-J1658,J1658-S1658)</f>
        <v>0.4399999999996</v>
      </c>
      <c r="W1658" s="6" t="n">
        <v>3.08</v>
      </c>
      <c r="X1658" s="26" t="n">
        <f aca="false">IFERROR(W1658/N1658,0)</f>
        <v>0.0733333333333333</v>
      </c>
      <c r="Y1658" s="22" t="str">
        <f aca="false">IF(W1658&gt;0,"Win",IF(W1658&lt;0,"Loss","Flat"))</f>
        <v>Win</v>
      </c>
      <c r="Z1658" s="24" t="n">
        <f aca="false">Summary!$C$5+SUM(W$2:W1658)</f>
        <v>4364.65</v>
      </c>
      <c r="AA1658" s="24" t="n">
        <f aca="false">MAX(AA1657,Z1658)</f>
        <v>5106.86</v>
      </c>
      <c r="AB1658" s="24" t="n">
        <f aca="false">AA1658-Z1658</f>
        <v>742.21</v>
      </c>
      <c r="AC1658" s="23" t="n">
        <f aca="false">IFERROR(AB1658/AA1658,0)</f>
        <v>0.145335881539733</v>
      </c>
      <c r="AD1658" s="22" t="s">
        <v>1895</v>
      </c>
    </row>
    <row r="1659" customFormat="false" ht="15" hidden="false" customHeight="false" outlineLevel="0" collapsed="false">
      <c r="A1659" s="22" t="n">
        <v>1658</v>
      </c>
      <c r="B1659" s="22" t="s">
        <v>168</v>
      </c>
      <c r="C1659" s="37" t="n">
        <v>46139.479224537</v>
      </c>
      <c r="D1659" s="22" t="s">
        <v>202</v>
      </c>
      <c r="E1659" s="22" t="n">
        <v>11</v>
      </c>
      <c r="F1659" s="22" t="s">
        <v>182</v>
      </c>
      <c r="G1659" s="22" t="s">
        <v>241</v>
      </c>
      <c r="H1659" s="22" t="n">
        <v>0.07</v>
      </c>
      <c r="I1659" s="38" t="n">
        <v>4708.43</v>
      </c>
      <c r="J1659" s="38" t="n">
        <v>4708.35</v>
      </c>
      <c r="K1659" s="39" t="n">
        <f aca="false">IF(F1659="BUY",J1659-I1659,I1659-J1659)</f>
        <v>0.0799999999999272</v>
      </c>
      <c r="L1659" s="38" t="n">
        <v>4714.43</v>
      </c>
      <c r="M1659" s="39" t="n">
        <f aca="false">ABS(I1659-L1659)</f>
        <v>6</v>
      </c>
      <c r="N1659" s="24" t="n">
        <f aca="false">M1659*H1659*Summary!$C$6</f>
        <v>42</v>
      </c>
      <c r="O1659" s="37" t="n">
        <v>46139.4870949074</v>
      </c>
      <c r="P1659" s="22" t="n">
        <f aca="false">ROUND((O1659-C1659)*86400,0)</f>
        <v>680</v>
      </c>
      <c r="Q1659" s="22" t="str">
        <f aca="false">IF(P1659&lt;10,"a) &lt;10s",IF(P1659&lt;60,"b) 10-60s",IF(P1659&lt;600,"c) 1-10min","d) &gt;10min")))</f>
        <v>d) &gt;10min</v>
      </c>
      <c r="R1659" s="38" t="n">
        <v>4707.85</v>
      </c>
      <c r="S1659" s="38" t="n">
        <v>4707.9</v>
      </c>
      <c r="T1659" s="22" t="s">
        <v>189</v>
      </c>
      <c r="U1659" s="39" t="n">
        <f aca="false">IF(R1659="","",IF(F1659="BUY",R1659-S1659,S1659-R1659))</f>
        <v>0.0499999999992724</v>
      </c>
      <c r="V1659" s="39" t="n">
        <f aca="false">IF(F1659="BUY",S1659-J1659,J1659-S1659)</f>
        <v>0.450000000000728</v>
      </c>
      <c r="W1659" s="6" t="n">
        <v>3.15</v>
      </c>
      <c r="X1659" s="26" t="n">
        <f aca="false">IFERROR(W1659/N1659,0)</f>
        <v>0.075</v>
      </c>
      <c r="Y1659" s="22" t="str">
        <f aca="false">IF(W1659&gt;0,"Win",IF(W1659&lt;0,"Loss","Flat"))</f>
        <v>Win</v>
      </c>
      <c r="Z1659" s="24" t="n">
        <f aca="false">Summary!$C$5+SUM(W$2:W1659)</f>
        <v>4367.8</v>
      </c>
      <c r="AA1659" s="24" t="n">
        <f aca="false">MAX(AA1658,Z1659)</f>
        <v>5106.86</v>
      </c>
      <c r="AB1659" s="24" t="n">
        <f aca="false">AA1659-Z1659</f>
        <v>739.06</v>
      </c>
      <c r="AC1659" s="23" t="n">
        <f aca="false">IFERROR(AB1659/AA1659,0)</f>
        <v>0.144719064160756</v>
      </c>
      <c r="AD1659" s="22" t="s">
        <v>1896</v>
      </c>
    </row>
    <row r="1660" customFormat="false" ht="15" hidden="false" customHeight="false" outlineLevel="0" collapsed="false">
      <c r="A1660" s="22" t="n">
        <v>1659</v>
      </c>
      <c r="B1660" s="22" t="s">
        <v>168</v>
      </c>
      <c r="C1660" s="37" t="n">
        <v>46140.2084027778</v>
      </c>
      <c r="D1660" s="22" t="s">
        <v>203</v>
      </c>
      <c r="E1660" s="22" t="n">
        <v>5</v>
      </c>
      <c r="F1660" s="22" t="s">
        <v>182</v>
      </c>
      <c r="G1660" s="22" t="s">
        <v>237</v>
      </c>
      <c r="H1660" s="22" t="n">
        <v>0.07</v>
      </c>
      <c r="I1660" s="38" t="n">
        <v>4667.06</v>
      </c>
      <c r="J1660" s="38" t="n">
        <v>4667.04</v>
      </c>
      <c r="K1660" s="39" t="n">
        <f aca="false">IF(F1660="BUY",J1660-I1660,I1660-J1660)</f>
        <v>0.0200000000004366</v>
      </c>
      <c r="L1660" s="38" t="n">
        <v>4673.06</v>
      </c>
      <c r="M1660" s="39" t="n">
        <f aca="false">ABS(I1660-L1660)</f>
        <v>6</v>
      </c>
      <c r="N1660" s="24" t="n">
        <f aca="false">M1660*H1660*Summary!$C$6</f>
        <v>42</v>
      </c>
      <c r="O1660" s="37" t="n">
        <v>46140.2111226852</v>
      </c>
      <c r="P1660" s="22" t="n">
        <f aca="false">ROUND((O1660-C1660)*86400,0)</f>
        <v>235</v>
      </c>
      <c r="Q1660" s="22" t="str">
        <f aca="false">IF(P1660&lt;10,"a) &lt;10s",IF(P1660&lt;60,"b) 10-60s",IF(P1660&lt;600,"c) 1-10min","d) &gt;10min")))</f>
        <v>c) 1-10min</v>
      </c>
      <c r="R1660" s="38" t="n">
        <v>4673.06</v>
      </c>
      <c r="S1660" s="38" t="n">
        <v>4673.15</v>
      </c>
      <c r="T1660" s="22" t="s">
        <v>188</v>
      </c>
      <c r="U1660" s="39" t="n">
        <f aca="false">IF(R1660="","",IF(F1660="BUY",R1660-S1660,S1660-R1660))</f>
        <v>0.089999999999236</v>
      </c>
      <c r="V1660" s="39" t="n">
        <f aca="false">IF(F1660="BUY",S1660-J1660,J1660-S1660)</f>
        <v>-6.10999999999967</v>
      </c>
      <c r="W1660" s="6" t="n">
        <v>-42.77</v>
      </c>
      <c r="X1660" s="26" t="n">
        <f aca="false">IFERROR(W1660/N1660,0)</f>
        <v>-1.01833333333333</v>
      </c>
      <c r="Y1660" s="22" t="str">
        <f aca="false">IF(W1660&gt;0,"Win",IF(W1660&lt;0,"Loss","Flat"))</f>
        <v>Loss</v>
      </c>
      <c r="Z1660" s="24" t="n">
        <f aca="false">Summary!$C$5+SUM(W$2:W1660)</f>
        <v>4325.03</v>
      </c>
      <c r="AA1660" s="24" t="n">
        <f aca="false">MAX(AA1659,Z1660)</f>
        <v>5106.86</v>
      </c>
      <c r="AB1660" s="24" t="n">
        <f aca="false">AA1660-Z1660</f>
        <v>781.83</v>
      </c>
      <c r="AC1660" s="23" t="n">
        <f aca="false">IFERROR(AB1660/AA1660,0)</f>
        <v>0.153094073461971</v>
      </c>
      <c r="AD1660" s="22" t="s">
        <v>1897</v>
      </c>
    </row>
    <row r="1661" customFormat="false" ht="15" hidden="false" customHeight="false" outlineLevel="0" collapsed="false">
      <c r="A1661" s="22" t="n">
        <v>1660</v>
      </c>
      <c r="B1661" s="22" t="s">
        <v>168</v>
      </c>
      <c r="C1661" s="37" t="n">
        <v>46140.3912962963</v>
      </c>
      <c r="D1661" s="22" t="s">
        <v>203</v>
      </c>
      <c r="E1661" s="22" t="n">
        <v>9</v>
      </c>
      <c r="F1661" s="22" t="s">
        <v>182</v>
      </c>
      <c r="G1661" s="22" t="s">
        <v>241</v>
      </c>
      <c r="H1661" s="22" t="n">
        <v>0.07</v>
      </c>
      <c r="I1661" s="38" t="n">
        <v>4623.62</v>
      </c>
      <c r="J1661" s="38" t="n">
        <v>4623.49</v>
      </c>
      <c r="K1661" s="39" t="n">
        <f aca="false">IF(F1661="BUY",J1661-I1661,I1661-J1661)</f>
        <v>0.130000000000109</v>
      </c>
      <c r="L1661" s="38" t="n">
        <v>4629.62</v>
      </c>
      <c r="M1661" s="39" t="n">
        <f aca="false">ABS(I1661-L1661)</f>
        <v>6</v>
      </c>
      <c r="N1661" s="24" t="n">
        <f aca="false">M1661*H1661*Summary!$C$6</f>
        <v>42</v>
      </c>
      <c r="O1661" s="37" t="n">
        <v>46140.3940972222</v>
      </c>
      <c r="P1661" s="22" t="n">
        <f aca="false">ROUND((O1661-C1661)*86400,0)</f>
        <v>242</v>
      </c>
      <c r="Q1661" s="22" t="str">
        <f aca="false">IF(P1661&lt;10,"a) &lt;10s",IF(P1661&lt;60,"b) 10-60s",IF(P1661&lt;600,"c) 1-10min","d) &gt;10min")))</f>
        <v>c) 1-10min</v>
      </c>
      <c r="R1661" s="38" t="n">
        <v>4629.62</v>
      </c>
      <c r="S1661" s="38" t="n">
        <v>4629.68</v>
      </c>
      <c r="T1661" s="22" t="s">
        <v>188</v>
      </c>
      <c r="U1661" s="39" t="n">
        <f aca="false">IF(R1661="","",IF(F1661="BUY",R1661-S1661,S1661-R1661))</f>
        <v>0.0600000000004002</v>
      </c>
      <c r="V1661" s="39" t="n">
        <f aca="false">IF(F1661="BUY",S1661-J1661,J1661-S1661)</f>
        <v>-6.19000000000051</v>
      </c>
      <c r="W1661" s="6" t="n">
        <v>-43.33</v>
      </c>
      <c r="X1661" s="26" t="n">
        <f aca="false">IFERROR(W1661/N1661,0)</f>
        <v>-1.03166666666667</v>
      </c>
      <c r="Y1661" s="22" t="str">
        <f aca="false">IF(W1661&gt;0,"Win",IF(W1661&lt;0,"Loss","Flat"))</f>
        <v>Loss</v>
      </c>
      <c r="Z1661" s="24" t="n">
        <f aca="false">Summary!$C$5+SUM(W$2:W1661)</f>
        <v>4281.7</v>
      </c>
      <c r="AA1661" s="24" t="n">
        <f aca="false">MAX(AA1660,Z1661)</f>
        <v>5106.86</v>
      </c>
      <c r="AB1661" s="24" t="n">
        <f aca="false">AA1661-Z1661</f>
        <v>825.16</v>
      </c>
      <c r="AC1661" s="23" t="n">
        <f aca="false">IFERROR(AB1661/AA1661,0)</f>
        <v>0.161578739186114</v>
      </c>
      <c r="AD1661" s="22" t="s">
        <v>1898</v>
      </c>
    </row>
    <row r="1662" customFormat="false" ht="15" hidden="false" customHeight="false" outlineLevel="0" collapsed="false">
      <c r="A1662" s="22" t="n">
        <v>1661</v>
      </c>
      <c r="B1662" s="22" t="s">
        <v>168</v>
      </c>
      <c r="C1662" s="37" t="n">
        <v>46141.375</v>
      </c>
      <c r="D1662" s="22" t="s">
        <v>204</v>
      </c>
      <c r="E1662" s="22" t="n">
        <v>9</v>
      </c>
      <c r="F1662" s="22" t="s">
        <v>182</v>
      </c>
      <c r="G1662" s="22" t="s">
        <v>241</v>
      </c>
      <c r="H1662" s="22" t="n">
        <v>0.07</v>
      </c>
      <c r="I1662" s="38" t="n">
        <v>4590.37</v>
      </c>
      <c r="J1662" s="38" t="n">
        <v>4590.33</v>
      </c>
      <c r="K1662" s="39" t="n">
        <f aca="false">IF(F1662="BUY",J1662-I1662,I1662-J1662)</f>
        <v>0.0399999999999636</v>
      </c>
      <c r="L1662" s="38" t="n">
        <v>4596.37</v>
      </c>
      <c r="M1662" s="39" t="n">
        <f aca="false">ABS(I1662-L1662)</f>
        <v>6</v>
      </c>
      <c r="N1662" s="24" t="n">
        <f aca="false">M1662*H1662*Summary!$C$6</f>
        <v>42</v>
      </c>
      <c r="O1662" s="37" t="n">
        <v>46141.3756944445</v>
      </c>
      <c r="P1662" s="22" t="n">
        <f aca="false">ROUND((O1662-C1662)*86400,0)</f>
        <v>60</v>
      </c>
      <c r="Q1662" s="22" t="str">
        <f aca="false">IF(P1662&lt;10,"a) &lt;10s",IF(P1662&lt;60,"b) 10-60s",IF(P1662&lt;600,"c) 1-10min","d) &gt;10min")))</f>
        <v>c) 1-10min</v>
      </c>
      <c r="R1662" s="38" t="n">
        <v>4596.37</v>
      </c>
      <c r="S1662" s="38" t="n">
        <v>4596.5</v>
      </c>
      <c r="T1662" s="22" t="s">
        <v>188</v>
      </c>
      <c r="U1662" s="39" t="n">
        <f aca="false">IF(R1662="","",IF(F1662="BUY",R1662-S1662,S1662-R1662))</f>
        <v>0.130000000000109</v>
      </c>
      <c r="V1662" s="39" t="n">
        <f aca="false">IF(F1662="BUY",S1662-J1662,J1662-S1662)</f>
        <v>-6.17000000000007</v>
      </c>
      <c r="W1662" s="6" t="n">
        <v>-43.19</v>
      </c>
      <c r="X1662" s="26" t="n">
        <f aca="false">IFERROR(W1662/N1662,0)</f>
        <v>-1.02833333333333</v>
      </c>
      <c r="Y1662" s="22" t="str">
        <f aca="false">IF(W1662&gt;0,"Win",IF(W1662&lt;0,"Loss","Flat"))</f>
        <v>Loss</v>
      </c>
      <c r="Z1662" s="24" t="n">
        <f aca="false">Summary!$C$5+SUM(W$2:W1662)</f>
        <v>4238.51</v>
      </c>
      <c r="AA1662" s="24" t="n">
        <f aca="false">MAX(AA1661,Z1662)</f>
        <v>5106.86</v>
      </c>
      <c r="AB1662" s="24" t="n">
        <f aca="false">AA1662-Z1662</f>
        <v>868.35</v>
      </c>
      <c r="AC1662" s="23" t="n">
        <f aca="false">IFERROR(AB1662/AA1662,0)</f>
        <v>0.170035990804526</v>
      </c>
      <c r="AD1662" s="22" t="s">
        <v>1899</v>
      </c>
    </row>
    <row r="1663" customFormat="false" ht="15" hidden="false" customHeight="false" outlineLevel="0" collapsed="false">
      <c r="A1663" s="22" t="n">
        <v>1662</v>
      </c>
      <c r="B1663" s="22" t="s">
        <v>168</v>
      </c>
      <c r="C1663" s="37" t="n">
        <v>46141.5349768519</v>
      </c>
      <c r="D1663" s="22" t="s">
        <v>204</v>
      </c>
      <c r="E1663" s="22" t="n">
        <v>12</v>
      </c>
      <c r="F1663" s="22" t="s">
        <v>182</v>
      </c>
      <c r="G1663" s="22" t="s">
        <v>237</v>
      </c>
      <c r="H1663" s="22" t="n">
        <v>0.07</v>
      </c>
      <c r="I1663" s="38" t="n">
        <v>4554.68</v>
      </c>
      <c r="J1663" s="38" t="n">
        <v>4554.64</v>
      </c>
      <c r="K1663" s="39" t="n">
        <f aca="false">IF(F1663="BUY",J1663-I1663,I1663-J1663)</f>
        <v>0.0399999999999636</v>
      </c>
      <c r="L1663" s="38" t="n">
        <v>4560.68</v>
      </c>
      <c r="M1663" s="39" t="n">
        <f aca="false">ABS(I1663-L1663)</f>
        <v>6</v>
      </c>
      <c r="N1663" s="24" t="n">
        <f aca="false">M1663*H1663*Summary!$C$6</f>
        <v>42</v>
      </c>
      <c r="O1663" s="37" t="n">
        <v>46141.535150463</v>
      </c>
      <c r="P1663" s="22" t="n">
        <f aca="false">ROUND((O1663-C1663)*86400,0)</f>
        <v>15</v>
      </c>
      <c r="Q1663" s="22" t="str">
        <f aca="false">IF(P1663&lt;10,"a) &lt;10s",IF(P1663&lt;60,"b) 10-60s",IF(P1663&lt;600,"c) 1-10min","d) &gt;10min")))</f>
        <v>b) 10-60s</v>
      </c>
      <c r="R1663" s="38" t="n">
        <v>4554.14</v>
      </c>
      <c r="S1663" s="38" t="n">
        <v>4554.14</v>
      </c>
      <c r="T1663" s="22" t="s">
        <v>189</v>
      </c>
      <c r="U1663" s="39" t="n">
        <f aca="false">IF(R1663="","",IF(F1663="BUY",R1663-S1663,S1663-R1663))</f>
        <v>0</v>
      </c>
      <c r="V1663" s="39" t="n">
        <f aca="false">IF(F1663="BUY",S1663-J1663,J1663-S1663)</f>
        <v>0.5</v>
      </c>
      <c r="W1663" s="6" t="n">
        <v>3.5</v>
      </c>
      <c r="X1663" s="26" t="n">
        <f aca="false">IFERROR(W1663/N1663,0)</f>
        <v>0.0833333333333333</v>
      </c>
      <c r="Y1663" s="22" t="str">
        <f aca="false">IF(W1663&gt;0,"Win",IF(W1663&lt;0,"Loss","Flat"))</f>
        <v>Win</v>
      </c>
      <c r="Z1663" s="24" t="n">
        <f aca="false">Summary!$C$5+SUM(W$2:W1663)</f>
        <v>4242.01</v>
      </c>
      <c r="AA1663" s="24" t="n">
        <f aca="false">MAX(AA1662,Z1663)</f>
        <v>5106.86</v>
      </c>
      <c r="AB1663" s="24" t="n">
        <f aca="false">AA1663-Z1663</f>
        <v>864.85</v>
      </c>
      <c r="AC1663" s="23" t="n">
        <f aca="false">IFERROR(AB1663/AA1663,0)</f>
        <v>0.169350638161218</v>
      </c>
      <c r="AD1663" s="22" t="s">
        <v>1900</v>
      </c>
    </row>
    <row r="1664" customFormat="false" ht="15" hidden="false" customHeight="false" outlineLevel="0" collapsed="false">
      <c r="A1664" s="22" t="n">
        <v>1663</v>
      </c>
      <c r="B1664" s="22" t="s">
        <v>168</v>
      </c>
      <c r="C1664" s="37" t="n">
        <v>46142.3922106482</v>
      </c>
      <c r="D1664" s="22" t="s">
        <v>205</v>
      </c>
      <c r="E1664" s="22" t="n">
        <v>9</v>
      </c>
      <c r="F1664" s="22" t="s">
        <v>181</v>
      </c>
      <c r="G1664" s="22" t="s">
        <v>235</v>
      </c>
      <c r="H1664" s="22" t="n">
        <v>0.07</v>
      </c>
      <c r="I1664" s="38" t="n">
        <v>4569.45</v>
      </c>
      <c r="J1664" s="38" t="n">
        <v>4569.86</v>
      </c>
      <c r="K1664" s="39" t="n">
        <f aca="false">IF(F1664="BUY",J1664-I1664,I1664-J1664)</f>
        <v>0.409999999999855</v>
      </c>
      <c r="L1664" s="38" t="n">
        <v>4563.45</v>
      </c>
      <c r="M1664" s="39" t="n">
        <f aca="false">ABS(I1664-L1664)</f>
        <v>6</v>
      </c>
      <c r="N1664" s="24" t="n">
        <f aca="false">M1664*H1664*Summary!$C$6</f>
        <v>42</v>
      </c>
      <c r="O1664" s="37" t="n">
        <v>46142.4504513889</v>
      </c>
      <c r="P1664" s="22" t="n">
        <f aca="false">ROUND((O1664-C1664)*86400,0)</f>
        <v>5032</v>
      </c>
      <c r="Q1664" s="22" t="str">
        <f aca="false">IF(P1664&lt;10,"a) &lt;10s",IF(P1664&lt;60,"b) 10-60s",IF(P1664&lt;600,"c) 1-10min","d) &gt;10min")))</f>
        <v>d) &gt;10min</v>
      </c>
      <c r="R1664" s="38"/>
      <c r="S1664" s="38" t="n">
        <v>4599.76</v>
      </c>
      <c r="T1664" s="22" t="s">
        <v>187</v>
      </c>
      <c r="U1664" s="39" t="str">
        <f aca="false">IF(R1664="","",IF(F1664="BUY",R1664-S1664,S1664-R1664))</f>
        <v/>
      </c>
      <c r="V1664" s="39" t="n">
        <f aca="false">IF(F1664="BUY",S1664-J1664,J1664-S1664)</f>
        <v>29.9000000000005</v>
      </c>
      <c r="W1664" s="6" t="n">
        <v>209.3</v>
      </c>
      <c r="X1664" s="26" t="n">
        <f aca="false">IFERROR(W1664/N1664,0)</f>
        <v>4.98333333333333</v>
      </c>
      <c r="Y1664" s="22" t="str">
        <f aca="false">IF(W1664&gt;0,"Win",IF(W1664&lt;0,"Loss","Flat"))</f>
        <v>Win</v>
      </c>
      <c r="Z1664" s="24" t="n">
        <f aca="false">Summary!$C$5+SUM(W$2:W1664)</f>
        <v>4451.31</v>
      </c>
      <c r="AA1664" s="24" t="n">
        <f aca="false">MAX(AA1663,Z1664)</f>
        <v>5106.86</v>
      </c>
      <c r="AB1664" s="24" t="n">
        <f aca="false">AA1664-Z1664</f>
        <v>655.55</v>
      </c>
      <c r="AC1664" s="23" t="n">
        <f aca="false">IFERROR(AB1664/AA1664,0)</f>
        <v>0.128366550091446</v>
      </c>
      <c r="AD1664" s="22" t="s">
        <v>1901</v>
      </c>
    </row>
    <row r="1665" customFormat="false" ht="15" hidden="false" customHeight="false" outlineLevel="0" collapsed="false">
      <c r="A1665" s="22" t="n">
        <v>1664</v>
      </c>
      <c r="B1665" s="22" t="s">
        <v>168</v>
      </c>
      <c r="C1665" s="37" t="n">
        <v>46142.4611689815</v>
      </c>
      <c r="D1665" s="22" t="s">
        <v>205</v>
      </c>
      <c r="E1665" s="22" t="n">
        <v>11</v>
      </c>
      <c r="F1665" s="22" t="s">
        <v>181</v>
      </c>
      <c r="G1665" s="22" t="s">
        <v>243</v>
      </c>
      <c r="H1665" s="22" t="n">
        <v>0.07</v>
      </c>
      <c r="I1665" s="38" t="n">
        <v>4610.2</v>
      </c>
      <c r="J1665" s="38" t="n">
        <v>4610.36</v>
      </c>
      <c r="K1665" s="39" t="n">
        <f aca="false">IF(F1665="BUY",J1665-I1665,I1665-J1665)</f>
        <v>0.159999999999854</v>
      </c>
      <c r="L1665" s="38" t="n">
        <v>4604.2</v>
      </c>
      <c r="M1665" s="39" t="n">
        <f aca="false">ABS(I1665-L1665)</f>
        <v>6</v>
      </c>
      <c r="N1665" s="24" t="n">
        <f aca="false">M1665*H1665*Summary!$C$6</f>
        <v>42</v>
      </c>
      <c r="O1665" s="37" t="n">
        <v>46142.5609606481</v>
      </c>
      <c r="P1665" s="22" t="n">
        <f aca="false">ROUND((O1665-C1665)*86400,0)</f>
        <v>8622</v>
      </c>
      <c r="Q1665" s="22" t="str">
        <f aca="false">IF(P1665&lt;10,"a) &lt;10s",IF(P1665&lt;60,"b) 10-60s",IF(P1665&lt;600,"c) 1-10min","d) &gt;10min")))</f>
        <v>d) &gt;10min</v>
      </c>
      <c r="R1665" s="38"/>
      <c r="S1665" s="38" t="n">
        <v>4640.2</v>
      </c>
      <c r="T1665" s="22" t="s">
        <v>187</v>
      </c>
      <c r="U1665" s="39" t="str">
        <f aca="false">IF(R1665="","",IF(F1665="BUY",R1665-S1665,S1665-R1665))</f>
        <v/>
      </c>
      <c r="V1665" s="39" t="n">
        <f aca="false">IF(F1665="BUY",S1665-J1665,J1665-S1665)</f>
        <v>29.8400000000001</v>
      </c>
      <c r="W1665" s="6" t="n">
        <v>208.88</v>
      </c>
      <c r="X1665" s="26" t="n">
        <f aca="false">IFERROR(W1665/N1665,0)</f>
        <v>4.97333333333333</v>
      </c>
      <c r="Y1665" s="22" t="str">
        <f aca="false">IF(W1665&gt;0,"Win",IF(W1665&lt;0,"Loss","Flat"))</f>
        <v>Win</v>
      </c>
      <c r="Z1665" s="24" t="n">
        <f aca="false">Summary!$C$5+SUM(W$2:W1665)</f>
        <v>4660.19</v>
      </c>
      <c r="AA1665" s="24" t="n">
        <f aca="false">MAX(AA1664,Z1665)</f>
        <v>5106.86</v>
      </c>
      <c r="AB1665" s="24" t="n">
        <f aca="false">AA1665-Z1665</f>
        <v>446.67</v>
      </c>
      <c r="AC1665" s="23" t="n">
        <f aca="false">IFERROR(AB1665/AA1665,0)</f>
        <v>0.0874647043388697</v>
      </c>
      <c r="AD1665" s="22" t="s">
        <v>1902</v>
      </c>
    </row>
    <row r="1666" customFormat="false" ht="15" hidden="false" customHeight="false" outlineLevel="0" collapsed="false">
      <c r="A1666" s="22" t="n">
        <v>1665</v>
      </c>
      <c r="B1666" s="22" t="s">
        <v>169</v>
      </c>
      <c r="C1666" s="37" t="n">
        <v>46143.3792939815</v>
      </c>
      <c r="D1666" s="22" t="s">
        <v>206</v>
      </c>
      <c r="E1666" s="22" t="n">
        <v>9</v>
      </c>
      <c r="F1666" s="22" t="s">
        <v>182</v>
      </c>
      <c r="G1666" s="22" t="s">
        <v>241</v>
      </c>
      <c r="H1666" s="22" t="n">
        <v>0.07</v>
      </c>
      <c r="I1666" s="38" t="n">
        <v>4602.68</v>
      </c>
      <c r="J1666" s="38" t="n">
        <v>4602.68</v>
      </c>
      <c r="K1666" s="39" t="n">
        <f aca="false">IF(F1666="BUY",J1666-I1666,I1666-J1666)</f>
        <v>0</v>
      </c>
      <c r="L1666" s="38" t="n">
        <v>4608.68</v>
      </c>
      <c r="M1666" s="39" t="n">
        <f aca="false">ABS(I1666-L1666)</f>
        <v>6</v>
      </c>
      <c r="N1666" s="24" t="n">
        <f aca="false">M1666*H1666*Summary!$C$6</f>
        <v>42</v>
      </c>
      <c r="O1666" s="37" t="n">
        <v>46143.4704976852</v>
      </c>
      <c r="P1666" s="22" t="n">
        <f aca="false">ROUND((O1666-C1666)*86400,0)</f>
        <v>7880</v>
      </c>
      <c r="Q1666" s="22" t="str">
        <f aca="false">IF(P1666&lt;10,"a) &lt;10s",IF(P1666&lt;60,"b) 10-60s",IF(P1666&lt;600,"c) 1-10min","d) &gt;10min")))</f>
        <v>d) &gt;10min</v>
      </c>
      <c r="R1666" s="38"/>
      <c r="S1666" s="38" t="n">
        <v>4572.6</v>
      </c>
      <c r="T1666" s="22" t="s">
        <v>187</v>
      </c>
      <c r="U1666" s="39" t="str">
        <f aca="false">IF(R1666="","",IF(F1666="BUY",R1666-S1666,S1666-R1666))</f>
        <v/>
      </c>
      <c r="V1666" s="39" t="n">
        <f aca="false">IF(F1666="BUY",S1666-J1666,J1666-S1666)</f>
        <v>30.0799999999999</v>
      </c>
      <c r="W1666" s="6" t="n">
        <v>210.56</v>
      </c>
      <c r="X1666" s="26" t="n">
        <f aca="false">IFERROR(W1666/N1666,0)</f>
        <v>5.01333333333333</v>
      </c>
      <c r="Y1666" s="22" t="str">
        <f aca="false">IF(W1666&gt;0,"Win",IF(W1666&lt;0,"Loss","Flat"))</f>
        <v>Win</v>
      </c>
      <c r="Z1666" s="24" t="n">
        <f aca="false">Summary!$C$5+SUM(W$2:W1666)</f>
        <v>4870.75</v>
      </c>
      <c r="AA1666" s="24" t="n">
        <f aca="false">MAX(AA1665,Z1666)</f>
        <v>5106.86</v>
      </c>
      <c r="AB1666" s="24" t="n">
        <f aca="false">AA1666-Z1666</f>
        <v>236.11</v>
      </c>
      <c r="AC1666" s="23" t="n">
        <f aca="false">IFERROR(AB1666/AA1666,0)</f>
        <v>0.0462338893175062</v>
      </c>
      <c r="AD1666" s="22" t="s">
        <v>1903</v>
      </c>
    </row>
    <row r="1667" customFormat="false" ht="15" hidden="false" customHeight="false" outlineLevel="0" collapsed="false">
      <c r="A1667" s="22" t="n">
        <v>1666</v>
      </c>
      <c r="B1667" s="22" t="s">
        <v>169</v>
      </c>
      <c r="C1667" s="37" t="n">
        <v>46143.716875</v>
      </c>
      <c r="D1667" s="22" t="s">
        <v>206</v>
      </c>
      <c r="E1667" s="22" t="n">
        <v>17</v>
      </c>
      <c r="F1667" s="22" t="s">
        <v>181</v>
      </c>
      <c r="G1667" s="22" t="s">
        <v>243</v>
      </c>
      <c r="H1667" s="22" t="n">
        <v>0.08</v>
      </c>
      <c r="I1667" s="38" t="n">
        <v>4646.71</v>
      </c>
      <c r="J1667" s="38" t="n">
        <v>4646.85</v>
      </c>
      <c r="K1667" s="39" t="n">
        <f aca="false">IF(F1667="BUY",J1667-I1667,I1667-J1667)</f>
        <v>0.140000000000327</v>
      </c>
      <c r="L1667" s="38" t="n">
        <v>4640.71</v>
      </c>
      <c r="M1667" s="39" t="n">
        <f aca="false">ABS(I1667-L1667)</f>
        <v>6</v>
      </c>
      <c r="N1667" s="24" t="n">
        <f aca="false">M1667*H1667*Summary!$C$6</f>
        <v>48</v>
      </c>
      <c r="O1667" s="37" t="n">
        <v>46143.7259027778</v>
      </c>
      <c r="P1667" s="22" t="n">
        <f aca="false">ROUND((O1667-C1667)*86400,0)</f>
        <v>780</v>
      </c>
      <c r="Q1667" s="22" t="str">
        <f aca="false">IF(P1667&lt;10,"a) &lt;10s",IF(P1667&lt;60,"b) 10-60s",IF(P1667&lt;600,"c) 1-10min","d) &gt;10min")))</f>
        <v>d) &gt;10min</v>
      </c>
      <c r="R1667" s="38" t="n">
        <v>4647.35</v>
      </c>
      <c r="S1667" s="38" t="n">
        <v>4647.33</v>
      </c>
      <c r="T1667" s="22" t="s">
        <v>189</v>
      </c>
      <c r="U1667" s="39" t="n">
        <f aca="false">IF(R1667="","",IF(F1667="BUY",R1667-S1667,S1667-R1667))</f>
        <v>0.0200000000004366</v>
      </c>
      <c r="V1667" s="39" t="n">
        <f aca="false">IF(F1667="BUY",S1667-J1667,J1667-S1667)</f>
        <v>0.479999999999563</v>
      </c>
      <c r="W1667" s="6" t="n">
        <v>3.84</v>
      </c>
      <c r="X1667" s="26" t="n">
        <f aca="false">IFERROR(W1667/N1667,0)</f>
        <v>0.08</v>
      </c>
      <c r="Y1667" s="22" t="str">
        <f aca="false">IF(W1667&gt;0,"Win",IF(W1667&lt;0,"Loss","Flat"))</f>
        <v>Win</v>
      </c>
      <c r="Z1667" s="24" t="n">
        <f aca="false">Summary!$C$5+SUM(W$2:W1667)</f>
        <v>4874.59</v>
      </c>
      <c r="AA1667" s="24" t="n">
        <f aca="false">MAX(AA1666,Z1667)</f>
        <v>5106.86</v>
      </c>
      <c r="AB1667" s="24" t="n">
        <f aca="false">AA1667-Z1667</f>
        <v>232.27</v>
      </c>
      <c r="AC1667" s="23" t="n">
        <f aca="false">IFERROR(AB1667/AA1667,0)</f>
        <v>0.0454819595602777</v>
      </c>
      <c r="AD1667" s="22" t="s">
        <v>1904</v>
      </c>
    </row>
    <row r="1668" customFormat="false" ht="15" hidden="false" customHeight="false" outlineLevel="0" collapsed="false">
      <c r="A1668" s="22" t="n">
        <v>1667</v>
      </c>
      <c r="B1668" s="22" t="s">
        <v>169</v>
      </c>
      <c r="C1668" s="37" t="n">
        <v>46146.3782175926</v>
      </c>
      <c r="D1668" s="22" t="s">
        <v>202</v>
      </c>
      <c r="E1668" s="22" t="n">
        <v>9</v>
      </c>
      <c r="F1668" s="22" t="s">
        <v>182</v>
      </c>
      <c r="G1668" s="22" t="s">
        <v>241</v>
      </c>
      <c r="H1668" s="22" t="n">
        <v>0.08</v>
      </c>
      <c r="I1668" s="38" t="n">
        <v>4592.08</v>
      </c>
      <c r="J1668" s="38" t="n">
        <v>4591.93</v>
      </c>
      <c r="K1668" s="39" t="n">
        <f aca="false">IF(F1668="BUY",J1668-I1668,I1668-J1668)</f>
        <v>0.149999999999636</v>
      </c>
      <c r="L1668" s="38" t="n">
        <v>4598.08</v>
      </c>
      <c r="M1668" s="39" t="n">
        <f aca="false">ABS(I1668-L1668)</f>
        <v>6</v>
      </c>
      <c r="N1668" s="24" t="n">
        <f aca="false">M1668*H1668*Summary!$C$6</f>
        <v>48</v>
      </c>
      <c r="O1668" s="37" t="n">
        <v>46146.3795833333</v>
      </c>
      <c r="P1668" s="22" t="n">
        <f aca="false">ROUND((O1668-C1668)*86400,0)</f>
        <v>118</v>
      </c>
      <c r="Q1668" s="22" t="str">
        <f aca="false">IF(P1668&lt;10,"a) &lt;10s",IF(P1668&lt;60,"b) 10-60s",IF(P1668&lt;600,"c) 1-10min","d) &gt;10min")))</f>
        <v>c) 1-10min</v>
      </c>
      <c r="R1668" s="38" t="n">
        <v>4591.43</v>
      </c>
      <c r="S1668" s="38" t="n">
        <v>4591.47</v>
      </c>
      <c r="T1668" s="22" t="s">
        <v>189</v>
      </c>
      <c r="U1668" s="39" t="n">
        <f aca="false">IF(R1668="","",IF(F1668="BUY",R1668-S1668,S1668-R1668))</f>
        <v>0.0399999999999636</v>
      </c>
      <c r="V1668" s="39" t="n">
        <f aca="false">IF(F1668="BUY",S1668-J1668,J1668-S1668)</f>
        <v>0.460000000000036</v>
      </c>
      <c r="W1668" s="6" t="n">
        <v>3.68</v>
      </c>
      <c r="X1668" s="26" t="n">
        <f aca="false">IFERROR(W1668/N1668,0)</f>
        <v>0.0766666666666667</v>
      </c>
      <c r="Y1668" s="22" t="str">
        <f aca="false">IF(W1668&gt;0,"Win",IF(W1668&lt;0,"Loss","Flat"))</f>
        <v>Win</v>
      </c>
      <c r="Z1668" s="24" t="n">
        <f aca="false">Summary!$C$5+SUM(W$2:W1668)</f>
        <v>4878.27</v>
      </c>
      <c r="AA1668" s="24" t="n">
        <f aca="false">MAX(AA1667,Z1668)</f>
        <v>5106.86</v>
      </c>
      <c r="AB1668" s="24" t="n">
        <f aca="false">AA1668-Z1668</f>
        <v>228.589999999999</v>
      </c>
      <c r="AC1668" s="23" t="n">
        <f aca="false">IFERROR(AB1668/AA1668,0)</f>
        <v>0.0447613602096003</v>
      </c>
      <c r="AD1668" s="22" t="s">
        <v>1905</v>
      </c>
    </row>
    <row r="1669" customFormat="false" ht="15" hidden="false" customHeight="false" outlineLevel="0" collapsed="false">
      <c r="A1669" s="22" t="n">
        <v>1668</v>
      </c>
      <c r="B1669" s="22" t="s">
        <v>169</v>
      </c>
      <c r="C1669" s="37" t="n">
        <v>46146.5443518519</v>
      </c>
      <c r="D1669" s="22" t="s">
        <v>202</v>
      </c>
      <c r="E1669" s="22" t="n">
        <v>13</v>
      </c>
      <c r="F1669" s="22" t="s">
        <v>182</v>
      </c>
      <c r="G1669" s="22" t="s">
        <v>237</v>
      </c>
      <c r="H1669" s="22" t="n">
        <v>0.08</v>
      </c>
      <c r="I1669" s="38" t="n">
        <v>4560.05</v>
      </c>
      <c r="J1669" s="38" t="n">
        <v>4558.31</v>
      </c>
      <c r="K1669" s="39" t="n">
        <f aca="false">IF(F1669="BUY",J1669-I1669,I1669-J1669)</f>
        <v>1.73999999999978</v>
      </c>
      <c r="L1669" s="38" t="n">
        <v>4566.05</v>
      </c>
      <c r="M1669" s="39" t="n">
        <f aca="false">ABS(I1669-L1669)</f>
        <v>6</v>
      </c>
      <c r="N1669" s="24" t="n">
        <f aca="false">M1669*H1669*Summary!$C$6</f>
        <v>48</v>
      </c>
      <c r="O1669" s="37" t="n">
        <v>46146.5449537037</v>
      </c>
      <c r="P1669" s="22" t="n">
        <f aca="false">ROUND((O1669-C1669)*86400,0)</f>
        <v>52</v>
      </c>
      <c r="Q1669" s="22" t="str">
        <f aca="false">IF(P1669&lt;10,"a) &lt;10s",IF(P1669&lt;60,"b) 10-60s",IF(P1669&lt;600,"c) 1-10min","d) &gt;10min")))</f>
        <v>b) 10-60s</v>
      </c>
      <c r="R1669" s="38" t="n">
        <v>4557.81</v>
      </c>
      <c r="S1669" s="38" t="n">
        <v>4557.82</v>
      </c>
      <c r="T1669" s="22" t="s">
        <v>189</v>
      </c>
      <c r="U1669" s="39" t="n">
        <f aca="false">IF(R1669="","",IF(F1669="BUY",R1669-S1669,S1669-R1669))</f>
        <v>0.00999999999930878</v>
      </c>
      <c r="V1669" s="39" t="n">
        <f aca="false">IF(F1669="BUY",S1669-J1669,J1669-S1669)</f>
        <v>0.490000000000691</v>
      </c>
      <c r="W1669" s="6" t="n">
        <v>3.92</v>
      </c>
      <c r="X1669" s="26" t="n">
        <f aca="false">IFERROR(W1669/N1669,0)</f>
        <v>0.0816666666666667</v>
      </c>
      <c r="Y1669" s="22" t="str">
        <f aca="false">IF(W1669&gt;0,"Win",IF(W1669&lt;0,"Loss","Flat"))</f>
        <v>Win</v>
      </c>
      <c r="Z1669" s="24" t="n">
        <f aca="false">Summary!$C$5+SUM(W$2:W1669)</f>
        <v>4882.19</v>
      </c>
      <c r="AA1669" s="24" t="n">
        <f aca="false">MAX(AA1668,Z1669)</f>
        <v>5106.86</v>
      </c>
      <c r="AB1669" s="24" t="n">
        <f aca="false">AA1669-Z1669</f>
        <v>224.67</v>
      </c>
      <c r="AC1669" s="23" t="n">
        <f aca="false">IFERROR(AB1669/AA1669,0)</f>
        <v>0.0439937652490963</v>
      </c>
      <c r="AD1669" s="22" t="s">
        <v>1906</v>
      </c>
    </row>
    <row r="1670" customFormat="false" ht="15" hidden="false" customHeight="false" outlineLevel="0" collapsed="false">
      <c r="A1670" s="22" t="n">
        <v>1669</v>
      </c>
      <c r="B1670" s="22" t="s">
        <v>169</v>
      </c>
      <c r="C1670" s="37" t="n">
        <v>46147.3758796296</v>
      </c>
      <c r="D1670" s="22" t="s">
        <v>203</v>
      </c>
      <c r="E1670" s="22" t="n">
        <v>9</v>
      </c>
      <c r="F1670" s="22" t="s">
        <v>181</v>
      </c>
      <c r="G1670" s="22" t="s">
        <v>235</v>
      </c>
      <c r="H1670" s="22" t="n">
        <v>0.08</v>
      </c>
      <c r="I1670" s="38" t="n">
        <v>4551.36</v>
      </c>
      <c r="J1670" s="38" t="n">
        <v>4551.57</v>
      </c>
      <c r="K1670" s="39" t="n">
        <f aca="false">IF(F1670="BUY",J1670-I1670,I1670-J1670)</f>
        <v>0.210000000000036</v>
      </c>
      <c r="L1670" s="38" t="n">
        <v>4545.36</v>
      </c>
      <c r="M1670" s="39" t="n">
        <f aca="false">ABS(I1670-L1670)</f>
        <v>6</v>
      </c>
      <c r="N1670" s="24" t="n">
        <f aca="false">M1670*H1670*Summary!$C$6</f>
        <v>48</v>
      </c>
      <c r="O1670" s="37" t="n">
        <v>46147.3783217593</v>
      </c>
      <c r="P1670" s="22" t="n">
        <f aca="false">ROUND((O1670-C1670)*86400,0)</f>
        <v>211</v>
      </c>
      <c r="Q1670" s="22" t="str">
        <f aca="false">IF(P1670&lt;10,"a) &lt;10s",IF(P1670&lt;60,"b) 10-60s",IF(P1670&lt;600,"c) 1-10min","d) &gt;10min")))</f>
        <v>c) 1-10min</v>
      </c>
      <c r="R1670" s="38" t="n">
        <v>4545.36</v>
      </c>
      <c r="S1670" s="38" t="n">
        <v>4545.12</v>
      </c>
      <c r="T1670" s="22" t="s">
        <v>188</v>
      </c>
      <c r="U1670" s="39" t="n">
        <f aca="false">IF(R1670="","",IF(F1670="BUY",R1670-S1670,S1670-R1670))</f>
        <v>0.239999999999782</v>
      </c>
      <c r="V1670" s="39" t="n">
        <f aca="false">IF(F1670="BUY",S1670-J1670,J1670-S1670)</f>
        <v>-6.44999999999982</v>
      </c>
      <c r="W1670" s="6" t="n">
        <v>-51.6</v>
      </c>
      <c r="X1670" s="26" t="n">
        <f aca="false">IFERROR(W1670/N1670,0)</f>
        <v>-1.075</v>
      </c>
      <c r="Y1670" s="22" t="str">
        <f aca="false">IF(W1670&gt;0,"Win",IF(W1670&lt;0,"Loss","Flat"))</f>
        <v>Loss</v>
      </c>
      <c r="Z1670" s="24" t="n">
        <f aca="false">Summary!$C$5+SUM(W$2:W1670)</f>
        <v>4830.59</v>
      </c>
      <c r="AA1670" s="24" t="n">
        <f aca="false">MAX(AA1669,Z1670)</f>
        <v>5106.86</v>
      </c>
      <c r="AB1670" s="24" t="n">
        <f aca="false">AA1670-Z1670</f>
        <v>276.27</v>
      </c>
      <c r="AC1670" s="23" t="n">
        <f aca="false">IFERROR(AB1670/AA1670,0)</f>
        <v>0.0540978213618544</v>
      </c>
      <c r="AD1670" s="22" t="s">
        <v>1907</v>
      </c>
    </row>
    <row r="1671" customFormat="false" ht="15" hidden="false" customHeight="false" outlineLevel="0" collapsed="false">
      <c r="A1671" s="22" t="n">
        <v>1670</v>
      </c>
      <c r="B1671" s="22" t="s">
        <v>169</v>
      </c>
      <c r="C1671" s="37" t="n">
        <v>46148.0922453704</v>
      </c>
      <c r="D1671" s="22" t="s">
        <v>204</v>
      </c>
      <c r="E1671" s="22" t="n">
        <v>2</v>
      </c>
      <c r="F1671" s="22" t="s">
        <v>181</v>
      </c>
      <c r="G1671" s="22" t="s">
        <v>243</v>
      </c>
      <c r="H1671" s="22" t="n">
        <v>0.08</v>
      </c>
      <c r="I1671" s="38" t="n">
        <v>4586.42</v>
      </c>
      <c r="J1671" s="38" t="n">
        <v>4587.7</v>
      </c>
      <c r="K1671" s="39" t="n">
        <f aca="false">IF(F1671="BUY",J1671-I1671,I1671-J1671)</f>
        <v>1.27999999999975</v>
      </c>
      <c r="L1671" s="38" t="n">
        <v>4580.42</v>
      </c>
      <c r="M1671" s="39" t="n">
        <f aca="false">ABS(I1671-L1671)</f>
        <v>6</v>
      </c>
      <c r="N1671" s="24" t="n">
        <f aca="false">M1671*H1671*Summary!$C$6</f>
        <v>48</v>
      </c>
      <c r="O1671" s="37" t="n">
        <v>46148.0935648148</v>
      </c>
      <c r="P1671" s="22" t="n">
        <f aca="false">ROUND((O1671-C1671)*86400,0)</f>
        <v>114</v>
      </c>
      <c r="Q1671" s="22" t="str">
        <f aca="false">IF(P1671&lt;10,"a) &lt;10s",IF(P1671&lt;60,"b) 10-60s",IF(P1671&lt;600,"c) 1-10min","d) &gt;10min")))</f>
        <v>c) 1-10min</v>
      </c>
      <c r="R1671" s="38" t="n">
        <v>4588.2</v>
      </c>
      <c r="S1671" s="38" t="n">
        <v>4588.2</v>
      </c>
      <c r="T1671" s="22" t="s">
        <v>189</v>
      </c>
      <c r="U1671" s="39" t="n">
        <f aca="false">IF(R1671="","",IF(F1671="BUY",R1671-S1671,S1671-R1671))</f>
        <v>0</v>
      </c>
      <c r="V1671" s="39" t="n">
        <f aca="false">IF(F1671="BUY",S1671-J1671,J1671-S1671)</f>
        <v>0.5</v>
      </c>
      <c r="W1671" s="6" t="n">
        <v>4</v>
      </c>
      <c r="X1671" s="26" t="n">
        <f aca="false">IFERROR(W1671/N1671,0)</f>
        <v>0.0833333333333333</v>
      </c>
      <c r="Y1671" s="22" t="str">
        <f aca="false">IF(W1671&gt;0,"Win",IF(W1671&lt;0,"Loss","Flat"))</f>
        <v>Win</v>
      </c>
      <c r="Z1671" s="24" t="n">
        <f aca="false">Summary!$C$5+SUM(W$2:W1671)</f>
        <v>4834.59</v>
      </c>
      <c r="AA1671" s="24" t="n">
        <f aca="false">MAX(AA1670,Z1671)</f>
        <v>5106.86</v>
      </c>
      <c r="AB1671" s="24" t="n">
        <f aca="false">AA1671-Z1671</f>
        <v>272.27</v>
      </c>
      <c r="AC1671" s="23" t="n">
        <f aca="false">IFERROR(AB1671/AA1671,0)</f>
        <v>0.0533145611980747</v>
      </c>
      <c r="AD1671" s="22" t="s">
        <v>1908</v>
      </c>
    </row>
    <row r="1672" customFormat="false" ht="15" hidden="false" customHeight="false" outlineLevel="0" collapsed="false">
      <c r="A1672" s="22" t="n">
        <v>1671</v>
      </c>
      <c r="B1672" s="22" t="s">
        <v>169</v>
      </c>
      <c r="C1672" s="37" t="n">
        <v>46148.3750115741</v>
      </c>
      <c r="D1672" s="22" t="s">
        <v>204</v>
      </c>
      <c r="E1672" s="22" t="n">
        <v>9</v>
      </c>
      <c r="F1672" s="22" t="s">
        <v>181</v>
      </c>
      <c r="G1672" s="22" t="s">
        <v>235</v>
      </c>
      <c r="H1672" s="22" t="n">
        <v>0.08</v>
      </c>
      <c r="I1672" s="38" t="n">
        <v>4663.61</v>
      </c>
      <c r="J1672" s="38" t="n">
        <v>4663.82</v>
      </c>
      <c r="K1672" s="39" t="n">
        <f aca="false">IF(F1672="BUY",J1672-I1672,I1672-J1672)</f>
        <v>0.210000000000036</v>
      </c>
      <c r="L1672" s="38" t="n">
        <v>4657.61</v>
      </c>
      <c r="M1672" s="39" t="n">
        <f aca="false">ABS(I1672-L1672)</f>
        <v>6</v>
      </c>
      <c r="N1672" s="24" t="n">
        <f aca="false">M1672*H1672*Summary!$C$6</f>
        <v>48</v>
      </c>
      <c r="O1672" s="37" t="n">
        <v>46148.3787037037</v>
      </c>
      <c r="P1672" s="22" t="n">
        <f aca="false">ROUND((O1672-C1672)*86400,0)</f>
        <v>319</v>
      </c>
      <c r="Q1672" s="22" t="str">
        <f aca="false">IF(P1672&lt;10,"a) &lt;10s",IF(P1672&lt;60,"b) 10-60s",IF(P1672&lt;600,"c) 1-10min","d) &gt;10min")))</f>
        <v>c) 1-10min</v>
      </c>
      <c r="R1672" s="38" t="n">
        <v>4657.61</v>
      </c>
      <c r="S1672" s="38" t="n">
        <v>4657.44</v>
      </c>
      <c r="T1672" s="22" t="s">
        <v>188</v>
      </c>
      <c r="U1672" s="39" t="n">
        <f aca="false">IF(R1672="","",IF(F1672="BUY",R1672-S1672,S1672-R1672))</f>
        <v>0.170000000000073</v>
      </c>
      <c r="V1672" s="39" t="n">
        <f aca="false">IF(F1672="BUY",S1672-J1672,J1672-S1672)</f>
        <v>-6.38000000000011</v>
      </c>
      <c r="W1672" s="6" t="n">
        <v>-51.04</v>
      </c>
      <c r="X1672" s="26" t="n">
        <f aca="false">IFERROR(W1672/N1672,0)</f>
        <v>-1.06333333333333</v>
      </c>
      <c r="Y1672" s="22" t="str">
        <f aca="false">IF(W1672&gt;0,"Win",IF(W1672&lt;0,"Loss","Flat"))</f>
        <v>Loss</v>
      </c>
      <c r="Z1672" s="24" t="n">
        <f aca="false">Summary!$C$5+SUM(W$2:W1672)</f>
        <v>4783.55</v>
      </c>
      <c r="AA1672" s="24" t="n">
        <f aca="false">MAX(AA1671,Z1672)</f>
        <v>5106.86</v>
      </c>
      <c r="AB1672" s="24" t="n">
        <f aca="false">AA1672-Z1672</f>
        <v>323.31</v>
      </c>
      <c r="AC1672" s="23" t="n">
        <f aca="false">IFERROR(AB1672/AA1672,0)</f>
        <v>0.0633089608879036</v>
      </c>
      <c r="AD1672" s="22" t="s">
        <v>1909</v>
      </c>
    </row>
    <row r="1673" customFormat="false" ht="15" hidden="false" customHeight="false" outlineLevel="0" collapsed="false">
      <c r="A1673" s="22" t="n">
        <v>1672</v>
      </c>
      <c r="B1673" s="22" t="s">
        <v>169</v>
      </c>
      <c r="C1673" s="37" t="n">
        <v>46149.3765393519</v>
      </c>
      <c r="D1673" s="22" t="s">
        <v>205</v>
      </c>
      <c r="E1673" s="22" t="n">
        <v>9</v>
      </c>
      <c r="F1673" s="22" t="s">
        <v>181</v>
      </c>
      <c r="G1673" s="22" t="s">
        <v>235</v>
      </c>
      <c r="H1673" s="22" t="n">
        <v>0.07</v>
      </c>
      <c r="I1673" s="38" t="n">
        <v>4706.37</v>
      </c>
      <c r="J1673" s="38" t="n">
        <v>4706.41</v>
      </c>
      <c r="K1673" s="39" t="n">
        <f aca="false">IF(F1673="BUY",J1673-I1673,I1673-J1673)</f>
        <v>0.0399999999999636</v>
      </c>
      <c r="L1673" s="38" t="n">
        <v>4700.37</v>
      </c>
      <c r="M1673" s="39" t="n">
        <f aca="false">ABS(I1673-L1673)</f>
        <v>6</v>
      </c>
      <c r="N1673" s="24" t="n">
        <f aca="false">M1673*H1673*Summary!$C$6</f>
        <v>42</v>
      </c>
      <c r="O1673" s="37" t="n">
        <v>46149.399525463</v>
      </c>
      <c r="P1673" s="22" t="n">
        <f aca="false">ROUND((O1673-C1673)*86400,0)</f>
        <v>1986</v>
      </c>
      <c r="Q1673" s="22" t="str">
        <f aca="false">IF(P1673&lt;10,"a) &lt;10s",IF(P1673&lt;60,"b) 10-60s",IF(P1673&lt;600,"c) 1-10min","d) &gt;10min")))</f>
        <v>d) &gt;10min</v>
      </c>
      <c r="R1673" s="38"/>
      <c r="S1673" s="38" t="n">
        <v>4736.62</v>
      </c>
      <c r="T1673" s="22" t="s">
        <v>187</v>
      </c>
      <c r="U1673" s="39" t="str">
        <f aca="false">IF(R1673="","",IF(F1673="BUY",R1673-S1673,S1673-R1673))</f>
        <v/>
      </c>
      <c r="V1673" s="39" t="n">
        <f aca="false">IF(F1673="BUY",S1673-J1673,J1673-S1673)</f>
        <v>30.21</v>
      </c>
      <c r="W1673" s="6" t="n">
        <v>211.47</v>
      </c>
      <c r="X1673" s="26" t="n">
        <f aca="false">IFERROR(W1673/N1673,0)</f>
        <v>5.035</v>
      </c>
      <c r="Y1673" s="22" t="str">
        <f aca="false">IF(W1673&gt;0,"Win",IF(W1673&lt;0,"Loss","Flat"))</f>
        <v>Win</v>
      </c>
      <c r="Z1673" s="24" t="n">
        <f aca="false">Summary!$C$5+SUM(W$2:W1673)</f>
        <v>4995.02</v>
      </c>
      <c r="AA1673" s="24" t="n">
        <f aca="false">MAX(AA1672,Z1673)</f>
        <v>5106.86</v>
      </c>
      <c r="AB1673" s="24" t="n">
        <f aca="false">AA1673-Z1673</f>
        <v>111.839999999999</v>
      </c>
      <c r="AC1673" s="23" t="n">
        <f aca="false">IFERROR(AB1673/AA1673,0)</f>
        <v>0.0218999541792803</v>
      </c>
      <c r="AD1673" s="22" t="s">
        <v>1910</v>
      </c>
    </row>
    <row r="1674" customFormat="false" ht="15" hidden="false" customHeight="false" outlineLevel="0" collapsed="false">
      <c r="A1674" s="22" t="n">
        <v>1673</v>
      </c>
      <c r="B1674" s="22" t="s">
        <v>169</v>
      </c>
      <c r="C1674" s="37" t="n">
        <v>46150.3946296296</v>
      </c>
      <c r="D1674" s="22" t="s">
        <v>206</v>
      </c>
      <c r="E1674" s="22" t="n">
        <v>9</v>
      </c>
      <c r="F1674" s="22" t="s">
        <v>181</v>
      </c>
      <c r="G1674" s="22" t="s">
        <v>235</v>
      </c>
      <c r="H1674" s="22" t="n">
        <v>0.08</v>
      </c>
      <c r="I1674" s="38" t="n">
        <v>4730.96</v>
      </c>
      <c r="J1674" s="38" t="n">
        <v>4730.96</v>
      </c>
      <c r="K1674" s="39" t="n">
        <f aca="false">IF(F1674="BUY",J1674-I1674,I1674-J1674)</f>
        <v>0</v>
      </c>
      <c r="L1674" s="38" t="n">
        <v>4724.96</v>
      </c>
      <c r="M1674" s="39" t="n">
        <f aca="false">ABS(I1674-L1674)</f>
        <v>6</v>
      </c>
      <c r="N1674" s="24" t="n">
        <f aca="false">M1674*H1674*Summary!$C$6</f>
        <v>48</v>
      </c>
      <c r="O1674" s="37" t="n">
        <v>46150.3962037037</v>
      </c>
      <c r="P1674" s="22" t="n">
        <f aca="false">ROUND((O1674-C1674)*86400,0)</f>
        <v>136</v>
      </c>
      <c r="Q1674" s="22" t="str">
        <f aca="false">IF(P1674&lt;10,"a) &lt;10s",IF(P1674&lt;60,"b) 10-60s",IF(P1674&lt;600,"c) 1-10min","d) &gt;10min")))</f>
        <v>c) 1-10min</v>
      </c>
      <c r="R1674" s="38" t="n">
        <v>4731.46</v>
      </c>
      <c r="S1674" s="38" t="n">
        <v>4731.46</v>
      </c>
      <c r="T1674" s="22" t="s">
        <v>189</v>
      </c>
      <c r="U1674" s="39" t="n">
        <f aca="false">IF(R1674="","",IF(F1674="BUY",R1674-S1674,S1674-R1674))</f>
        <v>0</v>
      </c>
      <c r="V1674" s="39" t="n">
        <f aca="false">IF(F1674="BUY",S1674-J1674,J1674-S1674)</f>
        <v>0.5</v>
      </c>
      <c r="W1674" s="6" t="n">
        <v>4</v>
      </c>
      <c r="X1674" s="26" t="n">
        <f aca="false">IFERROR(W1674/N1674,0)</f>
        <v>0.0833333333333333</v>
      </c>
      <c r="Y1674" s="22" t="str">
        <f aca="false">IF(W1674&gt;0,"Win",IF(W1674&lt;0,"Loss","Flat"))</f>
        <v>Win</v>
      </c>
      <c r="Z1674" s="24" t="n">
        <f aca="false">Summary!$C$5+SUM(W$2:W1674)</f>
        <v>4999.02</v>
      </c>
      <c r="AA1674" s="24" t="n">
        <f aca="false">MAX(AA1673,Z1674)</f>
        <v>5106.86</v>
      </c>
      <c r="AB1674" s="24" t="n">
        <f aca="false">AA1674-Z1674</f>
        <v>107.839999999999</v>
      </c>
      <c r="AC1674" s="23" t="n">
        <f aca="false">IFERROR(AB1674/AA1674,0)</f>
        <v>0.0211166940155006</v>
      </c>
      <c r="AD1674" s="22" t="s">
        <v>1911</v>
      </c>
    </row>
    <row r="1675" customFormat="false" ht="15" hidden="false" customHeight="false" outlineLevel="0" collapsed="false">
      <c r="A1675" s="22" t="n">
        <v>1674</v>
      </c>
      <c r="B1675" s="22" t="s">
        <v>169</v>
      </c>
      <c r="C1675" s="37" t="n">
        <v>46153.1390393519</v>
      </c>
      <c r="D1675" s="22" t="s">
        <v>202</v>
      </c>
      <c r="E1675" s="22" t="n">
        <v>3</v>
      </c>
      <c r="F1675" s="22" t="s">
        <v>182</v>
      </c>
      <c r="G1675" s="22" t="s">
        <v>237</v>
      </c>
      <c r="H1675" s="22" t="n">
        <v>0.08</v>
      </c>
      <c r="I1675" s="38" t="n">
        <v>4675.65</v>
      </c>
      <c r="J1675" s="38" t="n">
        <v>4675.65</v>
      </c>
      <c r="K1675" s="39" t="n">
        <f aca="false">IF(F1675="BUY",J1675-I1675,I1675-J1675)</f>
        <v>0</v>
      </c>
      <c r="L1675" s="38" t="n">
        <v>4681.65</v>
      </c>
      <c r="M1675" s="39" t="n">
        <f aca="false">ABS(I1675-L1675)</f>
        <v>6</v>
      </c>
      <c r="N1675" s="24" t="n">
        <f aca="false">M1675*H1675*Summary!$C$6</f>
        <v>48</v>
      </c>
      <c r="O1675" s="37" t="n">
        <v>46153.1394328704</v>
      </c>
      <c r="P1675" s="22" t="n">
        <f aca="false">ROUND((O1675-C1675)*86400,0)</f>
        <v>34</v>
      </c>
      <c r="Q1675" s="22" t="str">
        <f aca="false">IF(P1675&lt;10,"a) &lt;10s",IF(P1675&lt;60,"b) 10-60s",IF(P1675&lt;600,"c) 1-10min","d) &gt;10min")))</f>
        <v>b) 10-60s</v>
      </c>
      <c r="R1675" s="38" t="n">
        <v>4681.65</v>
      </c>
      <c r="S1675" s="38" t="n">
        <v>4681.91</v>
      </c>
      <c r="T1675" s="22" t="s">
        <v>188</v>
      </c>
      <c r="U1675" s="39" t="n">
        <f aca="false">IF(R1675="","",IF(F1675="BUY",R1675-S1675,S1675-R1675))</f>
        <v>0.260000000000218</v>
      </c>
      <c r="V1675" s="39" t="n">
        <f aca="false">IF(F1675="BUY",S1675-J1675,J1675-S1675)</f>
        <v>-6.26000000000022</v>
      </c>
      <c r="W1675" s="6" t="n">
        <v>-50.08</v>
      </c>
      <c r="X1675" s="26" t="n">
        <f aca="false">IFERROR(W1675/N1675,0)</f>
        <v>-1.04333333333333</v>
      </c>
      <c r="Y1675" s="22" t="str">
        <f aca="false">IF(W1675&gt;0,"Win",IF(W1675&lt;0,"Loss","Flat"))</f>
        <v>Loss</v>
      </c>
      <c r="Z1675" s="24" t="n">
        <f aca="false">Summary!$C$5+SUM(W$2:W1675)</f>
        <v>4948.94</v>
      </c>
      <c r="AA1675" s="24" t="n">
        <f aca="false">MAX(AA1674,Z1675)</f>
        <v>5106.86</v>
      </c>
      <c r="AB1675" s="24" t="n">
        <f aca="false">AA1675-Z1675</f>
        <v>157.92</v>
      </c>
      <c r="AC1675" s="23" t="n">
        <f aca="false">IFERROR(AB1675/AA1675,0)</f>
        <v>0.0309231112660226</v>
      </c>
      <c r="AD1675" s="22" t="s">
        <v>1912</v>
      </c>
    </row>
    <row r="1676" customFormat="false" ht="15" hidden="false" customHeight="false" outlineLevel="0" collapsed="false">
      <c r="A1676" s="22" t="n">
        <v>1675</v>
      </c>
      <c r="B1676" s="22" t="s">
        <v>169</v>
      </c>
      <c r="C1676" s="37" t="n">
        <v>46153.4125347222</v>
      </c>
      <c r="D1676" s="22" t="s">
        <v>202</v>
      </c>
      <c r="E1676" s="22" t="n">
        <v>9</v>
      </c>
      <c r="F1676" s="22" t="s">
        <v>181</v>
      </c>
      <c r="G1676" s="22" t="s">
        <v>235</v>
      </c>
      <c r="H1676" s="22" t="n">
        <v>0.08</v>
      </c>
      <c r="I1676" s="38" t="n">
        <v>4680.66</v>
      </c>
      <c r="J1676" s="38" t="n">
        <v>4680.79</v>
      </c>
      <c r="K1676" s="39" t="n">
        <f aca="false">IF(F1676="BUY",J1676-I1676,I1676-J1676)</f>
        <v>0.130000000000109</v>
      </c>
      <c r="L1676" s="38" t="n">
        <v>4674.66</v>
      </c>
      <c r="M1676" s="39" t="n">
        <f aca="false">ABS(I1676-L1676)</f>
        <v>6</v>
      </c>
      <c r="N1676" s="24" t="n">
        <f aca="false">M1676*H1676*Summary!$C$6</f>
        <v>48</v>
      </c>
      <c r="O1676" s="37" t="n">
        <v>46153.422974537</v>
      </c>
      <c r="P1676" s="22" t="n">
        <f aca="false">ROUND((O1676-C1676)*86400,0)</f>
        <v>902</v>
      </c>
      <c r="Q1676" s="22" t="str">
        <f aca="false">IF(P1676&lt;10,"a) &lt;10s",IF(P1676&lt;60,"b) 10-60s",IF(P1676&lt;600,"c) 1-10min","d) &gt;10min")))</f>
        <v>d) &gt;10min</v>
      </c>
      <c r="R1676" s="38" t="n">
        <v>4674.66</v>
      </c>
      <c r="S1676" s="38" t="n">
        <v>4674.64</v>
      </c>
      <c r="T1676" s="22" t="s">
        <v>188</v>
      </c>
      <c r="U1676" s="39" t="n">
        <f aca="false">IF(R1676="","",IF(F1676="BUY",R1676-S1676,S1676-R1676))</f>
        <v>0.0199999999995271</v>
      </c>
      <c r="V1676" s="39" t="n">
        <f aca="false">IF(F1676="BUY",S1676-J1676,J1676-S1676)</f>
        <v>-6.14999999999964</v>
      </c>
      <c r="W1676" s="6" t="n">
        <v>-49.2</v>
      </c>
      <c r="X1676" s="26" t="n">
        <f aca="false">IFERROR(W1676/N1676,0)</f>
        <v>-1.025</v>
      </c>
      <c r="Y1676" s="22" t="str">
        <f aca="false">IF(W1676&gt;0,"Win",IF(W1676&lt;0,"Loss","Flat"))</f>
        <v>Loss</v>
      </c>
      <c r="Z1676" s="24" t="n">
        <f aca="false">Summary!$C$5+SUM(W$2:W1676)</f>
        <v>4899.74</v>
      </c>
      <c r="AA1676" s="24" t="n">
        <f aca="false">MAX(AA1675,Z1676)</f>
        <v>5106.86</v>
      </c>
      <c r="AB1676" s="24" t="n">
        <f aca="false">AA1676-Z1676</f>
        <v>207.12</v>
      </c>
      <c r="AC1676" s="23" t="n">
        <f aca="false">IFERROR(AB1676/AA1676,0)</f>
        <v>0.0405572112805129</v>
      </c>
      <c r="AD1676" s="22" t="s">
        <v>1913</v>
      </c>
    </row>
    <row r="1677" customFormat="false" ht="15" hidden="false" customHeight="false" outlineLevel="0" collapsed="false">
      <c r="A1677" s="22" t="n">
        <v>1676</v>
      </c>
      <c r="B1677" s="22" t="s">
        <v>169</v>
      </c>
      <c r="C1677" s="37" t="n">
        <v>46154.073900463</v>
      </c>
      <c r="D1677" s="22" t="s">
        <v>203</v>
      </c>
      <c r="E1677" s="22" t="n">
        <v>1</v>
      </c>
      <c r="F1677" s="22" t="s">
        <v>181</v>
      </c>
      <c r="G1677" s="22" t="s">
        <v>243</v>
      </c>
      <c r="H1677" s="22" t="n">
        <v>0.08</v>
      </c>
      <c r="I1677" s="38" t="n">
        <v>4748.49</v>
      </c>
      <c r="J1677" s="38" t="n">
        <v>4754.3</v>
      </c>
      <c r="K1677" s="39" t="n">
        <f aca="false">IF(F1677="BUY",J1677-I1677,I1677-J1677)</f>
        <v>5.8100000000004</v>
      </c>
      <c r="L1677" s="38" t="n">
        <v>4742.49</v>
      </c>
      <c r="M1677" s="39" t="n">
        <f aca="false">ABS(I1677-L1677)</f>
        <v>6</v>
      </c>
      <c r="N1677" s="24" t="n">
        <f aca="false">M1677*H1677*Summary!$C$6</f>
        <v>48</v>
      </c>
      <c r="O1677" s="37" t="n">
        <v>46154.1061805556</v>
      </c>
      <c r="P1677" s="22" t="n">
        <f aca="false">ROUND((O1677-C1677)*86400,0)</f>
        <v>2789</v>
      </c>
      <c r="Q1677" s="22" t="str">
        <f aca="false">IF(P1677&lt;10,"a) &lt;10s",IF(P1677&lt;60,"b) 10-60s",IF(P1677&lt;600,"c) 1-10min","d) &gt;10min")))</f>
        <v>d) &gt;10min</v>
      </c>
      <c r="R1677" s="38" t="n">
        <v>4754.8</v>
      </c>
      <c r="S1677" s="38" t="n">
        <v>4754.73</v>
      </c>
      <c r="T1677" s="22" t="s">
        <v>189</v>
      </c>
      <c r="U1677" s="39" t="n">
        <f aca="false">IF(R1677="","",IF(F1677="BUY",R1677-S1677,S1677-R1677))</f>
        <v>0.0700000000006185</v>
      </c>
      <c r="V1677" s="39" t="n">
        <f aca="false">IF(F1677="BUY",S1677-J1677,J1677-S1677)</f>
        <v>0.429999999999382</v>
      </c>
      <c r="W1677" s="6" t="n">
        <v>3.44</v>
      </c>
      <c r="X1677" s="26" t="n">
        <f aca="false">IFERROR(W1677/N1677,0)</f>
        <v>0.0716666666666667</v>
      </c>
      <c r="Y1677" s="22" t="str">
        <f aca="false">IF(W1677&gt;0,"Win",IF(W1677&lt;0,"Loss","Flat"))</f>
        <v>Win</v>
      </c>
      <c r="Z1677" s="24" t="n">
        <f aca="false">Summary!$C$5+SUM(W$2:W1677)</f>
        <v>4903.18</v>
      </c>
      <c r="AA1677" s="24" t="n">
        <f aca="false">MAX(AA1676,Z1677)</f>
        <v>5106.86</v>
      </c>
      <c r="AB1677" s="24" t="n">
        <f aca="false">AA1677-Z1677</f>
        <v>203.679999999999</v>
      </c>
      <c r="AC1677" s="23" t="n">
        <f aca="false">IFERROR(AB1677/AA1677,0)</f>
        <v>0.0398836075396622</v>
      </c>
      <c r="AD1677" s="22" t="s">
        <v>1914</v>
      </c>
    </row>
    <row r="1678" customFormat="false" ht="15" hidden="false" customHeight="false" outlineLevel="0" collapsed="false">
      <c r="A1678" s="22" t="n">
        <v>1677</v>
      </c>
      <c r="B1678" s="22" t="s">
        <v>169</v>
      </c>
      <c r="C1678" s="37" t="n">
        <v>46154.3751388889</v>
      </c>
      <c r="D1678" s="22" t="s">
        <v>203</v>
      </c>
      <c r="E1678" s="22" t="n">
        <v>9</v>
      </c>
      <c r="F1678" s="22" t="s">
        <v>182</v>
      </c>
      <c r="G1678" s="22" t="s">
        <v>241</v>
      </c>
      <c r="H1678" s="22" t="n">
        <v>0.08</v>
      </c>
      <c r="I1678" s="38" t="n">
        <v>4708.48</v>
      </c>
      <c r="J1678" s="38" t="n">
        <v>4707.81</v>
      </c>
      <c r="K1678" s="39" t="n">
        <f aca="false">IF(F1678="BUY",J1678-I1678,I1678-J1678)</f>
        <v>0.669999999999163</v>
      </c>
      <c r="L1678" s="38" t="n">
        <v>4714.48</v>
      </c>
      <c r="M1678" s="39" t="n">
        <f aca="false">ABS(I1678-L1678)</f>
        <v>6</v>
      </c>
      <c r="N1678" s="24" t="n">
        <f aca="false">M1678*H1678*Summary!$C$6</f>
        <v>48</v>
      </c>
      <c r="O1678" s="37" t="n">
        <v>46154.3753819445</v>
      </c>
      <c r="P1678" s="22" t="n">
        <f aca="false">ROUND((O1678-C1678)*86400,0)</f>
        <v>21</v>
      </c>
      <c r="Q1678" s="22" t="str">
        <f aca="false">IF(P1678&lt;10,"a) &lt;10s",IF(P1678&lt;60,"b) 10-60s",IF(P1678&lt;600,"c) 1-10min","d) &gt;10min")))</f>
        <v>b) 10-60s</v>
      </c>
      <c r="R1678" s="38" t="n">
        <v>4707.31</v>
      </c>
      <c r="S1678" s="38" t="n">
        <v>4707.34</v>
      </c>
      <c r="T1678" s="22" t="s">
        <v>189</v>
      </c>
      <c r="U1678" s="39" t="n">
        <f aca="false">IF(R1678="","",IF(F1678="BUY",R1678-S1678,S1678-R1678))</f>
        <v>0.0299999999997453</v>
      </c>
      <c r="V1678" s="39" t="n">
        <f aca="false">IF(F1678="BUY",S1678-J1678,J1678-S1678)</f>
        <v>0.470000000000255</v>
      </c>
      <c r="W1678" s="6" t="n">
        <v>3.76</v>
      </c>
      <c r="X1678" s="26" t="n">
        <f aca="false">IFERROR(W1678/N1678,0)</f>
        <v>0.0783333333333333</v>
      </c>
      <c r="Y1678" s="22" t="str">
        <f aca="false">IF(W1678&gt;0,"Win",IF(W1678&lt;0,"Loss","Flat"))</f>
        <v>Win</v>
      </c>
      <c r="Z1678" s="24" t="n">
        <f aca="false">Summary!$C$5+SUM(W$2:W1678)</f>
        <v>4906.94</v>
      </c>
      <c r="AA1678" s="24" t="n">
        <f aca="false">MAX(AA1677,Z1678)</f>
        <v>5106.86</v>
      </c>
      <c r="AB1678" s="24" t="n">
        <f aca="false">AA1678-Z1678</f>
        <v>199.92</v>
      </c>
      <c r="AC1678" s="23" t="n">
        <f aca="false">IFERROR(AB1678/AA1678,0)</f>
        <v>0.0391473429857094</v>
      </c>
      <c r="AD1678" s="22" t="s">
        <v>1915</v>
      </c>
    </row>
    <row r="1679" customFormat="false" ht="15" hidden="false" customHeight="false" outlineLevel="0" collapsed="false">
      <c r="A1679" s="22" t="n">
        <v>1678</v>
      </c>
      <c r="B1679" s="22" t="s">
        <v>169</v>
      </c>
      <c r="C1679" s="37" t="n">
        <v>46155.3758101852</v>
      </c>
      <c r="D1679" s="22" t="s">
        <v>204</v>
      </c>
      <c r="E1679" s="22" t="n">
        <v>9</v>
      </c>
      <c r="F1679" s="22" t="s">
        <v>181</v>
      </c>
      <c r="G1679" s="22" t="s">
        <v>235</v>
      </c>
      <c r="H1679" s="22" t="n">
        <v>0.08</v>
      </c>
      <c r="I1679" s="38" t="n">
        <v>4707.09</v>
      </c>
      <c r="J1679" s="38" t="n">
        <v>4707.3</v>
      </c>
      <c r="K1679" s="39" t="n">
        <f aca="false">IF(F1679="BUY",J1679-I1679,I1679-J1679)</f>
        <v>0.210000000000036</v>
      </c>
      <c r="L1679" s="38" t="n">
        <v>4701.09</v>
      </c>
      <c r="M1679" s="39" t="n">
        <f aca="false">ABS(I1679-L1679)</f>
        <v>6</v>
      </c>
      <c r="N1679" s="24" t="n">
        <f aca="false">M1679*H1679*Summary!$C$6</f>
        <v>48</v>
      </c>
      <c r="O1679" s="37" t="n">
        <v>46155.3802314815</v>
      </c>
      <c r="P1679" s="22" t="n">
        <f aca="false">ROUND((O1679-C1679)*86400,0)</f>
        <v>382</v>
      </c>
      <c r="Q1679" s="22" t="str">
        <f aca="false">IF(P1679&lt;10,"a) &lt;10s",IF(P1679&lt;60,"b) 10-60s",IF(P1679&lt;600,"c) 1-10min","d) &gt;10min")))</f>
        <v>c) 1-10min</v>
      </c>
      <c r="R1679" s="38" t="n">
        <v>4707.8</v>
      </c>
      <c r="S1679" s="38" t="n">
        <v>4707.78</v>
      </c>
      <c r="T1679" s="22" t="s">
        <v>189</v>
      </c>
      <c r="U1679" s="39" t="n">
        <f aca="false">IF(R1679="","",IF(F1679="BUY",R1679-S1679,S1679-R1679))</f>
        <v>0.0200000000004366</v>
      </c>
      <c r="V1679" s="39" t="n">
        <f aca="false">IF(F1679="BUY",S1679-J1679,J1679-S1679)</f>
        <v>0.479999999999563</v>
      </c>
      <c r="W1679" s="6" t="n">
        <v>3.84</v>
      </c>
      <c r="X1679" s="26" t="n">
        <f aca="false">IFERROR(W1679/N1679,0)</f>
        <v>0.08</v>
      </c>
      <c r="Y1679" s="22" t="str">
        <f aca="false">IF(W1679&gt;0,"Win",IF(W1679&lt;0,"Loss","Flat"))</f>
        <v>Win</v>
      </c>
      <c r="Z1679" s="24" t="n">
        <f aca="false">Summary!$C$5+SUM(W$2:W1679)</f>
        <v>4910.78</v>
      </c>
      <c r="AA1679" s="24" t="n">
        <f aca="false">MAX(AA1678,Z1679)</f>
        <v>5106.86</v>
      </c>
      <c r="AB1679" s="24" t="n">
        <f aca="false">AA1679-Z1679</f>
        <v>196.08</v>
      </c>
      <c r="AC1679" s="23" t="n">
        <f aca="false">IFERROR(AB1679/AA1679,0)</f>
        <v>0.0383954132284809</v>
      </c>
      <c r="AD1679" s="22" t="s">
        <v>1916</v>
      </c>
    </row>
    <row r="1680" customFormat="false" ht="15" hidden="false" customHeight="false" outlineLevel="0" collapsed="false">
      <c r="A1680" s="22" t="n">
        <v>1679</v>
      </c>
      <c r="B1680" s="22" t="s">
        <v>169</v>
      </c>
      <c r="C1680" s="37" t="n">
        <v>46156.2921064815</v>
      </c>
      <c r="D1680" s="22" t="s">
        <v>205</v>
      </c>
      <c r="E1680" s="22" t="n">
        <v>7</v>
      </c>
      <c r="F1680" s="22" t="s">
        <v>182</v>
      </c>
      <c r="G1680" s="22" t="s">
        <v>237</v>
      </c>
      <c r="H1680" s="22" t="n">
        <v>0.08</v>
      </c>
      <c r="I1680" s="38" t="n">
        <v>4669.42</v>
      </c>
      <c r="J1680" s="38" t="n">
        <v>4668.17</v>
      </c>
      <c r="K1680" s="39" t="n">
        <f aca="false">IF(F1680="BUY",J1680-I1680,I1680-J1680)</f>
        <v>1.25</v>
      </c>
      <c r="L1680" s="38" t="n">
        <v>4675.42</v>
      </c>
      <c r="M1680" s="39" t="n">
        <f aca="false">ABS(I1680-L1680)</f>
        <v>6</v>
      </c>
      <c r="N1680" s="24" t="n">
        <f aca="false">M1680*H1680*Summary!$C$6</f>
        <v>48</v>
      </c>
      <c r="O1680" s="37" t="n">
        <v>46156.2938773148</v>
      </c>
      <c r="P1680" s="22" t="n">
        <f aca="false">ROUND((O1680-C1680)*86400,0)</f>
        <v>153</v>
      </c>
      <c r="Q1680" s="22" t="str">
        <f aca="false">IF(P1680&lt;10,"a) &lt;10s",IF(P1680&lt;60,"b) 10-60s",IF(P1680&lt;600,"c) 1-10min","d) &gt;10min")))</f>
        <v>c) 1-10min</v>
      </c>
      <c r="R1680" s="38" t="n">
        <v>4675.42</v>
      </c>
      <c r="S1680" s="38" t="n">
        <v>4675.67</v>
      </c>
      <c r="T1680" s="22" t="s">
        <v>188</v>
      </c>
      <c r="U1680" s="39" t="n">
        <f aca="false">IF(R1680="","",IF(F1680="BUY",R1680-S1680,S1680-R1680))</f>
        <v>0.25</v>
      </c>
      <c r="V1680" s="39" t="n">
        <f aca="false">IF(F1680="BUY",S1680-J1680,J1680-S1680)</f>
        <v>-7.5</v>
      </c>
      <c r="W1680" s="6" t="n">
        <v>-60</v>
      </c>
      <c r="X1680" s="26" t="n">
        <f aca="false">IFERROR(W1680/N1680,0)</f>
        <v>-1.25</v>
      </c>
      <c r="Y1680" s="22" t="str">
        <f aca="false">IF(W1680&gt;0,"Win",IF(W1680&lt;0,"Loss","Flat"))</f>
        <v>Loss</v>
      </c>
      <c r="Z1680" s="24" t="n">
        <f aca="false">Summary!$C$5+SUM(W$2:W1680)</f>
        <v>4850.78</v>
      </c>
      <c r="AA1680" s="24" t="n">
        <f aca="false">MAX(AA1679,Z1680)</f>
        <v>5106.86</v>
      </c>
      <c r="AB1680" s="24" t="n">
        <f aca="false">AA1680-Z1680</f>
        <v>256.08</v>
      </c>
      <c r="AC1680" s="23" t="n">
        <f aca="false">IFERROR(AB1680/AA1680,0)</f>
        <v>0.0501443156851764</v>
      </c>
      <c r="AD1680" s="22" t="s">
        <v>1917</v>
      </c>
    </row>
    <row r="1681" customFormat="false" ht="15" hidden="false" customHeight="false" outlineLevel="0" collapsed="false">
      <c r="A1681" s="22" t="n">
        <v>1680</v>
      </c>
      <c r="B1681" s="22" t="s">
        <v>169</v>
      </c>
      <c r="C1681" s="37" t="n">
        <v>46156.4410416667</v>
      </c>
      <c r="D1681" s="22" t="s">
        <v>205</v>
      </c>
      <c r="E1681" s="22" t="n">
        <v>10</v>
      </c>
      <c r="F1681" s="22" t="s">
        <v>181</v>
      </c>
      <c r="G1681" s="22" t="s">
        <v>235</v>
      </c>
      <c r="H1681" s="22" t="n">
        <v>0.08</v>
      </c>
      <c r="I1681" s="38" t="n">
        <v>4712.44</v>
      </c>
      <c r="J1681" s="38" t="n">
        <v>4712.5</v>
      </c>
      <c r="K1681" s="39" t="n">
        <f aca="false">IF(F1681="BUY",J1681-I1681,I1681-J1681)</f>
        <v>0.0600000000004002</v>
      </c>
      <c r="L1681" s="38" t="n">
        <v>4706.44</v>
      </c>
      <c r="M1681" s="39" t="n">
        <f aca="false">ABS(I1681-L1681)</f>
        <v>6</v>
      </c>
      <c r="N1681" s="24" t="n">
        <f aca="false">M1681*H1681*Summary!$C$6</f>
        <v>48</v>
      </c>
      <c r="O1681" s="37" t="n">
        <v>46156.4442476852</v>
      </c>
      <c r="P1681" s="22" t="n">
        <f aca="false">ROUND((O1681-C1681)*86400,0)</f>
        <v>277</v>
      </c>
      <c r="Q1681" s="22" t="str">
        <f aca="false">IF(P1681&lt;10,"a) &lt;10s",IF(P1681&lt;60,"b) 10-60s",IF(P1681&lt;600,"c) 1-10min","d) &gt;10min")))</f>
        <v>c) 1-10min</v>
      </c>
      <c r="R1681" s="38" t="n">
        <v>4713</v>
      </c>
      <c r="S1681" s="38" t="n">
        <v>4712.98</v>
      </c>
      <c r="T1681" s="22" t="s">
        <v>189</v>
      </c>
      <c r="U1681" s="39" t="n">
        <f aca="false">IF(R1681="","",IF(F1681="BUY",R1681-S1681,S1681-R1681))</f>
        <v>0.0200000000004366</v>
      </c>
      <c r="V1681" s="39" t="n">
        <f aca="false">IF(F1681="BUY",S1681-J1681,J1681-S1681)</f>
        <v>0.479999999999563</v>
      </c>
      <c r="W1681" s="6" t="n">
        <v>3.84</v>
      </c>
      <c r="X1681" s="26" t="n">
        <f aca="false">IFERROR(W1681/N1681,0)</f>
        <v>0.08</v>
      </c>
      <c r="Y1681" s="22" t="str">
        <f aca="false">IF(W1681&gt;0,"Win",IF(W1681&lt;0,"Loss","Flat"))</f>
        <v>Win</v>
      </c>
      <c r="Z1681" s="24" t="n">
        <f aca="false">Summary!$C$5+SUM(W$2:W1681)</f>
        <v>4854.62</v>
      </c>
      <c r="AA1681" s="24" t="n">
        <f aca="false">MAX(AA1680,Z1681)</f>
        <v>5106.86</v>
      </c>
      <c r="AB1681" s="24" t="n">
        <f aca="false">AA1681-Z1681</f>
        <v>252.24</v>
      </c>
      <c r="AC1681" s="23" t="n">
        <f aca="false">IFERROR(AB1681/AA1681,0)</f>
        <v>0.0493923859279479</v>
      </c>
      <c r="AD1681" s="22" t="s">
        <v>1918</v>
      </c>
    </row>
    <row r="1682" customFormat="false" ht="15" hidden="false" customHeight="false" outlineLevel="0" collapsed="false">
      <c r="A1682" s="22" t="n">
        <v>1681</v>
      </c>
      <c r="B1682" s="22" t="s">
        <v>169</v>
      </c>
      <c r="C1682" s="37" t="n">
        <v>46157.1263657407</v>
      </c>
      <c r="D1682" s="22" t="s">
        <v>206</v>
      </c>
      <c r="E1682" s="22" t="n">
        <v>3</v>
      </c>
      <c r="F1682" s="22" t="s">
        <v>182</v>
      </c>
      <c r="G1682" s="22" t="s">
        <v>237</v>
      </c>
      <c r="H1682" s="22" t="n">
        <v>0.08</v>
      </c>
      <c r="I1682" s="38" t="n">
        <v>4643.97</v>
      </c>
      <c r="J1682" s="38" t="n">
        <v>4642.74</v>
      </c>
      <c r="K1682" s="39" t="n">
        <f aca="false">IF(F1682="BUY",J1682-I1682,I1682-J1682)</f>
        <v>1.23000000000047</v>
      </c>
      <c r="L1682" s="38" t="n">
        <v>4649.97</v>
      </c>
      <c r="M1682" s="39" t="n">
        <f aca="false">ABS(I1682-L1682)</f>
        <v>6</v>
      </c>
      <c r="N1682" s="24" t="n">
        <f aca="false">M1682*H1682*Summary!$C$6</f>
        <v>48</v>
      </c>
      <c r="O1682" s="37" t="n">
        <v>46157.127037037</v>
      </c>
      <c r="P1682" s="22" t="n">
        <f aca="false">ROUND((O1682-C1682)*86400,0)</f>
        <v>58</v>
      </c>
      <c r="Q1682" s="22" t="str">
        <f aca="false">IF(P1682&lt;10,"a) &lt;10s",IF(P1682&lt;60,"b) 10-60s",IF(P1682&lt;600,"c) 1-10min","d) &gt;10min")))</f>
        <v>b) 10-60s</v>
      </c>
      <c r="R1682" s="38" t="n">
        <v>4649.97</v>
      </c>
      <c r="S1682" s="38" t="n">
        <v>4650.03</v>
      </c>
      <c r="T1682" s="22" t="s">
        <v>188</v>
      </c>
      <c r="U1682" s="39" t="n">
        <f aca="false">IF(R1682="","",IF(F1682="BUY",R1682-S1682,S1682-R1682))</f>
        <v>0.0599999999994907</v>
      </c>
      <c r="V1682" s="39" t="n">
        <f aca="false">IF(F1682="BUY",S1682-J1682,J1682-S1682)</f>
        <v>-7.28999999999996</v>
      </c>
      <c r="W1682" s="6" t="n">
        <v>-58.32</v>
      </c>
      <c r="X1682" s="26" t="n">
        <f aca="false">IFERROR(W1682/N1682,0)</f>
        <v>-1.215</v>
      </c>
      <c r="Y1682" s="22" t="str">
        <f aca="false">IF(W1682&gt;0,"Win",IF(W1682&lt;0,"Loss","Flat"))</f>
        <v>Loss</v>
      </c>
      <c r="Z1682" s="24" t="n">
        <f aca="false">Summary!$C$5+SUM(W$2:W1682)</f>
        <v>4796.3</v>
      </c>
      <c r="AA1682" s="24" t="n">
        <f aca="false">MAX(AA1681,Z1682)</f>
        <v>5106.86</v>
      </c>
      <c r="AB1682" s="24" t="n">
        <f aca="false">AA1682-Z1682</f>
        <v>310.56</v>
      </c>
      <c r="AC1682" s="23" t="n">
        <f aca="false">IFERROR(AB1682/AA1682,0)</f>
        <v>0.0608123191158558</v>
      </c>
      <c r="AD1682" s="22" t="s">
        <v>1919</v>
      </c>
    </row>
    <row r="1683" customFormat="false" ht="15" hidden="false" customHeight="false" outlineLevel="0" collapsed="false">
      <c r="A1683" s="22" t="n">
        <v>1682</v>
      </c>
      <c r="B1683" s="22" t="s">
        <v>169</v>
      </c>
      <c r="C1683" s="37" t="n">
        <v>46160.1481365741</v>
      </c>
      <c r="D1683" s="22" t="s">
        <v>202</v>
      </c>
      <c r="E1683" s="22" t="n">
        <v>3</v>
      </c>
      <c r="F1683" s="22" t="s">
        <v>182</v>
      </c>
      <c r="G1683" s="22" t="s">
        <v>237</v>
      </c>
      <c r="H1683" s="22" t="n">
        <v>0.07</v>
      </c>
      <c r="I1683" s="38" t="n">
        <v>4511.22</v>
      </c>
      <c r="J1683" s="38" t="n">
        <v>4510.31</v>
      </c>
      <c r="K1683" s="39" t="n">
        <f aca="false">IF(F1683="BUY",J1683-I1683,I1683-J1683)</f>
        <v>0.909999999999855</v>
      </c>
      <c r="L1683" s="38" t="n">
        <v>4517.22</v>
      </c>
      <c r="M1683" s="39" t="n">
        <f aca="false">ABS(I1683-L1683)</f>
        <v>6</v>
      </c>
      <c r="N1683" s="24" t="n">
        <f aca="false">M1683*H1683*Summary!$C$6</f>
        <v>42</v>
      </c>
      <c r="O1683" s="37" t="n">
        <v>46160.1561805556</v>
      </c>
      <c r="P1683" s="22" t="n">
        <f aca="false">ROUND((O1683-C1683)*86400,0)</f>
        <v>695</v>
      </c>
      <c r="Q1683" s="22" t="str">
        <f aca="false">IF(P1683&lt;10,"a) &lt;10s",IF(P1683&lt;60,"b) 10-60s",IF(P1683&lt;600,"c) 1-10min","d) &gt;10min")))</f>
        <v>d) &gt;10min</v>
      </c>
      <c r="R1683" s="38"/>
      <c r="S1683" s="38" t="n">
        <v>4481.19</v>
      </c>
      <c r="T1683" s="22" t="s">
        <v>187</v>
      </c>
      <c r="U1683" s="39" t="str">
        <f aca="false">IF(R1683="","",IF(F1683="BUY",R1683-S1683,S1683-R1683))</f>
        <v/>
      </c>
      <c r="V1683" s="39" t="n">
        <f aca="false">IF(F1683="BUY",S1683-J1683,J1683-S1683)</f>
        <v>29.1200000000008</v>
      </c>
      <c r="W1683" s="6" t="n">
        <v>203.84</v>
      </c>
      <c r="X1683" s="26" t="n">
        <f aca="false">IFERROR(W1683/N1683,0)</f>
        <v>4.85333333333333</v>
      </c>
      <c r="Y1683" s="22" t="str">
        <f aca="false">IF(W1683&gt;0,"Win",IF(W1683&lt;0,"Loss","Flat"))</f>
        <v>Win</v>
      </c>
      <c r="Z1683" s="24" t="n">
        <f aca="false">Summary!$C$5+SUM(W$2:W1683)</f>
        <v>5000.14</v>
      </c>
      <c r="AA1683" s="24" t="n">
        <f aca="false">MAX(AA1682,Z1683)</f>
        <v>5106.86</v>
      </c>
      <c r="AB1683" s="24" t="n">
        <f aca="false">AA1683-Z1683</f>
        <v>106.719999999999</v>
      </c>
      <c r="AC1683" s="23" t="n">
        <f aca="false">IFERROR(AB1683/AA1683,0)</f>
        <v>0.0208973811696423</v>
      </c>
      <c r="AD1683" s="22" t="s">
        <v>1920</v>
      </c>
    </row>
    <row r="1684" customFormat="false" ht="15" hidden="false" customHeight="false" outlineLevel="0" collapsed="false">
      <c r="A1684" s="22" t="n">
        <v>1683</v>
      </c>
      <c r="B1684" s="22" t="s">
        <v>169</v>
      </c>
      <c r="C1684" s="37" t="n">
        <v>46160.3750115741</v>
      </c>
      <c r="D1684" s="22" t="s">
        <v>202</v>
      </c>
      <c r="E1684" s="22" t="n">
        <v>9</v>
      </c>
      <c r="F1684" s="22" t="s">
        <v>182</v>
      </c>
      <c r="G1684" s="22" t="s">
        <v>241</v>
      </c>
      <c r="H1684" s="22" t="n">
        <v>0.08</v>
      </c>
      <c r="I1684" s="38" t="n">
        <v>4529.63</v>
      </c>
      <c r="J1684" s="38" t="n">
        <v>4529.61</v>
      </c>
      <c r="K1684" s="39" t="n">
        <f aca="false">IF(F1684="BUY",J1684-I1684,I1684-J1684)</f>
        <v>0.0200000000004366</v>
      </c>
      <c r="L1684" s="38" t="n">
        <v>4535.63</v>
      </c>
      <c r="M1684" s="39" t="n">
        <f aca="false">ABS(I1684-L1684)</f>
        <v>6</v>
      </c>
      <c r="N1684" s="24" t="n">
        <f aca="false">M1684*H1684*Summary!$C$6</f>
        <v>48</v>
      </c>
      <c r="O1684" s="37" t="n">
        <v>46160.3773611111</v>
      </c>
      <c r="P1684" s="22" t="n">
        <f aca="false">ROUND((O1684-C1684)*86400,0)</f>
        <v>203</v>
      </c>
      <c r="Q1684" s="22" t="str">
        <f aca="false">IF(P1684&lt;10,"a) &lt;10s",IF(P1684&lt;60,"b) 10-60s",IF(P1684&lt;600,"c) 1-10min","d) &gt;10min")))</f>
        <v>c) 1-10min</v>
      </c>
      <c r="R1684" s="38" t="n">
        <v>4535.63</v>
      </c>
      <c r="S1684" s="38" t="n">
        <v>4535.92</v>
      </c>
      <c r="T1684" s="22" t="s">
        <v>188</v>
      </c>
      <c r="U1684" s="39" t="n">
        <f aca="false">IF(R1684="","",IF(F1684="BUY",R1684-S1684,S1684-R1684))</f>
        <v>0.289999999999964</v>
      </c>
      <c r="V1684" s="39" t="n">
        <f aca="false">IF(F1684="BUY",S1684-J1684,J1684-S1684)</f>
        <v>-6.3100000000004</v>
      </c>
      <c r="W1684" s="6" t="n">
        <v>-50.48</v>
      </c>
      <c r="X1684" s="26" t="n">
        <f aca="false">IFERROR(W1684/N1684,0)</f>
        <v>-1.05166666666667</v>
      </c>
      <c r="Y1684" s="22" t="str">
        <f aca="false">IF(W1684&gt;0,"Win",IF(W1684&lt;0,"Loss","Flat"))</f>
        <v>Loss</v>
      </c>
      <c r="Z1684" s="24" t="n">
        <f aca="false">Summary!$C$5+SUM(W$2:W1684)</f>
        <v>4949.66</v>
      </c>
      <c r="AA1684" s="24" t="n">
        <f aca="false">MAX(AA1683,Z1684)</f>
        <v>5106.86</v>
      </c>
      <c r="AB1684" s="24" t="n">
        <f aca="false">AA1684-Z1684</f>
        <v>157.2</v>
      </c>
      <c r="AC1684" s="23" t="n">
        <f aca="false">IFERROR(AB1684/AA1684,0)</f>
        <v>0.0307821244365422</v>
      </c>
      <c r="AD1684" s="22" t="s">
        <v>1921</v>
      </c>
    </row>
    <row r="1685" customFormat="false" ht="15" hidden="false" customHeight="false" outlineLevel="0" collapsed="false">
      <c r="A1685" s="22" t="n">
        <v>1684</v>
      </c>
      <c r="B1685" s="22" t="s">
        <v>169</v>
      </c>
      <c r="C1685" s="37" t="n">
        <v>46161.0929050926</v>
      </c>
      <c r="D1685" s="22" t="s">
        <v>203</v>
      </c>
      <c r="E1685" s="22" t="n">
        <v>2</v>
      </c>
      <c r="F1685" s="22" t="s">
        <v>181</v>
      </c>
      <c r="G1685" s="22" t="s">
        <v>243</v>
      </c>
      <c r="H1685" s="22" t="n">
        <v>0.08</v>
      </c>
      <c r="I1685" s="38" t="n">
        <v>4584.02</v>
      </c>
      <c r="J1685" s="38" t="n">
        <v>4584.42</v>
      </c>
      <c r="K1685" s="39" t="n">
        <f aca="false">IF(F1685="BUY",J1685-I1685,I1685-J1685)</f>
        <v>0.399999999999636</v>
      </c>
      <c r="L1685" s="38" t="n">
        <v>4578.02</v>
      </c>
      <c r="M1685" s="39" t="n">
        <f aca="false">ABS(I1685-L1685)</f>
        <v>6</v>
      </c>
      <c r="N1685" s="24" t="n">
        <f aca="false">M1685*H1685*Summary!$C$6</f>
        <v>48</v>
      </c>
      <c r="O1685" s="37" t="n">
        <v>46161.093587963</v>
      </c>
      <c r="P1685" s="22" t="n">
        <f aca="false">ROUND((O1685-C1685)*86400,0)</f>
        <v>59</v>
      </c>
      <c r="Q1685" s="22" t="str">
        <f aca="false">IF(P1685&lt;10,"a) &lt;10s",IF(P1685&lt;60,"b) 10-60s",IF(P1685&lt;600,"c) 1-10min","d) &gt;10min")))</f>
        <v>b) 10-60s</v>
      </c>
      <c r="R1685" s="38" t="n">
        <v>4584.92</v>
      </c>
      <c r="S1685" s="38" t="n">
        <v>4584.81</v>
      </c>
      <c r="T1685" s="22" t="s">
        <v>189</v>
      </c>
      <c r="U1685" s="39" t="n">
        <f aca="false">IF(R1685="","",IF(F1685="BUY",R1685-S1685,S1685-R1685))</f>
        <v>0.109999999999673</v>
      </c>
      <c r="V1685" s="39" t="n">
        <f aca="false">IF(F1685="BUY",S1685-J1685,J1685-S1685)</f>
        <v>0.390000000000327</v>
      </c>
      <c r="W1685" s="6" t="n">
        <v>3.12</v>
      </c>
      <c r="X1685" s="26" t="n">
        <f aca="false">IFERROR(W1685/N1685,0)</f>
        <v>0.065</v>
      </c>
      <c r="Y1685" s="22" t="str">
        <f aca="false">IF(W1685&gt;0,"Win",IF(W1685&lt;0,"Loss","Flat"))</f>
        <v>Win</v>
      </c>
      <c r="Z1685" s="24" t="n">
        <f aca="false">Summary!$C$5+SUM(W$2:W1685)</f>
        <v>4952.78</v>
      </c>
      <c r="AA1685" s="24" t="n">
        <f aca="false">MAX(AA1684,Z1685)</f>
        <v>5106.86</v>
      </c>
      <c r="AB1685" s="24" t="n">
        <f aca="false">AA1685-Z1685</f>
        <v>154.08</v>
      </c>
      <c r="AC1685" s="23" t="n">
        <f aca="false">IFERROR(AB1685/AA1685,0)</f>
        <v>0.030171181508794</v>
      </c>
      <c r="AD1685" s="22" t="s">
        <v>1922</v>
      </c>
    </row>
    <row r="1686" customFormat="false" ht="15" hidden="false" customHeight="false" outlineLevel="0" collapsed="false">
      <c r="A1686" s="22" t="n">
        <v>1685</v>
      </c>
      <c r="B1686" s="22" t="s">
        <v>169</v>
      </c>
      <c r="C1686" s="37" t="n">
        <v>46161.3842939815</v>
      </c>
      <c r="D1686" s="22" t="s">
        <v>203</v>
      </c>
      <c r="E1686" s="22" t="n">
        <v>9</v>
      </c>
      <c r="F1686" s="22" t="s">
        <v>181</v>
      </c>
      <c r="G1686" s="22" t="s">
        <v>235</v>
      </c>
      <c r="H1686" s="22" t="n">
        <v>0.08</v>
      </c>
      <c r="I1686" s="38" t="n">
        <v>4546.28</v>
      </c>
      <c r="J1686" s="38" t="n">
        <v>4546.37</v>
      </c>
      <c r="K1686" s="39" t="n">
        <f aca="false">IF(F1686="BUY",J1686-I1686,I1686-J1686)</f>
        <v>0.0900000000001455</v>
      </c>
      <c r="L1686" s="38" t="n">
        <v>4540.28</v>
      </c>
      <c r="M1686" s="39" t="n">
        <f aca="false">ABS(I1686-L1686)</f>
        <v>6</v>
      </c>
      <c r="N1686" s="24" t="n">
        <f aca="false">M1686*H1686*Summary!$C$6</f>
        <v>48</v>
      </c>
      <c r="O1686" s="37" t="n">
        <v>46161.3914930556</v>
      </c>
      <c r="P1686" s="22" t="n">
        <f aca="false">ROUND((O1686-C1686)*86400,0)</f>
        <v>622</v>
      </c>
      <c r="Q1686" s="22" t="str">
        <f aca="false">IF(P1686&lt;10,"a) &lt;10s",IF(P1686&lt;60,"b) 10-60s",IF(P1686&lt;600,"c) 1-10min","d) &gt;10min")))</f>
        <v>d) &gt;10min</v>
      </c>
      <c r="R1686" s="38" t="n">
        <v>4546.87</v>
      </c>
      <c r="S1686" s="38" t="n">
        <v>4546.87</v>
      </c>
      <c r="T1686" s="22" t="s">
        <v>189</v>
      </c>
      <c r="U1686" s="39" t="n">
        <f aca="false">IF(R1686="","",IF(F1686="BUY",R1686-S1686,S1686-R1686))</f>
        <v>0</v>
      </c>
      <c r="V1686" s="39" t="n">
        <f aca="false">IF(F1686="BUY",S1686-J1686,J1686-S1686)</f>
        <v>0.5</v>
      </c>
      <c r="W1686" s="6" t="n">
        <v>4</v>
      </c>
      <c r="X1686" s="26" t="n">
        <f aca="false">IFERROR(W1686/N1686,0)</f>
        <v>0.0833333333333333</v>
      </c>
      <c r="Y1686" s="22" t="str">
        <f aca="false">IF(W1686&gt;0,"Win",IF(W1686&lt;0,"Loss","Flat"))</f>
        <v>Win</v>
      </c>
      <c r="Z1686" s="24" t="n">
        <f aca="false">Summary!$C$5+SUM(W$2:W1686)</f>
        <v>4956.78</v>
      </c>
      <c r="AA1686" s="24" t="n">
        <f aca="false">MAX(AA1685,Z1686)</f>
        <v>5106.86</v>
      </c>
      <c r="AB1686" s="24" t="n">
        <f aca="false">AA1686-Z1686</f>
        <v>150.08</v>
      </c>
      <c r="AC1686" s="23" t="n">
        <f aca="false">IFERROR(AB1686/AA1686,0)</f>
        <v>0.0293879213450143</v>
      </c>
      <c r="AD1686" s="22" t="s">
        <v>1923</v>
      </c>
    </row>
    <row r="1687" customFormat="false" ht="15" hidden="false" customHeight="false" outlineLevel="0" collapsed="false">
      <c r="A1687" s="22" t="n">
        <v>1686</v>
      </c>
      <c r="B1687" s="22" t="s">
        <v>169</v>
      </c>
      <c r="C1687" s="37" t="n">
        <v>46162.1917708333</v>
      </c>
      <c r="D1687" s="22" t="s">
        <v>204</v>
      </c>
      <c r="E1687" s="22" t="n">
        <v>4</v>
      </c>
      <c r="F1687" s="22" t="s">
        <v>182</v>
      </c>
      <c r="G1687" s="22" t="s">
        <v>237</v>
      </c>
      <c r="H1687" s="22" t="n">
        <v>0.08</v>
      </c>
      <c r="I1687" s="38" t="n">
        <v>4464.62</v>
      </c>
      <c r="J1687" s="38" t="n">
        <v>4464.3</v>
      </c>
      <c r="K1687" s="39" t="n">
        <f aca="false">IF(F1687="BUY",J1687-I1687,I1687-J1687)</f>
        <v>0.319999999999709</v>
      </c>
      <c r="L1687" s="38" t="n">
        <v>4470.62</v>
      </c>
      <c r="M1687" s="39" t="n">
        <f aca="false">ABS(I1687-L1687)</f>
        <v>6</v>
      </c>
      <c r="N1687" s="24" t="n">
        <f aca="false">M1687*H1687*Summary!$C$6</f>
        <v>48</v>
      </c>
      <c r="O1687" s="37" t="n">
        <v>46162.1926273148</v>
      </c>
      <c r="P1687" s="22" t="n">
        <f aca="false">ROUND((O1687-C1687)*86400,0)</f>
        <v>74</v>
      </c>
      <c r="Q1687" s="22" t="str">
        <f aca="false">IF(P1687&lt;10,"a) &lt;10s",IF(P1687&lt;60,"b) 10-60s",IF(P1687&lt;600,"c) 1-10min","d) &gt;10min")))</f>
        <v>c) 1-10min</v>
      </c>
      <c r="R1687" s="38" t="n">
        <v>4463.8</v>
      </c>
      <c r="S1687" s="38" t="n">
        <v>4463.82</v>
      </c>
      <c r="T1687" s="22" t="s">
        <v>189</v>
      </c>
      <c r="U1687" s="39" t="n">
        <f aca="false">IF(R1687="","",IF(F1687="BUY",R1687-S1687,S1687-R1687))</f>
        <v>0.0199999999995271</v>
      </c>
      <c r="V1687" s="39" t="n">
        <f aca="false">IF(F1687="BUY",S1687-J1687,J1687-S1687)</f>
        <v>0.480000000000473</v>
      </c>
      <c r="W1687" s="6" t="n">
        <v>3.84</v>
      </c>
      <c r="X1687" s="26" t="n">
        <f aca="false">IFERROR(W1687/N1687,0)</f>
        <v>0.08</v>
      </c>
      <c r="Y1687" s="22" t="str">
        <f aca="false">IF(W1687&gt;0,"Win",IF(W1687&lt;0,"Loss","Flat"))</f>
        <v>Win</v>
      </c>
      <c r="Z1687" s="24" t="n">
        <f aca="false">Summary!$C$5+SUM(W$2:W1687)</f>
        <v>4960.62</v>
      </c>
      <c r="AA1687" s="24" t="n">
        <f aca="false">MAX(AA1686,Z1687)</f>
        <v>5106.86</v>
      </c>
      <c r="AB1687" s="24" t="n">
        <f aca="false">AA1687-Z1687</f>
        <v>146.24</v>
      </c>
      <c r="AC1687" s="23" t="n">
        <f aca="false">IFERROR(AB1687/AA1687,0)</f>
        <v>0.0286359915877858</v>
      </c>
      <c r="AD1687" s="22" t="s">
        <v>1924</v>
      </c>
    </row>
    <row r="1688" customFormat="false" ht="15" hidden="false" customHeight="false" outlineLevel="0" collapsed="false">
      <c r="A1688" s="22" t="n">
        <v>1687</v>
      </c>
      <c r="B1688" s="22" t="s">
        <v>169</v>
      </c>
      <c r="C1688" s="37" t="n">
        <v>46162.4110069444</v>
      </c>
      <c r="D1688" s="22" t="s">
        <v>204</v>
      </c>
      <c r="E1688" s="22" t="n">
        <v>9</v>
      </c>
      <c r="F1688" s="22" t="s">
        <v>181</v>
      </c>
      <c r="G1688" s="22" t="s">
        <v>235</v>
      </c>
      <c r="H1688" s="22" t="n">
        <v>0.08</v>
      </c>
      <c r="I1688" s="38" t="n">
        <v>4478.97</v>
      </c>
      <c r="J1688" s="38" t="n">
        <v>4478.97</v>
      </c>
      <c r="K1688" s="39" t="n">
        <f aca="false">IF(F1688="BUY",J1688-I1688,I1688-J1688)</f>
        <v>0</v>
      </c>
      <c r="L1688" s="38" t="n">
        <v>4472.97</v>
      </c>
      <c r="M1688" s="39" t="n">
        <f aca="false">ABS(I1688-L1688)</f>
        <v>6</v>
      </c>
      <c r="N1688" s="24" t="n">
        <f aca="false">M1688*H1688*Summary!$C$6</f>
        <v>48</v>
      </c>
      <c r="O1688" s="37" t="n">
        <v>46162.412025463</v>
      </c>
      <c r="P1688" s="22" t="n">
        <f aca="false">ROUND((O1688-C1688)*86400,0)</f>
        <v>88</v>
      </c>
      <c r="Q1688" s="22" t="str">
        <f aca="false">IF(P1688&lt;10,"a) &lt;10s",IF(P1688&lt;60,"b) 10-60s",IF(P1688&lt;600,"c) 1-10min","d) &gt;10min")))</f>
        <v>c) 1-10min</v>
      </c>
      <c r="R1688" s="38" t="n">
        <v>4472.97</v>
      </c>
      <c r="S1688" s="38" t="n">
        <v>4472.57</v>
      </c>
      <c r="T1688" s="22" t="s">
        <v>188</v>
      </c>
      <c r="U1688" s="39" t="n">
        <f aca="false">IF(R1688="","",IF(F1688="BUY",R1688-S1688,S1688-R1688))</f>
        <v>0.400000000000546</v>
      </c>
      <c r="V1688" s="39" t="n">
        <f aca="false">IF(F1688="BUY",S1688-J1688,J1688-S1688)</f>
        <v>-6.40000000000055</v>
      </c>
      <c r="W1688" s="6" t="n">
        <v>-51.2</v>
      </c>
      <c r="X1688" s="26" t="n">
        <f aca="false">IFERROR(W1688/N1688,0)</f>
        <v>-1.06666666666667</v>
      </c>
      <c r="Y1688" s="22" t="str">
        <f aca="false">IF(W1688&gt;0,"Win",IF(W1688&lt;0,"Loss","Flat"))</f>
        <v>Loss</v>
      </c>
      <c r="Z1688" s="24" t="n">
        <f aca="false">Summary!$C$5+SUM(W$2:W1688)</f>
        <v>4909.42</v>
      </c>
      <c r="AA1688" s="24" t="n">
        <f aca="false">MAX(AA1687,Z1688)</f>
        <v>5106.86</v>
      </c>
      <c r="AB1688" s="24" t="n">
        <f aca="false">AA1688-Z1688</f>
        <v>197.44</v>
      </c>
      <c r="AC1688" s="23" t="n">
        <f aca="false">IFERROR(AB1688/AA1688,0)</f>
        <v>0.0386617216841659</v>
      </c>
      <c r="AD1688" s="22" t="s">
        <v>1925</v>
      </c>
    </row>
    <row r="1689" customFormat="false" ht="15" hidden="false" customHeight="false" outlineLevel="0" collapsed="false">
      <c r="A1689" s="22" t="n">
        <v>1688</v>
      </c>
      <c r="B1689" s="22" t="s">
        <v>169</v>
      </c>
      <c r="C1689" s="37" t="n">
        <v>46163.1358101852</v>
      </c>
      <c r="D1689" s="22" t="s">
        <v>205</v>
      </c>
      <c r="E1689" s="22" t="n">
        <v>3</v>
      </c>
      <c r="F1689" s="22" t="s">
        <v>181</v>
      </c>
      <c r="G1689" s="22" t="s">
        <v>243</v>
      </c>
      <c r="H1689" s="22" t="n">
        <v>0.08</v>
      </c>
      <c r="I1689" s="38" t="n">
        <v>4552.59</v>
      </c>
      <c r="J1689" s="38" t="n">
        <v>4552.87</v>
      </c>
      <c r="K1689" s="39" t="n">
        <f aca="false">IF(F1689="BUY",J1689-I1689,I1689-J1689)</f>
        <v>0.279999999999745</v>
      </c>
      <c r="L1689" s="38" t="n">
        <v>4546.59</v>
      </c>
      <c r="M1689" s="39" t="n">
        <f aca="false">ABS(I1689-L1689)</f>
        <v>6</v>
      </c>
      <c r="N1689" s="24" t="n">
        <f aca="false">M1689*H1689*Summary!$C$6</f>
        <v>48</v>
      </c>
      <c r="O1689" s="37" t="n">
        <v>46163.1377546296</v>
      </c>
      <c r="P1689" s="22" t="n">
        <f aca="false">ROUND((O1689-C1689)*86400,0)</f>
        <v>168</v>
      </c>
      <c r="Q1689" s="22" t="str">
        <f aca="false">IF(P1689&lt;10,"a) &lt;10s",IF(P1689&lt;60,"b) 10-60s",IF(P1689&lt;600,"c) 1-10min","d) &gt;10min")))</f>
        <v>c) 1-10min</v>
      </c>
      <c r="R1689" s="38" t="n">
        <v>4546.59</v>
      </c>
      <c r="S1689" s="38" t="n">
        <v>4545.38</v>
      </c>
      <c r="T1689" s="22" t="s">
        <v>188</v>
      </c>
      <c r="U1689" s="39" t="n">
        <f aca="false">IF(R1689="","",IF(F1689="BUY",R1689-S1689,S1689-R1689))</f>
        <v>1.21000000000004</v>
      </c>
      <c r="V1689" s="39" t="n">
        <f aca="false">IF(F1689="BUY",S1689-J1689,J1689-S1689)</f>
        <v>-7.48999999999978</v>
      </c>
      <c r="W1689" s="6" t="n">
        <v>-59.92</v>
      </c>
      <c r="X1689" s="26" t="n">
        <f aca="false">IFERROR(W1689/N1689,0)</f>
        <v>-1.24833333333333</v>
      </c>
      <c r="Y1689" s="22" t="str">
        <f aca="false">IF(W1689&gt;0,"Win",IF(W1689&lt;0,"Loss","Flat"))</f>
        <v>Loss</v>
      </c>
      <c r="Z1689" s="24" t="n">
        <f aca="false">Summary!$C$5+SUM(W$2:W1689)</f>
        <v>4849.5</v>
      </c>
      <c r="AA1689" s="24" t="n">
        <f aca="false">MAX(AA1688,Z1689)</f>
        <v>5106.86</v>
      </c>
      <c r="AB1689" s="24" t="n">
        <f aca="false">AA1689-Z1689</f>
        <v>257.36</v>
      </c>
      <c r="AC1689" s="23" t="n">
        <f aca="false">IFERROR(AB1689/AA1689,0)</f>
        <v>0.0503949589375859</v>
      </c>
      <c r="AD1689" s="22" t="s">
        <v>1926</v>
      </c>
    </row>
    <row r="1690" customFormat="false" ht="15" hidden="false" customHeight="false" outlineLevel="0" collapsed="false">
      <c r="A1690" s="22" t="n">
        <v>1689</v>
      </c>
      <c r="B1690" s="22" t="s">
        <v>169</v>
      </c>
      <c r="C1690" s="37" t="n">
        <v>46163.4210532407</v>
      </c>
      <c r="D1690" s="22" t="s">
        <v>205</v>
      </c>
      <c r="E1690" s="22" t="n">
        <v>10</v>
      </c>
      <c r="F1690" s="22" t="s">
        <v>182</v>
      </c>
      <c r="G1690" s="22" t="s">
        <v>241</v>
      </c>
      <c r="H1690" s="22" t="n">
        <v>0.08</v>
      </c>
      <c r="I1690" s="38" t="n">
        <v>4518.19</v>
      </c>
      <c r="J1690" s="38" t="n">
        <v>4518.11</v>
      </c>
      <c r="K1690" s="39" t="n">
        <f aca="false">IF(F1690="BUY",J1690-I1690,I1690-J1690)</f>
        <v>0.0799999999999272</v>
      </c>
      <c r="L1690" s="38" t="n">
        <v>4524.19</v>
      </c>
      <c r="M1690" s="39" t="n">
        <f aca="false">ABS(I1690-L1690)</f>
        <v>6</v>
      </c>
      <c r="N1690" s="24" t="n">
        <f aca="false">M1690*H1690*Summary!$C$6</f>
        <v>48</v>
      </c>
      <c r="O1690" s="37" t="n">
        <v>46163.4404861111</v>
      </c>
      <c r="P1690" s="22" t="n">
        <f aca="false">ROUND((O1690-C1690)*86400,0)</f>
        <v>1679</v>
      </c>
      <c r="Q1690" s="22" t="str">
        <f aca="false">IF(P1690&lt;10,"a) &lt;10s",IF(P1690&lt;60,"b) 10-60s",IF(P1690&lt;600,"c) 1-10min","d) &gt;10min")))</f>
        <v>d) &gt;10min</v>
      </c>
      <c r="R1690" s="38" t="n">
        <v>4517.61</v>
      </c>
      <c r="S1690" s="38" t="n">
        <v>4517.65</v>
      </c>
      <c r="T1690" s="22" t="s">
        <v>189</v>
      </c>
      <c r="U1690" s="39" t="n">
        <f aca="false">IF(R1690="","",IF(F1690="BUY",R1690-S1690,S1690-R1690))</f>
        <v>0.0399999999999636</v>
      </c>
      <c r="V1690" s="39" t="n">
        <f aca="false">IF(F1690="BUY",S1690-J1690,J1690-S1690)</f>
        <v>0.460000000000036</v>
      </c>
      <c r="W1690" s="6" t="n">
        <v>3.68</v>
      </c>
      <c r="X1690" s="26" t="n">
        <f aca="false">IFERROR(W1690/N1690,0)</f>
        <v>0.0766666666666667</v>
      </c>
      <c r="Y1690" s="22" t="str">
        <f aca="false">IF(W1690&gt;0,"Win",IF(W1690&lt;0,"Loss","Flat"))</f>
        <v>Win</v>
      </c>
      <c r="Z1690" s="24" t="n">
        <f aca="false">Summary!$C$5+SUM(W$2:W1690)</f>
        <v>4853.18</v>
      </c>
      <c r="AA1690" s="24" t="n">
        <f aca="false">MAX(AA1689,Z1690)</f>
        <v>5106.86</v>
      </c>
      <c r="AB1690" s="24" t="n">
        <f aca="false">AA1690-Z1690</f>
        <v>253.679999999999</v>
      </c>
      <c r="AC1690" s="23" t="n">
        <f aca="false">IFERROR(AB1690/AA1690,0)</f>
        <v>0.0496743595869085</v>
      </c>
      <c r="AD1690" s="22" t="s">
        <v>1927</v>
      </c>
    </row>
    <row r="1691" customFormat="false" ht="15" hidden="false" customHeight="false" outlineLevel="0" collapsed="false">
      <c r="A1691" s="22" t="n">
        <v>1690</v>
      </c>
      <c r="B1691" s="22" t="s">
        <v>169</v>
      </c>
      <c r="C1691" s="37" t="n">
        <v>46164.5374884259</v>
      </c>
      <c r="D1691" s="22" t="s">
        <v>206</v>
      </c>
      <c r="E1691" s="22" t="n">
        <v>12</v>
      </c>
      <c r="F1691" s="22" t="s">
        <v>181</v>
      </c>
      <c r="G1691" s="22" t="s">
        <v>235</v>
      </c>
      <c r="H1691" s="22" t="n">
        <v>0.08</v>
      </c>
      <c r="I1691" s="38" t="n">
        <v>4534.07</v>
      </c>
      <c r="J1691" s="38" t="n">
        <v>4534.41</v>
      </c>
      <c r="K1691" s="39" t="n">
        <f aca="false">IF(F1691="BUY",J1691-I1691,I1691-J1691)</f>
        <v>0.340000000000146</v>
      </c>
      <c r="L1691" s="38" t="n">
        <v>4528.07</v>
      </c>
      <c r="M1691" s="39" t="n">
        <f aca="false">ABS(I1691-L1691)</f>
        <v>6</v>
      </c>
      <c r="N1691" s="24" t="n">
        <f aca="false">M1691*H1691*Summary!$C$6</f>
        <v>48</v>
      </c>
      <c r="O1691" s="37" t="n">
        <v>46164.5483449074</v>
      </c>
      <c r="P1691" s="22" t="n">
        <f aca="false">ROUND((O1691-C1691)*86400,0)</f>
        <v>938</v>
      </c>
      <c r="Q1691" s="22" t="str">
        <f aca="false">IF(P1691&lt;10,"a) &lt;10s",IF(P1691&lt;60,"b) 10-60s",IF(P1691&lt;600,"c) 1-10min","d) &gt;10min")))</f>
        <v>d) &gt;10min</v>
      </c>
      <c r="R1691" s="38" t="n">
        <v>4534.91</v>
      </c>
      <c r="S1691" s="38" t="n">
        <v>4534.88</v>
      </c>
      <c r="T1691" s="22" t="s">
        <v>189</v>
      </c>
      <c r="U1691" s="39" t="n">
        <f aca="false">IF(R1691="","",IF(F1691="BUY",R1691-S1691,S1691-R1691))</f>
        <v>0.0299999999997453</v>
      </c>
      <c r="V1691" s="39" t="n">
        <f aca="false">IF(F1691="BUY",S1691-J1691,J1691-S1691)</f>
        <v>0.470000000000255</v>
      </c>
      <c r="W1691" s="6" t="n">
        <v>3.76</v>
      </c>
      <c r="X1691" s="26" t="n">
        <f aca="false">IFERROR(W1691/N1691,0)</f>
        <v>0.0783333333333333</v>
      </c>
      <c r="Y1691" s="22" t="str">
        <f aca="false">IF(W1691&gt;0,"Win",IF(W1691&lt;0,"Loss","Flat"))</f>
        <v>Win</v>
      </c>
      <c r="Z1691" s="24" t="n">
        <f aca="false">Summary!$C$5+SUM(W$2:W1691)</f>
        <v>4856.94</v>
      </c>
      <c r="AA1691" s="24" t="n">
        <f aca="false">MAX(AA1690,Z1691)</f>
        <v>5106.86</v>
      </c>
      <c r="AB1691" s="24" t="n">
        <f aca="false">AA1691-Z1691</f>
        <v>249.92</v>
      </c>
      <c r="AC1691" s="23" t="n">
        <f aca="false">IFERROR(AB1691/AA1691,0)</f>
        <v>0.0489380950329557</v>
      </c>
      <c r="AD1691" s="22" t="s">
        <v>1928</v>
      </c>
    </row>
    <row r="1692" customFormat="false" ht="15" hidden="false" customHeight="false" outlineLevel="0" collapsed="false">
      <c r="A1692" s="22" t="n">
        <v>1691</v>
      </c>
      <c r="B1692" s="22" t="s">
        <v>169</v>
      </c>
      <c r="C1692" s="37" t="n">
        <v>46167.3786342593</v>
      </c>
      <c r="D1692" s="22" t="s">
        <v>202</v>
      </c>
      <c r="E1692" s="22" t="n">
        <v>9</v>
      </c>
      <c r="F1692" s="22" t="s">
        <v>182</v>
      </c>
      <c r="G1692" s="22" t="s">
        <v>241</v>
      </c>
      <c r="H1692" s="22" t="n">
        <v>0.08</v>
      </c>
      <c r="I1692" s="38" t="n">
        <v>4551.6</v>
      </c>
      <c r="J1692" s="38" t="n">
        <v>4551.59</v>
      </c>
      <c r="K1692" s="39" t="n">
        <f aca="false">IF(F1692="BUY",J1692-I1692,I1692-J1692)</f>
        <v>0.0100000000002183</v>
      </c>
      <c r="L1692" s="38" t="n">
        <v>4557.6</v>
      </c>
      <c r="M1692" s="39" t="n">
        <f aca="false">ABS(I1692-L1692)</f>
        <v>6</v>
      </c>
      <c r="N1692" s="24" t="n">
        <f aca="false">M1692*H1692*Summary!$C$6</f>
        <v>48</v>
      </c>
      <c r="O1692" s="37" t="n">
        <v>46167.3933796296</v>
      </c>
      <c r="P1692" s="22" t="n">
        <f aca="false">ROUND((O1692-C1692)*86400,0)</f>
        <v>1274</v>
      </c>
      <c r="Q1692" s="22" t="str">
        <f aca="false">IF(P1692&lt;10,"a) &lt;10s",IF(P1692&lt;60,"b) 10-60s",IF(P1692&lt;600,"c) 1-10min","d) &gt;10min")))</f>
        <v>d) &gt;10min</v>
      </c>
      <c r="R1692" s="38" t="n">
        <v>4557.6</v>
      </c>
      <c r="S1692" s="38" t="n">
        <v>4557.66</v>
      </c>
      <c r="T1692" s="22" t="s">
        <v>188</v>
      </c>
      <c r="U1692" s="39" t="n">
        <f aca="false">IF(R1692="","",IF(F1692="BUY",R1692-S1692,S1692-R1692))</f>
        <v>0.0599999999994907</v>
      </c>
      <c r="V1692" s="39" t="n">
        <f aca="false">IF(F1692="BUY",S1692-J1692,J1692-S1692)</f>
        <v>-6.06999999999971</v>
      </c>
      <c r="W1692" s="6" t="n">
        <v>-48.56</v>
      </c>
      <c r="X1692" s="26" t="n">
        <f aca="false">IFERROR(W1692/N1692,0)</f>
        <v>-1.01166666666667</v>
      </c>
      <c r="Y1692" s="22" t="str">
        <f aca="false">IF(W1692&gt;0,"Win",IF(W1692&lt;0,"Loss","Flat"))</f>
        <v>Loss</v>
      </c>
      <c r="Z1692" s="24" t="n">
        <f aca="false">Summary!$C$5+SUM(W$2:W1692)</f>
        <v>4808.38</v>
      </c>
      <c r="AA1692" s="24" t="n">
        <f aca="false">MAX(AA1691,Z1692)</f>
        <v>5106.86</v>
      </c>
      <c r="AB1692" s="24" t="n">
        <f aca="false">AA1692-Z1692</f>
        <v>298.48</v>
      </c>
      <c r="AC1692" s="23" t="n">
        <f aca="false">IFERROR(AB1692/AA1692,0)</f>
        <v>0.0584468734212412</v>
      </c>
      <c r="AD1692" s="22" t="s">
        <v>1929</v>
      </c>
    </row>
    <row r="1693" customFormat="false" ht="15" hidden="false" customHeight="false" outlineLevel="0" collapsed="false">
      <c r="A1693" s="22" t="n">
        <v>1692</v>
      </c>
      <c r="B1693" s="22" t="s">
        <v>169</v>
      </c>
      <c r="C1693" s="37" t="n">
        <v>46168.0960185185</v>
      </c>
      <c r="D1693" s="22" t="s">
        <v>203</v>
      </c>
      <c r="E1693" s="22" t="n">
        <v>2</v>
      </c>
      <c r="F1693" s="22" t="s">
        <v>181</v>
      </c>
      <c r="G1693" s="22" t="s">
        <v>243</v>
      </c>
      <c r="H1693" s="22" t="n">
        <v>0.08</v>
      </c>
      <c r="I1693" s="38" t="n">
        <v>4580</v>
      </c>
      <c r="J1693" s="38" t="n">
        <v>4580.02</v>
      </c>
      <c r="K1693" s="39" t="n">
        <f aca="false">IF(F1693="BUY",J1693-I1693,I1693-J1693)</f>
        <v>0.0200000000004366</v>
      </c>
      <c r="L1693" s="38" t="n">
        <v>4574</v>
      </c>
      <c r="M1693" s="39" t="n">
        <f aca="false">ABS(I1693-L1693)</f>
        <v>6</v>
      </c>
      <c r="N1693" s="24" t="n">
        <f aca="false">M1693*H1693*Summary!$C$6</f>
        <v>48</v>
      </c>
      <c r="O1693" s="37" t="n">
        <v>46168.0995138889</v>
      </c>
      <c r="P1693" s="22" t="n">
        <f aca="false">ROUND((O1693-C1693)*86400,0)</f>
        <v>302</v>
      </c>
      <c r="Q1693" s="22" t="str">
        <f aca="false">IF(P1693&lt;10,"a) &lt;10s",IF(P1693&lt;60,"b) 10-60s",IF(P1693&lt;600,"c) 1-10min","d) &gt;10min")))</f>
        <v>c) 1-10min</v>
      </c>
      <c r="R1693" s="38" t="n">
        <v>4574</v>
      </c>
      <c r="S1693" s="38" t="n">
        <v>4573.92</v>
      </c>
      <c r="T1693" s="22" t="s">
        <v>188</v>
      </c>
      <c r="U1693" s="39" t="n">
        <f aca="false">IF(R1693="","",IF(F1693="BUY",R1693-S1693,S1693-R1693))</f>
        <v>0.0799999999999272</v>
      </c>
      <c r="V1693" s="39" t="n">
        <f aca="false">IF(F1693="BUY",S1693-J1693,J1693-S1693)</f>
        <v>-6.10000000000036</v>
      </c>
      <c r="W1693" s="6" t="n">
        <v>-48.8</v>
      </c>
      <c r="X1693" s="26" t="n">
        <f aca="false">IFERROR(W1693/N1693,0)</f>
        <v>-1.01666666666667</v>
      </c>
      <c r="Y1693" s="22" t="str">
        <f aca="false">IF(W1693&gt;0,"Win",IF(W1693&lt;0,"Loss","Flat"))</f>
        <v>Loss</v>
      </c>
      <c r="Z1693" s="24" t="n">
        <f aca="false">Summary!$C$5+SUM(W$2:W1693)</f>
        <v>4759.58</v>
      </c>
      <c r="AA1693" s="24" t="n">
        <f aca="false">MAX(AA1692,Z1693)</f>
        <v>5106.86</v>
      </c>
      <c r="AB1693" s="24" t="n">
        <f aca="false">AA1693-Z1693</f>
        <v>347.28</v>
      </c>
      <c r="AC1693" s="23" t="n">
        <f aca="false">IFERROR(AB1693/AA1693,0)</f>
        <v>0.0680026474193535</v>
      </c>
      <c r="AD1693" s="22" t="s">
        <v>1930</v>
      </c>
    </row>
    <row r="1694" customFormat="false" ht="15" hidden="false" customHeight="false" outlineLevel="0" collapsed="false">
      <c r="A1694" s="22" t="n">
        <v>1693</v>
      </c>
      <c r="B1694" s="22" t="s">
        <v>169</v>
      </c>
      <c r="C1694" s="37" t="n">
        <v>46168.4290509259</v>
      </c>
      <c r="D1694" s="22" t="s">
        <v>203</v>
      </c>
      <c r="E1694" s="22" t="n">
        <v>10</v>
      </c>
      <c r="F1694" s="22" t="s">
        <v>182</v>
      </c>
      <c r="G1694" s="22" t="s">
        <v>241</v>
      </c>
      <c r="H1694" s="22" t="n">
        <v>0.07</v>
      </c>
      <c r="I1694" s="38" t="n">
        <v>4522.74</v>
      </c>
      <c r="J1694" s="38" t="n">
        <v>4522.68</v>
      </c>
      <c r="K1694" s="39" t="n">
        <f aca="false">IF(F1694="BUY",J1694-I1694,I1694-J1694)</f>
        <v>0.0599999999994907</v>
      </c>
      <c r="L1694" s="38" t="n">
        <v>4528.74</v>
      </c>
      <c r="M1694" s="39" t="n">
        <f aca="false">ABS(I1694-L1694)</f>
        <v>6</v>
      </c>
      <c r="N1694" s="24" t="n">
        <f aca="false">M1694*H1694*Summary!$C$6</f>
        <v>42</v>
      </c>
      <c r="O1694" s="37" t="n">
        <v>46168.4334606482</v>
      </c>
      <c r="P1694" s="22" t="n">
        <f aca="false">ROUND((O1694-C1694)*86400,0)</f>
        <v>381</v>
      </c>
      <c r="Q1694" s="22" t="str">
        <f aca="false">IF(P1694&lt;10,"a) &lt;10s",IF(P1694&lt;60,"b) 10-60s",IF(P1694&lt;600,"c) 1-10min","d) &gt;10min")))</f>
        <v>c) 1-10min</v>
      </c>
      <c r="R1694" s="38" t="n">
        <v>4528.74</v>
      </c>
      <c r="S1694" s="38" t="n">
        <v>4529.2</v>
      </c>
      <c r="T1694" s="22" t="s">
        <v>188</v>
      </c>
      <c r="U1694" s="39" t="n">
        <f aca="false">IF(R1694="","",IF(F1694="BUY",R1694-S1694,S1694-R1694))</f>
        <v>0.460000000000036</v>
      </c>
      <c r="V1694" s="39" t="n">
        <f aca="false">IF(F1694="BUY",S1694-J1694,J1694-S1694)</f>
        <v>-6.51999999999953</v>
      </c>
      <c r="W1694" s="6" t="n">
        <v>-45.64</v>
      </c>
      <c r="X1694" s="26" t="n">
        <f aca="false">IFERROR(W1694/N1694,0)</f>
        <v>-1.08666666666667</v>
      </c>
      <c r="Y1694" s="22" t="str">
        <f aca="false">IF(W1694&gt;0,"Win",IF(W1694&lt;0,"Loss","Flat"))</f>
        <v>Loss</v>
      </c>
      <c r="Z1694" s="24" t="n">
        <f aca="false">Summary!$C$5+SUM(W$2:W1694)</f>
        <v>4713.94</v>
      </c>
      <c r="AA1694" s="24" t="n">
        <f aca="false">MAX(AA1693,Z1694)</f>
        <v>5106.86</v>
      </c>
      <c r="AB1694" s="24" t="n">
        <f aca="false">AA1694-Z1694</f>
        <v>392.92</v>
      </c>
      <c r="AC1694" s="23" t="n">
        <f aca="false">IFERROR(AB1694/AA1694,0)</f>
        <v>0.07693964588808</v>
      </c>
      <c r="AD1694" s="22" t="s">
        <v>1931</v>
      </c>
    </row>
    <row r="1695" customFormat="false" ht="15" hidden="false" customHeight="false" outlineLevel="0" collapsed="false">
      <c r="A1695" s="22" t="n">
        <v>1694</v>
      </c>
      <c r="B1695" s="22" t="s">
        <v>169</v>
      </c>
      <c r="C1695" s="37" t="n">
        <v>46169.3876967593</v>
      </c>
      <c r="D1695" s="22" t="s">
        <v>204</v>
      </c>
      <c r="E1695" s="22" t="n">
        <v>9</v>
      </c>
      <c r="F1695" s="22" t="s">
        <v>182</v>
      </c>
      <c r="G1695" s="22" t="s">
        <v>241</v>
      </c>
      <c r="H1695" s="22" t="n">
        <v>0.07</v>
      </c>
      <c r="I1695" s="38" t="n">
        <v>4491.36</v>
      </c>
      <c r="J1695" s="38" t="n">
        <v>4491.36</v>
      </c>
      <c r="K1695" s="39" t="n">
        <f aca="false">IF(F1695="BUY",J1695-I1695,I1695-J1695)</f>
        <v>0</v>
      </c>
      <c r="L1695" s="38" t="n">
        <v>4497.36</v>
      </c>
      <c r="M1695" s="39" t="n">
        <f aca="false">ABS(I1695-L1695)</f>
        <v>6</v>
      </c>
      <c r="N1695" s="24" t="n">
        <f aca="false">M1695*H1695*Summary!$C$6</f>
        <v>42</v>
      </c>
      <c r="O1695" s="37" t="n">
        <v>46169.4718055556</v>
      </c>
      <c r="P1695" s="22" t="n">
        <f aca="false">ROUND((O1695-C1695)*86400,0)</f>
        <v>7267</v>
      </c>
      <c r="Q1695" s="22" t="str">
        <f aca="false">IF(P1695&lt;10,"a) &lt;10s",IF(P1695&lt;60,"b) 10-60s",IF(P1695&lt;600,"c) 1-10min","d) &gt;10min")))</f>
        <v>d) &gt;10min</v>
      </c>
      <c r="R1695" s="38" t="n">
        <v>4490.86</v>
      </c>
      <c r="S1695" s="38" t="n">
        <v>4491.23</v>
      </c>
      <c r="T1695" s="22" t="s">
        <v>189</v>
      </c>
      <c r="U1695" s="39" t="n">
        <f aca="false">IF(R1695="","",IF(F1695="BUY",R1695-S1695,S1695-R1695))</f>
        <v>0.369999999999891</v>
      </c>
      <c r="V1695" s="39" t="n">
        <f aca="false">IF(F1695="BUY",S1695-J1695,J1695-S1695)</f>
        <v>0.130000000000109</v>
      </c>
      <c r="W1695" s="6" t="n">
        <v>0.91</v>
      </c>
      <c r="X1695" s="26" t="n">
        <f aca="false">IFERROR(W1695/N1695,0)</f>
        <v>0.0216666666666667</v>
      </c>
      <c r="Y1695" s="22" t="str">
        <f aca="false">IF(W1695&gt;0,"Win",IF(W1695&lt;0,"Loss","Flat"))</f>
        <v>Win</v>
      </c>
      <c r="Z1695" s="24" t="n">
        <f aca="false">Summary!$C$5+SUM(W$2:W1695)</f>
        <v>4714.85</v>
      </c>
      <c r="AA1695" s="24" t="n">
        <f aca="false">MAX(AA1694,Z1695)</f>
        <v>5106.86</v>
      </c>
      <c r="AB1695" s="24" t="n">
        <f aca="false">AA1695-Z1695</f>
        <v>392.009999999999</v>
      </c>
      <c r="AC1695" s="23" t="n">
        <f aca="false">IFERROR(AB1695/AA1695,0)</f>
        <v>0.0767614542008199</v>
      </c>
      <c r="AD1695" s="22" t="s">
        <v>1932</v>
      </c>
    </row>
    <row r="1696" customFormat="false" ht="15" hidden="false" customHeight="false" outlineLevel="0" collapsed="false">
      <c r="A1696" s="22" t="n">
        <v>1695</v>
      </c>
      <c r="B1696" s="22" t="s">
        <v>169</v>
      </c>
      <c r="C1696" s="37" t="n">
        <v>46170.2172222222</v>
      </c>
      <c r="D1696" s="22" t="s">
        <v>205</v>
      </c>
      <c r="E1696" s="22" t="n">
        <v>5</v>
      </c>
      <c r="F1696" s="22" t="s">
        <v>182</v>
      </c>
      <c r="G1696" s="22" t="s">
        <v>237</v>
      </c>
      <c r="H1696" s="22" t="n">
        <v>0.07</v>
      </c>
      <c r="I1696" s="38" t="n">
        <v>4401.33</v>
      </c>
      <c r="J1696" s="38" t="n">
        <v>4401.29</v>
      </c>
      <c r="K1696" s="39" t="n">
        <f aca="false">IF(F1696="BUY",J1696-I1696,I1696-J1696)</f>
        <v>0.0399999999999636</v>
      </c>
      <c r="L1696" s="38" t="n">
        <v>4407.33</v>
      </c>
      <c r="M1696" s="39" t="n">
        <f aca="false">ABS(I1696-L1696)</f>
        <v>6</v>
      </c>
      <c r="N1696" s="24" t="n">
        <f aca="false">M1696*H1696*Summary!$C$6</f>
        <v>42</v>
      </c>
      <c r="O1696" s="37" t="n">
        <v>46170.2183796296</v>
      </c>
      <c r="P1696" s="22" t="n">
        <f aca="false">ROUND((O1696-C1696)*86400,0)</f>
        <v>100</v>
      </c>
      <c r="Q1696" s="22" t="str">
        <f aca="false">IF(P1696&lt;10,"a) &lt;10s",IF(P1696&lt;60,"b) 10-60s",IF(P1696&lt;600,"c) 1-10min","d) &gt;10min")))</f>
        <v>c) 1-10min</v>
      </c>
      <c r="R1696" s="38" t="n">
        <v>4400.79</v>
      </c>
      <c r="S1696" s="38" t="n">
        <v>4400.8</v>
      </c>
      <c r="T1696" s="22" t="s">
        <v>189</v>
      </c>
      <c r="U1696" s="39" t="n">
        <f aca="false">IF(R1696="","",IF(F1696="BUY",R1696-S1696,S1696-R1696))</f>
        <v>0.0100000000002183</v>
      </c>
      <c r="V1696" s="39" t="n">
        <f aca="false">IF(F1696="BUY",S1696-J1696,J1696-S1696)</f>
        <v>0.489999999999782</v>
      </c>
      <c r="W1696" s="6" t="n">
        <v>3.43</v>
      </c>
      <c r="X1696" s="26" t="n">
        <f aca="false">IFERROR(W1696/N1696,0)</f>
        <v>0.0816666666666667</v>
      </c>
      <c r="Y1696" s="22" t="str">
        <f aca="false">IF(W1696&gt;0,"Win",IF(W1696&lt;0,"Loss","Flat"))</f>
        <v>Win</v>
      </c>
      <c r="Z1696" s="24" t="n">
        <f aca="false">Summary!$C$5+SUM(W$2:W1696)</f>
        <v>4718.28</v>
      </c>
      <c r="AA1696" s="24" t="n">
        <f aca="false">MAX(AA1695,Z1696)</f>
        <v>5106.86</v>
      </c>
      <c r="AB1696" s="24" t="n">
        <f aca="false">AA1696-Z1696</f>
        <v>388.58</v>
      </c>
      <c r="AC1696" s="23" t="n">
        <f aca="false">IFERROR(AB1696/AA1696,0)</f>
        <v>0.076089808610379</v>
      </c>
      <c r="AD1696" s="22" t="s">
        <v>1933</v>
      </c>
    </row>
    <row r="1697" customFormat="false" ht="15" hidden="false" customHeight="false" outlineLevel="0" collapsed="false">
      <c r="A1697" s="22" t="n">
        <v>1696</v>
      </c>
      <c r="B1697" s="22" t="s">
        <v>169</v>
      </c>
      <c r="C1697" s="37" t="n">
        <v>46170.4304282407</v>
      </c>
      <c r="D1697" s="22" t="s">
        <v>205</v>
      </c>
      <c r="E1697" s="22" t="n">
        <v>10</v>
      </c>
      <c r="F1697" s="22" t="s">
        <v>181</v>
      </c>
      <c r="G1697" s="22" t="s">
        <v>235</v>
      </c>
      <c r="H1697" s="22" t="n">
        <v>0.07</v>
      </c>
      <c r="I1697" s="38" t="n">
        <v>4395.55</v>
      </c>
      <c r="J1697" s="38" t="n">
        <v>4395.56</v>
      </c>
      <c r="K1697" s="39" t="n">
        <f aca="false">IF(F1697="BUY",J1697-I1697,I1697-J1697)</f>
        <v>0.0100000000002183</v>
      </c>
      <c r="L1697" s="38" t="n">
        <v>4389.55</v>
      </c>
      <c r="M1697" s="39" t="n">
        <f aca="false">ABS(I1697-L1697)</f>
        <v>6</v>
      </c>
      <c r="N1697" s="24" t="n">
        <f aca="false">M1697*H1697*Summary!$C$6</f>
        <v>42</v>
      </c>
      <c r="O1697" s="37" t="n">
        <v>46170.4400231482</v>
      </c>
      <c r="P1697" s="22" t="n">
        <f aca="false">ROUND((O1697-C1697)*86400,0)</f>
        <v>829</v>
      </c>
      <c r="Q1697" s="22" t="str">
        <f aca="false">IF(P1697&lt;10,"a) &lt;10s",IF(P1697&lt;60,"b) 10-60s",IF(P1697&lt;600,"c) 1-10min","d) &gt;10min")))</f>
        <v>d) &gt;10min</v>
      </c>
      <c r="R1697" s="38" t="n">
        <v>4389.55</v>
      </c>
      <c r="S1697" s="38" t="n">
        <v>4389.5</v>
      </c>
      <c r="T1697" s="22" t="s">
        <v>188</v>
      </c>
      <c r="U1697" s="39" t="n">
        <f aca="false">IF(R1697="","",IF(F1697="BUY",R1697-S1697,S1697-R1697))</f>
        <v>0.0500000000001819</v>
      </c>
      <c r="V1697" s="39" t="n">
        <f aca="false">IF(F1697="BUY",S1697-J1697,J1697-S1697)</f>
        <v>-6.0600000000004</v>
      </c>
      <c r="W1697" s="6" t="n">
        <v>-42.42</v>
      </c>
      <c r="X1697" s="26" t="n">
        <f aca="false">IFERROR(W1697/N1697,0)</f>
        <v>-1.01</v>
      </c>
      <c r="Y1697" s="22" t="str">
        <f aca="false">IF(W1697&gt;0,"Win",IF(W1697&lt;0,"Loss","Flat"))</f>
        <v>Loss</v>
      </c>
      <c r="Z1697" s="24" t="n">
        <f aca="false">Summary!$C$5+SUM(W$2:W1697)</f>
        <v>4675.86</v>
      </c>
      <c r="AA1697" s="24" t="n">
        <f aca="false">MAX(AA1696,Z1697)</f>
        <v>5106.86</v>
      </c>
      <c r="AB1697" s="24" t="n">
        <f aca="false">AA1697-Z1697</f>
        <v>431</v>
      </c>
      <c r="AC1697" s="23" t="n">
        <f aca="false">IFERROR(AB1697/AA1697,0)</f>
        <v>0.0843962826472627</v>
      </c>
      <c r="AD1697" s="22" t="s">
        <v>1934</v>
      </c>
    </row>
    <row r="1698" customFormat="false" ht="15" hidden="false" customHeight="false" outlineLevel="0" collapsed="false">
      <c r="A1698" s="22" t="n">
        <v>1697</v>
      </c>
      <c r="B1698" s="22" t="s">
        <v>169</v>
      </c>
      <c r="C1698" s="37" t="n">
        <v>46171.1772800926</v>
      </c>
      <c r="D1698" s="22" t="s">
        <v>206</v>
      </c>
      <c r="E1698" s="22" t="n">
        <v>4</v>
      </c>
      <c r="F1698" s="22" t="s">
        <v>181</v>
      </c>
      <c r="G1698" s="22" t="s">
        <v>243</v>
      </c>
      <c r="H1698" s="22" t="n">
        <v>0.07</v>
      </c>
      <c r="I1698" s="38" t="n">
        <v>4516.32</v>
      </c>
      <c r="J1698" s="38" t="n">
        <v>4516.49</v>
      </c>
      <c r="K1698" s="39" t="n">
        <f aca="false">IF(F1698="BUY",J1698-I1698,I1698-J1698)</f>
        <v>0.170000000000073</v>
      </c>
      <c r="L1698" s="38" t="n">
        <v>4510.32</v>
      </c>
      <c r="M1698" s="39" t="n">
        <f aca="false">ABS(I1698-L1698)</f>
        <v>6</v>
      </c>
      <c r="N1698" s="24" t="n">
        <f aca="false">M1698*H1698*Summary!$C$6</f>
        <v>42</v>
      </c>
      <c r="O1698" s="37" t="n">
        <v>46171.1818865741</v>
      </c>
      <c r="P1698" s="22" t="n">
        <f aca="false">ROUND((O1698-C1698)*86400,0)</f>
        <v>398</v>
      </c>
      <c r="Q1698" s="22" t="str">
        <f aca="false">IF(P1698&lt;10,"a) &lt;10s",IF(P1698&lt;60,"b) 10-60s",IF(P1698&lt;600,"c) 1-10min","d) &gt;10min")))</f>
        <v>c) 1-10min</v>
      </c>
      <c r="R1698" s="38" t="n">
        <v>4516.99</v>
      </c>
      <c r="S1698" s="38" t="n">
        <v>4516.95</v>
      </c>
      <c r="T1698" s="22" t="s">
        <v>189</v>
      </c>
      <c r="U1698" s="39" t="n">
        <f aca="false">IF(R1698="","",IF(F1698="BUY",R1698-S1698,S1698-R1698))</f>
        <v>0.0399999999999636</v>
      </c>
      <c r="V1698" s="39" t="n">
        <f aca="false">IF(F1698="BUY",S1698-J1698,J1698-S1698)</f>
        <v>0.460000000000036</v>
      </c>
      <c r="W1698" s="6" t="n">
        <v>3.22</v>
      </c>
      <c r="X1698" s="26" t="n">
        <f aca="false">IFERROR(W1698/N1698,0)</f>
        <v>0.0766666666666667</v>
      </c>
      <c r="Y1698" s="22" t="str">
        <f aca="false">IF(W1698&gt;0,"Win",IF(W1698&lt;0,"Loss","Flat"))</f>
        <v>Win</v>
      </c>
      <c r="Z1698" s="24" t="n">
        <f aca="false">Summary!$C$5+SUM(W$2:W1698)</f>
        <v>4679.08</v>
      </c>
      <c r="AA1698" s="24" t="n">
        <f aca="false">MAX(AA1697,Z1698)</f>
        <v>5106.86</v>
      </c>
      <c r="AB1698" s="24" t="n">
        <f aca="false">AA1698-Z1698</f>
        <v>427.78</v>
      </c>
      <c r="AC1698" s="23" t="n">
        <f aca="false">IFERROR(AB1698/AA1698,0)</f>
        <v>0.08376575821542</v>
      </c>
      <c r="AD1698" s="22" t="s">
        <v>1935</v>
      </c>
    </row>
    <row r="1699" customFormat="false" ht="15" hidden="false" customHeight="false" outlineLevel="0" collapsed="false">
      <c r="A1699" s="22" t="n">
        <v>1698</v>
      </c>
      <c r="B1699" s="22" t="s">
        <v>169</v>
      </c>
      <c r="C1699" s="37" t="n">
        <v>46171.3750347222</v>
      </c>
      <c r="D1699" s="22" t="s">
        <v>206</v>
      </c>
      <c r="E1699" s="22" t="n">
        <v>9</v>
      </c>
      <c r="F1699" s="22" t="s">
        <v>181</v>
      </c>
      <c r="G1699" s="22" t="s">
        <v>235</v>
      </c>
      <c r="H1699" s="22" t="n">
        <v>0.07</v>
      </c>
      <c r="I1699" s="38" t="n">
        <v>4515.78</v>
      </c>
      <c r="J1699" s="38" t="n">
        <v>4515.9</v>
      </c>
      <c r="K1699" s="39" t="n">
        <f aca="false">IF(F1699="BUY",J1699-I1699,I1699-J1699)</f>
        <v>0.119999999999891</v>
      </c>
      <c r="L1699" s="38" t="n">
        <v>4509.78</v>
      </c>
      <c r="M1699" s="39" t="n">
        <f aca="false">ABS(I1699-L1699)</f>
        <v>6</v>
      </c>
      <c r="N1699" s="24" t="n">
        <f aca="false">M1699*H1699*Summary!$C$6</f>
        <v>42</v>
      </c>
      <c r="O1699" s="37" t="n">
        <v>46171.3813194444</v>
      </c>
      <c r="P1699" s="22" t="n">
        <f aca="false">ROUND((O1699-C1699)*86400,0)</f>
        <v>543</v>
      </c>
      <c r="Q1699" s="22" t="str">
        <f aca="false">IF(P1699&lt;10,"a) &lt;10s",IF(P1699&lt;60,"b) 10-60s",IF(P1699&lt;600,"c) 1-10min","d) &gt;10min")))</f>
        <v>c) 1-10min</v>
      </c>
      <c r="R1699" s="38" t="n">
        <v>4516.4</v>
      </c>
      <c r="S1699" s="38" t="n">
        <v>4515.7</v>
      </c>
      <c r="T1699" s="22" t="s">
        <v>189</v>
      </c>
      <c r="U1699" s="39" t="n">
        <f aca="false">IF(R1699="","",IF(F1699="BUY",R1699-S1699,S1699-R1699))</f>
        <v>0.699999999999818</v>
      </c>
      <c r="V1699" s="39" t="n">
        <f aca="false">IF(F1699="BUY",S1699-J1699,J1699-S1699)</f>
        <v>-0.199999999999818</v>
      </c>
      <c r="W1699" s="6" t="n">
        <v>-1.4</v>
      </c>
      <c r="X1699" s="26" t="n">
        <f aca="false">IFERROR(W1699/N1699,0)</f>
        <v>-0.0333333333333333</v>
      </c>
      <c r="Y1699" s="22" t="str">
        <f aca="false">IF(W1699&gt;0,"Win",IF(W1699&lt;0,"Loss","Flat"))</f>
        <v>Loss</v>
      </c>
      <c r="Z1699" s="24" t="n">
        <f aca="false">Summary!$C$5+SUM(W$2:W1699)</f>
        <v>4677.68</v>
      </c>
      <c r="AA1699" s="24" t="n">
        <f aca="false">MAX(AA1698,Z1699)</f>
        <v>5106.86</v>
      </c>
      <c r="AB1699" s="24" t="n">
        <f aca="false">AA1699-Z1699</f>
        <v>429.179999999999</v>
      </c>
      <c r="AC1699" s="23" t="n">
        <f aca="false">IFERROR(AB1699/AA1699,0)</f>
        <v>0.0840398992727428</v>
      </c>
      <c r="AD1699" s="22" t="s">
        <v>1936</v>
      </c>
    </row>
    <row r="1700" customFormat="false" ht="15" hidden="false" customHeight="false" outlineLevel="0" collapsed="false">
      <c r="A1700" s="22" t="n">
        <v>1699</v>
      </c>
      <c r="B1700" s="22" t="s">
        <v>170</v>
      </c>
      <c r="C1700" s="37" t="n">
        <v>46174.3892939815</v>
      </c>
      <c r="D1700" s="22" t="s">
        <v>202</v>
      </c>
      <c r="E1700" s="22" t="n">
        <v>9</v>
      </c>
      <c r="F1700" s="22" t="s">
        <v>182</v>
      </c>
      <c r="G1700" s="22" t="s">
        <v>241</v>
      </c>
      <c r="H1700" s="22" t="n">
        <v>0.07</v>
      </c>
      <c r="I1700" s="38" t="n">
        <v>4508.4</v>
      </c>
      <c r="J1700" s="38" t="n">
        <v>4507.93</v>
      </c>
      <c r="K1700" s="39" t="n">
        <f aca="false">IF(F1700="BUY",J1700-I1700,I1700-J1700)</f>
        <v>0.469999999999345</v>
      </c>
      <c r="L1700" s="38" t="n">
        <v>4514.4</v>
      </c>
      <c r="M1700" s="39" t="n">
        <f aca="false">ABS(I1700-L1700)</f>
        <v>6</v>
      </c>
      <c r="N1700" s="24" t="n">
        <f aca="false">M1700*H1700*Summary!$C$6</f>
        <v>42</v>
      </c>
      <c r="O1700" s="37" t="n">
        <v>46174.3912962963</v>
      </c>
      <c r="P1700" s="22" t="n">
        <f aca="false">ROUND((O1700-C1700)*86400,0)</f>
        <v>173</v>
      </c>
      <c r="Q1700" s="22" t="str">
        <f aca="false">IF(P1700&lt;10,"a) &lt;10s",IF(P1700&lt;60,"b) 10-60s",IF(P1700&lt;600,"c) 1-10min","d) &gt;10min")))</f>
        <v>c) 1-10min</v>
      </c>
      <c r="R1700" s="38" t="n">
        <v>4507.43</v>
      </c>
      <c r="S1700" s="38" t="n">
        <v>4507.44</v>
      </c>
      <c r="T1700" s="22" t="s">
        <v>189</v>
      </c>
      <c r="U1700" s="39" t="n">
        <f aca="false">IF(R1700="","",IF(F1700="BUY",R1700-S1700,S1700-R1700))</f>
        <v>0.00999999999930878</v>
      </c>
      <c r="V1700" s="39" t="n">
        <f aca="false">IF(F1700="BUY",S1700-J1700,J1700-S1700)</f>
        <v>0.490000000000691</v>
      </c>
      <c r="W1700" s="6" t="n">
        <v>3.43</v>
      </c>
      <c r="X1700" s="26" t="n">
        <f aca="false">IFERROR(W1700/N1700,0)</f>
        <v>0.0816666666666667</v>
      </c>
      <c r="Y1700" s="22" t="str">
        <f aca="false">IF(W1700&gt;0,"Win",IF(W1700&lt;0,"Loss","Flat"))</f>
        <v>Win</v>
      </c>
      <c r="Z1700" s="24" t="n">
        <f aca="false">Summary!$C$5+SUM(W$2:W1700)</f>
        <v>4681.11</v>
      </c>
      <c r="AA1700" s="24" t="n">
        <f aca="false">MAX(AA1699,Z1700)</f>
        <v>5106.86</v>
      </c>
      <c r="AB1700" s="24" t="n">
        <f aca="false">AA1700-Z1700</f>
        <v>425.75</v>
      </c>
      <c r="AC1700" s="23" t="n">
        <f aca="false">IFERROR(AB1700/AA1700,0)</f>
        <v>0.0833682536823019</v>
      </c>
      <c r="AD1700" s="22" t="s">
        <v>1937</v>
      </c>
    </row>
    <row r="1701" customFormat="false" ht="15" hidden="false" customHeight="false" outlineLevel="0" collapsed="false">
      <c r="A1701" s="22" t="n">
        <v>1700</v>
      </c>
      <c r="B1701" s="22" t="s">
        <v>170</v>
      </c>
      <c r="C1701" s="37" t="n">
        <v>46174.6745717593</v>
      </c>
      <c r="D1701" s="22" t="s">
        <v>202</v>
      </c>
      <c r="E1701" s="22" t="n">
        <v>16</v>
      </c>
      <c r="F1701" s="22" t="s">
        <v>182</v>
      </c>
      <c r="G1701" s="22" t="s">
        <v>237</v>
      </c>
      <c r="H1701" s="22" t="n">
        <v>0.07</v>
      </c>
      <c r="I1701" s="38" t="n">
        <v>4488.69</v>
      </c>
      <c r="J1701" s="38" t="n">
        <v>4488.64</v>
      </c>
      <c r="K1701" s="39" t="n">
        <f aca="false">IF(F1701="BUY",J1701-I1701,I1701-J1701)</f>
        <v>0.0499999999992724</v>
      </c>
      <c r="L1701" s="38" t="n">
        <v>4494.69</v>
      </c>
      <c r="M1701" s="39" t="n">
        <f aca="false">ABS(I1701-L1701)</f>
        <v>6</v>
      </c>
      <c r="N1701" s="24" t="n">
        <f aca="false">M1701*H1701*Summary!$C$6</f>
        <v>42</v>
      </c>
      <c r="O1701" s="37" t="n">
        <v>46174.6746064815</v>
      </c>
      <c r="P1701" s="22" t="n">
        <f aca="false">ROUND((O1701-C1701)*86400,0)</f>
        <v>3</v>
      </c>
      <c r="Q1701" s="22" t="str">
        <f aca="false">IF(P1701&lt;10,"a) &lt;10s",IF(P1701&lt;60,"b) 10-60s",IF(P1701&lt;600,"c) 1-10min","d) &gt;10min")))</f>
        <v>a) &lt;10s</v>
      </c>
      <c r="R1701" s="38" t="n">
        <v>4488.14</v>
      </c>
      <c r="S1701" s="38" t="n">
        <v>4488.16</v>
      </c>
      <c r="T1701" s="22" t="s">
        <v>189</v>
      </c>
      <c r="U1701" s="39" t="n">
        <f aca="false">IF(R1701="","",IF(F1701="BUY",R1701-S1701,S1701-R1701))</f>
        <v>0.0199999999995271</v>
      </c>
      <c r="V1701" s="39" t="n">
        <f aca="false">IF(F1701="BUY",S1701-J1701,J1701-S1701)</f>
        <v>0.480000000000473</v>
      </c>
      <c r="W1701" s="6" t="n">
        <v>3.36</v>
      </c>
      <c r="X1701" s="26" t="n">
        <f aca="false">IFERROR(W1701/N1701,0)</f>
        <v>0.08</v>
      </c>
      <c r="Y1701" s="22" t="str">
        <f aca="false">IF(W1701&gt;0,"Win",IF(W1701&lt;0,"Loss","Flat"))</f>
        <v>Win</v>
      </c>
      <c r="Z1701" s="24" t="n">
        <f aca="false">Summary!$C$5+SUM(W$2:W1701)</f>
        <v>4684.47</v>
      </c>
      <c r="AA1701" s="24" t="n">
        <f aca="false">MAX(AA1700,Z1701)</f>
        <v>5106.86</v>
      </c>
      <c r="AB1701" s="24" t="n">
        <f aca="false">AA1701-Z1701</f>
        <v>422.389999999999</v>
      </c>
      <c r="AC1701" s="23" t="n">
        <f aca="false">IFERROR(AB1701/AA1701,0)</f>
        <v>0.0827103151447268</v>
      </c>
      <c r="AD1701" s="22" t="s">
        <v>1938</v>
      </c>
    </row>
    <row r="1702" customFormat="false" ht="15" hidden="false" customHeight="false" outlineLevel="0" collapsed="false">
      <c r="A1702" s="22" t="n">
        <v>1701</v>
      </c>
      <c r="B1702" s="22" t="s">
        <v>170</v>
      </c>
      <c r="C1702" s="37" t="n">
        <v>46175.3899305556</v>
      </c>
      <c r="D1702" s="22" t="s">
        <v>203</v>
      </c>
      <c r="E1702" s="22" t="n">
        <v>9</v>
      </c>
      <c r="F1702" s="22" t="s">
        <v>181</v>
      </c>
      <c r="G1702" s="22" t="s">
        <v>235</v>
      </c>
      <c r="H1702" s="22" t="n">
        <v>0.07</v>
      </c>
      <c r="I1702" s="38" t="n">
        <v>4527.98</v>
      </c>
      <c r="J1702" s="38" t="n">
        <v>4528.16</v>
      </c>
      <c r="K1702" s="39" t="n">
        <f aca="false">IF(F1702="BUY",J1702-I1702,I1702-J1702)</f>
        <v>0.180000000000291</v>
      </c>
      <c r="L1702" s="38" t="n">
        <v>4521.98</v>
      </c>
      <c r="M1702" s="39" t="n">
        <f aca="false">ABS(I1702-L1702)</f>
        <v>6</v>
      </c>
      <c r="N1702" s="24" t="n">
        <f aca="false">M1702*H1702*Summary!$C$6</f>
        <v>42</v>
      </c>
      <c r="O1702" s="37" t="n">
        <v>46175.3923611111</v>
      </c>
      <c r="P1702" s="22" t="n">
        <f aca="false">ROUND((O1702-C1702)*86400,0)</f>
        <v>210</v>
      </c>
      <c r="Q1702" s="22" t="str">
        <f aca="false">IF(P1702&lt;10,"a) &lt;10s",IF(P1702&lt;60,"b) 10-60s",IF(P1702&lt;600,"c) 1-10min","d) &gt;10min")))</f>
        <v>c) 1-10min</v>
      </c>
      <c r="R1702" s="38" t="n">
        <v>4528.66</v>
      </c>
      <c r="S1702" s="38" t="n">
        <v>4528.62</v>
      </c>
      <c r="T1702" s="22" t="s">
        <v>189</v>
      </c>
      <c r="U1702" s="39" t="n">
        <f aca="false">IF(R1702="","",IF(F1702="BUY",R1702-S1702,S1702-R1702))</f>
        <v>0.0399999999999636</v>
      </c>
      <c r="V1702" s="39" t="n">
        <f aca="false">IF(F1702="BUY",S1702-J1702,J1702-S1702)</f>
        <v>0.460000000000036</v>
      </c>
      <c r="W1702" s="6" t="n">
        <v>3.22</v>
      </c>
      <c r="X1702" s="26" t="n">
        <f aca="false">IFERROR(W1702/N1702,0)</f>
        <v>0.0766666666666667</v>
      </c>
      <c r="Y1702" s="22" t="str">
        <f aca="false">IF(W1702&gt;0,"Win",IF(W1702&lt;0,"Loss","Flat"))</f>
        <v>Win</v>
      </c>
      <c r="Z1702" s="24" t="n">
        <f aca="false">Summary!$C$5+SUM(W$2:W1702)</f>
        <v>4687.69</v>
      </c>
      <c r="AA1702" s="24" t="n">
        <f aca="false">MAX(AA1701,Z1702)</f>
        <v>5106.86</v>
      </c>
      <c r="AB1702" s="24" t="n">
        <f aca="false">AA1702-Z1702</f>
        <v>419.17</v>
      </c>
      <c r="AC1702" s="23" t="n">
        <f aca="false">IFERROR(AB1702/AA1702,0)</f>
        <v>0.0820797907128843</v>
      </c>
      <c r="AD1702" s="22" t="s">
        <v>1939</v>
      </c>
    </row>
    <row r="1703" customFormat="false" ht="15" hidden="false" customHeight="false" outlineLevel="0" collapsed="false">
      <c r="A1703" s="22" t="n">
        <v>1702</v>
      </c>
      <c r="B1703" s="22" t="s">
        <v>170</v>
      </c>
      <c r="C1703" s="37" t="n">
        <v>46176.1033101852</v>
      </c>
      <c r="D1703" s="22" t="s">
        <v>204</v>
      </c>
      <c r="E1703" s="22" t="n">
        <v>2</v>
      </c>
      <c r="F1703" s="22" t="s">
        <v>182</v>
      </c>
      <c r="G1703" s="22" t="s">
        <v>237</v>
      </c>
      <c r="H1703" s="22" t="n">
        <v>0.07</v>
      </c>
      <c r="I1703" s="38" t="n">
        <v>4462.66</v>
      </c>
      <c r="J1703" s="38" t="n">
        <v>4462.09</v>
      </c>
      <c r="K1703" s="39" t="n">
        <f aca="false">IF(F1703="BUY",J1703-I1703,I1703-J1703)</f>
        <v>0.569999999999709</v>
      </c>
      <c r="L1703" s="38" t="n">
        <v>4468.66</v>
      </c>
      <c r="M1703" s="39" t="n">
        <f aca="false">ABS(I1703-L1703)</f>
        <v>6</v>
      </c>
      <c r="N1703" s="24" t="n">
        <f aca="false">M1703*H1703*Summary!$C$6</f>
        <v>42</v>
      </c>
      <c r="O1703" s="37" t="n">
        <v>46176.1041898148</v>
      </c>
      <c r="P1703" s="22" t="n">
        <f aca="false">ROUND((O1703-C1703)*86400,0)</f>
        <v>76</v>
      </c>
      <c r="Q1703" s="22" t="str">
        <f aca="false">IF(P1703&lt;10,"a) &lt;10s",IF(P1703&lt;60,"b) 10-60s",IF(P1703&lt;600,"c) 1-10min","d) &gt;10min")))</f>
        <v>c) 1-10min</v>
      </c>
      <c r="R1703" s="38" t="n">
        <v>4468.66</v>
      </c>
      <c r="S1703" s="38" t="n">
        <v>4468.9</v>
      </c>
      <c r="T1703" s="22" t="s">
        <v>188</v>
      </c>
      <c r="U1703" s="39" t="n">
        <f aca="false">IF(R1703="","",IF(F1703="BUY",R1703-S1703,S1703-R1703))</f>
        <v>0.239999999999782</v>
      </c>
      <c r="V1703" s="39" t="n">
        <f aca="false">IF(F1703="BUY",S1703-J1703,J1703-S1703)</f>
        <v>-6.80999999999949</v>
      </c>
      <c r="W1703" s="6" t="n">
        <v>-47.67</v>
      </c>
      <c r="X1703" s="26" t="n">
        <f aca="false">IFERROR(W1703/N1703,0)</f>
        <v>-1.135</v>
      </c>
      <c r="Y1703" s="22" t="str">
        <f aca="false">IF(W1703&gt;0,"Win",IF(W1703&lt;0,"Loss","Flat"))</f>
        <v>Loss</v>
      </c>
      <c r="Z1703" s="24" t="n">
        <f aca="false">Summary!$C$5+SUM(W$2:W1703)</f>
        <v>4640.02</v>
      </c>
      <c r="AA1703" s="24" t="n">
        <f aca="false">MAX(AA1702,Z1703)</f>
        <v>5106.86</v>
      </c>
      <c r="AB1703" s="24" t="n">
        <f aca="false">AA1703-Z1703</f>
        <v>466.839999999999</v>
      </c>
      <c r="AC1703" s="23" t="n">
        <f aca="false">IFERROR(AB1703/AA1703,0)</f>
        <v>0.0914142937147287</v>
      </c>
      <c r="AD1703" s="22" t="s">
        <v>1940</v>
      </c>
    </row>
    <row r="1704" customFormat="false" ht="15" hidden="false" customHeight="false" outlineLevel="0" collapsed="false">
      <c r="A1704" s="22" t="n">
        <v>1703</v>
      </c>
      <c r="B1704" s="22" t="s">
        <v>170</v>
      </c>
      <c r="C1704" s="37" t="n">
        <v>46176.4068171296</v>
      </c>
      <c r="D1704" s="22" t="s">
        <v>204</v>
      </c>
      <c r="E1704" s="22" t="n">
        <v>9</v>
      </c>
      <c r="F1704" s="22" t="s">
        <v>182</v>
      </c>
      <c r="G1704" s="22" t="s">
        <v>241</v>
      </c>
      <c r="H1704" s="22" t="n">
        <v>0.07</v>
      </c>
      <c r="I1704" s="38" t="n">
        <v>4456.3</v>
      </c>
      <c r="J1704" s="38" t="n">
        <v>4456.2</v>
      </c>
      <c r="K1704" s="39" t="n">
        <f aca="false">IF(F1704="BUY",J1704-I1704,I1704-J1704)</f>
        <v>0.100000000000364</v>
      </c>
      <c r="L1704" s="38" t="n">
        <v>4462.3</v>
      </c>
      <c r="M1704" s="39" t="n">
        <f aca="false">ABS(I1704-L1704)</f>
        <v>6</v>
      </c>
      <c r="N1704" s="24" t="n">
        <f aca="false">M1704*H1704*Summary!$C$6</f>
        <v>42</v>
      </c>
      <c r="O1704" s="37" t="n">
        <v>46176.415625</v>
      </c>
      <c r="P1704" s="22" t="n">
        <f aca="false">ROUND((O1704-C1704)*86400,0)</f>
        <v>761</v>
      </c>
      <c r="Q1704" s="22" t="str">
        <f aca="false">IF(P1704&lt;10,"a) &lt;10s",IF(P1704&lt;60,"b) 10-60s",IF(P1704&lt;600,"c) 1-10min","d) &gt;10min")))</f>
        <v>d) &gt;10min</v>
      </c>
      <c r="R1704" s="38" t="n">
        <v>4462.3</v>
      </c>
      <c r="S1704" s="38" t="n">
        <v>4462.32</v>
      </c>
      <c r="T1704" s="22" t="s">
        <v>188</v>
      </c>
      <c r="U1704" s="39" t="n">
        <f aca="false">IF(R1704="","",IF(F1704="BUY",R1704-S1704,S1704-R1704))</f>
        <v>0.0199999999995271</v>
      </c>
      <c r="V1704" s="39" t="n">
        <f aca="false">IF(F1704="BUY",S1704-J1704,J1704-S1704)</f>
        <v>-6.11999999999989</v>
      </c>
      <c r="W1704" s="6" t="n">
        <v>-42.84</v>
      </c>
      <c r="X1704" s="26" t="n">
        <f aca="false">IFERROR(W1704/N1704,0)</f>
        <v>-1.02</v>
      </c>
      <c r="Y1704" s="22" t="str">
        <f aca="false">IF(W1704&gt;0,"Win",IF(W1704&lt;0,"Loss","Flat"))</f>
        <v>Loss</v>
      </c>
      <c r="Z1704" s="24" t="n">
        <f aca="false">Summary!$C$5+SUM(W$2:W1704)</f>
        <v>4597.18</v>
      </c>
      <c r="AA1704" s="24" t="n">
        <f aca="false">MAX(AA1703,Z1704)</f>
        <v>5106.86</v>
      </c>
      <c r="AB1704" s="24" t="n">
        <f aca="false">AA1704-Z1704</f>
        <v>509.679999999999</v>
      </c>
      <c r="AC1704" s="23" t="n">
        <f aca="false">IFERROR(AB1704/AA1704,0)</f>
        <v>0.0998030100688093</v>
      </c>
      <c r="AD1704" s="22" t="s">
        <v>1941</v>
      </c>
    </row>
    <row r="1705" customFormat="false" ht="15" hidden="false" customHeight="false" outlineLevel="0" collapsed="false">
      <c r="A1705" s="22" t="n">
        <v>1704</v>
      </c>
      <c r="B1705" s="22" t="s">
        <v>170</v>
      </c>
      <c r="C1705" s="37" t="n">
        <v>46177.0529166667</v>
      </c>
      <c r="D1705" s="22" t="s">
        <v>205</v>
      </c>
      <c r="E1705" s="22" t="n">
        <v>1</v>
      </c>
      <c r="F1705" s="22" t="s">
        <v>182</v>
      </c>
      <c r="G1705" s="22" t="s">
        <v>237</v>
      </c>
      <c r="H1705" s="22" t="n">
        <v>0.07</v>
      </c>
      <c r="I1705" s="38" t="n">
        <v>4426.2</v>
      </c>
      <c r="J1705" s="38" t="n">
        <v>4426.07</v>
      </c>
      <c r="K1705" s="39" t="n">
        <f aca="false">IF(F1705="BUY",J1705-I1705,I1705-J1705)</f>
        <v>0.130000000000109</v>
      </c>
      <c r="L1705" s="38" t="n">
        <v>4432.2</v>
      </c>
      <c r="M1705" s="39" t="n">
        <f aca="false">ABS(I1705-L1705)</f>
        <v>6</v>
      </c>
      <c r="N1705" s="24" t="n">
        <f aca="false">M1705*H1705*Summary!$C$6</f>
        <v>42</v>
      </c>
      <c r="O1705" s="37" t="n">
        <v>46177.059224537</v>
      </c>
      <c r="P1705" s="22" t="n">
        <f aca="false">ROUND((O1705-C1705)*86400,0)</f>
        <v>545</v>
      </c>
      <c r="Q1705" s="22" t="str">
        <f aca="false">IF(P1705&lt;10,"a) &lt;10s",IF(P1705&lt;60,"b) 10-60s",IF(P1705&lt;600,"c) 1-10min","d) &gt;10min")))</f>
        <v>c) 1-10min</v>
      </c>
      <c r="R1705" s="38" t="n">
        <v>4432.2</v>
      </c>
      <c r="S1705" s="38" t="n">
        <v>4432.72</v>
      </c>
      <c r="T1705" s="22" t="s">
        <v>188</v>
      </c>
      <c r="U1705" s="39" t="n">
        <f aca="false">IF(R1705="","",IF(F1705="BUY",R1705-S1705,S1705-R1705))</f>
        <v>0.520000000000437</v>
      </c>
      <c r="V1705" s="39" t="n">
        <f aca="false">IF(F1705="BUY",S1705-J1705,J1705-S1705)</f>
        <v>-6.65000000000055</v>
      </c>
      <c r="W1705" s="6" t="n">
        <v>-46.55</v>
      </c>
      <c r="X1705" s="26" t="n">
        <f aca="false">IFERROR(W1705/N1705,0)</f>
        <v>-1.10833333333333</v>
      </c>
      <c r="Y1705" s="22" t="str">
        <f aca="false">IF(W1705&gt;0,"Win",IF(W1705&lt;0,"Loss","Flat"))</f>
        <v>Loss</v>
      </c>
      <c r="Z1705" s="24" t="n">
        <f aca="false">Summary!$C$5+SUM(W$2:W1705)</f>
        <v>4550.63</v>
      </c>
      <c r="AA1705" s="24" t="n">
        <f aca="false">MAX(AA1704,Z1705)</f>
        <v>5106.86</v>
      </c>
      <c r="AB1705" s="24" t="n">
        <f aca="false">AA1705-Z1705</f>
        <v>556.23</v>
      </c>
      <c r="AC1705" s="23" t="n">
        <f aca="false">IFERROR(AB1705/AA1705,0)</f>
        <v>0.108918200224796</v>
      </c>
      <c r="AD1705" s="22" t="s">
        <v>1942</v>
      </c>
    </row>
    <row r="1706" customFormat="false" ht="15" hidden="false" customHeight="false" outlineLevel="0" collapsed="false">
      <c r="A1706" s="22" t="n">
        <v>1705</v>
      </c>
      <c r="B1706" s="22" t="s">
        <v>170</v>
      </c>
      <c r="C1706" s="37" t="n">
        <v>46177.4350694444</v>
      </c>
      <c r="D1706" s="22" t="s">
        <v>205</v>
      </c>
      <c r="E1706" s="22" t="n">
        <v>10</v>
      </c>
      <c r="F1706" s="22" t="s">
        <v>182</v>
      </c>
      <c r="G1706" s="22" t="s">
        <v>241</v>
      </c>
      <c r="H1706" s="22" t="n">
        <v>0.07</v>
      </c>
      <c r="I1706" s="38" t="n">
        <v>4462.13</v>
      </c>
      <c r="J1706" s="38" t="n">
        <v>4462.1</v>
      </c>
      <c r="K1706" s="39" t="n">
        <f aca="false">IF(F1706="BUY",J1706-I1706,I1706-J1706)</f>
        <v>0.0299999999997453</v>
      </c>
      <c r="L1706" s="38" t="n">
        <v>4468.13</v>
      </c>
      <c r="M1706" s="39" t="n">
        <f aca="false">ABS(I1706-L1706)</f>
        <v>6</v>
      </c>
      <c r="N1706" s="24" t="n">
        <f aca="false">M1706*H1706*Summary!$C$6</f>
        <v>42</v>
      </c>
      <c r="O1706" s="37" t="n">
        <v>46177.4432986111</v>
      </c>
      <c r="P1706" s="22" t="n">
        <f aca="false">ROUND((O1706-C1706)*86400,0)</f>
        <v>711</v>
      </c>
      <c r="Q1706" s="22" t="str">
        <f aca="false">IF(P1706&lt;10,"a) &lt;10s",IF(P1706&lt;60,"b) 10-60s",IF(P1706&lt;600,"c) 1-10min","d) &gt;10min")))</f>
        <v>d) &gt;10min</v>
      </c>
      <c r="R1706" s="38" t="n">
        <v>4468.13</v>
      </c>
      <c r="S1706" s="38" t="n">
        <v>4468.17</v>
      </c>
      <c r="T1706" s="22" t="s">
        <v>188</v>
      </c>
      <c r="U1706" s="39" t="n">
        <f aca="false">IF(R1706="","",IF(F1706="BUY",R1706-S1706,S1706-R1706))</f>
        <v>0.0399999999999636</v>
      </c>
      <c r="V1706" s="39" t="n">
        <f aca="false">IF(F1706="BUY",S1706-J1706,J1706-S1706)</f>
        <v>-6.06999999999971</v>
      </c>
      <c r="W1706" s="6" t="n">
        <v>-42.49</v>
      </c>
      <c r="X1706" s="26" t="n">
        <f aca="false">IFERROR(W1706/N1706,0)</f>
        <v>-1.01166666666667</v>
      </c>
      <c r="Y1706" s="22" t="str">
        <f aca="false">IF(W1706&gt;0,"Win",IF(W1706&lt;0,"Loss","Flat"))</f>
        <v>Loss</v>
      </c>
      <c r="Z1706" s="24" t="n">
        <f aca="false">Summary!$C$5+SUM(W$2:W1706)</f>
        <v>4508.14</v>
      </c>
      <c r="AA1706" s="24" t="n">
        <f aca="false">MAX(AA1705,Z1706)</f>
        <v>5106.86</v>
      </c>
      <c r="AB1706" s="24" t="n">
        <f aca="false">AA1706-Z1706</f>
        <v>598.719999999999</v>
      </c>
      <c r="AC1706" s="23" t="n">
        <f aca="false">IFERROR(AB1706/AA1706,0)</f>
        <v>0.117238381314545</v>
      </c>
      <c r="AD1706" s="22" t="s">
        <v>1943</v>
      </c>
    </row>
    <row r="1707" customFormat="false" ht="15" hidden="false" customHeight="false" outlineLevel="0" collapsed="false">
      <c r="A1707" s="22" t="n">
        <v>1706</v>
      </c>
      <c r="B1707" s="22" t="s">
        <v>170</v>
      </c>
      <c r="C1707" s="37" t="n">
        <v>46178.376875</v>
      </c>
      <c r="D1707" s="22" t="s">
        <v>206</v>
      </c>
      <c r="E1707" s="22" t="n">
        <v>9</v>
      </c>
      <c r="F1707" s="22" t="s">
        <v>182</v>
      </c>
      <c r="G1707" s="22" t="s">
        <v>241</v>
      </c>
      <c r="H1707" s="22" t="n">
        <v>0.07</v>
      </c>
      <c r="I1707" s="38" t="n">
        <v>4437.4</v>
      </c>
      <c r="J1707" s="38" t="n">
        <v>4437.3</v>
      </c>
      <c r="K1707" s="39" t="n">
        <f aca="false">IF(F1707="BUY",J1707-I1707,I1707-J1707)</f>
        <v>0.0999999999994543</v>
      </c>
      <c r="L1707" s="38" t="n">
        <v>4443.4</v>
      </c>
      <c r="M1707" s="39" t="n">
        <f aca="false">ABS(I1707-L1707)</f>
        <v>6</v>
      </c>
      <c r="N1707" s="24" t="n">
        <f aca="false">M1707*H1707*Summary!$C$6</f>
        <v>42</v>
      </c>
      <c r="O1707" s="37" t="n">
        <v>46178.3854976852</v>
      </c>
      <c r="P1707" s="22" t="n">
        <f aca="false">ROUND((O1707-C1707)*86400,0)</f>
        <v>745</v>
      </c>
      <c r="Q1707" s="22" t="str">
        <f aca="false">IF(P1707&lt;10,"a) &lt;10s",IF(P1707&lt;60,"b) 10-60s",IF(P1707&lt;600,"c) 1-10min","d) &gt;10min")))</f>
        <v>d) &gt;10min</v>
      </c>
      <c r="R1707" s="38" t="n">
        <v>4436.8</v>
      </c>
      <c r="S1707" s="38" t="n">
        <v>4436.9</v>
      </c>
      <c r="T1707" s="22" t="s">
        <v>189</v>
      </c>
      <c r="U1707" s="39" t="n">
        <f aca="false">IF(R1707="","",IF(F1707="BUY",R1707-S1707,S1707-R1707))</f>
        <v>0.0999999999994543</v>
      </c>
      <c r="V1707" s="39" t="n">
        <f aca="false">IF(F1707="BUY",S1707-J1707,J1707-S1707)</f>
        <v>0.400000000000546</v>
      </c>
      <c r="W1707" s="6" t="n">
        <v>2.8</v>
      </c>
      <c r="X1707" s="26" t="n">
        <f aca="false">IFERROR(W1707/N1707,0)</f>
        <v>0.0666666666666667</v>
      </c>
      <c r="Y1707" s="22" t="str">
        <f aca="false">IF(W1707&gt;0,"Win",IF(W1707&lt;0,"Loss","Flat"))</f>
        <v>Win</v>
      </c>
      <c r="Z1707" s="24" t="n">
        <f aca="false">Summary!$C$5+SUM(W$2:W1707)</f>
        <v>4510.94</v>
      </c>
      <c r="AA1707" s="24" t="n">
        <f aca="false">MAX(AA1706,Z1707)</f>
        <v>5106.86</v>
      </c>
      <c r="AB1707" s="24" t="n">
        <f aca="false">AA1707-Z1707</f>
        <v>595.92</v>
      </c>
      <c r="AC1707" s="23" t="n">
        <f aca="false">IFERROR(AB1707/AA1707,0)</f>
        <v>0.1166900991999</v>
      </c>
      <c r="AD1707" s="22" t="s">
        <v>1944</v>
      </c>
    </row>
    <row r="1708" customFormat="false" ht="15" hidden="false" customHeight="false" outlineLevel="0" collapsed="false">
      <c r="A1708" s="22" t="n">
        <v>1707</v>
      </c>
      <c r="B1708" s="22" t="s">
        <v>170</v>
      </c>
      <c r="C1708" s="37" t="n">
        <v>46178.6615625</v>
      </c>
      <c r="D1708" s="22" t="s">
        <v>206</v>
      </c>
      <c r="E1708" s="22" t="n">
        <v>15</v>
      </c>
      <c r="F1708" s="22" t="s">
        <v>182</v>
      </c>
      <c r="G1708" s="22" t="s">
        <v>237</v>
      </c>
      <c r="H1708" s="22" t="n">
        <v>0.07</v>
      </c>
      <c r="I1708" s="38" t="n">
        <v>4423.69</v>
      </c>
      <c r="J1708" s="38" t="n">
        <v>4422.6</v>
      </c>
      <c r="K1708" s="39" t="n">
        <f aca="false">IF(F1708="BUY",J1708-I1708,I1708-J1708)</f>
        <v>1.08999999999924</v>
      </c>
      <c r="L1708" s="38" t="n">
        <v>4429.69</v>
      </c>
      <c r="M1708" s="39" t="n">
        <f aca="false">ABS(I1708-L1708)</f>
        <v>6</v>
      </c>
      <c r="N1708" s="24" t="n">
        <f aca="false">M1708*H1708*Summary!$C$6</f>
        <v>42</v>
      </c>
      <c r="O1708" s="37" t="n">
        <v>46178.6626273148</v>
      </c>
      <c r="P1708" s="22" t="n">
        <f aca="false">ROUND((O1708-C1708)*86400,0)</f>
        <v>92</v>
      </c>
      <c r="Q1708" s="22" t="str">
        <f aca="false">IF(P1708&lt;10,"a) &lt;10s",IF(P1708&lt;60,"b) 10-60s",IF(P1708&lt;600,"c) 1-10min","d) &gt;10min")))</f>
        <v>c) 1-10min</v>
      </c>
      <c r="R1708" s="38" t="n">
        <v>4422.1</v>
      </c>
      <c r="S1708" s="38" t="n">
        <v>4422.11</v>
      </c>
      <c r="T1708" s="22" t="s">
        <v>189</v>
      </c>
      <c r="U1708" s="39" t="n">
        <f aca="false">IF(R1708="","",IF(F1708="BUY",R1708-S1708,S1708-R1708))</f>
        <v>0.00999999999930878</v>
      </c>
      <c r="V1708" s="39" t="n">
        <f aca="false">IF(F1708="BUY",S1708-J1708,J1708-S1708)</f>
        <v>0.490000000000691</v>
      </c>
      <c r="W1708" s="6" t="n">
        <v>3.43</v>
      </c>
      <c r="X1708" s="26" t="n">
        <f aca="false">IFERROR(W1708/N1708,0)</f>
        <v>0.0816666666666667</v>
      </c>
      <c r="Y1708" s="22" t="str">
        <f aca="false">IF(W1708&gt;0,"Win",IF(W1708&lt;0,"Loss","Flat"))</f>
        <v>Win</v>
      </c>
      <c r="Z1708" s="24" t="n">
        <f aca="false">Summary!$C$5+SUM(W$2:W1708)</f>
        <v>4514.37</v>
      </c>
      <c r="AA1708" s="24" t="n">
        <f aca="false">MAX(AA1707,Z1708)</f>
        <v>5106.86</v>
      </c>
      <c r="AB1708" s="24" t="n">
        <f aca="false">AA1708-Z1708</f>
        <v>592.49</v>
      </c>
      <c r="AC1708" s="23" t="n">
        <f aca="false">IFERROR(AB1708/AA1708,0)</f>
        <v>0.116018453609459</v>
      </c>
      <c r="AD1708" s="22" t="s">
        <v>1945</v>
      </c>
    </row>
    <row r="1709" customFormat="false" ht="15" hidden="false" customHeight="false" outlineLevel="0" collapsed="false">
      <c r="A1709" s="22" t="n">
        <v>1708</v>
      </c>
      <c r="B1709" s="22" t="s">
        <v>170</v>
      </c>
      <c r="C1709" s="37" t="n">
        <v>46181.59375</v>
      </c>
      <c r="D1709" s="22" t="s">
        <v>202</v>
      </c>
      <c r="E1709" s="22" t="n">
        <v>14</v>
      </c>
      <c r="F1709" s="22" t="s">
        <v>181</v>
      </c>
      <c r="G1709" s="22" t="s">
        <v>235</v>
      </c>
      <c r="H1709" s="22" t="n">
        <v>0.07</v>
      </c>
      <c r="I1709" s="38" t="n">
        <v>4321.57</v>
      </c>
      <c r="J1709" s="38" t="n">
        <v>4321.69</v>
      </c>
      <c r="K1709" s="39" t="n">
        <f aca="false">IF(F1709="BUY",J1709-I1709,I1709-J1709)</f>
        <v>0.119999999999891</v>
      </c>
      <c r="L1709" s="38" t="n">
        <v>4315.57</v>
      </c>
      <c r="M1709" s="39" t="n">
        <f aca="false">ABS(I1709-L1709)</f>
        <v>6</v>
      </c>
      <c r="N1709" s="24" t="n">
        <f aca="false">M1709*H1709*Summary!$C$6</f>
        <v>42</v>
      </c>
      <c r="O1709" s="37" t="n">
        <v>46181.5939583333</v>
      </c>
      <c r="P1709" s="22" t="n">
        <f aca="false">ROUND((O1709-C1709)*86400,0)</f>
        <v>18</v>
      </c>
      <c r="Q1709" s="22" t="str">
        <f aca="false">IF(P1709&lt;10,"a) &lt;10s",IF(P1709&lt;60,"b) 10-60s",IF(P1709&lt;600,"c) 1-10min","d) &gt;10min")))</f>
        <v>b) 10-60s</v>
      </c>
      <c r="R1709" s="38" t="n">
        <v>4315.57</v>
      </c>
      <c r="S1709" s="38" t="n">
        <v>4315.47</v>
      </c>
      <c r="T1709" s="22" t="s">
        <v>188</v>
      </c>
      <c r="U1709" s="39" t="n">
        <f aca="false">IF(R1709="","",IF(F1709="BUY",R1709-S1709,S1709-R1709))</f>
        <v>0.0999999999994543</v>
      </c>
      <c r="V1709" s="39" t="n">
        <f aca="false">IF(F1709="BUY",S1709-J1709,J1709-S1709)</f>
        <v>-6.21999999999935</v>
      </c>
      <c r="W1709" s="6" t="n">
        <v>-43.54</v>
      </c>
      <c r="X1709" s="26" t="n">
        <f aca="false">IFERROR(W1709/N1709,0)</f>
        <v>-1.03666666666667</v>
      </c>
      <c r="Y1709" s="22" t="str">
        <f aca="false">IF(W1709&gt;0,"Win",IF(W1709&lt;0,"Loss","Flat"))</f>
        <v>Loss</v>
      </c>
      <c r="Z1709" s="24" t="n">
        <f aca="false">Summary!$C$5+SUM(W$2:W1709)</f>
        <v>4470.83</v>
      </c>
      <c r="AA1709" s="24" t="n">
        <f aca="false">MAX(AA1708,Z1709)</f>
        <v>5106.86</v>
      </c>
      <c r="AB1709" s="24" t="n">
        <f aca="false">AA1709-Z1709</f>
        <v>636.03</v>
      </c>
      <c r="AC1709" s="23" t="n">
        <f aca="false">IFERROR(AB1709/AA1709,0)</f>
        <v>0.124544240492201</v>
      </c>
      <c r="AD1709" s="22" t="s">
        <v>1946</v>
      </c>
    </row>
    <row r="1710" customFormat="false" ht="15" hidden="false" customHeight="false" outlineLevel="0" collapsed="false">
      <c r="A1710" s="22" t="n">
        <v>1709</v>
      </c>
      <c r="B1710" s="22" t="s">
        <v>170</v>
      </c>
      <c r="C1710" s="37" t="n">
        <v>46182.4271180556</v>
      </c>
      <c r="D1710" s="22" t="s">
        <v>203</v>
      </c>
      <c r="E1710" s="22" t="n">
        <v>10</v>
      </c>
      <c r="F1710" s="22" t="s">
        <v>182</v>
      </c>
      <c r="G1710" s="22" t="s">
        <v>241</v>
      </c>
      <c r="H1710" s="22" t="n">
        <v>0.07</v>
      </c>
      <c r="I1710" s="38" t="n">
        <v>4324.01</v>
      </c>
      <c r="J1710" s="38" t="n">
        <v>4323.46</v>
      </c>
      <c r="K1710" s="39" t="n">
        <f aca="false">IF(F1710="BUY",J1710-I1710,I1710-J1710)</f>
        <v>0.550000000000182</v>
      </c>
      <c r="L1710" s="38" t="n">
        <v>4330.01</v>
      </c>
      <c r="M1710" s="39" t="n">
        <f aca="false">ABS(I1710-L1710)</f>
        <v>6</v>
      </c>
      <c r="N1710" s="24" t="n">
        <f aca="false">M1710*H1710*Summary!$C$6</f>
        <v>42</v>
      </c>
      <c r="O1710" s="37" t="n">
        <v>46182.4292824074</v>
      </c>
      <c r="P1710" s="22" t="n">
        <f aca="false">ROUND((O1710-C1710)*86400,0)</f>
        <v>187</v>
      </c>
      <c r="Q1710" s="22" t="str">
        <f aca="false">IF(P1710&lt;10,"a) &lt;10s",IF(P1710&lt;60,"b) 10-60s",IF(P1710&lt;600,"c) 1-10min","d) &gt;10min")))</f>
        <v>c) 1-10min</v>
      </c>
      <c r="R1710" s="38" t="n">
        <v>4330.01</v>
      </c>
      <c r="S1710" s="38" t="n">
        <v>4330.12</v>
      </c>
      <c r="T1710" s="22" t="s">
        <v>188</v>
      </c>
      <c r="U1710" s="39" t="n">
        <f aca="false">IF(R1710="","",IF(F1710="BUY",R1710-S1710,S1710-R1710))</f>
        <v>0.109999999999673</v>
      </c>
      <c r="V1710" s="39" t="n">
        <f aca="false">IF(F1710="BUY",S1710-J1710,J1710-S1710)</f>
        <v>-6.65999999999985</v>
      </c>
      <c r="W1710" s="6" t="n">
        <v>-46.62</v>
      </c>
      <c r="X1710" s="26" t="n">
        <f aca="false">IFERROR(W1710/N1710,0)</f>
        <v>-1.11</v>
      </c>
      <c r="Y1710" s="22" t="str">
        <f aca="false">IF(W1710&gt;0,"Win",IF(W1710&lt;0,"Loss","Flat"))</f>
        <v>Loss</v>
      </c>
      <c r="Z1710" s="24" t="n">
        <f aca="false">Summary!$C$5+SUM(W$2:W1710)</f>
        <v>4424.21</v>
      </c>
      <c r="AA1710" s="24" t="n">
        <f aca="false">MAX(AA1709,Z1710)</f>
        <v>5106.86</v>
      </c>
      <c r="AB1710" s="24" t="n">
        <f aca="false">AA1710-Z1710</f>
        <v>682.65</v>
      </c>
      <c r="AC1710" s="23" t="n">
        <f aca="false">IFERROR(AB1710/AA1710,0)</f>
        <v>0.133673137701053</v>
      </c>
      <c r="AD1710" s="22" t="s">
        <v>1947</v>
      </c>
    </row>
    <row r="1711" customFormat="false" ht="15" hidden="false" customHeight="false" outlineLevel="0" collapsed="false">
      <c r="A1711" s="22" t="n">
        <v>1710</v>
      </c>
      <c r="B1711" s="22" t="s">
        <v>170</v>
      </c>
      <c r="C1711" s="37" t="n">
        <v>46182.7005555556</v>
      </c>
      <c r="D1711" s="22" t="s">
        <v>203</v>
      </c>
      <c r="E1711" s="22" t="n">
        <v>16</v>
      </c>
      <c r="F1711" s="22" t="s">
        <v>181</v>
      </c>
      <c r="G1711" s="22" t="s">
        <v>243</v>
      </c>
      <c r="H1711" s="22" t="n">
        <v>0.07</v>
      </c>
      <c r="I1711" s="38" t="n">
        <v>4353.09</v>
      </c>
      <c r="J1711" s="38" t="n">
        <v>4353.85</v>
      </c>
      <c r="K1711" s="39" t="n">
        <f aca="false">IF(F1711="BUY",J1711-I1711,I1711-J1711)</f>
        <v>0.760000000000218</v>
      </c>
      <c r="L1711" s="38" t="n">
        <v>4347.09</v>
      </c>
      <c r="M1711" s="39" t="n">
        <f aca="false">ABS(I1711-L1711)</f>
        <v>6</v>
      </c>
      <c r="N1711" s="24" t="n">
        <f aca="false">M1711*H1711*Summary!$C$6</f>
        <v>42</v>
      </c>
      <c r="O1711" s="37" t="n">
        <v>46182.7009606482</v>
      </c>
      <c r="P1711" s="22" t="n">
        <f aca="false">ROUND((O1711-C1711)*86400,0)</f>
        <v>35</v>
      </c>
      <c r="Q1711" s="22" t="str">
        <f aca="false">IF(P1711&lt;10,"a) &lt;10s",IF(P1711&lt;60,"b) 10-60s",IF(P1711&lt;600,"c) 1-10min","d) &gt;10min")))</f>
        <v>b) 10-60s</v>
      </c>
      <c r="R1711" s="38" t="n">
        <v>4354.35</v>
      </c>
      <c r="S1711" s="38" t="n">
        <v>4354.26</v>
      </c>
      <c r="T1711" s="22" t="s">
        <v>189</v>
      </c>
      <c r="U1711" s="39" t="n">
        <f aca="false">IF(R1711="","",IF(F1711="BUY",R1711-S1711,S1711-R1711))</f>
        <v>0.0900000000001455</v>
      </c>
      <c r="V1711" s="39" t="n">
        <f aca="false">IF(F1711="BUY",S1711-J1711,J1711-S1711)</f>
        <v>0.409999999999855</v>
      </c>
      <c r="W1711" s="6" t="n">
        <v>2.87</v>
      </c>
      <c r="X1711" s="26" t="n">
        <f aca="false">IFERROR(W1711/N1711,0)</f>
        <v>0.0683333333333333</v>
      </c>
      <c r="Y1711" s="22" t="str">
        <f aca="false">IF(W1711&gt;0,"Win",IF(W1711&lt;0,"Loss","Flat"))</f>
        <v>Win</v>
      </c>
      <c r="Z1711" s="24" t="n">
        <f aca="false">Summary!$C$5+SUM(W$2:W1711)</f>
        <v>4427.08</v>
      </c>
      <c r="AA1711" s="24" t="n">
        <f aca="false">MAX(AA1710,Z1711)</f>
        <v>5106.86</v>
      </c>
      <c r="AB1711" s="24" t="n">
        <f aca="false">AA1711-Z1711</f>
        <v>679.78</v>
      </c>
      <c r="AC1711" s="23" t="n">
        <f aca="false">IFERROR(AB1711/AA1711,0)</f>
        <v>0.133111148533541</v>
      </c>
      <c r="AD1711" s="22" t="s">
        <v>1948</v>
      </c>
    </row>
    <row r="1712" customFormat="false" ht="15" hidden="false" customHeight="false" outlineLevel="0" collapsed="false">
      <c r="A1712" s="22" t="n">
        <v>1711</v>
      </c>
      <c r="B1712" s="22" t="s">
        <v>170</v>
      </c>
      <c r="C1712" s="37" t="n">
        <v>46183.0772453704</v>
      </c>
      <c r="D1712" s="22" t="s">
        <v>204</v>
      </c>
      <c r="E1712" s="22" t="n">
        <v>1</v>
      </c>
      <c r="F1712" s="22" t="s">
        <v>182</v>
      </c>
      <c r="G1712" s="22" t="s">
        <v>237</v>
      </c>
      <c r="H1712" s="22" t="n">
        <v>0.07</v>
      </c>
      <c r="I1712" s="38" t="n">
        <v>4236.25</v>
      </c>
      <c r="J1712" s="38" t="n">
        <v>4236.21</v>
      </c>
      <c r="K1712" s="39" t="n">
        <f aca="false">IF(F1712="BUY",J1712-I1712,I1712-J1712)</f>
        <v>0.0399999999999636</v>
      </c>
      <c r="L1712" s="38" t="n">
        <v>4242.25</v>
      </c>
      <c r="M1712" s="39" t="n">
        <f aca="false">ABS(I1712-L1712)</f>
        <v>6</v>
      </c>
      <c r="N1712" s="24" t="n">
        <f aca="false">M1712*H1712*Summary!$C$6</f>
        <v>42</v>
      </c>
      <c r="O1712" s="37" t="n">
        <v>46183.0789583333</v>
      </c>
      <c r="P1712" s="22" t="n">
        <f aca="false">ROUND((O1712-C1712)*86400,0)</f>
        <v>148</v>
      </c>
      <c r="Q1712" s="22" t="str">
        <f aca="false">IF(P1712&lt;10,"a) &lt;10s",IF(P1712&lt;60,"b) 10-60s",IF(P1712&lt;600,"c) 1-10min","d) &gt;10min")))</f>
        <v>c) 1-10min</v>
      </c>
      <c r="R1712" s="38" t="n">
        <v>4235.71</v>
      </c>
      <c r="S1712" s="38" t="n">
        <v>4235.87</v>
      </c>
      <c r="T1712" s="22" t="s">
        <v>189</v>
      </c>
      <c r="U1712" s="39" t="n">
        <f aca="false">IF(R1712="","",IF(F1712="BUY",R1712-S1712,S1712-R1712))</f>
        <v>0.159999999999854</v>
      </c>
      <c r="V1712" s="39" t="n">
        <f aca="false">IF(F1712="BUY",S1712-J1712,J1712-S1712)</f>
        <v>0.340000000000146</v>
      </c>
      <c r="W1712" s="6" t="n">
        <v>2.38</v>
      </c>
      <c r="X1712" s="26" t="n">
        <f aca="false">IFERROR(W1712/N1712,0)</f>
        <v>0.0566666666666667</v>
      </c>
      <c r="Y1712" s="22" t="str">
        <f aca="false">IF(W1712&gt;0,"Win",IF(W1712&lt;0,"Loss","Flat"))</f>
        <v>Win</v>
      </c>
      <c r="Z1712" s="24" t="n">
        <f aca="false">Summary!$C$5+SUM(W$2:W1712)</f>
        <v>4429.46</v>
      </c>
      <c r="AA1712" s="24" t="n">
        <f aca="false">MAX(AA1711,Z1712)</f>
        <v>5106.86</v>
      </c>
      <c r="AB1712" s="24" t="n">
        <f aca="false">AA1712-Z1712</f>
        <v>677.4</v>
      </c>
      <c r="AC1712" s="23" t="n">
        <f aca="false">IFERROR(AB1712/AA1712,0)</f>
        <v>0.132645108736092</v>
      </c>
      <c r="AD1712" s="22" t="s">
        <v>1949</v>
      </c>
    </row>
    <row r="1713" customFormat="false" ht="15" hidden="false" customHeight="false" outlineLevel="0" collapsed="false">
      <c r="A1713" s="22" t="n">
        <v>1712</v>
      </c>
      <c r="B1713" s="22" t="s">
        <v>170</v>
      </c>
      <c r="C1713" s="37" t="n">
        <v>46183.3754861111</v>
      </c>
      <c r="D1713" s="22" t="s">
        <v>204</v>
      </c>
      <c r="E1713" s="22" t="n">
        <v>9</v>
      </c>
      <c r="F1713" s="22" t="s">
        <v>181</v>
      </c>
      <c r="G1713" s="22" t="s">
        <v>235</v>
      </c>
      <c r="H1713" s="22" t="n">
        <v>0.07</v>
      </c>
      <c r="I1713" s="38" t="n">
        <v>4208.83</v>
      </c>
      <c r="J1713" s="38" t="n">
        <v>4208.85</v>
      </c>
      <c r="K1713" s="39" t="n">
        <f aca="false">IF(F1713="BUY",J1713-I1713,I1713-J1713)</f>
        <v>0.0200000000004366</v>
      </c>
      <c r="L1713" s="38" t="n">
        <v>4202.83</v>
      </c>
      <c r="M1713" s="39" t="n">
        <f aca="false">ABS(I1713-L1713)</f>
        <v>6</v>
      </c>
      <c r="N1713" s="24" t="n">
        <f aca="false">M1713*H1713*Summary!$C$6</f>
        <v>42</v>
      </c>
      <c r="O1713" s="37" t="n">
        <v>46183.3785069444</v>
      </c>
      <c r="P1713" s="22" t="n">
        <f aca="false">ROUND((O1713-C1713)*86400,0)</f>
        <v>261</v>
      </c>
      <c r="Q1713" s="22" t="str">
        <f aca="false">IF(P1713&lt;10,"a) &lt;10s",IF(P1713&lt;60,"b) 10-60s",IF(P1713&lt;600,"c) 1-10min","d) &gt;10min")))</f>
        <v>c) 1-10min</v>
      </c>
      <c r="R1713" s="38" t="n">
        <v>4209.35</v>
      </c>
      <c r="S1713" s="38" t="n">
        <v>4209.28</v>
      </c>
      <c r="T1713" s="22" t="s">
        <v>189</v>
      </c>
      <c r="U1713" s="39" t="n">
        <f aca="false">IF(R1713="","",IF(F1713="BUY",R1713-S1713,S1713-R1713))</f>
        <v>0.0700000000006185</v>
      </c>
      <c r="V1713" s="39" t="n">
        <f aca="false">IF(F1713="BUY",S1713-J1713,J1713-S1713)</f>
        <v>0.429999999999382</v>
      </c>
      <c r="W1713" s="6" t="n">
        <v>3.01</v>
      </c>
      <c r="X1713" s="26" t="n">
        <f aca="false">IFERROR(W1713/N1713,0)</f>
        <v>0.0716666666666667</v>
      </c>
      <c r="Y1713" s="22" t="str">
        <f aca="false">IF(W1713&gt;0,"Win",IF(W1713&lt;0,"Loss","Flat"))</f>
        <v>Win</v>
      </c>
      <c r="Z1713" s="24" t="n">
        <f aca="false">Summary!$C$5+SUM(W$2:W1713)</f>
        <v>4432.47</v>
      </c>
      <c r="AA1713" s="24" t="n">
        <f aca="false">MAX(AA1712,Z1713)</f>
        <v>5106.86</v>
      </c>
      <c r="AB1713" s="24" t="n">
        <f aca="false">AA1713-Z1713</f>
        <v>674.389999999999</v>
      </c>
      <c r="AC1713" s="23" t="n">
        <f aca="false">IFERROR(AB1713/AA1713,0)</f>
        <v>0.132055705462848</v>
      </c>
      <c r="AD1713" s="22" t="s">
        <v>1950</v>
      </c>
    </row>
    <row r="1714" customFormat="false" ht="15" hidden="false" customHeight="false" outlineLevel="0" collapsed="false">
      <c r="A1714" s="22" t="n">
        <v>1713</v>
      </c>
      <c r="B1714" s="22" t="s">
        <v>170</v>
      </c>
      <c r="C1714" s="37" t="n">
        <v>46184.4302777778</v>
      </c>
      <c r="D1714" s="22" t="s">
        <v>205</v>
      </c>
      <c r="E1714" s="22" t="n">
        <v>10</v>
      </c>
      <c r="F1714" s="22" t="s">
        <v>181</v>
      </c>
      <c r="G1714" s="22" t="s">
        <v>235</v>
      </c>
      <c r="H1714" s="22" t="n">
        <v>0.07</v>
      </c>
      <c r="I1714" s="38" t="n">
        <v>4106.05</v>
      </c>
      <c r="J1714" s="38" t="n">
        <v>4106.18</v>
      </c>
      <c r="K1714" s="39" t="n">
        <f aca="false">IF(F1714="BUY",J1714-I1714,I1714-J1714)</f>
        <v>0.130000000000109</v>
      </c>
      <c r="L1714" s="38" t="n">
        <v>4100.05</v>
      </c>
      <c r="M1714" s="39" t="n">
        <f aca="false">ABS(I1714-L1714)</f>
        <v>6</v>
      </c>
      <c r="N1714" s="24" t="n">
        <f aca="false">M1714*H1714*Summary!$C$6</f>
        <v>42</v>
      </c>
      <c r="O1714" s="37" t="n">
        <v>46184.4362962963</v>
      </c>
      <c r="P1714" s="22" t="n">
        <f aca="false">ROUND((O1714-C1714)*86400,0)</f>
        <v>520</v>
      </c>
      <c r="Q1714" s="22" t="str">
        <f aca="false">IF(P1714&lt;10,"a) &lt;10s",IF(P1714&lt;60,"b) 10-60s",IF(P1714&lt;600,"c) 1-10min","d) &gt;10min")))</f>
        <v>c) 1-10min</v>
      </c>
      <c r="R1714" s="38" t="n">
        <v>4106.68</v>
      </c>
      <c r="S1714" s="38" t="n">
        <v>4106.62</v>
      </c>
      <c r="T1714" s="22" t="s">
        <v>189</v>
      </c>
      <c r="U1714" s="39" t="n">
        <f aca="false">IF(R1714="","",IF(F1714="BUY",R1714-S1714,S1714-R1714))</f>
        <v>0.0600000000004002</v>
      </c>
      <c r="V1714" s="39" t="n">
        <f aca="false">IF(F1714="BUY",S1714-J1714,J1714-S1714)</f>
        <v>0.4399999999996</v>
      </c>
      <c r="W1714" s="6" t="n">
        <v>3.08</v>
      </c>
      <c r="X1714" s="26" t="n">
        <f aca="false">IFERROR(W1714/N1714,0)</f>
        <v>0.0733333333333333</v>
      </c>
      <c r="Y1714" s="22" t="str">
        <f aca="false">IF(W1714&gt;0,"Win",IF(W1714&lt;0,"Loss","Flat"))</f>
        <v>Win</v>
      </c>
      <c r="Z1714" s="24" t="n">
        <f aca="false">Summary!$C$5+SUM(W$2:W1714)</f>
        <v>4435.55</v>
      </c>
      <c r="AA1714" s="24" t="n">
        <f aca="false">MAX(AA1713,Z1714)</f>
        <v>5106.86</v>
      </c>
      <c r="AB1714" s="24" t="n">
        <f aca="false">AA1714-Z1714</f>
        <v>671.31</v>
      </c>
      <c r="AC1714" s="23" t="n">
        <f aca="false">IFERROR(AB1714/AA1714,0)</f>
        <v>0.131452595136738</v>
      </c>
      <c r="AD1714" s="22" t="s">
        <v>1951</v>
      </c>
    </row>
    <row r="1715" customFormat="false" ht="15" hidden="false" customHeight="false" outlineLevel="0" collapsed="false">
      <c r="A1715" s="22" t="n">
        <v>1714</v>
      </c>
      <c r="B1715" s="22" t="s">
        <v>170</v>
      </c>
      <c r="C1715" s="37" t="n">
        <v>46185.4395949074</v>
      </c>
      <c r="D1715" s="22" t="s">
        <v>206</v>
      </c>
      <c r="E1715" s="22" t="n">
        <v>10</v>
      </c>
      <c r="F1715" s="22" t="s">
        <v>182</v>
      </c>
      <c r="G1715" s="22" t="s">
        <v>241</v>
      </c>
      <c r="H1715" s="22" t="n">
        <v>0.07</v>
      </c>
      <c r="I1715" s="38" t="n">
        <v>4170.58</v>
      </c>
      <c r="J1715" s="38" t="n">
        <v>4170.54</v>
      </c>
      <c r="K1715" s="39" t="n">
        <f aca="false">IF(F1715="BUY",J1715-I1715,I1715-J1715)</f>
        <v>0.0399999999999636</v>
      </c>
      <c r="L1715" s="38" t="n">
        <v>4176.58</v>
      </c>
      <c r="M1715" s="39" t="n">
        <f aca="false">ABS(I1715-L1715)</f>
        <v>6</v>
      </c>
      <c r="N1715" s="24" t="n">
        <f aca="false">M1715*H1715*Summary!$C$6</f>
        <v>42</v>
      </c>
      <c r="O1715" s="37" t="n">
        <v>46185.4414236111</v>
      </c>
      <c r="P1715" s="22" t="n">
        <f aca="false">ROUND((O1715-C1715)*86400,0)</f>
        <v>158</v>
      </c>
      <c r="Q1715" s="22" t="str">
        <f aca="false">IF(P1715&lt;10,"a) &lt;10s",IF(P1715&lt;60,"b) 10-60s",IF(P1715&lt;600,"c) 1-10min","d) &gt;10min")))</f>
        <v>c) 1-10min</v>
      </c>
      <c r="R1715" s="38" t="n">
        <v>4176.58</v>
      </c>
      <c r="S1715" s="38" t="n">
        <v>4176.71</v>
      </c>
      <c r="T1715" s="22" t="s">
        <v>188</v>
      </c>
      <c r="U1715" s="39" t="n">
        <f aca="false">IF(R1715="","",IF(F1715="BUY",R1715-S1715,S1715-R1715))</f>
        <v>0.130000000000109</v>
      </c>
      <c r="V1715" s="39" t="n">
        <f aca="false">IF(F1715="BUY",S1715-J1715,J1715-S1715)</f>
        <v>-6.17000000000007</v>
      </c>
      <c r="W1715" s="6" t="n">
        <v>-43.19</v>
      </c>
      <c r="X1715" s="26" t="n">
        <f aca="false">IFERROR(W1715/N1715,0)</f>
        <v>-1.02833333333333</v>
      </c>
      <c r="Y1715" s="22" t="str">
        <f aca="false">IF(W1715&gt;0,"Win",IF(W1715&lt;0,"Loss","Flat"))</f>
        <v>Loss</v>
      </c>
      <c r="Z1715" s="24" t="n">
        <f aca="false">Summary!$C$5+SUM(W$2:W1715)</f>
        <v>4392.36</v>
      </c>
      <c r="AA1715" s="24" t="n">
        <f aca="false">MAX(AA1714,Z1715)</f>
        <v>5106.86</v>
      </c>
      <c r="AB1715" s="24" t="n">
        <f aca="false">AA1715-Z1715</f>
        <v>714.5</v>
      </c>
      <c r="AC1715" s="23" t="n">
        <f aca="false">IFERROR(AB1715/AA1715,0)</f>
        <v>0.139909846755149</v>
      </c>
      <c r="AD1715" s="22" t="s">
        <v>1952</v>
      </c>
    </row>
    <row r="1716" customFormat="false" ht="15" hidden="false" customHeight="false" outlineLevel="0" collapsed="false">
      <c r="A1716" s="22" t="n">
        <v>1715</v>
      </c>
      <c r="B1716" s="22" t="s">
        <v>170</v>
      </c>
      <c r="C1716" s="37" t="n">
        <v>46188.3807638889</v>
      </c>
      <c r="D1716" s="22" t="s">
        <v>202</v>
      </c>
      <c r="E1716" s="22" t="n">
        <v>9</v>
      </c>
      <c r="F1716" s="22" t="s">
        <v>182</v>
      </c>
      <c r="G1716" s="22" t="s">
        <v>241</v>
      </c>
      <c r="H1716" s="22" t="n">
        <v>0.07</v>
      </c>
      <c r="I1716" s="38" t="n">
        <v>4307.22</v>
      </c>
      <c r="J1716" s="38" t="n">
        <v>4307.19</v>
      </c>
      <c r="K1716" s="39" t="n">
        <f aca="false">IF(F1716="BUY",J1716-I1716,I1716-J1716)</f>
        <v>0.0300000000006548</v>
      </c>
      <c r="L1716" s="38" t="n">
        <v>4313.22</v>
      </c>
      <c r="M1716" s="39" t="n">
        <f aca="false">ABS(I1716-L1716)</f>
        <v>6</v>
      </c>
      <c r="N1716" s="24" t="n">
        <f aca="false">M1716*H1716*Summary!$C$6</f>
        <v>42</v>
      </c>
      <c r="O1716" s="37" t="n">
        <v>46188.3812268519</v>
      </c>
      <c r="P1716" s="22" t="n">
        <f aca="false">ROUND((O1716-C1716)*86400,0)</f>
        <v>40</v>
      </c>
      <c r="Q1716" s="22" t="str">
        <f aca="false">IF(P1716&lt;10,"a) &lt;10s",IF(P1716&lt;60,"b) 10-60s",IF(P1716&lt;600,"c) 1-10min","d) &gt;10min")))</f>
        <v>b) 10-60s</v>
      </c>
      <c r="R1716" s="38" t="n">
        <v>4306.69</v>
      </c>
      <c r="S1716" s="38" t="n">
        <v>4306.73</v>
      </c>
      <c r="T1716" s="22" t="s">
        <v>189</v>
      </c>
      <c r="U1716" s="39" t="n">
        <f aca="false">IF(R1716="","",IF(F1716="BUY",R1716-S1716,S1716-R1716))</f>
        <v>0.0399999999999636</v>
      </c>
      <c r="V1716" s="39" t="n">
        <f aca="false">IF(F1716="BUY",S1716-J1716,J1716-S1716)</f>
        <v>0.460000000000036</v>
      </c>
      <c r="W1716" s="6" t="n">
        <v>3.22</v>
      </c>
      <c r="X1716" s="26" t="n">
        <f aca="false">IFERROR(W1716/N1716,0)</f>
        <v>0.0766666666666667</v>
      </c>
      <c r="Y1716" s="22" t="str">
        <f aca="false">IF(W1716&gt;0,"Win",IF(W1716&lt;0,"Loss","Flat"))</f>
        <v>Win</v>
      </c>
      <c r="Z1716" s="24" t="n">
        <f aca="false">Summary!$C$5+SUM(W$2:W1716)</f>
        <v>4395.58</v>
      </c>
      <c r="AA1716" s="24" t="n">
        <f aca="false">MAX(AA1715,Z1716)</f>
        <v>5106.86</v>
      </c>
      <c r="AB1716" s="24" t="n">
        <f aca="false">AA1716-Z1716</f>
        <v>711.28</v>
      </c>
      <c r="AC1716" s="23" t="n">
        <f aca="false">IFERROR(AB1716/AA1716,0)</f>
        <v>0.139279322323306</v>
      </c>
      <c r="AD1716" s="22" t="s">
        <v>1953</v>
      </c>
    </row>
    <row r="1717" customFormat="false" ht="15" hidden="false" customHeight="false" outlineLevel="0" collapsed="false">
      <c r="A1717" s="22" t="n">
        <v>1716</v>
      </c>
      <c r="B1717" s="22" t="s">
        <v>170</v>
      </c>
      <c r="C1717" s="37" t="n">
        <v>46189.3750578704</v>
      </c>
      <c r="D1717" s="22" t="s">
        <v>203</v>
      </c>
      <c r="E1717" s="22" t="n">
        <v>9</v>
      </c>
      <c r="F1717" s="22" t="s">
        <v>182</v>
      </c>
      <c r="G1717" s="22" t="s">
        <v>241</v>
      </c>
      <c r="H1717" s="22" t="n">
        <v>0.07</v>
      </c>
      <c r="I1717" s="38" t="n">
        <v>4313.98</v>
      </c>
      <c r="J1717" s="38" t="n">
        <v>4313.98</v>
      </c>
      <c r="K1717" s="39" t="n">
        <f aca="false">IF(F1717="BUY",J1717-I1717,I1717-J1717)</f>
        <v>0</v>
      </c>
      <c r="L1717" s="38" t="n">
        <v>4319.98</v>
      </c>
      <c r="M1717" s="39" t="n">
        <f aca="false">ABS(I1717-L1717)</f>
        <v>6</v>
      </c>
      <c r="N1717" s="24" t="n">
        <f aca="false">M1717*H1717*Summary!$C$6</f>
        <v>42</v>
      </c>
      <c r="O1717" s="37" t="n">
        <v>46189.3840393519</v>
      </c>
      <c r="P1717" s="22" t="n">
        <f aca="false">ROUND((O1717-C1717)*86400,0)</f>
        <v>776</v>
      </c>
      <c r="Q1717" s="22" t="str">
        <f aca="false">IF(P1717&lt;10,"a) &lt;10s",IF(P1717&lt;60,"b) 10-60s",IF(P1717&lt;600,"c) 1-10min","d) &gt;10min")))</f>
        <v>d) &gt;10min</v>
      </c>
      <c r="R1717" s="38" t="n">
        <v>4319.98</v>
      </c>
      <c r="S1717" s="38" t="n">
        <v>4319.99</v>
      </c>
      <c r="T1717" s="22" t="s">
        <v>188</v>
      </c>
      <c r="U1717" s="39" t="n">
        <f aca="false">IF(R1717="","",IF(F1717="BUY",R1717-S1717,S1717-R1717))</f>
        <v>0.0100000000002183</v>
      </c>
      <c r="V1717" s="39" t="n">
        <f aca="false">IF(F1717="BUY",S1717-J1717,J1717-S1717)</f>
        <v>-6.01000000000022</v>
      </c>
      <c r="W1717" s="6" t="n">
        <v>-42.07</v>
      </c>
      <c r="X1717" s="26" t="n">
        <f aca="false">IFERROR(W1717/N1717,0)</f>
        <v>-1.00166666666667</v>
      </c>
      <c r="Y1717" s="22" t="str">
        <f aca="false">IF(W1717&gt;0,"Win",IF(W1717&lt;0,"Loss","Flat"))</f>
        <v>Loss</v>
      </c>
      <c r="Z1717" s="24" t="n">
        <f aca="false">Summary!$C$5+SUM(W$2:W1717)</f>
        <v>4353.51</v>
      </c>
      <c r="AA1717" s="24" t="n">
        <f aca="false">MAX(AA1716,Z1717)</f>
        <v>5106.86</v>
      </c>
      <c r="AB1717" s="24" t="n">
        <f aca="false">AA1717-Z1717</f>
        <v>753.35</v>
      </c>
      <c r="AC1717" s="23" t="n">
        <f aca="false">IFERROR(AB1717/AA1717,0)</f>
        <v>0.147517261095859</v>
      </c>
      <c r="AD1717" s="22" t="s">
        <v>1954</v>
      </c>
    </row>
    <row r="1718" customFormat="false" ht="15" hidden="false" customHeight="false" outlineLevel="0" collapsed="false">
      <c r="A1718" s="22" t="n">
        <v>1717</v>
      </c>
      <c r="B1718" s="22" t="s">
        <v>170</v>
      </c>
      <c r="C1718" s="37" t="n">
        <v>46190.4901157407</v>
      </c>
      <c r="D1718" s="22" t="s">
        <v>204</v>
      </c>
      <c r="E1718" s="22" t="n">
        <v>11</v>
      </c>
      <c r="F1718" s="22" t="s">
        <v>182</v>
      </c>
      <c r="G1718" s="22" t="s">
        <v>241</v>
      </c>
      <c r="H1718" s="22" t="n">
        <v>0.07</v>
      </c>
      <c r="I1718" s="38" t="n">
        <v>4317.42</v>
      </c>
      <c r="J1718" s="38" t="n">
        <v>4316.97</v>
      </c>
      <c r="K1718" s="39" t="n">
        <f aca="false">IF(F1718="BUY",J1718-I1718,I1718-J1718)</f>
        <v>0.449999999999818</v>
      </c>
      <c r="L1718" s="38" t="n">
        <v>4323.42</v>
      </c>
      <c r="M1718" s="39" t="n">
        <f aca="false">ABS(I1718-L1718)</f>
        <v>6</v>
      </c>
      <c r="N1718" s="24" t="n">
        <f aca="false">M1718*H1718*Summary!$C$6</f>
        <v>42</v>
      </c>
      <c r="O1718" s="37" t="n">
        <v>46190.4943055556</v>
      </c>
      <c r="P1718" s="22" t="n">
        <f aca="false">ROUND((O1718-C1718)*86400,0)</f>
        <v>362</v>
      </c>
      <c r="Q1718" s="22" t="str">
        <f aca="false">IF(P1718&lt;10,"a) &lt;10s",IF(P1718&lt;60,"b) 10-60s",IF(P1718&lt;600,"c) 1-10min","d) &gt;10min")))</f>
        <v>c) 1-10min</v>
      </c>
      <c r="R1718" s="38" t="n">
        <v>4323.42</v>
      </c>
      <c r="S1718" s="38" t="n">
        <v>4323.55</v>
      </c>
      <c r="T1718" s="22" t="s">
        <v>188</v>
      </c>
      <c r="U1718" s="39" t="n">
        <f aca="false">IF(R1718="","",IF(F1718="BUY",R1718-S1718,S1718-R1718))</f>
        <v>0.130000000000109</v>
      </c>
      <c r="V1718" s="39" t="n">
        <f aca="false">IF(F1718="BUY",S1718-J1718,J1718-S1718)</f>
        <v>-6.57999999999993</v>
      </c>
      <c r="W1718" s="6" t="n">
        <v>-46.06</v>
      </c>
      <c r="X1718" s="26" t="n">
        <f aca="false">IFERROR(W1718/N1718,0)</f>
        <v>-1.09666666666667</v>
      </c>
      <c r="Y1718" s="22" t="str">
        <f aca="false">IF(W1718&gt;0,"Win",IF(W1718&lt;0,"Loss","Flat"))</f>
        <v>Loss</v>
      </c>
      <c r="Z1718" s="24" t="n">
        <f aca="false">Summary!$C$5+SUM(W$2:W1718)</f>
        <v>4307.45</v>
      </c>
      <c r="AA1718" s="24" t="n">
        <f aca="false">MAX(AA1717,Z1718)</f>
        <v>5106.86</v>
      </c>
      <c r="AB1718" s="24" t="n">
        <f aca="false">AA1718-Z1718</f>
        <v>799.41</v>
      </c>
      <c r="AC1718" s="23" t="n">
        <f aca="false">IFERROR(AB1718/AA1718,0)</f>
        <v>0.156536501881783</v>
      </c>
      <c r="AD1718" s="22" t="s">
        <v>1955</v>
      </c>
    </row>
    <row r="1719" customFormat="false" ht="15" hidden="false" customHeight="false" outlineLevel="0" collapsed="false">
      <c r="A1719" s="22" t="n">
        <v>1718</v>
      </c>
      <c r="B1719" s="22" t="s">
        <v>170</v>
      </c>
      <c r="C1719" s="37" t="n">
        <v>46190.7250115741</v>
      </c>
      <c r="D1719" s="22" t="s">
        <v>204</v>
      </c>
      <c r="E1719" s="22" t="n">
        <v>17</v>
      </c>
      <c r="F1719" s="22" t="s">
        <v>181</v>
      </c>
      <c r="G1719" s="22" t="s">
        <v>243</v>
      </c>
      <c r="H1719" s="22" t="n">
        <v>0.07</v>
      </c>
      <c r="I1719" s="38" t="n">
        <v>4354.91</v>
      </c>
      <c r="J1719" s="38" t="n">
        <v>4355</v>
      </c>
      <c r="K1719" s="39" t="n">
        <f aca="false">IF(F1719="BUY",J1719-I1719,I1719-J1719)</f>
        <v>0.0900000000001455</v>
      </c>
      <c r="L1719" s="38" t="n">
        <v>4348.91</v>
      </c>
      <c r="M1719" s="39" t="n">
        <f aca="false">ABS(I1719-L1719)</f>
        <v>6</v>
      </c>
      <c r="N1719" s="24" t="n">
        <f aca="false">M1719*H1719*Summary!$C$6</f>
        <v>42</v>
      </c>
      <c r="O1719" s="37" t="n">
        <v>46190.7263310185</v>
      </c>
      <c r="P1719" s="22" t="n">
        <f aca="false">ROUND((O1719-C1719)*86400,0)</f>
        <v>114</v>
      </c>
      <c r="Q1719" s="22" t="str">
        <f aca="false">IF(P1719&lt;10,"a) &lt;10s",IF(P1719&lt;60,"b) 10-60s",IF(P1719&lt;600,"c) 1-10min","d) &gt;10min")))</f>
        <v>c) 1-10min</v>
      </c>
      <c r="R1719" s="38" t="n">
        <v>4355.5</v>
      </c>
      <c r="S1719" s="38" t="n">
        <v>4355.49</v>
      </c>
      <c r="T1719" s="22" t="s">
        <v>189</v>
      </c>
      <c r="U1719" s="39" t="n">
        <f aca="false">IF(R1719="","",IF(F1719="BUY",R1719-S1719,S1719-R1719))</f>
        <v>0.0100000000002183</v>
      </c>
      <c r="V1719" s="39" t="n">
        <f aca="false">IF(F1719="BUY",S1719-J1719,J1719-S1719)</f>
        <v>0.489999999999782</v>
      </c>
      <c r="W1719" s="6" t="n">
        <v>3.43</v>
      </c>
      <c r="X1719" s="26" t="n">
        <f aca="false">IFERROR(W1719/N1719,0)</f>
        <v>0.0816666666666667</v>
      </c>
      <c r="Y1719" s="22" t="str">
        <f aca="false">IF(W1719&gt;0,"Win",IF(W1719&lt;0,"Loss","Flat"))</f>
        <v>Win</v>
      </c>
      <c r="Z1719" s="24" t="n">
        <f aca="false">Summary!$C$5+SUM(W$2:W1719)</f>
        <v>4310.88</v>
      </c>
      <c r="AA1719" s="24" t="n">
        <f aca="false">MAX(AA1718,Z1719)</f>
        <v>5106.86</v>
      </c>
      <c r="AB1719" s="24" t="n">
        <f aca="false">AA1719-Z1719</f>
        <v>795.98</v>
      </c>
      <c r="AC1719" s="23" t="n">
        <f aca="false">IFERROR(AB1719/AA1719,0)</f>
        <v>0.155864856291341</v>
      </c>
      <c r="AD1719" s="22" t="s">
        <v>1956</v>
      </c>
    </row>
    <row r="1720" customFormat="false" ht="15" hidden="false" customHeight="false" outlineLevel="0" collapsed="false">
      <c r="A1720" s="22" t="n">
        <v>1719</v>
      </c>
      <c r="B1720" s="22" t="s">
        <v>170</v>
      </c>
      <c r="C1720" s="37" t="n">
        <v>46191.3800925926</v>
      </c>
      <c r="D1720" s="22" t="s">
        <v>205</v>
      </c>
      <c r="E1720" s="22" t="n">
        <v>9</v>
      </c>
      <c r="F1720" s="22" t="s">
        <v>182</v>
      </c>
      <c r="G1720" s="22" t="s">
        <v>241</v>
      </c>
      <c r="H1720" s="22" t="n">
        <v>0.07</v>
      </c>
      <c r="I1720" s="38" t="n">
        <v>4301.08</v>
      </c>
      <c r="J1720" s="38" t="n">
        <v>4300.97</v>
      </c>
      <c r="K1720" s="39" t="n">
        <f aca="false">IF(F1720="BUY",J1720-I1720,I1720-J1720)</f>
        <v>0.109999999999673</v>
      </c>
      <c r="L1720" s="38" t="n">
        <v>4307.08</v>
      </c>
      <c r="M1720" s="39" t="n">
        <f aca="false">ABS(I1720-L1720)</f>
        <v>6</v>
      </c>
      <c r="N1720" s="24" t="n">
        <f aca="false">M1720*H1720*Summary!$C$6</f>
        <v>42</v>
      </c>
      <c r="O1720" s="37" t="n">
        <v>46191.3812731481</v>
      </c>
      <c r="P1720" s="22" t="n">
        <f aca="false">ROUND((O1720-C1720)*86400,0)</f>
        <v>102</v>
      </c>
      <c r="Q1720" s="22" t="str">
        <f aca="false">IF(P1720&lt;10,"a) &lt;10s",IF(P1720&lt;60,"b) 10-60s",IF(P1720&lt;600,"c) 1-10min","d) &gt;10min")))</f>
        <v>c) 1-10min</v>
      </c>
      <c r="R1720" s="38" t="n">
        <v>4300.47</v>
      </c>
      <c r="S1720" s="38" t="n">
        <v>4300.49</v>
      </c>
      <c r="T1720" s="22" t="s">
        <v>189</v>
      </c>
      <c r="U1720" s="39" t="n">
        <f aca="false">IF(R1720="","",IF(F1720="BUY",R1720-S1720,S1720-R1720))</f>
        <v>0.0199999999995271</v>
      </c>
      <c r="V1720" s="39" t="n">
        <f aca="false">IF(F1720="BUY",S1720-J1720,J1720-S1720)</f>
        <v>0.480000000000473</v>
      </c>
      <c r="W1720" s="6" t="n">
        <v>3.36</v>
      </c>
      <c r="X1720" s="26" t="n">
        <f aca="false">IFERROR(W1720/N1720,0)</f>
        <v>0.08</v>
      </c>
      <c r="Y1720" s="22" t="str">
        <f aca="false">IF(W1720&gt;0,"Win",IF(W1720&lt;0,"Loss","Flat"))</f>
        <v>Win</v>
      </c>
      <c r="Z1720" s="24" t="n">
        <f aca="false">Summary!$C$5+SUM(W$2:W1720)</f>
        <v>4314.24</v>
      </c>
      <c r="AA1720" s="24" t="n">
        <f aca="false">MAX(AA1719,Z1720)</f>
        <v>5106.86</v>
      </c>
      <c r="AB1720" s="24" t="n">
        <f aca="false">AA1720-Z1720</f>
        <v>792.62</v>
      </c>
      <c r="AC1720" s="23" t="n">
        <f aca="false">IFERROR(AB1720/AA1720,0)</f>
        <v>0.155206917753767</v>
      </c>
      <c r="AD1720" s="22" t="s">
        <v>1957</v>
      </c>
    </row>
    <row r="1721" customFormat="false" ht="15" hidden="false" customHeight="false" outlineLevel="0" collapsed="false">
      <c r="A1721" s="22" t="n">
        <v>1720</v>
      </c>
      <c r="B1721" s="22" t="s">
        <v>170</v>
      </c>
      <c r="C1721" s="37" t="n">
        <v>46191.8167013889</v>
      </c>
      <c r="D1721" s="22" t="s">
        <v>205</v>
      </c>
      <c r="E1721" s="22" t="n">
        <v>19</v>
      </c>
      <c r="F1721" s="22" t="s">
        <v>182</v>
      </c>
      <c r="G1721" s="22" t="s">
        <v>237</v>
      </c>
      <c r="H1721" s="22" t="n">
        <v>0.07</v>
      </c>
      <c r="I1721" s="38" t="n">
        <v>4218.81</v>
      </c>
      <c r="J1721" s="38" t="n">
        <v>4218.53</v>
      </c>
      <c r="K1721" s="39" t="n">
        <f aca="false">IF(F1721="BUY",J1721-I1721,I1721-J1721)</f>
        <v>0.280000000000655</v>
      </c>
      <c r="L1721" s="38" t="n">
        <v>4224.81</v>
      </c>
      <c r="M1721" s="39" t="n">
        <f aca="false">ABS(I1721-L1721)</f>
        <v>6</v>
      </c>
      <c r="N1721" s="24" t="n">
        <f aca="false">M1721*H1721*Summary!$C$6</f>
        <v>42</v>
      </c>
      <c r="O1721" s="37" t="n">
        <v>46191.8167476852</v>
      </c>
      <c r="P1721" s="22" t="n">
        <f aca="false">ROUND((O1721-C1721)*86400,0)</f>
        <v>4</v>
      </c>
      <c r="Q1721" s="22" t="str">
        <f aca="false">IF(P1721&lt;10,"a) &lt;10s",IF(P1721&lt;60,"b) 10-60s",IF(P1721&lt;600,"c) 1-10min","d) &gt;10min")))</f>
        <v>a) &lt;10s</v>
      </c>
      <c r="R1721" s="38" t="n">
        <v>4218.03</v>
      </c>
      <c r="S1721" s="38" t="n">
        <v>4218.25</v>
      </c>
      <c r="T1721" s="22" t="s">
        <v>189</v>
      </c>
      <c r="U1721" s="39" t="n">
        <f aca="false">IF(R1721="","",IF(F1721="BUY",R1721-S1721,S1721-R1721))</f>
        <v>0.220000000000255</v>
      </c>
      <c r="V1721" s="39" t="n">
        <f aca="false">IF(F1721="BUY",S1721-J1721,J1721-S1721)</f>
        <v>0.279999999999745</v>
      </c>
      <c r="W1721" s="6" t="n">
        <v>1.96</v>
      </c>
      <c r="X1721" s="26" t="n">
        <f aca="false">IFERROR(W1721/N1721,0)</f>
        <v>0.0466666666666667</v>
      </c>
      <c r="Y1721" s="22" t="str">
        <f aca="false">IF(W1721&gt;0,"Win",IF(W1721&lt;0,"Loss","Flat"))</f>
        <v>Win</v>
      </c>
      <c r="Z1721" s="24" t="n">
        <f aca="false">Summary!$C$5+SUM(W$2:W1721)</f>
        <v>4316.2</v>
      </c>
      <c r="AA1721" s="24" t="n">
        <f aca="false">MAX(AA1720,Z1721)</f>
        <v>5106.86</v>
      </c>
      <c r="AB1721" s="24" t="n">
        <f aca="false">AA1721-Z1721</f>
        <v>790.66</v>
      </c>
      <c r="AC1721" s="23" t="n">
        <f aca="false">IFERROR(AB1721/AA1721,0)</f>
        <v>0.154823120273514</v>
      </c>
      <c r="AD1721" s="22" t="s">
        <v>1958</v>
      </c>
    </row>
    <row r="1722" customFormat="false" ht="15" hidden="false" customHeight="false" outlineLevel="0" collapsed="false">
      <c r="A1722" s="22" t="n">
        <v>1721</v>
      </c>
      <c r="B1722" s="22" t="s">
        <v>170</v>
      </c>
      <c r="C1722" s="37" t="n">
        <v>46192.0852314815</v>
      </c>
      <c r="D1722" s="22" t="s">
        <v>206</v>
      </c>
      <c r="E1722" s="22" t="n">
        <v>2</v>
      </c>
      <c r="F1722" s="22" t="s">
        <v>182</v>
      </c>
      <c r="G1722" s="22" t="s">
        <v>237</v>
      </c>
      <c r="H1722" s="22" t="n">
        <v>0.07</v>
      </c>
      <c r="I1722" s="38" t="n">
        <v>4201.15</v>
      </c>
      <c r="J1722" s="38" t="n">
        <v>4199.78</v>
      </c>
      <c r="K1722" s="39" t="n">
        <f aca="false">IF(F1722="BUY",J1722-I1722,I1722-J1722)</f>
        <v>1.36999999999989</v>
      </c>
      <c r="L1722" s="38" t="n">
        <v>4207.15</v>
      </c>
      <c r="M1722" s="39" t="n">
        <f aca="false">ABS(I1722-L1722)</f>
        <v>6</v>
      </c>
      <c r="N1722" s="24" t="n">
        <f aca="false">M1722*H1722*Summary!$C$6</f>
        <v>42</v>
      </c>
      <c r="O1722" s="37" t="n">
        <v>46192.0937847222</v>
      </c>
      <c r="P1722" s="22" t="n">
        <f aca="false">ROUND((O1722-C1722)*86400,0)</f>
        <v>739</v>
      </c>
      <c r="Q1722" s="22" t="str">
        <f aca="false">IF(P1722&lt;10,"a) &lt;10s",IF(P1722&lt;60,"b) 10-60s",IF(P1722&lt;600,"c) 1-10min","d) &gt;10min")))</f>
        <v>d) &gt;10min</v>
      </c>
      <c r="R1722" s="38" t="n">
        <v>4199.28</v>
      </c>
      <c r="S1722" s="38" t="n">
        <v>4199.36</v>
      </c>
      <c r="T1722" s="22" t="s">
        <v>189</v>
      </c>
      <c r="U1722" s="39" t="n">
        <f aca="false">IF(R1722="","",IF(F1722="BUY",R1722-S1722,S1722-R1722))</f>
        <v>0.0799999999999272</v>
      </c>
      <c r="V1722" s="39" t="n">
        <f aca="false">IF(F1722="BUY",S1722-J1722,J1722-S1722)</f>
        <v>0.420000000000073</v>
      </c>
      <c r="W1722" s="6" t="n">
        <v>2.94</v>
      </c>
      <c r="X1722" s="26" t="n">
        <f aca="false">IFERROR(W1722/N1722,0)</f>
        <v>0.07</v>
      </c>
      <c r="Y1722" s="22" t="str">
        <f aca="false">IF(W1722&gt;0,"Win",IF(W1722&lt;0,"Loss","Flat"))</f>
        <v>Win</v>
      </c>
      <c r="Z1722" s="24" t="n">
        <f aca="false">Summary!$C$5+SUM(W$2:W1722)</f>
        <v>4319.14</v>
      </c>
      <c r="AA1722" s="24" t="n">
        <f aca="false">MAX(AA1721,Z1722)</f>
        <v>5106.86</v>
      </c>
      <c r="AB1722" s="24" t="n">
        <f aca="false">AA1722-Z1722</f>
        <v>787.719999999999</v>
      </c>
      <c r="AC1722" s="23" t="n">
        <f aca="false">IFERROR(AB1722/AA1722,0)</f>
        <v>0.154247424053136</v>
      </c>
      <c r="AD1722" s="22" t="s">
        <v>1959</v>
      </c>
    </row>
    <row r="1723" customFormat="false" ht="15" hidden="false" customHeight="false" outlineLevel="0" collapsed="false">
      <c r="A1723" s="22" t="n">
        <v>1722</v>
      </c>
      <c r="B1723" s="22" t="s">
        <v>170</v>
      </c>
      <c r="C1723" s="37" t="n">
        <v>46192.4200462963</v>
      </c>
      <c r="D1723" s="22" t="s">
        <v>206</v>
      </c>
      <c r="E1723" s="22" t="n">
        <v>10</v>
      </c>
      <c r="F1723" s="22" t="s">
        <v>181</v>
      </c>
      <c r="G1723" s="22" t="s">
        <v>235</v>
      </c>
      <c r="H1723" s="22" t="n">
        <v>0.07</v>
      </c>
      <c r="I1723" s="38" t="n">
        <v>4155.07</v>
      </c>
      <c r="J1723" s="38" t="n">
        <v>4155.09</v>
      </c>
      <c r="K1723" s="39" t="n">
        <f aca="false">IF(F1723="BUY",J1723-I1723,I1723-J1723)</f>
        <v>0.0200000000004366</v>
      </c>
      <c r="L1723" s="38" t="n">
        <v>4149.07</v>
      </c>
      <c r="M1723" s="39" t="n">
        <f aca="false">ABS(I1723-L1723)</f>
        <v>6</v>
      </c>
      <c r="N1723" s="24" t="n">
        <f aca="false">M1723*H1723*Summary!$C$6</f>
        <v>42</v>
      </c>
      <c r="O1723" s="37" t="n">
        <v>46192.4248263889</v>
      </c>
      <c r="P1723" s="22" t="n">
        <f aca="false">ROUND((O1723-C1723)*86400,0)</f>
        <v>413</v>
      </c>
      <c r="Q1723" s="22" t="str">
        <f aca="false">IF(P1723&lt;10,"a) &lt;10s",IF(P1723&lt;60,"b) 10-60s",IF(P1723&lt;600,"c) 1-10min","d) &gt;10min")))</f>
        <v>c) 1-10min</v>
      </c>
      <c r="R1723" s="38" t="n">
        <v>4155.59</v>
      </c>
      <c r="S1723" s="38" t="n">
        <v>4155.56</v>
      </c>
      <c r="T1723" s="22" t="s">
        <v>189</v>
      </c>
      <c r="U1723" s="39" t="n">
        <f aca="false">IF(R1723="","",IF(F1723="BUY",R1723-S1723,S1723-R1723))</f>
        <v>0.0299999999997453</v>
      </c>
      <c r="V1723" s="39" t="n">
        <f aca="false">IF(F1723="BUY",S1723-J1723,J1723-S1723)</f>
        <v>0.470000000000255</v>
      </c>
      <c r="W1723" s="6" t="n">
        <v>3.29</v>
      </c>
      <c r="X1723" s="26" t="n">
        <f aca="false">IFERROR(W1723/N1723,0)</f>
        <v>0.0783333333333333</v>
      </c>
      <c r="Y1723" s="22" t="str">
        <f aca="false">IF(W1723&gt;0,"Win",IF(W1723&lt;0,"Loss","Flat"))</f>
        <v>Win</v>
      </c>
      <c r="Z1723" s="24" t="n">
        <f aca="false">Summary!$C$5+SUM(W$2:W1723)</f>
        <v>4322.43</v>
      </c>
      <c r="AA1723" s="24" t="n">
        <f aca="false">MAX(AA1722,Z1723)</f>
        <v>5106.86</v>
      </c>
      <c r="AB1723" s="24" t="n">
        <f aca="false">AA1723-Z1723</f>
        <v>784.429999999999</v>
      </c>
      <c r="AC1723" s="23" t="n">
        <f aca="false">IFERROR(AB1723/AA1723,0)</f>
        <v>0.153603192568427</v>
      </c>
      <c r="AD1723" s="22" t="s">
        <v>1960</v>
      </c>
    </row>
    <row r="1724" customFormat="false" ht="15" hidden="false" customHeight="false" outlineLevel="0" collapsed="false">
      <c r="A1724" s="22" t="n">
        <v>1723</v>
      </c>
      <c r="B1724" s="22" t="s">
        <v>170</v>
      </c>
      <c r="C1724" s="37" t="n">
        <v>46195.1667361111</v>
      </c>
      <c r="D1724" s="22" t="s">
        <v>202</v>
      </c>
      <c r="E1724" s="22" t="n">
        <v>4</v>
      </c>
      <c r="F1724" s="22" t="s">
        <v>181</v>
      </c>
      <c r="G1724" s="22" t="s">
        <v>243</v>
      </c>
      <c r="H1724" s="22" t="n">
        <v>0.07</v>
      </c>
      <c r="I1724" s="38" t="n">
        <v>4212.88</v>
      </c>
      <c r="J1724" s="38" t="n">
        <v>4213.01</v>
      </c>
      <c r="K1724" s="39" t="n">
        <f aca="false">IF(F1724="BUY",J1724-I1724,I1724-J1724)</f>
        <v>0.130000000000109</v>
      </c>
      <c r="L1724" s="38" t="n">
        <v>4206.88</v>
      </c>
      <c r="M1724" s="39" t="n">
        <f aca="false">ABS(I1724-L1724)</f>
        <v>6</v>
      </c>
      <c r="N1724" s="24" t="n">
        <f aca="false">M1724*H1724*Summary!$C$6</f>
        <v>42</v>
      </c>
      <c r="O1724" s="37" t="n">
        <v>46195.1668055556</v>
      </c>
      <c r="P1724" s="22" t="n">
        <f aca="false">ROUND((O1724-C1724)*86400,0)</f>
        <v>6</v>
      </c>
      <c r="Q1724" s="22" t="str">
        <f aca="false">IF(P1724&lt;10,"a) &lt;10s",IF(P1724&lt;60,"b) 10-60s",IF(P1724&lt;600,"c) 1-10min","d) &gt;10min")))</f>
        <v>a) &lt;10s</v>
      </c>
      <c r="R1724" s="38" t="n">
        <v>4213.51</v>
      </c>
      <c r="S1724" s="38" t="n">
        <v>4212.75</v>
      </c>
      <c r="T1724" s="22" t="s">
        <v>189</v>
      </c>
      <c r="U1724" s="39" t="n">
        <f aca="false">IF(R1724="","",IF(F1724="BUY",R1724-S1724,S1724-R1724))</f>
        <v>0.760000000000218</v>
      </c>
      <c r="V1724" s="39" t="n">
        <f aca="false">IF(F1724="BUY",S1724-J1724,J1724-S1724)</f>
        <v>-0.260000000000218</v>
      </c>
      <c r="W1724" s="6" t="n">
        <v>-1.82</v>
      </c>
      <c r="X1724" s="26" t="n">
        <f aca="false">IFERROR(W1724/N1724,0)</f>
        <v>-0.0433333333333333</v>
      </c>
      <c r="Y1724" s="22" t="str">
        <f aca="false">IF(W1724&gt;0,"Win",IF(W1724&lt;0,"Loss","Flat"))</f>
        <v>Loss</v>
      </c>
      <c r="Z1724" s="24" t="n">
        <f aca="false">Summary!$C$5+SUM(W$2:W1724)</f>
        <v>4320.61</v>
      </c>
      <c r="AA1724" s="24" t="n">
        <f aca="false">MAX(AA1723,Z1724)</f>
        <v>5106.86</v>
      </c>
      <c r="AB1724" s="24" t="n">
        <f aca="false">AA1724-Z1724</f>
        <v>786.25</v>
      </c>
      <c r="AC1724" s="23" t="n">
        <f aca="false">IFERROR(AB1724/AA1724,0)</f>
        <v>0.153959575942947</v>
      </c>
      <c r="AD1724" s="22" t="s">
        <v>1961</v>
      </c>
    </row>
    <row r="1725" customFormat="false" ht="15" hidden="false" customHeight="false" outlineLevel="0" collapsed="false">
      <c r="A1725" s="22" t="n">
        <v>1724</v>
      </c>
      <c r="B1725" s="22" t="s">
        <v>170</v>
      </c>
      <c r="C1725" s="37" t="n">
        <v>46195.3820717593</v>
      </c>
      <c r="D1725" s="22" t="s">
        <v>202</v>
      </c>
      <c r="E1725" s="22" t="n">
        <v>9</v>
      </c>
      <c r="F1725" s="22" t="s">
        <v>181</v>
      </c>
      <c r="G1725" s="22" t="s">
        <v>235</v>
      </c>
      <c r="H1725" s="22" t="n">
        <v>0.07</v>
      </c>
      <c r="I1725" s="38" t="n">
        <v>4198.38</v>
      </c>
      <c r="J1725" s="38" t="n">
        <v>4198.41</v>
      </c>
      <c r="K1725" s="39" t="n">
        <f aca="false">IF(F1725="BUY",J1725-I1725,I1725-J1725)</f>
        <v>0.0299999999997453</v>
      </c>
      <c r="L1725" s="38" t="n">
        <v>4192.38</v>
      </c>
      <c r="M1725" s="39" t="n">
        <f aca="false">ABS(I1725-L1725)</f>
        <v>6</v>
      </c>
      <c r="N1725" s="24" t="n">
        <f aca="false">M1725*H1725*Summary!$C$6</f>
        <v>42</v>
      </c>
      <c r="O1725" s="37" t="n">
        <v>46195.3921296296</v>
      </c>
      <c r="P1725" s="22" t="n">
        <f aca="false">ROUND((O1725-C1725)*86400,0)</f>
        <v>869</v>
      </c>
      <c r="Q1725" s="22" t="str">
        <f aca="false">IF(P1725&lt;10,"a) &lt;10s",IF(P1725&lt;60,"b) 10-60s",IF(P1725&lt;600,"c) 1-10min","d) &gt;10min")))</f>
        <v>d) &gt;10min</v>
      </c>
      <c r="R1725" s="38" t="n">
        <v>4198.91</v>
      </c>
      <c r="S1725" s="38" t="n">
        <v>4198.86</v>
      </c>
      <c r="T1725" s="22" t="s">
        <v>189</v>
      </c>
      <c r="U1725" s="39" t="n">
        <f aca="false">IF(R1725="","",IF(F1725="BUY",R1725-S1725,S1725-R1725))</f>
        <v>0.0500000000001819</v>
      </c>
      <c r="V1725" s="39" t="n">
        <f aca="false">IF(F1725="BUY",S1725-J1725,J1725-S1725)</f>
        <v>0.449999999999818</v>
      </c>
      <c r="W1725" s="6" t="n">
        <v>3.15</v>
      </c>
      <c r="X1725" s="26" t="n">
        <f aca="false">IFERROR(W1725/N1725,0)</f>
        <v>0.075</v>
      </c>
      <c r="Y1725" s="22" t="str">
        <f aca="false">IF(W1725&gt;0,"Win",IF(W1725&lt;0,"Loss","Flat"))</f>
        <v>Win</v>
      </c>
      <c r="Z1725" s="24" t="n">
        <f aca="false">Summary!$C$5+SUM(W$2:W1725)</f>
        <v>4323.76</v>
      </c>
      <c r="AA1725" s="24" t="n">
        <f aca="false">MAX(AA1724,Z1725)</f>
        <v>5106.86</v>
      </c>
      <c r="AB1725" s="24" t="n">
        <f aca="false">AA1725-Z1725</f>
        <v>783.1</v>
      </c>
      <c r="AC1725" s="23" t="n">
        <f aca="false">IFERROR(AB1725/AA1725,0)</f>
        <v>0.153342758563971</v>
      </c>
      <c r="AD1725" s="22" t="s">
        <v>1962</v>
      </c>
    </row>
    <row r="1726" customFormat="false" ht="15" hidden="false" customHeight="false" outlineLevel="0" collapsed="false">
      <c r="A1726" s="22" t="n">
        <v>1725</v>
      </c>
      <c r="B1726" s="22" t="s">
        <v>170</v>
      </c>
      <c r="C1726" s="37" t="n">
        <v>46196.262650463</v>
      </c>
      <c r="D1726" s="22" t="s">
        <v>203</v>
      </c>
      <c r="E1726" s="22" t="n">
        <v>6</v>
      </c>
      <c r="F1726" s="22" t="s">
        <v>182</v>
      </c>
      <c r="G1726" s="22" t="s">
        <v>237</v>
      </c>
      <c r="H1726" s="22" t="n">
        <v>0.07</v>
      </c>
      <c r="I1726" s="38" t="n">
        <v>4136.13</v>
      </c>
      <c r="J1726" s="38" t="n">
        <v>4135.96</v>
      </c>
      <c r="K1726" s="39" t="n">
        <f aca="false">IF(F1726="BUY",J1726-I1726,I1726-J1726)</f>
        <v>0.170000000000073</v>
      </c>
      <c r="L1726" s="38" t="n">
        <v>4142.13</v>
      </c>
      <c r="M1726" s="39" t="n">
        <f aca="false">ABS(I1726-L1726)</f>
        <v>6</v>
      </c>
      <c r="N1726" s="24" t="n">
        <f aca="false">M1726*H1726*Summary!$C$6</f>
        <v>42</v>
      </c>
      <c r="O1726" s="37" t="n">
        <v>46196.2640740741</v>
      </c>
      <c r="P1726" s="22" t="n">
        <f aca="false">ROUND((O1726-C1726)*86400,0)</f>
        <v>123</v>
      </c>
      <c r="Q1726" s="22" t="str">
        <f aca="false">IF(P1726&lt;10,"a) &lt;10s",IF(P1726&lt;60,"b) 10-60s",IF(P1726&lt;600,"c) 1-10min","d) &gt;10min")))</f>
        <v>c) 1-10min</v>
      </c>
      <c r="R1726" s="38" t="n">
        <v>4135.46</v>
      </c>
      <c r="S1726" s="38" t="n">
        <v>4135.5</v>
      </c>
      <c r="T1726" s="22" t="s">
        <v>189</v>
      </c>
      <c r="U1726" s="39" t="n">
        <f aca="false">IF(R1726="","",IF(F1726="BUY",R1726-S1726,S1726-R1726))</f>
        <v>0.0399999999999636</v>
      </c>
      <c r="V1726" s="39" t="n">
        <f aca="false">IF(F1726="BUY",S1726-J1726,J1726-S1726)</f>
        <v>0.460000000000036</v>
      </c>
      <c r="W1726" s="6" t="n">
        <v>3.22</v>
      </c>
      <c r="X1726" s="26" t="n">
        <f aca="false">IFERROR(W1726/N1726,0)</f>
        <v>0.0766666666666667</v>
      </c>
      <c r="Y1726" s="22" t="str">
        <f aca="false">IF(W1726&gt;0,"Win",IF(W1726&lt;0,"Loss","Flat"))</f>
        <v>Win</v>
      </c>
      <c r="Z1726" s="24" t="n">
        <f aca="false">Summary!$C$5+SUM(W$2:W1726)</f>
        <v>4326.98</v>
      </c>
      <c r="AA1726" s="24" t="n">
        <f aca="false">MAX(AA1725,Z1726)</f>
        <v>5106.86</v>
      </c>
      <c r="AB1726" s="24" t="n">
        <f aca="false">AA1726-Z1726</f>
        <v>779.88</v>
      </c>
      <c r="AC1726" s="23" t="n">
        <f aca="false">IFERROR(AB1726/AA1726,0)</f>
        <v>0.152712234132128</v>
      </c>
      <c r="AD1726" s="22" t="s">
        <v>1963</v>
      </c>
    </row>
    <row r="1727" customFormat="false" ht="15" hidden="false" customHeight="false" outlineLevel="0" collapsed="false">
      <c r="A1727" s="22" t="n">
        <v>1726</v>
      </c>
      <c r="B1727" s="22" t="s">
        <v>170</v>
      </c>
      <c r="C1727" s="37" t="n">
        <v>46196.3818981482</v>
      </c>
      <c r="D1727" s="22" t="s">
        <v>203</v>
      </c>
      <c r="E1727" s="22" t="n">
        <v>9</v>
      </c>
      <c r="F1727" s="22" t="s">
        <v>182</v>
      </c>
      <c r="G1727" s="22" t="s">
        <v>241</v>
      </c>
      <c r="H1727" s="22" t="n">
        <v>0.07</v>
      </c>
      <c r="I1727" s="38" t="n">
        <v>4114.5</v>
      </c>
      <c r="J1727" s="38" t="n">
        <v>4114.41</v>
      </c>
      <c r="K1727" s="39" t="n">
        <f aca="false">IF(F1727="BUY",J1727-I1727,I1727-J1727)</f>
        <v>0.0900000000001455</v>
      </c>
      <c r="L1727" s="38" t="n">
        <v>4120.5</v>
      </c>
      <c r="M1727" s="39" t="n">
        <f aca="false">ABS(I1727-L1727)</f>
        <v>6</v>
      </c>
      <c r="N1727" s="24" t="n">
        <f aca="false">M1727*H1727*Summary!$C$6</f>
        <v>42</v>
      </c>
      <c r="O1727" s="37" t="n">
        <v>46196.382662037</v>
      </c>
      <c r="P1727" s="22" t="n">
        <f aca="false">ROUND((O1727-C1727)*86400,0)</f>
        <v>66</v>
      </c>
      <c r="Q1727" s="22" t="str">
        <f aca="false">IF(P1727&lt;10,"a) &lt;10s",IF(P1727&lt;60,"b) 10-60s",IF(P1727&lt;600,"c) 1-10min","d) &gt;10min")))</f>
        <v>c) 1-10min</v>
      </c>
      <c r="R1727" s="38" t="n">
        <v>4113.91</v>
      </c>
      <c r="S1727" s="38" t="n">
        <v>4113.94</v>
      </c>
      <c r="T1727" s="22" t="s">
        <v>189</v>
      </c>
      <c r="U1727" s="39" t="n">
        <f aca="false">IF(R1727="","",IF(F1727="BUY",R1727-S1727,S1727-R1727))</f>
        <v>0.0299999999997453</v>
      </c>
      <c r="V1727" s="39" t="n">
        <f aca="false">IF(F1727="BUY",S1727-J1727,J1727-S1727)</f>
        <v>0.470000000000255</v>
      </c>
      <c r="W1727" s="6" t="n">
        <v>3.29</v>
      </c>
      <c r="X1727" s="26" t="n">
        <f aca="false">IFERROR(W1727/N1727,0)</f>
        <v>0.0783333333333333</v>
      </c>
      <c r="Y1727" s="22" t="str">
        <f aca="false">IF(W1727&gt;0,"Win",IF(W1727&lt;0,"Loss","Flat"))</f>
        <v>Win</v>
      </c>
      <c r="Z1727" s="24" t="n">
        <f aca="false">Summary!$C$5+SUM(W$2:W1727)</f>
        <v>4330.27</v>
      </c>
      <c r="AA1727" s="24" t="n">
        <f aca="false">MAX(AA1726,Z1727)</f>
        <v>5106.86</v>
      </c>
      <c r="AB1727" s="24" t="n">
        <f aca="false">AA1727-Z1727</f>
        <v>776.589999999999</v>
      </c>
      <c r="AC1727" s="23" t="n">
        <f aca="false">IFERROR(AB1727/AA1727,0)</f>
        <v>0.152068002647419</v>
      </c>
      <c r="AD1727" s="22" t="s">
        <v>1964</v>
      </c>
    </row>
    <row r="1728" customFormat="false" ht="15" hidden="false" customHeight="false" outlineLevel="0" collapsed="false">
      <c r="A1728" s="22" t="n">
        <v>1727</v>
      </c>
      <c r="B1728" s="22" t="s">
        <v>170</v>
      </c>
      <c r="C1728" s="37" t="n">
        <v>46197.1098611111</v>
      </c>
      <c r="D1728" s="22" t="s">
        <v>204</v>
      </c>
      <c r="E1728" s="22" t="n">
        <v>2</v>
      </c>
      <c r="F1728" s="22" t="s">
        <v>182</v>
      </c>
      <c r="G1728" s="22" t="s">
        <v>237</v>
      </c>
      <c r="H1728" s="22" t="n">
        <v>0.07</v>
      </c>
      <c r="I1728" s="38" t="n">
        <v>4090.55</v>
      </c>
      <c r="J1728" s="38" t="n">
        <v>4090.4</v>
      </c>
      <c r="K1728" s="39" t="n">
        <f aca="false">IF(F1728="BUY",J1728-I1728,I1728-J1728)</f>
        <v>0.150000000000091</v>
      </c>
      <c r="L1728" s="38" t="n">
        <v>4096.55</v>
      </c>
      <c r="M1728" s="39" t="n">
        <f aca="false">ABS(I1728-L1728)</f>
        <v>6</v>
      </c>
      <c r="N1728" s="24" t="n">
        <f aca="false">M1728*H1728*Summary!$C$6</f>
        <v>42</v>
      </c>
      <c r="O1728" s="37" t="n">
        <v>46197.115150463</v>
      </c>
      <c r="P1728" s="22" t="n">
        <f aca="false">ROUND((O1728-C1728)*86400,0)</f>
        <v>457</v>
      </c>
      <c r="Q1728" s="22" t="str">
        <f aca="false">IF(P1728&lt;10,"a) &lt;10s",IF(P1728&lt;60,"b) 10-60s",IF(P1728&lt;600,"c) 1-10min","d) &gt;10min")))</f>
        <v>c) 1-10min</v>
      </c>
      <c r="R1728" s="38" t="n">
        <v>4089.9</v>
      </c>
      <c r="S1728" s="38" t="n">
        <v>4090.02</v>
      </c>
      <c r="T1728" s="22" t="s">
        <v>189</v>
      </c>
      <c r="U1728" s="39" t="n">
        <f aca="false">IF(R1728="","",IF(F1728="BUY",R1728-S1728,S1728-R1728))</f>
        <v>0.119999999999891</v>
      </c>
      <c r="V1728" s="39" t="n">
        <f aca="false">IF(F1728="BUY",S1728-J1728,J1728-S1728)</f>
        <v>0.380000000000109</v>
      </c>
      <c r="W1728" s="6" t="n">
        <v>2.66</v>
      </c>
      <c r="X1728" s="26" t="n">
        <f aca="false">IFERROR(W1728/N1728,0)</f>
        <v>0.0633333333333333</v>
      </c>
      <c r="Y1728" s="22" t="str">
        <f aca="false">IF(W1728&gt;0,"Win",IF(W1728&lt;0,"Loss","Flat"))</f>
        <v>Win</v>
      </c>
      <c r="Z1728" s="24" t="n">
        <f aca="false">Summary!$C$5+SUM(W$2:W1728)</f>
        <v>4332.93</v>
      </c>
      <c r="AA1728" s="24" t="n">
        <f aca="false">MAX(AA1727,Z1728)</f>
        <v>5106.86</v>
      </c>
      <c r="AB1728" s="24" t="n">
        <f aca="false">AA1728-Z1728</f>
        <v>773.929999999999</v>
      </c>
      <c r="AC1728" s="23" t="n">
        <f aca="false">IFERROR(AB1728/AA1728,0)</f>
        <v>0.151547134638506</v>
      </c>
      <c r="AD1728" s="22" t="s">
        <v>1965</v>
      </c>
    </row>
    <row r="1729" customFormat="false" ht="15" hidden="false" customHeight="false" outlineLevel="0" collapsed="false">
      <c r="A1729" s="22" t="n">
        <v>1728</v>
      </c>
      <c r="B1729" s="22" t="s">
        <v>170</v>
      </c>
      <c r="C1729" s="37" t="n">
        <v>46197.3798263889</v>
      </c>
      <c r="D1729" s="22" t="s">
        <v>204</v>
      </c>
      <c r="E1729" s="22" t="n">
        <v>9</v>
      </c>
      <c r="F1729" s="22" t="s">
        <v>181</v>
      </c>
      <c r="G1729" s="22" t="s">
        <v>235</v>
      </c>
      <c r="H1729" s="22" t="n">
        <v>0.07</v>
      </c>
      <c r="I1729" s="38" t="n">
        <v>4085.97</v>
      </c>
      <c r="J1729" s="38" t="n">
        <v>4086.18</v>
      </c>
      <c r="K1729" s="39" t="n">
        <f aca="false">IF(F1729="BUY",J1729-I1729,I1729-J1729)</f>
        <v>0.210000000000036</v>
      </c>
      <c r="L1729" s="38" t="n">
        <v>4079.97</v>
      </c>
      <c r="M1729" s="39" t="n">
        <f aca="false">ABS(I1729-L1729)</f>
        <v>6</v>
      </c>
      <c r="N1729" s="24" t="n">
        <f aca="false">M1729*H1729*Summary!$C$6</f>
        <v>42</v>
      </c>
      <c r="O1729" s="37" t="n">
        <v>46197.3809027778</v>
      </c>
      <c r="P1729" s="22" t="n">
        <f aca="false">ROUND((O1729-C1729)*86400,0)</f>
        <v>93</v>
      </c>
      <c r="Q1729" s="22" t="str">
        <f aca="false">IF(P1729&lt;10,"a) &lt;10s",IF(P1729&lt;60,"b) 10-60s",IF(P1729&lt;600,"c) 1-10min","d) &gt;10min")))</f>
        <v>c) 1-10min</v>
      </c>
      <c r="R1729" s="38" t="n">
        <v>4086.68</v>
      </c>
      <c r="S1729" s="38" t="n">
        <v>4086.54</v>
      </c>
      <c r="T1729" s="22" t="s">
        <v>189</v>
      </c>
      <c r="U1729" s="39" t="n">
        <f aca="false">IF(R1729="","",IF(F1729="BUY",R1729-S1729,S1729-R1729))</f>
        <v>0.139999999999873</v>
      </c>
      <c r="V1729" s="39" t="n">
        <f aca="false">IF(F1729="BUY",S1729-J1729,J1729-S1729)</f>
        <v>0.360000000000127</v>
      </c>
      <c r="W1729" s="6" t="n">
        <v>2.52</v>
      </c>
      <c r="X1729" s="26" t="n">
        <f aca="false">IFERROR(W1729/N1729,0)</f>
        <v>0.06</v>
      </c>
      <c r="Y1729" s="22" t="str">
        <f aca="false">IF(W1729&gt;0,"Win",IF(W1729&lt;0,"Loss","Flat"))</f>
        <v>Win</v>
      </c>
      <c r="Z1729" s="24" t="n">
        <f aca="false">Summary!$C$5+SUM(W$2:W1729)</f>
        <v>4335.45</v>
      </c>
      <c r="AA1729" s="24" t="n">
        <f aca="false">MAX(AA1728,Z1729)</f>
        <v>5106.86</v>
      </c>
      <c r="AB1729" s="24" t="n">
        <f aca="false">AA1729-Z1729</f>
        <v>771.41</v>
      </c>
      <c r="AC1729" s="23" t="n">
        <f aca="false">IFERROR(AB1729/AA1729,0)</f>
        <v>0.151053680735325</v>
      </c>
      <c r="AD1729" s="22" t="s">
        <v>1966</v>
      </c>
    </row>
    <row r="1730" customFormat="false" ht="15" hidden="false" customHeight="false" outlineLevel="0" collapsed="false">
      <c r="A1730" s="22" t="n">
        <v>1729</v>
      </c>
      <c r="B1730" s="22" t="s">
        <v>170</v>
      </c>
      <c r="C1730" s="37" t="n">
        <v>46198.3853472222</v>
      </c>
      <c r="D1730" s="22" t="s">
        <v>205</v>
      </c>
      <c r="E1730" s="22" t="n">
        <v>9</v>
      </c>
      <c r="F1730" s="22" t="s">
        <v>182</v>
      </c>
      <c r="G1730" s="22" t="s">
        <v>241</v>
      </c>
      <c r="H1730" s="22" t="n">
        <v>0.07</v>
      </c>
      <c r="I1730" s="38" t="n">
        <v>3980.2</v>
      </c>
      <c r="J1730" s="38" t="n">
        <v>3980.14</v>
      </c>
      <c r="K1730" s="39" t="n">
        <f aca="false">IF(F1730="BUY",J1730-I1730,I1730-J1730)</f>
        <v>0.0599999999999454</v>
      </c>
      <c r="L1730" s="38" t="n">
        <v>3986.2</v>
      </c>
      <c r="M1730" s="39" t="n">
        <f aca="false">ABS(I1730-L1730)</f>
        <v>6</v>
      </c>
      <c r="N1730" s="24" t="n">
        <f aca="false">M1730*H1730*Summary!$C$6</f>
        <v>42</v>
      </c>
      <c r="O1730" s="37" t="n">
        <v>46198.3892939815</v>
      </c>
      <c r="P1730" s="22" t="n">
        <f aca="false">ROUND((O1730-C1730)*86400,0)</f>
        <v>341</v>
      </c>
      <c r="Q1730" s="22" t="str">
        <f aca="false">IF(P1730&lt;10,"a) &lt;10s",IF(P1730&lt;60,"b) 10-60s",IF(P1730&lt;600,"c) 1-10min","d) &gt;10min")))</f>
        <v>c) 1-10min</v>
      </c>
      <c r="R1730" s="38" t="n">
        <v>3979.64</v>
      </c>
      <c r="S1730" s="38" t="n">
        <v>3979.83</v>
      </c>
      <c r="T1730" s="22" t="s">
        <v>189</v>
      </c>
      <c r="U1730" s="39" t="n">
        <f aca="false">IF(R1730="","",IF(F1730="BUY",R1730-S1730,S1730-R1730))</f>
        <v>0.190000000000055</v>
      </c>
      <c r="V1730" s="39" t="n">
        <f aca="false">IF(F1730="BUY",S1730-J1730,J1730-S1730)</f>
        <v>0.309999999999945</v>
      </c>
      <c r="W1730" s="6" t="n">
        <v>2.17</v>
      </c>
      <c r="X1730" s="26" t="n">
        <f aca="false">IFERROR(W1730/N1730,0)</f>
        <v>0.0516666666666667</v>
      </c>
      <c r="Y1730" s="22" t="str">
        <f aca="false">IF(W1730&gt;0,"Win",IF(W1730&lt;0,"Loss","Flat"))</f>
        <v>Win</v>
      </c>
      <c r="Z1730" s="24" t="n">
        <f aca="false">Summary!$C$5+SUM(W$2:W1730)</f>
        <v>4337.62</v>
      </c>
      <c r="AA1730" s="24" t="n">
        <f aca="false">MAX(AA1729,Z1730)</f>
        <v>5106.86</v>
      </c>
      <c r="AB1730" s="24" t="n">
        <f aca="false">AA1730-Z1730</f>
        <v>769.24</v>
      </c>
      <c r="AC1730" s="23" t="n">
        <f aca="false">IFERROR(AB1730/AA1730,0)</f>
        <v>0.150628762096474</v>
      </c>
      <c r="AD1730" s="22" t="s">
        <v>1967</v>
      </c>
    </row>
    <row r="1731" customFormat="false" ht="15" hidden="false" customHeight="false" outlineLevel="0" collapsed="false">
      <c r="A1731" s="22" t="n">
        <v>1730</v>
      </c>
      <c r="B1731" s="22" t="s">
        <v>170</v>
      </c>
      <c r="C1731" s="37" t="n">
        <v>46199.3904861111</v>
      </c>
      <c r="D1731" s="22" t="s">
        <v>206</v>
      </c>
      <c r="E1731" s="22" t="n">
        <v>9</v>
      </c>
      <c r="F1731" s="22" t="s">
        <v>181</v>
      </c>
      <c r="G1731" s="22" t="s">
        <v>235</v>
      </c>
      <c r="H1731" s="22" t="n">
        <v>0.07</v>
      </c>
      <c r="I1731" s="38" t="n">
        <v>4021.14</v>
      </c>
      <c r="J1731" s="38" t="n">
        <v>4021.35</v>
      </c>
      <c r="K1731" s="39" t="n">
        <f aca="false">IF(F1731="BUY",J1731-I1731,I1731-J1731)</f>
        <v>0.210000000000036</v>
      </c>
      <c r="L1731" s="38" t="n">
        <v>4015.14</v>
      </c>
      <c r="M1731" s="39" t="n">
        <f aca="false">ABS(I1731-L1731)</f>
        <v>6</v>
      </c>
      <c r="N1731" s="24" t="n">
        <f aca="false">M1731*H1731*Summary!$C$6</f>
        <v>42</v>
      </c>
      <c r="O1731" s="37" t="n">
        <v>46199.3907407407</v>
      </c>
      <c r="P1731" s="22" t="n">
        <f aca="false">ROUND((O1731-C1731)*86400,0)</f>
        <v>22</v>
      </c>
      <c r="Q1731" s="22" t="str">
        <f aca="false">IF(P1731&lt;10,"a) &lt;10s",IF(P1731&lt;60,"b) 10-60s",IF(P1731&lt;600,"c) 1-10min","d) &gt;10min")))</f>
        <v>b) 10-60s</v>
      </c>
      <c r="R1731" s="38" t="n">
        <v>4021.85</v>
      </c>
      <c r="S1731" s="38" t="n">
        <v>4021.75</v>
      </c>
      <c r="T1731" s="22" t="s">
        <v>189</v>
      </c>
      <c r="U1731" s="39" t="n">
        <f aca="false">IF(R1731="","",IF(F1731="BUY",R1731-S1731,S1731-R1731))</f>
        <v>0.0999999999999091</v>
      </c>
      <c r="V1731" s="39" t="n">
        <f aca="false">IF(F1731="BUY",S1731-J1731,J1731-S1731)</f>
        <v>0.400000000000091</v>
      </c>
      <c r="W1731" s="6" t="n">
        <v>2.8</v>
      </c>
      <c r="X1731" s="26" t="n">
        <f aca="false">IFERROR(W1731/N1731,0)</f>
        <v>0.0666666666666667</v>
      </c>
      <c r="Y1731" s="22" t="str">
        <f aca="false">IF(W1731&gt;0,"Win",IF(W1731&lt;0,"Loss","Flat"))</f>
        <v>Win</v>
      </c>
      <c r="Z1731" s="24" t="n">
        <f aca="false">Summary!$C$5+SUM(W$2:W1731)</f>
        <v>4340.42</v>
      </c>
      <c r="AA1731" s="24" t="n">
        <f aca="false">MAX(AA1730,Z1731)</f>
        <v>5106.86</v>
      </c>
      <c r="AB1731" s="24" t="n">
        <f aca="false">AA1731-Z1731</f>
        <v>766.44</v>
      </c>
      <c r="AC1731" s="23" t="n">
        <f aca="false">IFERROR(AB1731/AA1731,0)</f>
        <v>0.150080479981828</v>
      </c>
      <c r="AD1731" s="22" t="s">
        <v>1968</v>
      </c>
    </row>
    <row r="1732" customFormat="false" ht="15" hidden="false" customHeight="false" outlineLevel="0" collapsed="false">
      <c r="A1732" s="22" t="n">
        <v>1731</v>
      </c>
      <c r="B1732" s="22" t="s">
        <v>170</v>
      </c>
      <c r="C1732" s="37" t="n">
        <v>46199.5135763889</v>
      </c>
      <c r="D1732" s="22" t="s">
        <v>206</v>
      </c>
      <c r="E1732" s="22" t="n">
        <v>12</v>
      </c>
      <c r="F1732" s="22" t="s">
        <v>181</v>
      </c>
      <c r="G1732" s="22" t="s">
        <v>243</v>
      </c>
      <c r="H1732" s="22" t="n">
        <v>0.07</v>
      </c>
      <c r="I1732" s="38" t="n">
        <v>4043.92</v>
      </c>
      <c r="J1732" s="38" t="n">
        <v>4044.74</v>
      </c>
      <c r="K1732" s="39" t="n">
        <f aca="false">IF(F1732="BUY",J1732-I1732,I1732-J1732)</f>
        <v>0.819999999999709</v>
      </c>
      <c r="L1732" s="38" t="n">
        <v>4037.92</v>
      </c>
      <c r="M1732" s="39" t="n">
        <f aca="false">ABS(I1732-L1732)</f>
        <v>6</v>
      </c>
      <c r="N1732" s="24" t="n">
        <f aca="false">M1732*H1732*Summary!$C$6</f>
        <v>42</v>
      </c>
      <c r="O1732" s="37" t="n">
        <v>46199.5139467593</v>
      </c>
      <c r="P1732" s="22" t="n">
        <f aca="false">ROUND((O1732-C1732)*86400,0)</f>
        <v>32</v>
      </c>
      <c r="Q1732" s="22" t="str">
        <f aca="false">IF(P1732&lt;10,"a) &lt;10s",IF(P1732&lt;60,"b) 10-60s",IF(P1732&lt;600,"c) 1-10min","d) &gt;10min")))</f>
        <v>b) 10-60s</v>
      </c>
      <c r="R1732" s="38" t="n">
        <v>4045.24</v>
      </c>
      <c r="S1732" s="38" t="n">
        <v>4045.16</v>
      </c>
      <c r="T1732" s="22" t="s">
        <v>189</v>
      </c>
      <c r="U1732" s="39" t="n">
        <f aca="false">IF(R1732="","",IF(F1732="BUY",R1732-S1732,S1732-R1732))</f>
        <v>0.0799999999999272</v>
      </c>
      <c r="V1732" s="39" t="n">
        <f aca="false">IF(F1732="BUY",S1732-J1732,J1732-S1732)</f>
        <v>0.420000000000073</v>
      </c>
      <c r="W1732" s="6" t="n">
        <v>2.94</v>
      </c>
      <c r="X1732" s="26" t="n">
        <f aca="false">IFERROR(W1732/N1732,0)</f>
        <v>0.07</v>
      </c>
      <c r="Y1732" s="22" t="str">
        <f aca="false">IF(W1732&gt;0,"Win",IF(W1732&lt;0,"Loss","Flat"))</f>
        <v>Win</v>
      </c>
      <c r="Z1732" s="24" t="n">
        <f aca="false">Summary!$C$5+SUM(W$2:W1732)</f>
        <v>4343.36</v>
      </c>
      <c r="AA1732" s="24" t="n">
        <f aca="false">MAX(AA1731,Z1732)</f>
        <v>5106.86</v>
      </c>
      <c r="AB1732" s="24" t="n">
        <f aca="false">AA1732-Z1732</f>
        <v>763.5</v>
      </c>
      <c r="AC1732" s="23" t="n">
        <f aca="false">IFERROR(AB1732/AA1732,0)</f>
        <v>0.14950478376145</v>
      </c>
      <c r="AD1732" s="22" t="s">
        <v>1969</v>
      </c>
    </row>
    <row r="1733" customFormat="false" ht="15" hidden="false" customHeight="false" outlineLevel="0" collapsed="false">
      <c r="A1733" s="22" t="n">
        <v>1732</v>
      </c>
      <c r="B1733" s="22" t="s">
        <v>170</v>
      </c>
      <c r="C1733" s="37" t="n">
        <v>46202.452962963</v>
      </c>
      <c r="D1733" s="22" t="s">
        <v>202</v>
      </c>
      <c r="E1733" s="22" t="n">
        <v>10</v>
      </c>
      <c r="F1733" s="22" t="s">
        <v>181</v>
      </c>
      <c r="G1733" s="22" t="s">
        <v>235</v>
      </c>
      <c r="H1733" s="22" t="n">
        <v>0.07</v>
      </c>
      <c r="I1733" s="38" t="n">
        <v>4068.77</v>
      </c>
      <c r="J1733" s="38" t="n">
        <v>4068.88</v>
      </c>
      <c r="K1733" s="39" t="n">
        <f aca="false">IF(F1733="BUY",J1733-I1733,I1733-J1733)</f>
        <v>0.110000000000127</v>
      </c>
      <c r="L1733" s="38" t="n">
        <v>4062.77</v>
      </c>
      <c r="M1733" s="39" t="n">
        <f aca="false">ABS(I1733-L1733)</f>
        <v>6</v>
      </c>
      <c r="N1733" s="24" t="n">
        <f aca="false">M1733*H1733*Summary!$C$6</f>
        <v>42</v>
      </c>
      <c r="O1733" s="37" t="n">
        <v>46202.4568865741</v>
      </c>
      <c r="P1733" s="22" t="n">
        <f aca="false">ROUND((O1733-C1733)*86400,0)</f>
        <v>339</v>
      </c>
      <c r="Q1733" s="22" t="str">
        <f aca="false">IF(P1733&lt;10,"a) &lt;10s",IF(P1733&lt;60,"b) 10-60s",IF(P1733&lt;600,"c) 1-10min","d) &gt;10min")))</f>
        <v>c) 1-10min</v>
      </c>
      <c r="R1733" s="38" t="n">
        <v>4062.77</v>
      </c>
      <c r="S1733" s="38" t="n">
        <v>4062.57</v>
      </c>
      <c r="T1733" s="22" t="s">
        <v>188</v>
      </c>
      <c r="U1733" s="39" t="n">
        <f aca="false">IF(R1733="","",IF(F1733="BUY",R1733-S1733,S1733-R1733))</f>
        <v>0.199999999999818</v>
      </c>
      <c r="V1733" s="39" t="n">
        <f aca="false">IF(F1733="BUY",S1733-J1733,J1733-S1733)</f>
        <v>-6.30999999999995</v>
      </c>
      <c r="W1733" s="6" t="n">
        <v>-44.17</v>
      </c>
      <c r="X1733" s="26" t="n">
        <f aca="false">IFERROR(W1733/N1733,0)</f>
        <v>-1.05166666666667</v>
      </c>
      <c r="Y1733" s="22" t="str">
        <f aca="false">IF(W1733&gt;0,"Win",IF(W1733&lt;0,"Loss","Flat"))</f>
        <v>Loss</v>
      </c>
      <c r="Z1733" s="24" t="n">
        <f aca="false">Summary!$C$5+SUM(W$2:W1733)</f>
        <v>4299.19</v>
      </c>
      <c r="AA1733" s="24" t="n">
        <f aca="false">MAX(AA1732,Z1733)</f>
        <v>5106.86</v>
      </c>
      <c r="AB1733" s="24" t="n">
        <f aca="false">AA1733-Z1733</f>
        <v>807.67</v>
      </c>
      <c r="AC1733" s="23" t="n">
        <f aca="false">IFERROR(AB1733/AA1733,0)</f>
        <v>0.158153934119988</v>
      </c>
      <c r="AD1733" s="22" t="s">
        <v>1970</v>
      </c>
    </row>
    <row r="1734" customFormat="false" ht="15" hidden="false" customHeight="false" outlineLevel="0" collapsed="false">
      <c r="A1734" s="22" t="n">
        <v>1733</v>
      </c>
      <c r="B1734" s="22" t="s">
        <v>170</v>
      </c>
      <c r="C1734" s="37" t="n">
        <v>46203.1506597222</v>
      </c>
      <c r="D1734" s="22" t="s">
        <v>203</v>
      </c>
      <c r="E1734" s="22" t="n">
        <v>3</v>
      </c>
      <c r="F1734" s="22" t="s">
        <v>182</v>
      </c>
      <c r="G1734" s="22" t="s">
        <v>237</v>
      </c>
      <c r="H1734" s="22" t="n">
        <v>0.07</v>
      </c>
      <c r="I1734" s="38" t="n">
        <v>3999.92</v>
      </c>
      <c r="J1734" s="38" t="n">
        <v>3999.84</v>
      </c>
      <c r="K1734" s="39" t="n">
        <f aca="false">IF(F1734="BUY",J1734-I1734,I1734-J1734)</f>
        <v>0.0799999999999272</v>
      </c>
      <c r="L1734" s="38" t="n">
        <v>4005.92</v>
      </c>
      <c r="M1734" s="39" t="n">
        <f aca="false">ABS(I1734-L1734)</f>
        <v>6</v>
      </c>
      <c r="N1734" s="24" t="n">
        <f aca="false">M1734*H1734*Summary!$C$6</f>
        <v>42</v>
      </c>
      <c r="O1734" s="37" t="n">
        <v>46203.1712731482</v>
      </c>
      <c r="P1734" s="22" t="n">
        <f aca="false">ROUND((O1734-C1734)*86400,0)</f>
        <v>1781</v>
      </c>
      <c r="Q1734" s="22" t="str">
        <f aca="false">IF(P1734&lt;10,"a) &lt;10s",IF(P1734&lt;60,"b) 10-60s",IF(P1734&lt;600,"c) 1-10min","d) &gt;10min")))</f>
        <v>d) &gt;10min</v>
      </c>
      <c r="R1734" s="38"/>
      <c r="S1734" s="38" t="n">
        <v>3969.85</v>
      </c>
      <c r="T1734" s="22" t="s">
        <v>187</v>
      </c>
      <c r="U1734" s="39" t="str">
        <f aca="false">IF(R1734="","",IF(F1734="BUY",R1734-S1734,S1734-R1734))</f>
        <v/>
      </c>
      <c r="V1734" s="39" t="n">
        <f aca="false">IF(F1734="BUY",S1734-J1734,J1734-S1734)</f>
        <v>29.9900000000002</v>
      </c>
      <c r="W1734" s="6" t="n">
        <v>209.93</v>
      </c>
      <c r="X1734" s="26" t="n">
        <f aca="false">IFERROR(W1734/N1734,0)</f>
        <v>4.99833333333333</v>
      </c>
      <c r="Y1734" s="22" t="str">
        <f aca="false">IF(W1734&gt;0,"Win",IF(W1734&lt;0,"Loss","Flat"))</f>
        <v>Win</v>
      </c>
      <c r="Z1734" s="24" t="n">
        <f aca="false">Summary!$C$5+SUM(W$2:W1734)</f>
        <v>4509.12</v>
      </c>
      <c r="AA1734" s="24" t="n">
        <f aca="false">MAX(AA1733,Z1734)</f>
        <v>5106.86</v>
      </c>
      <c r="AB1734" s="24" t="n">
        <f aca="false">AA1734-Z1734</f>
        <v>597.74</v>
      </c>
      <c r="AC1734" s="23" t="n">
        <f aca="false">IFERROR(AB1734/AA1734,0)</f>
        <v>0.117046482574419</v>
      </c>
      <c r="AD1734" s="22" t="s">
        <v>1971</v>
      </c>
    </row>
    <row r="1735" customFormat="false" ht="15" hidden="false" customHeight="false" outlineLevel="0" collapsed="false">
      <c r="A1735" s="22" t="n">
        <v>1734</v>
      </c>
      <c r="B1735" s="22" t="s">
        <v>170</v>
      </c>
      <c r="C1735" s="37" t="n">
        <v>46203.3914699074</v>
      </c>
      <c r="D1735" s="22" t="s">
        <v>203</v>
      </c>
      <c r="E1735" s="22" t="n">
        <v>9</v>
      </c>
      <c r="F1735" s="22" t="s">
        <v>181</v>
      </c>
      <c r="G1735" s="22" t="s">
        <v>235</v>
      </c>
      <c r="H1735" s="22" t="n">
        <v>0.07</v>
      </c>
      <c r="I1735" s="38" t="n">
        <v>3997.83</v>
      </c>
      <c r="J1735" s="38" t="n">
        <v>3997.99</v>
      </c>
      <c r="K1735" s="39" t="n">
        <f aca="false">IF(F1735="BUY",J1735-I1735,I1735-J1735)</f>
        <v>0.159999999999854</v>
      </c>
      <c r="L1735" s="38" t="n">
        <v>3991.83</v>
      </c>
      <c r="M1735" s="39" t="n">
        <f aca="false">ABS(I1735-L1735)</f>
        <v>6</v>
      </c>
      <c r="N1735" s="24" t="n">
        <f aca="false">M1735*H1735*Summary!$C$6</f>
        <v>42</v>
      </c>
      <c r="O1735" s="37" t="n">
        <v>46203.3924189815</v>
      </c>
      <c r="P1735" s="22" t="n">
        <f aca="false">ROUND((O1735-C1735)*86400,0)</f>
        <v>82</v>
      </c>
      <c r="Q1735" s="22" t="str">
        <f aca="false">IF(P1735&lt;10,"a) &lt;10s",IF(P1735&lt;60,"b) 10-60s",IF(P1735&lt;600,"c) 1-10min","d) &gt;10min")))</f>
        <v>c) 1-10min</v>
      </c>
      <c r="R1735" s="38" t="n">
        <v>3998.49</v>
      </c>
      <c r="S1735" s="38" t="n">
        <v>3998.32</v>
      </c>
      <c r="T1735" s="22" t="s">
        <v>189</v>
      </c>
      <c r="U1735" s="39" t="n">
        <f aca="false">IF(R1735="","",IF(F1735="BUY",R1735-S1735,S1735-R1735))</f>
        <v>0.169999999999618</v>
      </c>
      <c r="V1735" s="39" t="n">
        <f aca="false">IF(F1735="BUY",S1735-J1735,J1735-S1735)</f>
        <v>0.330000000000382</v>
      </c>
      <c r="W1735" s="6" t="n">
        <v>2.31</v>
      </c>
      <c r="X1735" s="26" t="n">
        <f aca="false">IFERROR(W1735/N1735,0)</f>
        <v>0.055</v>
      </c>
      <c r="Y1735" s="22" t="str">
        <f aca="false">IF(W1735&gt;0,"Win",IF(W1735&lt;0,"Loss","Flat"))</f>
        <v>Win</v>
      </c>
      <c r="Z1735" s="24" t="n">
        <f aca="false">Summary!$C$5+SUM(W$2:W1735)</f>
        <v>4511.43</v>
      </c>
      <c r="AA1735" s="24" t="n">
        <f aca="false">MAX(AA1734,Z1735)</f>
        <v>5106.86</v>
      </c>
      <c r="AB1735" s="24" t="n">
        <f aca="false">AA1735-Z1735</f>
        <v>595.429999999999</v>
      </c>
      <c r="AC1735" s="23" t="n">
        <f aca="false">IFERROR(AB1735/AA1735,0)</f>
        <v>0.116594149829837</v>
      </c>
      <c r="AD1735" s="22" t="s">
        <v>1972</v>
      </c>
    </row>
    <row r="1736" customFormat="false" ht="15" hidden="false" customHeight="false" outlineLevel="0" collapsed="false">
      <c r="A1736" s="22" t="n">
        <v>1735</v>
      </c>
      <c r="B1736" s="22" t="s">
        <v>171</v>
      </c>
      <c r="C1736" s="37" t="n">
        <v>46204.3797916667</v>
      </c>
      <c r="D1736" s="22" t="s">
        <v>204</v>
      </c>
      <c r="E1736" s="22" t="n">
        <v>9</v>
      </c>
      <c r="F1736" s="22" t="s">
        <v>182</v>
      </c>
      <c r="G1736" s="22" t="s">
        <v>241</v>
      </c>
      <c r="H1736" s="22" t="n">
        <v>0.07</v>
      </c>
      <c r="I1736" s="38" t="n">
        <v>3969.6</v>
      </c>
      <c r="J1736" s="38" t="n">
        <v>3969.58</v>
      </c>
      <c r="K1736" s="39" t="n">
        <f aca="false">IF(F1736="BUY",J1736-I1736,I1736-J1736)</f>
        <v>0.0199999999999818</v>
      </c>
      <c r="L1736" s="38" t="n">
        <v>3975.6</v>
      </c>
      <c r="M1736" s="39" t="n">
        <f aca="false">ABS(I1736-L1736)</f>
        <v>6</v>
      </c>
      <c r="N1736" s="24" t="n">
        <f aca="false">M1736*H1736*Summary!$C$6</f>
        <v>42</v>
      </c>
      <c r="O1736" s="37" t="n">
        <v>46204.3828703704</v>
      </c>
      <c r="P1736" s="22" t="n">
        <f aca="false">ROUND((O1736-C1736)*86400,0)</f>
        <v>266</v>
      </c>
      <c r="Q1736" s="22" t="str">
        <f aca="false">IF(P1736&lt;10,"a) &lt;10s",IF(P1736&lt;60,"b) 10-60s",IF(P1736&lt;600,"c) 1-10min","d) &gt;10min")))</f>
        <v>c) 1-10min</v>
      </c>
      <c r="R1736" s="38" t="n">
        <v>3969.08</v>
      </c>
      <c r="S1736" s="38" t="n">
        <v>3969.18</v>
      </c>
      <c r="T1736" s="22" t="s">
        <v>189</v>
      </c>
      <c r="U1736" s="39" t="n">
        <f aca="false">IF(R1736="","",IF(F1736="BUY",R1736-S1736,S1736-R1736))</f>
        <v>0.0999999999999091</v>
      </c>
      <c r="V1736" s="39" t="n">
        <f aca="false">IF(F1736="BUY",S1736-J1736,J1736-S1736)</f>
        <v>0.400000000000091</v>
      </c>
      <c r="W1736" s="6" t="n">
        <v>2.8</v>
      </c>
      <c r="X1736" s="26" t="n">
        <f aca="false">IFERROR(W1736/N1736,0)</f>
        <v>0.0666666666666667</v>
      </c>
      <c r="Y1736" s="22" t="str">
        <f aca="false">IF(W1736&gt;0,"Win",IF(W1736&lt;0,"Loss","Flat"))</f>
        <v>Win</v>
      </c>
      <c r="Z1736" s="24" t="n">
        <f aca="false">Summary!$C$5+SUM(W$2:W1736)</f>
        <v>4514.23</v>
      </c>
      <c r="AA1736" s="24" t="n">
        <f aca="false">MAX(AA1735,Z1736)</f>
        <v>5106.86</v>
      </c>
      <c r="AB1736" s="24" t="n">
        <f aca="false">AA1736-Z1736</f>
        <v>592.63</v>
      </c>
      <c r="AC1736" s="23" t="n">
        <f aca="false">IFERROR(AB1736/AA1736,0)</f>
        <v>0.116045867715191</v>
      </c>
      <c r="AD1736" s="22" t="s">
        <v>1973</v>
      </c>
    </row>
    <row r="1737" customFormat="false" ht="15" hidden="false" customHeight="false" outlineLevel="0" collapsed="false">
      <c r="A1737" s="22" t="n">
        <v>1736</v>
      </c>
      <c r="B1737" s="22" t="s">
        <v>171</v>
      </c>
      <c r="C1737" s="37" t="n">
        <v>46204.6937152778</v>
      </c>
      <c r="D1737" s="22" t="s">
        <v>204</v>
      </c>
      <c r="E1737" s="22" t="n">
        <v>16</v>
      </c>
      <c r="F1737" s="22" t="s">
        <v>181</v>
      </c>
      <c r="G1737" s="22" t="s">
        <v>243</v>
      </c>
      <c r="H1737" s="22" t="n">
        <v>0.07</v>
      </c>
      <c r="I1737" s="38" t="n">
        <v>4063.21</v>
      </c>
      <c r="J1737" s="38" t="n">
        <v>4063.66</v>
      </c>
      <c r="K1737" s="39" t="n">
        <f aca="false">IF(F1737="BUY",J1737-I1737,I1737-J1737)</f>
        <v>0.449999999999818</v>
      </c>
      <c r="L1737" s="38" t="n">
        <v>4057.21</v>
      </c>
      <c r="M1737" s="39" t="n">
        <f aca="false">ABS(I1737-L1737)</f>
        <v>6</v>
      </c>
      <c r="N1737" s="24" t="n">
        <f aca="false">M1737*H1737*Summary!$C$6</f>
        <v>42</v>
      </c>
      <c r="O1737" s="37" t="n">
        <v>46204.6937731481</v>
      </c>
      <c r="P1737" s="22" t="n">
        <f aca="false">ROUND((O1737-C1737)*86400,0)</f>
        <v>5</v>
      </c>
      <c r="Q1737" s="22" t="str">
        <f aca="false">IF(P1737&lt;10,"a) &lt;10s",IF(P1737&lt;60,"b) 10-60s",IF(P1737&lt;600,"c) 1-10min","d) &gt;10min")))</f>
        <v>a) &lt;10s</v>
      </c>
      <c r="R1737" s="38" t="n">
        <v>4064.16</v>
      </c>
      <c r="S1737" s="38" t="n">
        <v>4064.04</v>
      </c>
      <c r="T1737" s="22" t="s">
        <v>189</v>
      </c>
      <c r="U1737" s="39" t="n">
        <f aca="false">IF(R1737="","",IF(F1737="BUY",R1737-S1737,S1737-R1737))</f>
        <v>0.119999999999891</v>
      </c>
      <c r="V1737" s="39" t="n">
        <f aca="false">IF(F1737="BUY",S1737-J1737,J1737-S1737)</f>
        <v>0.380000000000109</v>
      </c>
      <c r="W1737" s="6" t="n">
        <v>2.66</v>
      </c>
      <c r="X1737" s="26" t="n">
        <f aca="false">IFERROR(W1737/N1737,0)</f>
        <v>0.0633333333333333</v>
      </c>
      <c r="Y1737" s="22" t="str">
        <f aca="false">IF(W1737&gt;0,"Win",IF(W1737&lt;0,"Loss","Flat"))</f>
        <v>Win</v>
      </c>
      <c r="Z1737" s="24" t="n">
        <f aca="false">Summary!$C$5+SUM(W$2:W1737)</f>
        <v>4516.89</v>
      </c>
      <c r="AA1737" s="24" t="n">
        <f aca="false">MAX(AA1736,Z1737)</f>
        <v>5106.86</v>
      </c>
      <c r="AB1737" s="24" t="n">
        <f aca="false">AA1737-Z1737</f>
        <v>589.969999999999</v>
      </c>
      <c r="AC1737" s="23" t="n">
        <f aca="false">IFERROR(AB1737/AA1737,0)</f>
        <v>0.115524999706277</v>
      </c>
      <c r="AD1737" s="22" t="s">
        <v>1974</v>
      </c>
    </row>
    <row r="1738" customFormat="false" ht="15" hidden="false" customHeight="false" outlineLevel="0" collapsed="false">
      <c r="A1738" s="22" t="n">
        <v>1737</v>
      </c>
      <c r="B1738" s="22" t="s">
        <v>171</v>
      </c>
      <c r="C1738" s="37" t="n">
        <v>46205.3765277778</v>
      </c>
      <c r="D1738" s="22" t="s">
        <v>205</v>
      </c>
      <c r="E1738" s="22" t="n">
        <v>9</v>
      </c>
      <c r="F1738" s="22" t="s">
        <v>181</v>
      </c>
      <c r="G1738" s="22" t="s">
        <v>235</v>
      </c>
      <c r="H1738" s="22" t="n">
        <v>0.07</v>
      </c>
      <c r="I1738" s="38" t="n">
        <v>4072.67</v>
      </c>
      <c r="J1738" s="38" t="n">
        <v>4072.67</v>
      </c>
      <c r="K1738" s="39" t="n">
        <f aca="false">IF(F1738="BUY",J1738-I1738,I1738-J1738)</f>
        <v>0</v>
      </c>
      <c r="L1738" s="38" t="n">
        <v>4066.67</v>
      </c>
      <c r="M1738" s="39" t="n">
        <f aca="false">ABS(I1738-L1738)</f>
        <v>6</v>
      </c>
      <c r="N1738" s="24" t="n">
        <f aca="false">M1738*H1738*Summary!$C$6</f>
        <v>42</v>
      </c>
      <c r="O1738" s="37" t="n">
        <v>46205.3771296296</v>
      </c>
      <c r="P1738" s="22" t="n">
        <f aca="false">ROUND((O1738-C1738)*86400,0)</f>
        <v>52</v>
      </c>
      <c r="Q1738" s="22" t="str">
        <f aca="false">IF(P1738&lt;10,"a) &lt;10s",IF(P1738&lt;60,"b) 10-60s",IF(P1738&lt;600,"c) 1-10min","d) &gt;10min")))</f>
        <v>b) 10-60s</v>
      </c>
      <c r="R1738" s="38" t="n">
        <v>4073.17</v>
      </c>
      <c r="S1738" s="38" t="n">
        <v>4073.06</v>
      </c>
      <c r="T1738" s="22" t="s">
        <v>189</v>
      </c>
      <c r="U1738" s="39" t="n">
        <f aca="false">IF(R1738="","",IF(F1738="BUY",R1738-S1738,S1738-R1738))</f>
        <v>0.110000000000127</v>
      </c>
      <c r="V1738" s="39" t="n">
        <f aca="false">IF(F1738="BUY",S1738-J1738,J1738-S1738)</f>
        <v>0.389999999999873</v>
      </c>
      <c r="W1738" s="6" t="n">
        <v>2.73</v>
      </c>
      <c r="X1738" s="26" t="n">
        <f aca="false">IFERROR(W1738/N1738,0)</f>
        <v>0.065</v>
      </c>
      <c r="Y1738" s="22" t="str">
        <f aca="false">IF(W1738&gt;0,"Win",IF(W1738&lt;0,"Loss","Flat"))</f>
        <v>Win</v>
      </c>
      <c r="Z1738" s="24" t="n">
        <f aca="false">Summary!$C$5+SUM(W$2:W1738)</f>
        <v>4519.62</v>
      </c>
      <c r="AA1738" s="24" t="n">
        <f aca="false">MAX(AA1737,Z1738)</f>
        <v>5106.86</v>
      </c>
      <c r="AB1738" s="24" t="n">
        <f aca="false">AA1738-Z1738</f>
        <v>587.24</v>
      </c>
      <c r="AC1738" s="23" t="n">
        <f aca="false">IFERROR(AB1738/AA1738,0)</f>
        <v>0.114990424644498</v>
      </c>
      <c r="AD1738" s="22" t="s">
        <v>1975</v>
      </c>
    </row>
    <row r="1739" customFormat="false" ht="15" hidden="false" customHeight="false" outlineLevel="0" collapsed="false">
      <c r="A1739" s="22" t="n">
        <v>1738</v>
      </c>
      <c r="B1739" s="22" t="s">
        <v>171</v>
      </c>
      <c r="C1739" s="37" t="n">
        <v>46205.6463194444</v>
      </c>
      <c r="D1739" s="22" t="s">
        <v>205</v>
      </c>
      <c r="E1739" s="22" t="n">
        <v>15</v>
      </c>
      <c r="F1739" s="22" t="s">
        <v>181</v>
      </c>
      <c r="G1739" s="22" t="s">
        <v>243</v>
      </c>
      <c r="H1739" s="22" t="n">
        <v>0.07</v>
      </c>
      <c r="I1739" s="38" t="n">
        <v>4115.49</v>
      </c>
      <c r="J1739" s="38" t="n">
        <v>4115.99</v>
      </c>
      <c r="K1739" s="39" t="n">
        <f aca="false">IF(F1739="BUY",J1739-I1739,I1739-J1739)</f>
        <v>0.5</v>
      </c>
      <c r="L1739" s="38" t="n">
        <v>4109.49</v>
      </c>
      <c r="M1739" s="39" t="n">
        <f aca="false">ABS(I1739-L1739)</f>
        <v>6</v>
      </c>
      <c r="N1739" s="24" t="n">
        <f aca="false">M1739*H1739*Summary!$C$6</f>
        <v>42</v>
      </c>
      <c r="O1739" s="37" t="n">
        <v>46205.6463425926</v>
      </c>
      <c r="P1739" s="22" t="n">
        <f aca="false">ROUND((O1739-C1739)*86400,0)</f>
        <v>2</v>
      </c>
      <c r="Q1739" s="22" t="str">
        <f aca="false">IF(P1739&lt;10,"a) &lt;10s",IF(P1739&lt;60,"b) 10-60s",IF(P1739&lt;600,"c) 1-10min","d) &gt;10min")))</f>
        <v>a) &lt;10s</v>
      </c>
      <c r="R1739" s="38" t="n">
        <v>4116.49</v>
      </c>
      <c r="S1739" s="38" t="n">
        <v>4114.68</v>
      </c>
      <c r="T1739" s="22" t="s">
        <v>189</v>
      </c>
      <c r="U1739" s="39" t="n">
        <f aca="false">IF(R1739="","",IF(F1739="BUY",R1739-S1739,S1739-R1739))</f>
        <v>1.80999999999949</v>
      </c>
      <c r="V1739" s="39" t="n">
        <f aca="false">IF(F1739="BUY",S1739-J1739,J1739-S1739)</f>
        <v>-1.30999999999949</v>
      </c>
      <c r="W1739" s="6" t="n">
        <v>-9.17</v>
      </c>
      <c r="X1739" s="26" t="n">
        <f aca="false">IFERROR(W1739/N1739,0)</f>
        <v>-0.218333333333333</v>
      </c>
      <c r="Y1739" s="22" t="str">
        <f aca="false">IF(W1739&gt;0,"Win",IF(W1739&lt;0,"Loss","Flat"))</f>
        <v>Loss</v>
      </c>
      <c r="Z1739" s="24" t="n">
        <f aca="false">Summary!$C$5+SUM(W$2:W1739)</f>
        <v>4510.45</v>
      </c>
      <c r="AA1739" s="24" t="n">
        <f aca="false">MAX(AA1738,Z1739)</f>
        <v>5106.86</v>
      </c>
      <c r="AB1739" s="24" t="n">
        <f aca="false">AA1739-Z1739</f>
        <v>596.41</v>
      </c>
      <c r="AC1739" s="23" t="n">
        <f aca="false">IFERROR(AB1739/AA1739,0)</f>
        <v>0.116786048569963</v>
      </c>
      <c r="AD1739" s="22" t="s">
        <v>1976</v>
      </c>
    </row>
    <row r="1740" customFormat="false" ht="15" hidden="false" customHeight="false" outlineLevel="0" collapsed="false">
      <c r="A1740" s="22" t="n">
        <v>1739</v>
      </c>
      <c r="B1740" s="22" t="s">
        <v>171</v>
      </c>
      <c r="C1740" s="37" t="n">
        <v>46206.1604861111</v>
      </c>
      <c r="D1740" s="22" t="s">
        <v>206</v>
      </c>
      <c r="E1740" s="22" t="n">
        <v>3</v>
      </c>
      <c r="F1740" s="22" t="s">
        <v>181</v>
      </c>
      <c r="G1740" s="22" t="s">
        <v>243</v>
      </c>
      <c r="H1740" s="22" t="n">
        <v>0.07</v>
      </c>
      <c r="I1740" s="38" t="n">
        <v>4143.72</v>
      </c>
      <c r="J1740" s="38" t="n">
        <v>4143.99</v>
      </c>
      <c r="K1740" s="39" t="n">
        <f aca="false">IF(F1740="BUY",J1740-I1740,I1740-J1740)</f>
        <v>0.269999999999527</v>
      </c>
      <c r="L1740" s="38" t="n">
        <v>4137.72</v>
      </c>
      <c r="M1740" s="39" t="n">
        <f aca="false">ABS(I1740-L1740)</f>
        <v>6</v>
      </c>
      <c r="N1740" s="24" t="n">
        <f aca="false">M1740*H1740*Summary!$C$6</f>
        <v>42</v>
      </c>
      <c r="O1740" s="37" t="n">
        <v>46206.1732291667</v>
      </c>
      <c r="P1740" s="22" t="n">
        <f aca="false">ROUND((O1740-C1740)*86400,0)</f>
        <v>1101</v>
      </c>
      <c r="Q1740" s="22" t="str">
        <f aca="false">IF(P1740&lt;10,"a) &lt;10s",IF(P1740&lt;60,"b) 10-60s",IF(P1740&lt;600,"c) 1-10min","d) &gt;10min")))</f>
        <v>d) &gt;10min</v>
      </c>
      <c r="R1740" s="38"/>
      <c r="S1740" s="38" t="n">
        <v>4173.86</v>
      </c>
      <c r="T1740" s="22" t="s">
        <v>187</v>
      </c>
      <c r="U1740" s="39" t="str">
        <f aca="false">IF(R1740="","",IF(F1740="BUY",R1740-S1740,S1740-R1740))</f>
        <v/>
      </c>
      <c r="V1740" s="39" t="n">
        <f aca="false">IF(F1740="BUY",S1740-J1740,J1740-S1740)</f>
        <v>29.8699999999999</v>
      </c>
      <c r="W1740" s="6" t="n">
        <v>209.09</v>
      </c>
      <c r="X1740" s="26" t="n">
        <f aca="false">IFERROR(W1740/N1740,0)</f>
        <v>4.97833333333333</v>
      </c>
      <c r="Y1740" s="22" t="str">
        <f aca="false">IF(W1740&gt;0,"Win",IF(W1740&lt;0,"Loss","Flat"))</f>
        <v>Win</v>
      </c>
      <c r="Z1740" s="24" t="n">
        <f aca="false">Summary!$C$5+SUM(W$2:W1740)</f>
        <v>4719.54</v>
      </c>
      <c r="AA1740" s="24" t="n">
        <f aca="false">MAX(AA1739,Z1740)</f>
        <v>5106.86</v>
      </c>
      <c r="AB1740" s="24" t="n">
        <f aca="false">AA1740-Z1740</f>
        <v>387.32</v>
      </c>
      <c r="AC1740" s="23" t="n">
        <f aca="false">IFERROR(AB1740/AA1740,0)</f>
        <v>0.0758430816587883</v>
      </c>
      <c r="AD1740" s="22" t="s">
        <v>1977</v>
      </c>
    </row>
    <row r="1741" customFormat="false" ht="15" hidden="false" customHeight="false" outlineLevel="0" collapsed="false">
      <c r="A1741" s="22" t="n">
        <v>1740</v>
      </c>
      <c r="B1741" s="22" t="s">
        <v>171</v>
      </c>
      <c r="C1741" s="37" t="n">
        <v>46206.376087963</v>
      </c>
      <c r="D1741" s="22" t="s">
        <v>206</v>
      </c>
      <c r="E1741" s="22" t="n">
        <v>9</v>
      </c>
      <c r="F1741" s="22" t="s">
        <v>182</v>
      </c>
      <c r="G1741" s="22" t="s">
        <v>241</v>
      </c>
      <c r="H1741" s="22" t="n">
        <v>0.07</v>
      </c>
      <c r="I1741" s="38" t="n">
        <v>4169.03</v>
      </c>
      <c r="J1741" s="38" t="n">
        <v>4169.03</v>
      </c>
      <c r="K1741" s="39" t="n">
        <f aca="false">IF(F1741="BUY",J1741-I1741,I1741-J1741)</f>
        <v>0</v>
      </c>
      <c r="L1741" s="38" t="n">
        <v>4175.03</v>
      </c>
      <c r="M1741" s="39" t="n">
        <f aca="false">ABS(I1741-L1741)</f>
        <v>6</v>
      </c>
      <c r="N1741" s="24" t="n">
        <f aca="false">M1741*H1741*Summary!$C$6</f>
        <v>42</v>
      </c>
      <c r="O1741" s="37" t="n">
        <v>46206.3791203704</v>
      </c>
      <c r="P1741" s="22" t="n">
        <f aca="false">ROUND((O1741-C1741)*86400,0)</f>
        <v>262</v>
      </c>
      <c r="Q1741" s="22" t="str">
        <f aca="false">IF(P1741&lt;10,"a) &lt;10s",IF(P1741&lt;60,"b) 10-60s",IF(P1741&lt;600,"c) 1-10min","d) &gt;10min")))</f>
        <v>c) 1-10min</v>
      </c>
      <c r="R1741" s="38" t="n">
        <v>4168.53</v>
      </c>
      <c r="S1741" s="38" t="n">
        <v>4168.57</v>
      </c>
      <c r="T1741" s="22" t="s">
        <v>189</v>
      </c>
      <c r="U1741" s="39" t="n">
        <f aca="false">IF(R1741="","",IF(F1741="BUY",R1741-S1741,S1741-R1741))</f>
        <v>0.0399999999999636</v>
      </c>
      <c r="V1741" s="39" t="n">
        <f aca="false">IF(F1741="BUY",S1741-J1741,J1741-S1741)</f>
        <v>0.460000000000036</v>
      </c>
      <c r="W1741" s="6" t="n">
        <v>3.22</v>
      </c>
      <c r="X1741" s="26" t="n">
        <f aca="false">IFERROR(W1741/N1741,0)</f>
        <v>0.0766666666666667</v>
      </c>
      <c r="Y1741" s="22" t="str">
        <f aca="false">IF(W1741&gt;0,"Win",IF(W1741&lt;0,"Loss","Flat"))</f>
        <v>Win</v>
      </c>
      <c r="Z1741" s="24" t="n">
        <f aca="false">Summary!$C$5+SUM(W$2:W1741)</f>
        <v>4722.76</v>
      </c>
      <c r="AA1741" s="24" t="n">
        <f aca="false">MAX(AA1740,Z1741)</f>
        <v>5106.86</v>
      </c>
      <c r="AB1741" s="24" t="n">
        <f aca="false">AA1741-Z1741</f>
        <v>384.099999999999</v>
      </c>
      <c r="AC1741" s="23" t="n">
        <f aca="false">IFERROR(AB1741/AA1741,0)</f>
        <v>0.0752125572269456</v>
      </c>
      <c r="AD1741" s="22" t="s">
        <v>1978</v>
      </c>
    </row>
    <row r="1742" customFormat="false" ht="15" hidden="false" customHeight="false" outlineLevel="0" collapsed="false">
      <c r="A1742" s="22" t="n">
        <v>1741</v>
      </c>
      <c r="B1742" s="22" t="s">
        <v>171</v>
      </c>
      <c r="C1742" s="37" t="n">
        <v>46209.1028356482</v>
      </c>
      <c r="D1742" s="22" t="s">
        <v>202</v>
      </c>
      <c r="E1742" s="22" t="n">
        <v>2</v>
      </c>
      <c r="F1742" s="22" t="s">
        <v>181</v>
      </c>
      <c r="G1742" s="22" t="s">
        <v>243</v>
      </c>
      <c r="H1742" s="22" t="n">
        <v>0.07</v>
      </c>
      <c r="I1742" s="38" t="n">
        <v>4195.37</v>
      </c>
      <c r="J1742" s="38" t="n">
        <v>4195.66</v>
      </c>
      <c r="K1742" s="39" t="n">
        <f aca="false">IF(F1742="BUY",J1742-I1742,I1742-J1742)</f>
        <v>0.289999999999964</v>
      </c>
      <c r="L1742" s="38" t="n">
        <v>4189.37</v>
      </c>
      <c r="M1742" s="39" t="n">
        <f aca="false">ABS(I1742-L1742)</f>
        <v>6</v>
      </c>
      <c r="N1742" s="24" t="n">
        <f aca="false">M1742*H1742*Summary!$C$6</f>
        <v>42</v>
      </c>
      <c r="O1742" s="37" t="n">
        <v>46209.1064930556</v>
      </c>
      <c r="P1742" s="22" t="n">
        <f aca="false">ROUND((O1742-C1742)*86400,0)</f>
        <v>316</v>
      </c>
      <c r="Q1742" s="22" t="str">
        <f aca="false">IF(P1742&lt;10,"a) &lt;10s",IF(P1742&lt;60,"b) 10-60s",IF(P1742&lt;600,"c) 1-10min","d) &gt;10min")))</f>
        <v>c) 1-10min</v>
      </c>
      <c r="R1742" s="38" t="n">
        <v>4196.16</v>
      </c>
      <c r="S1742" s="38" t="n">
        <v>4195.97</v>
      </c>
      <c r="T1742" s="22" t="s">
        <v>189</v>
      </c>
      <c r="U1742" s="39" t="n">
        <f aca="false">IF(R1742="","",IF(F1742="BUY",R1742-S1742,S1742-R1742))</f>
        <v>0.1899999999996</v>
      </c>
      <c r="V1742" s="39" t="n">
        <f aca="false">IF(F1742="BUY",S1742-J1742,J1742-S1742)</f>
        <v>0.3100000000004</v>
      </c>
      <c r="W1742" s="6" t="n">
        <v>2.17</v>
      </c>
      <c r="X1742" s="26" t="n">
        <f aca="false">IFERROR(W1742/N1742,0)</f>
        <v>0.0516666666666667</v>
      </c>
      <c r="Y1742" s="22" t="str">
        <f aca="false">IF(W1742&gt;0,"Win",IF(W1742&lt;0,"Loss","Flat"))</f>
        <v>Win</v>
      </c>
      <c r="Z1742" s="24" t="n">
        <f aca="false">Summary!$C$5+SUM(W$2:W1742)</f>
        <v>4724.93</v>
      </c>
      <c r="AA1742" s="24" t="n">
        <f aca="false">MAX(AA1741,Z1742)</f>
        <v>5106.86</v>
      </c>
      <c r="AB1742" s="24" t="n">
        <f aca="false">AA1742-Z1742</f>
        <v>381.929999999999</v>
      </c>
      <c r="AC1742" s="23" t="n">
        <f aca="false">IFERROR(AB1742/AA1742,0)</f>
        <v>0.0747876385880951</v>
      </c>
      <c r="AD1742" s="22" t="s">
        <v>1979</v>
      </c>
    </row>
    <row r="1743" customFormat="false" ht="15" hidden="false" customHeight="false" outlineLevel="0" collapsed="false">
      <c r="A1743" s="22" t="n">
        <v>1742</v>
      </c>
      <c r="B1743" s="22" t="s">
        <v>171</v>
      </c>
      <c r="C1743" s="37" t="n">
        <v>46209.4511574074</v>
      </c>
      <c r="D1743" s="22" t="s">
        <v>202</v>
      </c>
      <c r="E1743" s="22" t="n">
        <v>10</v>
      </c>
      <c r="F1743" s="22" t="s">
        <v>181</v>
      </c>
      <c r="G1743" s="22" t="s">
        <v>235</v>
      </c>
      <c r="H1743" s="22" t="n">
        <v>0.07</v>
      </c>
      <c r="I1743" s="38" t="n">
        <v>4166.39</v>
      </c>
      <c r="J1743" s="38" t="n">
        <v>4166.57</v>
      </c>
      <c r="K1743" s="39" t="n">
        <f aca="false">IF(F1743="BUY",J1743-I1743,I1743-J1743)</f>
        <v>0.179999999999382</v>
      </c>
      <c r="L1743" s="38" t="n">
        <v>4160.39</v>
      </c>
      <c r="M1743" s="39" t="n">
        <f aca="false">ABS(I1743-L1743)</f>
        <v>6</v>
      </c>
      <c r="N1743" s="24" t="n">
        <f aca="false">M1743*H1743*Summary!$C$6</f>
        <v>42</v>
      </c>
      <c r="O1743" s="37" t="n">
        <v>46209.4625231482</v>
      </c>
      <c r="P1743" s="22" t="n">
        <f aca="false">ROUND((O1743-C1743)*86400,0)</f>
        <v>982</v>
      </c>
      <c r="Q1743" s="22" t="str">
        <f aca="false">IF(P1743&lt;10,"a) &lt;10s",IF(P1743&lt;60,"b) 10-60s",IF(P1743&lt;600,"c) 1-10min","d) &gt;10min")))</f>
        <v>d) &gt;10min</v>
      </c>
      <c r="R1743" s="38" t="n">
        <v>4160.39</v>
      </c>
      <c r="S1743" s="38" t="n">
        <v>4160.25</v>
      </c>
      <c r="T1743" s="22" t="s">
        <v>188</v>
      </c>
      <c r="U1743" s="39" t="n">
        <f aca="false">IF(R1743="","",IF(F1743="BUY",R1743-S1743,S1743-R1743))</f>
        <v>0.140000000000327</v>
      </c>
      <c r="V1743" s="39" t="n">
        <f aca="false">IF(F1743="BUY",S1743-J1743,J1743-S1743)</f>
        <v>-6.31999999999971</v>
      </c>
      <c r="W1743" s="6" t="n">
        <v>-44.24</v>
      </c>
      <c r="X1743" s="26" t="n">
        <f aca="false">IFERROR(W1743/N1743,0)</f>
        <v>-1.05333333333333</v>
      </c>
      <c r="Y1743" s="22" t="str">
        <f aca="false">IF(W1743&gt;0,"Win",IF(W1743&lt;0,"Loss","Flat"))</f>
        <v>Loss</v>
      </c>
      <c r="Z1743" s="24" t="n">
        <f aca="false">Summary!$C$5+SUM(W$2:W1743)</f>
        <v>4680.69</v>
      </c>
      <c r="AA1743" s="24" t="n">
        <f aca="false">MAX(AA1742,Z1743)</f>
        <v>5106.86</v>
      </c>
      <c r="AB1743" s="24" t="n">
        <f aca="false">AA1743-Z1743</f>
        <v>426.17</v>
      </c>
      <c r="AC1743" s="23" t="n">
        <f aca="false">IFERROR(AB1743/AA1743,0)</f>
        <v>0.0834504959994987</v>
      </c>
      <c r="AD1743" s="22" t="s">
        <v>1980</v>
      </c>
    </row>
    <row r="1744" customFormat="false" ht="15" hidden="false" customHeight="false" outlineLevel="0" collapsed="false">
      <c r="A1744" s="22" t="n">
        <v>1743</v>
      </c>
      <c r="B1744" s="22" t="s">
        <v>171</v>
      </c>
      <c r="C1744" s="37" t="n">
        <v>46210.1859837963</v>
      </c>
      <c r="D1744" s="22" t="s">
        <v>203</v>
      </c>
      <c r="E1744" s="22" t="n">
        <v>4</v>
      </c>
      <c r="F1744" s="22" t="s">
        <v>182</v>
      </c>
      <c r="G1744" s="22" t="s">
        <v>237</v>
      </c>
      <c r="H1744" s="22" t="n">
        <v>0.07</v>
      </c>
      <c r="I1744" s="38" t="n">
        <v>4128.27</v>
      </c>
      <c r="J1744" s="38" t="n">
        <v>4127.46</v>
      </c>
      <c r="K1744" s="39" t="n">
        <f aca="false">IF(F1744="BUY",J1744-I1744,I1744-J1744)</f>
        <v>0.8100000000004</v>
      </c>
      <c r="L1744" s="38" t="n">
        <v>4134.27</v>
      </c>
      <c r="M1744" s="39" t="n">
        <f aca="false">ABS(I1744-L1744)</f>
        <v>6</v>
      </c>
      <c r="N1744" s="24" t="n">
        <f aca="false">M1744*H1744*Summary!$C$6</f>
        <v>42</v>
      </c>
      <c r="O1744" s="37" t="n">
        <v>46210.1876273148</v>
      </c>
      <c r="P1744" s="22" t="n">
        <f aca="false">ROUND((O1744-C1744)*86400,0)</f>
        <v>142</v>
      </c>
      <c r="Q1744" s="22" t="str">
        <f aca="false">IF(P1744&lt;10,"a) &lt;10s",IF(P1744&lt;60,"b) 10-60s",IF(P1744&lt;600,"c) 1-10min","d) &gt;10min")))</f>
        <v>c) 1-10min</v>
      </c>
      <c r="R1744" s="38" t="n">
        <v>4134.27</v>
      </c>
      <c r="S1744" s="38" t="n">
        <v>4134.49</v>
      </c>
      <c r="T1744" s="22" t="s">
        <v>188</v>
      </c>
      <c r="U1744" s="39" t="n">
        <f aca="false">IF(R1744="","",IF(F1744="BUY",R1744-S1744,S1744-R1744))</f>
        <v>0.219999999999345</v>
      </c>
      <c r="V1744" s="39" t="n">
        <f aca="false">IF(F1744="BUY",S1744-J1744,J1744-S1744)</f>
        <v>-7.02999999999975</v>
      </c>
      <c r="W1744" s="6" t="n">
        <v>-49.21</v>
      </c>
      <c r="X1744" s="26" t="n">
        <f aca="false">IFERROR(W1744/N1744,0)</f>
        <v>-1.17166666666667</v>
      </c>
      <c r="Y1744" s="22" t="str">
        <f aca="false">IF(W1744&gt;0,"Win",IF(W1744&lt;0,"Loss","Flat"))</f>
        <v>Loss</v>
      </c>
      <c r="Z1744" s="24" t="n">
        <f aca="false">Summary!$C$5+SUM(W$2:W1744)</f>
        <v>4631.48</v>
      </c>
      <c r="AA1744" s="24" t="n">
        <f aca="false">MAX(AA1743,Z1744)</f>
        <v>5106.86</v>
      </c>
      <c r="AB1744" s="24" t="n">
        <f aca="false">AA1744-Z1744</f>
        <v>475.38</v>
      </c>
      <c r="AC1744" s="23" t="n">
        <f aca="false">IFERROR(AB1744/AA1744,0)</f>
        <v>0.0930865541643985</v>
      </c>
      <c r="AD1744" s="22" t="s">
        <v>1981</v>
      </c>
    </row>
    <row r="1745" customFormat="false" ht="15" hidden="false" customHeight="false" outlineLevel="0" collapsed="false">
      <c r="A1745" s="22" t="n">
        <v>1744</v>
      </c>
      <c r="B1745" s="22" t="s">
        <v>171</v>
      </c>
      <c r="C1745" s="37" t="n">
        <v>46210.5963773148</v>
      </c>
      <c r="D1745" s="22" t="s">
        <v>203</v>
      </c>
      <c r="E1745" s="22" t="n">
        <v>14</v>
      </c>
      <c r="F1745" s="22" t="s">
        <v>181</v>
      </c>
      <c r="G1745" s="22" t="s">
        <v>235</v>
      </c>
      <c r="H1745" s="22" t="n">
        <v>0.07</v>
      </c>
      <c r="I1745" s="38" t="n">
        <v>4141</v>
      </c>
      <c r="J1745" s="38" t="n">
        <v>4141.71</v>
      </c>
      <c r="K1745" s="39" t="n">
        <f aca="false">IF(F1745="BUY",J1745-I1745,I1745-J1745)</f>
        <v>0.710000000000036</v>
      </c>
      <c r="L1745" s="38" t="n">
        <v>4135</v>
      </c>
      <c r="M1745" s="39" t="n">
        <f aca="false">ABS(I1745-L1745)</f>
        <v>6</v>
      </c>
      <c r="N1745" s="24" t="n">
        <f aca="false">M1745*H1745*Summary!$C$6</f>
        <v>42</v>
      </c>
      <c r="O1745" s="37" t="n">
        <v>46210.6044212963</v>
      </c>
      <c r="P1745" s="22" t="n">
        <f aca="false">ROUND((O1745-C1745)*86400,0)</f>
        <v>695</v>
      </c>
      <c r="Q1745" s="22" t="str">
        <f aca="false">IF(P1745&lt;10,"a) &lt;10s",IF(P1745&lt;60,"b) 10-60s",IF(P1745&lt;600,"c) 1-10min","d) &gt;10min")))</f>
        <v>d) &gt;10min</v>
      </c>
      <c r="R1745" s="38" t="n">
        <v>4142.21</v>
      </c>
      <c r="S1745" s="38" t="n">
        <v>4142.2</v>
      </c>
      <c r="T1745" s="22" t="s">
        <v>189</v>
      </c>
      <c r="U1745" s="39" t="n">
        <f aca="false">IF(R1745="","",IF(F1745="BUY",R1745-S1745,S1745-R1745))</f>
        <v>0.0100000000002183</v>
      </c>
      <c r="V1745" s="39" t="n">
        <f aca="false">IF(F1745="BUY",S1745-J1745,J1745-S1745)</f>
        <v>0.489999999999782</v>
      </c>
      <c r="W1745" s="6" t="n">
        <v>3.43</v>
      </c>
      <c r="X1745" s="26" t="n">
        <f aca="false">IFERROR(W1745/N1745,0)</f>
        <v>0.0816666666666667</v>
      </c>
      <c r="Y1745" s="22" t="str">
        <f aca="false">IF(W1745&gt;0,"Win",IF(W1745&lt;0,"Loss","Flat"))</f>
        <v>Win</v>
      </c>
      <c r="Z1745" s="24" t="n">
        <f aca="false">Summary!$C$5+SUM(W$2:W1745)</f>
        <v>4634.91</v>
      </c>
      <c r="AA1745" s="24" t="n">
        <f aca="false">MAX(AA1744,Z1745)</f>
        <v>5106.86</v>
      </c>
      <c r="AB1745" s="24" t="n">
        <f aca="false">AA1745-Z1745</f>
        <v>471.95</v>
      </c>
      <c r="AC1745" s="23" t="n">
        <f aca="false">IFERROR(AB1745/AA1745,0)</f>
        <v>0.0924149085739574</v>
      </c>
      <c r="AD1745" s="22" t="s">
        <v>1982</v>
      </c>
    </row>
    <row r="1746" customFormat="false" ht="15" hidden="false" customHeight="false" outlineLevel="0" collapsed="false">
      <c r="A1746" s="22" t="n">
        <v>1745</v>
      </c>
      <c r="B1746" s="22" t="s">
        <v>171</v>
      </c>
      <c r="C1746" s="37" t="n">
        <v>46211.3920949074</v>
      </c>
      <c r="D1746" s="22" t="s">
        <v>204</v>
      </c>
      <c r="E1746" s="22" t="n">
        <v>9</v>
      </c>
      <c r="F1746" s="22" t="s">
        <v>181</v>
      </c>
      <c r="G1746" s="22" t="s">
        <v>235</v>
      </c>
      <c r="H1746" s="22" t="n">
        <v>0.07</v>
      </c>
      <c r="I1746" s="38" t="n">
        <v>4133.69</v>
      </c>
      <c r="J1746" s="38" t="n">
        <v>4133.85</v>
      </c>
      <c r="K1746" s="39" t="n">
        <f aca="false">IF(F1746="BUY",J1746-I1746,I1746-J1746)</f>
        <v>0.160000000000764</v>
      </c>
      <c r="L1746" s="38" t="n">
        <v>4127.69</v>
      </c>
      <c r="M1746" s="39" t="n">
        <f aca="false">ABS(I1746-L1746)</f>
        <v>6</v>
      </c>
      <c r="N1746" s="24" t="n">
        <f aca="false">M1746*H1746*Summary!$C$6</f>
        <v>42</v>
      </c>
      <c r="O1746" s="37" t="n">
        <v>46211.3971759259</v>
      </c>
      <c r="P1746" s="22" t="n">
        <f aca="false">ROUND((O1746-C1746)*86400,0)</f>
        <v>439</v>
      </c>
      <c r="Q1746" s="22" t="str">
        <f aca="false">IF(P1746&lt;10,"a) &lt;10s",IF(P1746&lt;60,"b) 10-60s",IF(P1746&lt;600,"c) 1-10min","d) &gt;10min")))</f>
        <v>c) 1-10min</v>
      </c>
      <c r="R1746" s="38" t="n">
        <v>4127.69</v>
      </c>
      <c r="S1746" s="38" t="n">
        <v>4127.46</v>
      </c>
      <c r="T1746" s="22" t="s">
        <v>188</v>
      </c>
      <c r="U1746" s="39" t="n">
        <f aca="false">IF(R1746="","",IF(F1746="BUY",R1746-S1746,S1746-R1746))</f>
        <v>0.229999999999563</v>
      </c>
      <c r="V1746" s="39" t="n">
        <f aca="false">IF(F1746="BUY",S1746-J1746,J1746-S1746)</f>
        <v>-6.39000000000033</v>
      </c>
      <c r="W1746" s="6" t="n">
        <v>-44.73</v>
      </c>
      <c r="X1746" s="26" t="n">
        <f aca="false">IFERROR(W1746/N1746,0)</f>
        <v>-1.065</v>
      </c>
      <c r="Y1746" s="22" t="str">
        <f aca="false">IF(W1746&gt;0,"Win",IF(W1746&lt;0,"Loss","Flat"))</f>
        <v>Loss</v>
      </c>
      <c r="Z1746" s="24" t="n">
        <f aca="false">Summary!$C$5+SUM(W$2:W1746)</f>
        <v>4590.18</v>
      </c>
      <c r="AA1746" s="24" t="n">
        <f aca="false">MAX(AA1745,Z1746)</f>
        <v>5106.86</v>
      </c>
      <c r="AB1746" s="24" t="n">
        <f aca="false">AA1746-Z1746</f>
        <v>516.679999999999</v>
      </c>
      <c r="AC1746" s="23" t="n">
        <f aca="false">IFERROR(AB1746/AA1746,0)</f>
        <v>0.101173715355424</v>
      </c>
      <c r="AD1746" s="22" t="s">
        <v>1983</v>
      </c>
    </row>
    <row r="1747" customFormat="false" ht="15" hidden="false" customHeight="false" outlineLevel="0" collapsed="false">
      <c r="A1747" s="22" t="n">
        <v>1746</v>
      </c>
      <c r="B1747" s="22" t="s">
        <v>171</v>
      </c>
      <c r="C1747" s="37" t="n">
        <v>46211.4707986111</v>
      </c>
      <c r="D1747" s="22" t="s">
        <v>204</v>
      </c>
      <c r="E1747" s="22" t="n">
        <v>11</v>
      </c>
      <c r="F1747" s="22" t="s">
        <v>182</v>
      </c>
      <c r="G1747" s="22" t="s">
        <v>237</v>
      </c>
      <c r="H1747" s="22" t="n">
        <v>0.07</v>
      </c>
      <c r="I1747" s="38" t="n">
        <v>4091.85</v>
      </c>
      <c r="J1747" s="38" t="n">
        <v>4091.85</v>
      </c>
      <c r="K1747" s="39" t="n">
        <f aca="false">IF(F1747="BUY",J1747-I1747,I1747-J1747)</f>
        <v>0</v>
      </c>
      <c r="L1747" s="38" t="n">
        <v>4097.85</v>
      </c>
      <c r="M1747" s="39" t="n">
        <f aca="false">ABS(I1747-L1747)</f>
        <v>6.00000000000046</v>
      </c>
      <c r="N1747" s="24" t="n">
        <f aca="false">M1747*H1747*Summary!$C$6</f>
        <v>42.0000000000032</v>
      </c>
      <c r="O1747" s="37" t="n">
        <v>46211.4715972222</v>
      </c>
      <c r="P1747" s="22" t="n">
        <f aca="false">ROUND((O1747-C1747)*86400,0)</f>
        <v>69</v>
      </c>
      <c r="Q1747" s="22" t="str">
        <f aca="false">IF(P1747&lt;10,"a) &lt;10s",IF(P1747&lt;60,"b) 10-60s",IF(P1747&lt;600,"c) 1-10min","d) &gt;10min")))</f>
        <v>c) 1-10min</v>
      </c>
      <c r="R1747" s="38" t="n">
        <v>4091.35</v>
      </c>
      <c r="S1747" s="38" t="n">
        <v>4091.51</v>
      </c>
      <c r="T1747" s="22" t="s">
        <v>189</v>
      </c>
      <c r="U1747" s="39" t="n">
        <f aca="false">IF(R1747="","",IF(F1747="BUY",R1747-S1747,S1747-R1747))</f>
        <v>0.160000000000309</v>
      </c>
      <c r="V1747" s="39" t="n">
        <f aca="false">IF(F1747="BUY",S1747-J1747,J1747-S1747)</f>
        <v>0.339999999999691</v>
      </c>
      <c r="W1747" s="6" t="n">
        <v>2.38</v>
      </c>
      <c r="X1747" s="26" t="n">
        <f aca="false">IFERROR(W1747/N1747,0)</f>
        <v>0.0566666666666624</v>
      </c>
      <c r="Y1747" s="22" t="str">
        <f aca="false">IF(W1747&gt;0,"Win",IF(W1747&lt;0,"Loss","Flat"))</f>
        <v>Win</v>
      </c>
      <c r="Z1747" s="24" t="n">
        <f aca="false">Summary!$C$5+SUM(W$2:W1747)</f>
        <v>4592.56</v>
      </c>
      <c r="AA1747" s="24" t="n">
        <f aca="false">MAX(AA1746,Z1747)</f>
        <v>5106.86</v>
      </c>
      <c r="AB1747" s="24" t="n">
        <f aca="false">AA1747-Z1747</f>
        <v>514.299999999999</v>
      </c>
      <c r="AC1747" s="23" t="n">
        <f aca="false">IFERROR(AB1747/AA1747,0)</f>
        <v>0.100707675557975</v>
      </c>
      <c r="AD1747" s="22" t="s">
        <v>1984</v>
      </c>
    </row>
    <row r="1748" customFormat="false" ht="15" hidden="false" customHeight="false" outlineLevel="0" collapsed="false">
      <c r="A1748" s="22" t="n">
        <v>1747</v>
      </c>
      <c r="B1748" s="22" t="s">
        <v>171</v>
      </c>
      <c r="C1748" s="37" t="n">
        <v>46212.3750347222</v>
      </c>
      <c r="D1748" s="22" t="s">
        <v>205</v>
      </c>
      <c r="E1748" s="22" t="n">
        <v>9</v>
      </c>
      <c r="F1748" s="22" t="s">
        <v>181</v>
      </c>
      <c r="G1748" s="22" t="s">
        <v>235</v>
      </c>
      <c r="H1748" s="22" t="n">
        <v>0.07</v>
      </c>
      <c r="I1748" s="38" t="n">
        <v>4084.04</v>
      </c>
      <c r="J1748" s="38" t="n">
        <v>4084.08</v>
      </c>
      <c r="K1748" s="39" t="n">
        <f aca="false">IF(F1748="BUY",J1748-I1748,I1748-J1748)</f>
        <v>0.0399999999999636</v>
      </c>
      <c r="L1748" s="38" t="n">
        <v>4078.04</v>
      </c>
      <c r="M1748" s="39" t="n">
        <f aca="false">ABS(I1748-L1748)</f>
        <v>6</v>
      </c>
      <c r="N1748" s="24" t="n">
        <f aca="false">M1748*H1748*Summary!$C$6</f>
        <v>42</v>
      </c>
      <c r="O1748" s="37" t="n">
        <v>46212.4731018519</v>
      </c>
      <c r="P1748" s="22" t="n">
        <f aca="false">ROUND((O1748-C1748)*86400,0)</f>
        <v>8473</v>
      </c>
      <c r="Q1748" s="22" t="str">
        <f aca="false">IF(P1748&lt;10,"a) &lt;10s",IF(P1748&lt;60,"b) 10-60s",IF(P1748&lt;600,"c) 1-10min","d) &gt;10min")))</f>
        <v>d) &gt;10min</v>
      </c>
      <c r="R1748" s="38"/>
      <c r="S1748" s="38" t="n">
        <v>4114.63</v>
      </c>
      <c r="T1748" s="22" t="s">
        <v>187</v>
      </c>
      <c r="U1748" s="39" t="str">
        <f aca="false">IF(R1748="","",IF(F1748="BUY",R1748-S1748,S1748-R1748))</f>
        <v/>
      </c>
      <c r="V1748" s="39" t="n">
        <f aca="false">IF(F1748="BUY",S1748-J1748,J1748-S1748)</f>
        <v>30.5500000000002</v>
      </c>
      <c r="W1748" s="6" t="n">
        <v>213.85</v>
      </c>
      <c r="X1748" s="26" t="n">
        <f aca="false">IFERROR(W1748/N1748,0)</f>
        <v>5.09166666666667</v>
      </c>
      <c r="Y1748" s="22" t="str">
        <f aca="false">IF(W1748&gt;0,"Win",IF(W1748&lt;0,"Loss","Flat"))</f>
        <v>Win</v>
      </c>
      <c r="Z1748" s="24" t="n">
        <f aca="false">Summary!$C$5+SUM(W$2:W1748)</f>
        <v>4806.41</v>
      </c>
      <c r="AA1748" s="24" t="n">
        <f aca="false">MAX(AA1747,Z1748)</f>
        <v>5106.86</v>
      </c>
      <c r="AB1748" s="24" t="n">
        <f aca="false">AA1748-Z1748</f>
        <v>300.45</v>
      </c>
      <c r="AC1748" s="23" t="n">
        <f aca="false">IFERROR(AB1748/AA1748,0)</f>
        <v>0.0588326290519027</v>
      </c>
      <c r="AD1748" s="22" t="s">
        <v>1985</v>
      </c>
    </row>
    <row r="1749" customFormat="false" ht="15" hidden="false" customHeight="false" outlineLevel="0" collapsed="false">
      <c r="A1749" s="22" t="n">
        <v>1748</v>
      </c>
      <c r="B1749" s="22" t="s">
        <v>171</v>
      </c>
      <c r="C1749" s="37" t="n">
        <v>46212.7111111111</v>
      </c>
      <c r="D1749" s="22" t="s">
        <v>205</v>
      </c>
      <c r="E1749" s="22" t="n">
        <v>17</v>
      </c>
      <c r="F1749" s="22" t="s">
        <v>181</v>
      </c>
      <c r="G1749" s="22" t="s">
        <v>243</v>
      </c>
      <c r="H1749" s="22" t="n">
        <v>0.08</v>
      </c>
      <c r="I1749" s="38" t="n">
        <v>4133.69</v>
      </c>
      <c r="J1749" s="38" t="n">
        <v>4133.75</v>
      </c>
      <c r="K1749" s="39" t="n">
        <f aca="false">IF(F1749="BUY",J1749-I1749,I1749-J1749)</f>
        <v>0.0600000000004002</v>
      </c>
      <c r="L1749" s="38" t="n">
        <v>4127.69</v>
      </c>
      <c r="M1749" s="39" t="n">
        <f aca="false">ABS(I1749-L1749)</f>
        <v>6</v>
      </c>
      <c r="N1749" s="24" t="n">
        <f aca="false">M1749*H1749*Summary!$C$6</f>
        <v>48</v>
      </c>
      <c r="O1749" s="37" t="n">
        <v>46212.7132638889</v>
      </c>
      <c r="P1749" s="22" t="n">
        <f aca="false">ROUND((O1749-C1749)*86400,0)</f>
        <v>186</v>
      </c>
      <c r="Q1749" s="22" t="str">
        <f aca="false">IF(P1749&lt;10,"a) &lt;10s",IF(P1749&lt;60,"b) 10-60s",IF(P1749&lt;600,"c) 1-10min","d) &gt;10min")))</f>
        <v>c) 1-10min</v>
      </c>
      <c r="R1749" s="38" t="n">
        <v>4127.69</v>
      </c>
      <c r="S1749" s="38" t="n">
        <v>4127.32</v>
      </c>
      <c r="T1749" s="22" t="s">
        <v>188</v>
      </c>
      <c r="U1749" s="39" t="n">
        <f aca="false">IF(R1749="","",IF(F1749="BUY",R1749-S1749,S1749-R1749))</f>
        <v>0.369999999999891</v>
      </c>
      <c r="V1749" s="39" t="n">
        <f aca="false">IF(F1749="BUY",S1749-J1749,J1749-S1749)</f>
        <v>-6.43000000000029</v>
      </c>
      <c r="W1749" s="6" t="n">
        <v>-51.44</v>
      </c>
      <c r="X1749" s="26" t="n">
        <f aca="false">IFERROR(W1749/N1749,0)</f>
        <v>-1.07166666666667</v>
      </c>
      <c r="Y1749" s="22" t="str">
        <f aca="false">IF(W1749&gt;0,"Win",IF(W1749&lt;0,"Loss","Flat"))</f>
        <v>Loss</v>
      </c>
      <c r="Z1749" s="24" t="n">
        <f aca="false">Summary!$C$5+SUM(W$2:W1749)</f>
        <v>4754.97</v>
      </c>
      <c r="AA1749" s="24" t="n">
        <f aca="false">MAX(AA1748,Z1749)</f>
        <v>5106.86</v>
      </c>
      <c r="AB1749" s="24" t="n">
        <f aca="false">AA1749-Z1749</f>
        <v>351.889999999999</v>
      </c>
      <c r="AC1749" s="23" t="n">
        <f aca="false">IFERROR(AB1749/AA1749,0)</f>
        <v>0.0689053547581096</v>
      </c>
      <c r="AD1749" s="22" t="s">
        <v>1986</v>
      </c>
    </row>
    <row r="1750" customFormat="false" ht="15" hidden="false" customHeight="false" outlineLevel="0" collapsed="false">
      <c r="A1750" s="22" t="n">
        <v>1749</v>
      </c>
      <c r="B1750" s="22" t="s">
        <v>171</v>
      </c>
      <c r="C1750" s="37" t="n">
        <v>46213.4471875</v>
      </c>
      <c r="D1750" s="22" t="s">
        <v>206</v>
      </c>
      <c r="E1750" s="22" t="n">
        <v>10</v>
      </c>
      <c r="F1750" s="22" t="s">
        <v>182</v>
      </c>
      <c r="G1750" s="22" t="s">
        <v>241</v>
      </c>
      <c r="H1750" s="22" t="n">
        <v>0.07</v>
      </c>
      <c r="I1750" s="38" t="n">
        <v>4107.96</v>
      </c>
      <c r="J1750" s="38" t="n">
        <v>4107.6</v>
      </c>
      <c r="K1750" s="39" t="n">
        <f aca="false">IF(F1750="BUY",J1750-I1750,I1750-J1750)</f>
        <v>0.359999999999673</v>
      </c>
      <c r="L1750" s="38" t="n">
        <v>4113.96</v>
      </c>
      <c r="M1750" s="39" t="n">
        <f aca="false">ABS(I1750-L1750)</f>
        <v>6</v>
      </c>
      <c r="N1750" s="24" t="n">
        <f aca="false">M1750*H1750*Summary!$C$6</f>
        <v>42</v>
      </c>
      <c r="O1750" s="37" t="n">
        <v>46213.4518865741</v>
      </c>
      <c r="P1750" s="22" t="n">
        <f aca="false">ROUND((O1750-C1750)*86400,0)</f>
        <v>406</v>
      </c>
      <c r="Q1750" s="22" t="str">
        <f aca="false">IF(P1750&lt;10,"a) &lt;10s",IF(P1750&lt;60,"b) 10-60s",IF(P1750&lt;600,"c) 1-10min","d) &gt;10min")))</f>
        <v>c) 1-10min</v>
      </c>
      <c r="R1750" s="38" t="n">
        <v>4107.1</v>
      </c>
      <c r="S1750" s="38" t="n">
        <v>4107.47</v>
      </c>
      <c r="T1750" s="22" t="s">
        <v>189</v>
      </c>
      <c r="U1750" s="39" t="n">
        <f aca="false">IF(R1750="","",IF(F1750="BUY",R1750-S1750,S1750-R1750))</f>
        <v>0.369999999999891</v>
      </c>
      <c r="V1750" s="39" t="n">
        <f aca="false">IF(F1750="BUY",S1750-J1750,J1750-S1750)</f>
        <v>0.130000000000109</v>
      </c>
      <c r="W1750" s="6" t="n">
        <v>0.91</v>
      </c>
      <c r="X1750" s="26" t="n">
        <f aca="false">IFERROR(W1750/N1750,0)</f>
        <v>0.0216666666666667</v>
      </c>
      <c r="Y1750" s="22" t="str">
        <f aca="false">IF(W1750&gt;0,"Win",IF(W1750&lt;0,"Loss","Flat"))</f>
        <v>Win</v>
      </c>
      <c r="Z1750" s="24" t="n">
        <f aca="false">Summary!$C$5+SUM(W$2:W1750)</f>
        <v>4755.88</v>
      </c>
      <c r="AA1750" s="24" t="n">
        <f aca="false">MAX(AA1749,Z1750)</f>
        <v>5106.86</v>
      </c>
      <c r="AB1750" s="24" t="n">
        <f aca="false">AA1750-Z1750</f>
        <v>350.98</v>
      </c>
      <c r="AC1750" s="23" t="n">
        <f aca="false">IFERROR(AB1750/AA1750,0)</f>
        <v>0.0687271630708497</v>
      </c>
      <c r="AD1750" s="22" t="s">
        <v>1987</v>
      </c>
    </row>
    <row r="1751" customFormat="false" ht="15" hidden="false" customHeight="false" outlineLevel="0" collapsed="false">
      <c r="A1751" s="22" t="n">
        <v>1750</v>
      </c>
      <c r="B1751" s="22" t="s">
        <v>171</v>
      </c>
      <c r="C1751" s="37" t="n">
        <v>46216.3778935185</v>
      </c>
      <c r="D1751" s="22" t="s">
        <v>202</v>
      </c>
      <c r="E1751" s="22" t="n">
        <v>9</v>
      </c>
      <c r="F1751" s="22" t="s">
        <v>182</v>
      </c>
      <c r="G1751" s="22" t="s">
        <v>241</v>
      </c>
      <c r="H1751" s="22" t="n">
        <v>0.07</v>
      </c>
      <c r="I1751" s="38" t="n">
        <v>4050.09</v>
      </c>
      <c r="J1751" s="38" t="n">
        <v>4049.97</v>
      </c>
      <c r="K1751" s="39" t="n">
        <f aca="false">IF(F1751="BUY",J1751-I1751,I1751-J1751)</f>
        <v>0.120000000000346</v>
      </c>
      <c r="L1751" s="38" t="n">
        <v>4056.09</v>
      </c>
      <c r="M1751" s="39" t="n">
        <f aca="false">ABS(I1751-L1751)</f>
        <v>6</v>
      </c>
      <c r="N1751" s="24" t="n">
        <f aca="false">M1751*H1751*Summary!$C$6</f>
        <v>42</v>
      </c>
      <c r="O1751" s="37" t="n">
        <v>46216.3803935185</v>
      </c>
      <c r="P1751" s="22" t="n">
        <f aca="false">ROUND((O1751-C1751)*86400,0)</f>
        <v>216</v>
      </c>
      <c r="Q1751" s="22" t="str">
        <f aca="false">IF(P1751&lt;10,"a) &lt;10s",IF(P1751&lt;60,"b) 10-60s",IF(P1751&lt;600,"c) 1-10min","d) &gt;10min")))</f>
        <v>c) 1-10min</v>
      </c>
      <c r="R1751" s="38" t="n">
        <v>4049.47</v>
      </c>
      <c r="S1751" s="38" t="n">
        <v>4049.56</v>
      </c>
      <c r="T1751" s="22" t="s">
        <v>189</v>
      </c>
      <c r="U1751" s="39" t="n">
        <f aca="false">IF(R1751="","",IF(F1751="BUY",R1751-S1751,S1751-R1751))</f>
        <v>0.0900000000001455</v>
      </c>
      <c r="V1751" s="39" t="n">
        <f aca="false">IF(F1751="BUY",S1751-J1751,J1751-S1751)</f>
        <v>0.409999999999855</v>
      </c>
      <c r="W1751" s="6" t="n">
        <v>2.87</v>
      </c>
      <c r="X1751" s="26" t="n">
        <f aca="false">IFERROR(W1751/N1751,0)</f>
        <v>0.0683333333333333</v>
      </c>
      <c r="Y1751" s="22" t="str">
        <f aca="false">IF(W1751&gt;0,"Win",IF(W1751&lt;0,"Loss","Flat"))</f>
        <v>Win</v>
      </c>
      <c r="Z1751" s="24" t="n">
        <f aca="false">Summary!$C$5+SUM(W$2:W1751)</f>
        <v>4758.75</v>
      </c>
      <c r="AA1751" s="24" t="n">
        <f aca="false">MAX(AA1750,Z1751)</f>
        <v>5106.86</v>
      </c>
      <c r="AB1751" s="24" t="n">
        <f aca="false">AA1751-Z1751</f>
        <v>348.11</v>
      </c>
      <c r="AC1751" s="23" t="n">
        <f aca="false">IFERROR(AB1751/AA1751,0)</f>
        <v>0.0681651739033378</v>
      </c>
      <c r="AD1751" s="22" t="s">
        <v>1988</v>
      </c>
    </row>
    <row r="1752" customFormat="false" ht="15" hidden="false" customHeight="false" outlineLevel="0" collapsed="false">
      <c r="A1752" s="22" t="n">
        <v>1751</v>
      </c>
      <c r="B1752" s="22" t="s">
        <v>171</v>
      </c>
      <c r="C1752" s="37" t="n">
        <v>46217.627337963</v>
      </c>
      <c r="D1752" s="22" t="s">
        <v>203</v>
      </c>
      <c r="E1752" s="22" t="n">
        <v>15</v>
      </c>
      <c r="F1752" s="22" t="s">
        <v>181</v>
      </c>
      <c r="G1752" s="22" t="s">
        <v>235</v>
      </c>
      <c r="H1752" s="22" t="n">
        <v>0.07</v>
      </c>
      <c r="I1752" s="38" t="n">
        <v>4034.01</v>
      </c>
      <c r="J1752" s="38" t="n">
        <v>4034.06</v>
      </c>
      <c r="K1752" s="39" t="n">
        <f aca="false">IF(F1752="BUY",J1752-I1752,I1752-J1752)</f>
        <v>0.0499999999997272</v>
      </c>
      <c r="L1752" s="38" t="n">
        <v>4028.01</v>
      </c>
      <c r="M1752" s="39" t="n">
        <f aca="false">ABS(I1752-L1752)</f>
        <v>6</v>
      </c>
      <c r="N1752" s="24" t="n">
        <f aca="false">M1752*H1752*Summary!$C$6</f>
        <v>42</v>
      </c>
      <c r="O1752" s="37" t="n">
        <v>46217.6287384259</v>
      </c>
      <c r="P1752" s="22" t="n">
        <f aca="false">ROUND((O1752-C1752)*86400,0)</f>
        <v>121</v>
      </c>
      <c r="Q1752" s="22" t="str">
        <f aca="false">IF(P1752&lt;10,"a) &lt;10s",IF(P1752&lt;60,"b) 10-60s",IF(P1752&lt;600,"c) 1-10min","d) &gt;10min")))</f>
        <v>c) 1-10min</v>
      </c>
      <c r="R1752" s="38" t="n">
        <v>4028.01</v>
      </c>
      <c r="S1752" s="38" t="n">
        <v>4027.93</v>
      </c>
      <c r="T1752" s="22" t="s">
        <v>188</v>
      </c>
      <c r="U1752" s="39" t="n">
        <f aca="false">IF(R1752="","",IF(F1752="BUY",R1752-S1752,S1752-R1752))</f>
        <v>0.080000000000382</v>
      </c>
      <c r="V1752" s="39" t="n">
        <f aca="false">IF(F1752="BUY",S1752-J1752,J1752-S1752)</f>
        <v>-6.13000000000011</v>
      </c>
      <c r="W1752" s="6" t="n">
        <v>-42.91</v>
      </c>
      <c r="X1752" s="26" t="n">
        <f aca="false">IFERROR(W1752/N1752,0)</f>
        <v>-1.02166666666667</v>
      </c>
      <c r="Y1752" s="22" t="str">
        <f aca="false">IF(W1752&gt;0,"Win",IF(W1752&lt;0,"Loss","Flat"))</f>
        <v>Loss</v>
      </c>
      <c r="Z1752" s="24" t="n">
        <f aca="false">Summary!$C$5+SUM(W$2:W1752)</f>
        <v>4715.84</v>
      </c>
      <c r="AA1752" s="24" t="n">
        <f aca="false">MAX(AA1751,Z1752)</f>
        <v>5106.86</v>
      </c>
      <c r="AB1752" s="24" t="n">
        <f aca="false">AA1752-Z1752</f>
        <v>391.02</v>
      </c>
      <c r="AC1752" s="23" t="n">
        <f aca="false">IFERROR(AB1752/AA1752,0)</f>
        <v>0.0765675973102845</v>
      </c>
      <c r="AD1752" s="22" t="s">
        <v>1989</v>
      </c>
    </row>
    <row r="1753" customFormat="false" ht="15" hidden="false" customHeight="false" outlineLevel="0" collapsed="false">
      <c r="A1753" s="22" t="n">
        <v>1752</v>
      </c>
      <c r="B1753" s="22" t="s">
        <v>171</v>
      </c>
      <c r="C1753" s="37" t="n">
        <v>46217.6474884259</v>
      </c>
      <c r="D1753" s="22" t="s">
        <v>203</v>
      </c>
      <c r="E1753" s="22" t="n">
        <v>15</v>
      </c>
      <c r="F1753" s="22" t="s">
        <v>181</v>
      </c>
      <c r="G1753" s="22" t="s">
        <v>243</v>
      </c>
      <c r="H1753" s="22" t="n">
        <v>0.07</v>
      </c>
      <c r="I1753" s="38" t="n">
        <v>4103.27</v>
      </c>
      <c r="J1753" s="38" t="n">
        <v>4103.42</v>
      </c>
      <c r="K1753" s="39" t="n">
        <f aca="false">IF(F1753="BUY",J1753-I1753,I1753-J1753)</f>
        <v>0.149999999999636</v>
      </c>
      <c r="L1753" s="38" t="n">
        <v>4097.27</v>
      </c>
      <c r="M1753" s="39" t="n">
        <f aca="false">ABS(I1753-L1753)</f>
        <v>6</v>
      </c>
      <c r="N1753" s="24" t="n">
        <f aca="false">M1753*H1753*Summary!$C$6</f>
        <v>42</v>
      </c>
      <c r="O1753" s="37" t="n">
        <v>46217.6474884259</v>
      </c>
      <c r="P1753" s="22" t="n">
        <f aca="false">ROUND((O1753-C1753)*86400,0)</f>
        <v>0</v>
      </c>
      <c r="Q1753" s="22" t="str">
        <f aca="false">IF(P1753&lt;10,"a) &lt;10s",IF(P1753&lt;60,"b) 10-60s",IF(P1753&lt;600,"c) 1-10min","d) &gt;10min")))</f>
        <v>a) &lt;10s</v>
      </c>
      <c r="R1753" s="38"/>
      <c r="S1753" s="38" t="n">
        <v>4090.51</v>
      </c>
      <c r="T1753" s="22" t="s">
        <v>191</v>
      </c>
      <c r="U1753" s="39" t="str">
        <f aca="false">IF(R1753="","",IF(F1753="BUY",R1753-S1753,S1753-R1753))</f>
        <v/>
      </c>
      <c r="V1753" s="39" t="n">
        <f aca="false">IF(F1753="BUY",S1753-J1753,J1753-S1753)</f>
        <v>-12.9099999999999</v>
      </c>
      <c r="W1753" s="6" t="n">
        <v>-90.37</v>
      </c>
      <c r="X1753" s="26" t="n">
        <f aca="false">IFERROR(W1753/N1753,0)</f>
        <v>-2.15166666666667</v>
      </c>
      <c r="Y1753" s="22" t="str">
        <f aca="false">IF(W1753&gt;0,"Win",IF(W1753&lt;0,"Loss","Flat"))</f>
        <v>Loss</v>
      </c>
      <c r="Z1753" s="24" t="n">
        <f aca="false">Summary!$C$5+SUM(W$2:W1753)</f>
        <v>4625.47</v>
      </c>
      <c r="AA1753" s="24" t="n">
        <f aca="false">MAX(AA1752,Z1753)</f>
        <v>5106.86</v>
      </c>
      <c r="AB1753" s="24" t="n">
        <f aca="false">AA1753-Z1753</f>
        <v>481.389999999999</v>
      </c>
      <c r="AC1753" s="23" t="n">
        <f aca="false">IFERROR(AB1753/AA1753,0)</f>
        <v>0.0942634025604774</v>
      </c>
      <c r="AD1753" s="22" t="s">
        <v>1990</v>
      </c>
    </row>
    <row r="1754" customFormat="false" ht="15" hidden="false" customHeight="false" outlineLevel="0" collapsed="false">
      <c r="A1754" s="22" t="n">
        <v>1753</v>
      </c>
      <c r="B1754" s="22" t="s">
        <v>171</v>
      </c>
      <c r="C1754" s="37" t="n">
        <v>46218.3905208333</v>
      </c>
      <c r="D1754" s="22" t="s">
        <v>204</v>
      </c>
      <c r="E1754" s="22" t="n">
        <v>9</v>
      </c>
      <c r="F1754" s="22" t="s">
        <v>182</v>
      </c>
      <c r="G1754" s="22" t="s">
        <v>241</v>
      </c>
      <c r="H1754" s="22" t="n">
        <v>0.07</v>
      </c>
      <c r="I1754" s="38" t="n">
        <v>4021.67</v>
      </c>
      <c r="J1754" s="38" t="n">
        <v>4021.48</v>
      </c>
      <c r="K1754" s="39" t="n">
        <f aca="false">IF(F1754="BUY",J1754-I1754,I1754-J1754)</f>
        <v>0.190000000000055</v>
      </c>
      <c r="L1754" s="38" t="n">
        <v>4027.67</v>
      </c>
      <c r="M1754" s="39" t="n">
        <f aca="false">ABS(I1754-L1754)</f>
        <v>6</v>
      </c>
      <c r="N1754" s="24" t="n">
        <f aca="false">M1754*H1754*Summary!$C$6</f>
        <v>42</v>
      </c>
      <c r="O1754" s="37" t="n">
        <v>46218.3928240741</v>
      </c>
      <c r="P1754" s="22" t="n">
        <f aca="false">ROUND((O1754-C1754)*86400,0)</f>
        <v>199</v>
      </c>
      <c r="Q1754" s="22" t="str">
        <f aca="false">IF(P1754&lt;10,"a) &lt;10s",IF(P1754&lt;60,"b) 10-60s",IF(P1754&lt;600,"c) 1-10min","d) &gt;10min")))</f>
        <v>c) 1-10min</v>
      </c>
      <c r="R1754" s="38" t="n">
        <v>4027.67</v>
      </c>
      <c r="S1754" s="38" t="n">
        <v>4027.7</v>
      </c>
      <c r="T1754" s="22" t="s">
        <v>188</v>
      </c>
      <c r="U1754" s="39" t="n">
        <f aca="false">IF(R1754="","",IF(F1754="BUY",R1754-S1754,S1754-R1754))</f>
        <v>0.0299999999997453</v>
      </c>
      <c r="V1754" s="39" t="n">
        <f aca="false">IF(F1754="BUY",S1754-J1754,J1754-S1754)</f>
        <v>-6.2199999999998</v>
      </c>
      <c r="W1754" s="6" t="n">
        <v>-43.54</v>
      </c>
      <c r="X1754" s="26" t="n">
        <f aca="false">IFERROR(W1754/N1754,0)</f>
        <v>-1.03666666666667</v>
      </c>
      <c r="Y1754" s="22" t="str">
        <f aca="false">IF(W1754&gt;0,"Win",IF(W1754&lt;0,"Loss","Flat"))</f>
        <v>Loss</v>
      </c>
      <c r="Z1754" s="24" t="n">
        <f aca="false">Summary!$C$5+SUM(W$2:W1754)</f>
        <v>4581.93</v>
      </c>
      <c r="AA1754" s="24" t="n">
        <f aca="false">MAX(AA1753,Z1754)</f>
        <v>5106.86</v>
      </c>
      <c r="AB1754" s="24" t="n">
        <f aca="false">AA1754-Z1754</f>
        <v>524.929999999999</v>
      </c>
      <c r="AC1754" s="23" t="n">
        <f aca="false">IFERROR(AB1754/AA1754,0)</f>
        <v>0.102789189443219</v>
      </c>
      <c r="AD1754" s="22" t="s">
        <v>1991</v>
      </c>
    </row>
    <row r="1755" customFormat="false" ht="15" hidden="false" customHeight="false" outlineLevel="0" collapsed="false">
      <c r="A1755" s="22" t="n">
        <v>1754</v>
      </c>
      <c r="B1755" s="22" t="s">
        <v>171</v>
      </c>
      <c r="C1755" s="37" t="n">
        <v>46219.3993634259</v>
      </c>
      <c r="D1755" s="22" t="s">
        <v>205</v>
      </c>
      <c r="E1755" s="22" t="n">
        <v>9</v>
      </c>
      <c r="F1755" s="22" t="s">
        <v>182</v>
      </c>
      <c r="G1755" s="22" t="s">
        <v>241</v>
      </c>
      <c r="H1755" s="22" t="n">
        <v>0.07</v>
      </c>
      <c r="I1755" s="38" t="n">
        <v>4024.98</v>
      </c>
      <c r="J1755" s="38" t="n">
        <v>4024.86</v>
      </c>
      <c r="K1755" s="39" t="n">
        <f aca="false">IF(F1755="BUY",J1755-I1755,I1755-J1755)</f>
        <v>0.119999999999891</v>
      </c>
      <c r="L1755" s="38" t="n">
        <v>4030.98</v>
      </c>
      <c r="M1755" s="39" t="n">
        <f aca="false">ABS(I1755-L1755)</f>
        <v>6</v>
      </c>
      <c r="N1755" s="24" t="n">
        <f aca="false">M1755*H1755*Summary!$C$6</f>
        <v>42</v>
      </c>
      <c r="O1755" s="37" t="n">
        <v>46219.4131944445</v>
      </c>
      <c r="P1755" s="22" t="n">
        <f aca="false">ROUND((O1755-C1755)*86400,0)</f>
        <v>1195</v>
      </c>
      <c r="Q1755" s="22" t="str">
        <f aca="false">IF(P1755&lt;10,"a) &lt;10s",IF(P1755&lt;60,"b) 10-60s",IF(P1755&lt;600,"c) 1-10min","d) &gt;10min")))</f>
        <v>d) &gt;10min</v>
      </c>
      <c r="R1755" s="38" t="n">
        <v>4030.98</v>
      </c>
      <c r="S1755" s="38" t="n">
        <v>4031.32</v>
      </c>
      <c r="T1755" s="22" t="s">
        <v>188</v>
      </c>
      <c r="U1755" s="39" t="n">
        <f aca="false">IF(R1755="","",IF(F1755="BUY",R1755-S1755,S1755-R1755))</f>
        <v>0.340000000000146</v>
      </c>
      <c r="V1755" s="39" t="n">
        <f aca="false">IF(F1755="BUY",S1755-J1755,J1755-S1755)</f>
        <v>-6.46000000000004</v>
      </c>
      <c r="W1755" s="6" t="n">
        <v>-45.22</v>
      </c>
      <c r="X1755" s="26" t="n">
        <f aca="false">IFERROR(W1755/N1755,0)</f>
        <v>-1.07666666666667</v>
      </c>
      <c r="Y1755" s="22" t="str">
        <f aca="false">IF(W1755&gt;0,"Win",IF(W1755&lt;0,"Loss","Flat"))</f>
        <v>Loss</v>
      </c>
      <c r="Z1755" s="24" t="n">
        <f aca="false">Summary!$C$5+SUM(W$2:W1755)</f>
        <v>4536.71</v>
      </c>
      <c r="AA1755" s="24" t="n">
        <f aca="false">MAX(AA1754,Z1755)</f>
        <v>5106.86</v>
      </c>
      <c r="AB1755" s="24" t="n">
        <f aca="false">AA1755-Z1755</f>
        <v>570.15</v>
      </c>
      <c r="AC1755" s="23" t="n">
        <f aca="false">IFERROR(AB1755/AA1755,0)</f>
        <v>0.111643945594749</v>
      </c>
      <c r="AD1755" s="22" t="s">
        <v>1992</v>
      </c>
    </row>
    <row r="1756" customFormat="false" ht="15" hidden="false" customHeight="false" outlineLevel="0" collapsed="false">
      <c r="A1756" s="22" t="n">
        <v>1755</v>
      </c>
      <c r="B1756" s="22" t="s">
        <v>171</v>
      </c>
      <c r="C1756" s="37" t="n">
        <v>46219.6362847222</v>
      </c>
      <c r="D1756" s="22" t="s">
        <v>205</v>
      </c>
      <c r="E1756" s="22" t="n">
        <v>15</v>
      </c>
      <c r="F1756" s="22" t="s">
        <v>182</v>
      </c>
      <c r="G1756" s="22" t="s">
        <v>237</v>
      </c>
      <c r="H1756" s="22" t="n">
        <v>0.07</v>
      </c>
      <c r="I1756" s="38" t="n">
        <v>4017.16</v>
      </c>
      <c r="J1756" s="38" t="n">
        <v>4016.73</v>
      </c>
      <c r="K1756" s="39" t="n">
        <f aca="false">IF(F1756="BUY",J1756-I1756,I1756-J1756)</f>
        <v>0.429999999999836</v>
      </c>
      <c r="L1756" s="38" t="n">
        <v>4023.16</v>
      </c>
      <c r="M1756" s="39" t="n">
        <f aca="false">ABS(I1756-L1756)</f>
        <v>6</v>
      </c>
      <c r="N1756" s="24" t="n">
        <f aca="false">M1756*H1756*Summary!$C$6</f>
        <v>42</v>
      </c>
      <c r="O1756" s="37" t="n">
        <v>46219.6366898148</v>
      </c>
      <c r="P1756" s="22" t="n">
        <f aca="false">ROUND((O1756-C1756)*86400,0)</f>
        <v>35</v>
      </c>
      <c r="Q1756" s="22" t="str">
        <f aca="false">IF(P1756&lt;10,"a) &lt;10s",IF(P1756&lt;60,"b) 10-60s",IF(P1756&lt;600,"c) 1-10min","d) &gt;10min")))</f>
        <v>b) 10-60s</v>
      </c>
      <c r="R1756" s="38" t="n">
        <v>4016.23</v>
      </c>
      <c r="S1756" s="38" t="n">
        <v>4016.43</v>
      </c>
      <c r="T1756" s="22" t="s">
        <v>189</v>
      </c>
      <c r="U1756" s="39" t="n">
        <f aca="false">IF(R1756="","",IF(F1756="BUY",R1756-S1756,S1756-R1756))</f>
        <v>0.199999999999818</v>
      </c>
      <c r="V1756" s="39" t="n">
        <f aca="false">IF(F1756="BUY",S1756-J1756,J1756-S1756)</f>
        <v>0.300000000000182</v>
      </c>
      <c r="W1756" s="6" t="n">
        <v>2.1</v>
      </c>
      <c r="X1756" s="26" t="n">
        <f aca="false">IFERROR(W1756/N1756,0)</f>
        <v>0.05</v>
      </c>
      <c r="Y1756" s="22" t="str">
        <f aca="false">IF(W1756&gt;0,"Win",IF(W1756&lt;0,"Loss","Flat"))</f>
        <v>Win</v>
      </c>
      <c r="Z1756" s="24" t="n">
        <f aca="false">Summary!$C$5+SUM(W$2:W1756)</f>
        <v>4538.81</v>
      </c>
      <c r="AA1756" s="24" t="n">
        <f aca="false">MAX(AA1755,Z1756)</f>
        <v>5106.86</v>
      </c>
      <c r="AB1756" s="24" t="n">
        <f aca="false">AA1756-Z1756</f>
        <v>568.049999999999</v>
      </c>
      <c r="AC1756" s="23" t="n">
        <f aca="false">IFERROR(AB1756/AA1756,0)</f>
        <v>0.111232734008765</v>
      </c>
      <c r="AD1756" s="22" t="s">
        <v>1993</v>
      </c>
    </row>
    <row r="1757" customFormat="false" ht="15" hidden="false" customHeight="false" outlineLevel="0" collapsed="false">
      <c r="A1757" s="22" t="n">
        <v>1756</v>
      </c>
      <c r="B1757" s="22" t="s">
        <v>171</v>
      </c>
      <c r="C1757" s="37" t="n">
        <v>46220.3770138889</v>
      </c>
      <c r="D1757" s="22" t="s">
        <v>206</v>
      </c>
      <c r="E1757" s="22" t="n">
        <v>9</v>
      </c>
      <c r="F1757" s="22" t="s">
        <v>181</v>
      </c>
      <c r="G1757" s="22" t="s">
        <v>235</v>
      </c>
      <c r="H1757" s="22" t="n">
        <v>0.07</v>
      </c>
      <c r="I1757" s="38" t="n">
        <v>3991.4</v>
      </c>
      <c r="J1757" s="38" t="n">
        <v>3991.48</v>
      </c>
      <c r="K1757" s="39" t="n">
        <f aca="false">IF(F1757="BUY",J1757-I1757,I1757-J1757)</f>
        <v>0.0799999999999272</v>
      </c>
      <c r="L1757" s="38" t="n">
        <v>3985.4</v>
      </c>
      <c r="M1757" s="39" t="n">
        <f aca="false">ABS(I1757-L1757)</f>
        <v>6</v>
      </c>
      <c r="N1757" s="24" t="n">
        <f aca="false">M1757*H1757*Summary!$C$6</f>
        <v>42</v>
      </c>
      <c r="O1757" s="37" t="n">
        <v>46220.4666550926</v>
      </c>
      <c r="P1757" s="22" t="n">
        <f aca="false">ROUND((O1757-C1757)*86400,0)</f>
        <v>7745</v>
      </c>
      <c r="Q1757" s="22" t="str">
        <f aca="false">IF(P1757&lt;10,"a) &lt;10s",IF(P1757&lt;60,"b) 10-60s",IF(P1757&lt;600,"c) 1-10min","d) &gt;10min")))</f>
        <v>d) &gt;10min</v>
      </c>
      <c r="R1757" s="38" t="n">
        <v>3991.98</v>
      </c>
      <c r="S1757" s="38" t="n">
        <v>3991.74</v>
      </c>
      <c r="T1757" s="22" t="s">
        <v>189</v>
      </c>
      <c r="U1757" s="39" t="n">
        <f aca="false">IF(R1757="","",IF(F1757="BUY",R1757-S1757,S1757-R1757))</f>
        <v>0.240000000000236</v>
      </c>
      <c r="V1757" s="39" t="n">
        <f aca="false">IF(F1757="BUY",S1757-J1757,J1757-S1757)</f>
        <v>0.259999999999764</v>
      </c>
      <c r="W1757" s="6" t="n">
        <v>1.82</v>
      </c>
      <c r="X1757" s="26" t="n">
        <f aca="false">IFERROR(W1757/N1757,0)</f>
        <v>0.0433333333333333</v>
      </c>
      <c r="Y1757" s="22" t="str">
        <f aca="false">IF(W1757&gt;0,"Win",IF(W1757&lt;0,"Loss","Flat"))</f>
        <v>Win</v>
      </c>
      <c r="Z1757" s="24" t="n">
        <f aca="false">Summary!$C$5+SUM(W$2:W1757)</f>
        <v>4540.63</v>
      </c>
      <c r="AA1757" s="24" t="n">
        <f aca="false">MAX(AA1756,Z1757)</f>
        <v>5106.86</v>
      </c>
      <c r="AB1757" s="24" t="n">
        <f aca="false">AA1757-Z1757</f>
        <v>566.23</v>
      </c>
      <c r="AC1757" s="23" t="n">
        <f aca="false">IFERROR(AB1757/AA1757,0)</f>
        <v>0.110876350634245</v>
      </c>
      <c r="AD1757" s="22" t="s">
        <v>1994</v>
      </c>
    </row>
    <row r="1758" customFormat="false" ht="15" hidden="false" customHeight="false" outlineLevel="0" collapsed="false">
      <c r="A1758" s="22" t="n">
        <v>1757</v>
      </c>
      <c r="B1758" s="22" t="s">
        <v>171</v>
      </c>
      <c r="C1758" s="37" t="n">
        <v>46220.6548958333</v>
      </c>
      <c r="D1758" s="22" t="s">
        <v>206</v>
      </c>
      <c r="E1758" s="22" t="n">
        <v>15</v>
      </c>
      <c r="F1758" s="22" t="s">
        <v>182</v>
      </c>
      <c r="G1758" s="22" t="s">
        <v>237</v>
      </c>
      <c r="H1758" s="22" t="n">
        <v>0.07</v>
      </c>
      <c r="I1758" s="38" t="n">
        <v>3969.05</v>
      </c>
      <c r="J1758" s="38" t="n">
        <v>3968.04</v>
      </c>
      <c r="K1758" s="39" t="n">
        <f aca="false">IF(F1758="BUY",J1758-I1758,I1758-J1758)</f>
        <v>1.01000000000022</v>
      </c>
      <c r="L1758" s="38" t="n">
        <v>3975.05</v>
      </c>
      <c r="M1758" s="39" t="n">
        <f aca="false">ABS(I1758-L1758)</f>
        <v>6</v>
      </c>
      <c r="N1758" s="24" t="n">
        <f aca="false">M1758*H1758*Summary!$C$6</f>
        <v>42</v>
      </c>
      <c r="O1758" s="37" t="n">
        <v>46220.6555671296</v>
      </c>
      <c r="P1758" s="22" t="n">
        <f aca="false">ROUND((O1758-C1758)*86400,0)</f>
        <v>58</v>
      </c>
      <c r="Q1758" s="22" t="str">
        <f aca="false">IF(P1758&lt;10,"a) &lt;10s",IF(P1758&lt;60,"b) 10-60s",IF(P1758&lt;600,"c) 1-10min","d) &gt;10min")))</f>
        <v>b) 10-60s</v>
      </c>
      <c r="R1758" s="38" t="n">
        <v>3967.54</v>
      </c>
      <c r="S1758" s="38" t="n">
        <v>3967.68</v>
      </c>
      <c r="T1758" s="22" t="s">
        <v>189</v>
      </c>
      <c r="U1758" s="39" t="n">
        <f aca="false">IF(R1758="","",IF(F1758="BUY",R1758-S1758,S1758-R1758))</f>
        <v>0.139999999999873</v>
      </c>
      <c r="V1758" s="39" t="n">
        <f aca="false">IF(F1758="BUY",S1758-J1758,J1758-S1758)</f>
        <v>0.360000000000127</v>
      </c>
      <c r="W1758" s="6" t="n">
        <v>2.52</v>
      </c>
      <c r="X1758" s="26" t="n">
        <f aca="false">IFERROR(W1758/N1758,0)</f>
        <v>0.06</v>
      </c>
      <c r="Y1758" s="22" t="str">
        <f aca="false">IF(W1758&gt;0,"Win",IF(W1758&lt;0,"Loss","Flat"))</f>
        <v>Win</v>
      </c>
      <c r="Z1758" s="24" t="n">
        <f aca="false">Summary!$C$5+SUM(W$2:W1758)</f>
        <v>4543.15</v>
      </c>
      <c r="AA1758" s="24" t="n">
        <f aca="false">MAX(AA1757,Z1758)</f>
        <v>5106.86</v>
      </c>
      <c r="AB1758" s="24" t="n">
        <f aca="false">AA1758-Z1758</f>
        <v>563.71</v>
      </c>
      <c r="AC1758" s="23" t="n">
        <f aca="false">IFERROR(AB1758/AA1758,0)</f>
        <v>0.110382896731064</v>
      </c>
      <c r="AD1758" s="22" t="s">
        <v>1995</v>
      </c>
    </row>
    <row r="1759" customFormat="false" ht="15" hidden="false" customHeight="false" outlineLevel="0" collapsed="false">
      <c r="A1759" s="22" t="n">
        <v>1758</v>
      </c>
      <c r="B1759" s="22" t="s">
        <v>171</v>
      </c>
      <c r="C1759" s="37" t="n">
        <v>46223.2422222222</v>
      </c>
      <c r="D1759" s="22" t="s">
        <v>202</v>
      </c>
      <c r="E1759" s="22" t="n">
        <v>5</v>
      </c>
      <c r="F1759" s="22" t="s">
        <v>181</v>
      </c>
      <c r="G1759" s="22" t="s">
        <v>243</v>
      </c>
      <c r="H1759" s="22" t="n">
        <v>0.07</v>
      </c>
      <c r="I1759" s="38" t="n">
        <v>4023.65</v>
      </c>
      <c r="J1759" s="38" t="n">
        <v>4023.66</v>
      </c>
      <c r="K1759" s="39" t="n">
        <f aca="false">IF(F1759="BUY",J1759-I1759,I1759-J1759)</f>
        <v>0.00999999999976353</v>
      </c>
      <c r="L1759" s="38" t="n">
        <v>4017.65</v>
      </c>
      <c r="M1759" s="39" t="n">
        <f aca="false">ABS(I1759-L1759)</f>
        <v>6</v>
      </c>
      <c r="N1759" s="24" t="n">
        <f aca="false">M1759*H1759*Summary!$C$6</f>
        <v>42</v>
      </c>
      <c r="O1759" s="37" t="n">
        <v>46223.2425</v>
      </c>
      <c r="P1759" s="22" t="n">
        <f aca="false">ROUND((O1759-C1759)*86400,0)</f>
        <v>24</v>
      </c>
      <c r="Q1759" s="22" t="str">
        <f aca="false">IF(P1759&lt;10,"a) &lt;10s",IF(P1759&lt;60,"b) 10-60s",IF(P1759&lt;600,"c) 1-10min","d) &gt;10min")))</f>
        <v>b) 10-60s</v>
      </c>
      <c r="R1759" s="38" t="n">
        <v>4024.16</v>
      </c>
      <c r="S1759" s="38" t="n">
        <v>4024.11</v>
      </c>
      <c r="T1759" s="22" t="s">
        <v>189</v>
      </c>
      <c r="U1759" s="39" t="n">
        <f aca="false">IF(R1759="","",IF(F1759="BUY",R1759-S1759,S1759-R1759))</f>
        <v>0.0499999999997272</v>
      </c>
      <c r="V1759" s="39" t="n">
        <f aca="false">IF(F1759="BUY",S1759-J1759,J1759-S1759)</f>
        <v>0.450000000000273</v>
      </c>
      <c r="W1759" s="6" t="n">
        <v>3.15</v>
      </c>
      <c r="X1759" s="26" t="n">
        <f aca="false">IFERROR(W1759/N1759,0)</f>
        <v>0.075</v>
      </c>
      <c r="Y1759" s="22" t="str">
        <f aca="false">IF(W1759&gt;0,"Win",IF(W1759&lt;0,"Loss","Flat"))</f>
        <v>Win</v>
      </c>
      <c r="Z1759" s="24" t="n">
        <f aca="false">Summary!$C$5+SUM(W$2:W1759)</f>
        <v>4546.3</v>
      </c>
      <c r="AA1759" s="24" t="n">
        <f aca="false">MAX(AA1758,Z1759)</f>
        <v>5106.86</v>
      </c>
      <c r="AB1759" s="24" t="n">
        <f aca="false">AA1759-Z1759</f>
        <v>560.56</v>
      </c>
      <c r="AC1759" s="23" t="n">
        <f aca="false">IFERROR(AB1759/AA1759,0)</f>
        <v>0.109766079352087</v>
      </c>
      <c r="AD1759" s="22" t="s">
        <v>1996</v>
      </c>
    </row>
    <row r="1760" customFormat="false" ht="15" hidden="false" customHeight="false" outlineLevel="0" collapsed="false">
      <c r="A1760" s="22" t="n">
        <v>1759</v>
      </c>
      <c r="B1760" s="22" t="s">
        <v>171</v>
      </c>
      <c r="C1760" s="37" t="n">
        <v>46223.3938888889</v>
      </c>
      <c r="D1760" s="22" t="s">
        <v>202</v>
      </c>
      <c r="E1760" s="22" t="n">
        <v>9</v>
      </c>
      <c r="F1760" s="22" t="s">
        <v>182</v>
      </c>
      <c r="G1760" s="22" t="s">
        <v>241</v>
      </c>
      <c r="H1760" s="22" t="n">
        <v>0.07</v>
      </c>
      <c r="I1760" s="38" t="n">
        <v>4005.15</v>
      </c>
      <c r="J1760" s="38" t="n">
        <v>4005.11</v>
      </c>
      <c r="K1760" s="39" t="n">
        <f aca="false">IF(F1760="BUY",J1760-I1760,I1760-J1760)</f>
        <v>0.0399999999999636</v>
      </c>
      <c r="L1760" s="38" t="n">
        <v>4011.15</v>
      </c>
      <c r="M1760" s="39" t="n">
        <f aca="false">ABS(I1760-L1760)</f>
        <v>6</v>
      </c>
      <c r="N1760" s="24" t="n">
        <f aca="false">M1760*H1760*Summary!$C$6</f>
        <v>42</v>
      </c>
      <c r="O1760" s="37" t="n">
        <v>46223.4174189815</v>
      </c>
      <c r="P1760" s="22" t="n">
        <f aca="false">ROUND((O1760-C1760)*86400,0)</f>
        <v>2033</v>
      </c>
      <c r="Q1760" s="22" t="str">
        <f aca="false">IF(P1760&lt;10,"a) &lt;10s",IF(P1760&lt;60,"b) 10-60s",IF(P1760&lt;600,"c) 1-10min","d) &gt;10min")))</f>
        <v>d) &gt;10min</v>
      </c>
      <c r="R1760" s="38" t="n">
        <v>4004.61</v>
      </c>
      <c r="S1760" s="38" t="n">
        <v>4004.63</v>
      </c>
      <c r="T1760" s="22" t="s">
        <v>189</v>
      </c>
      <c r="U1760" s="39" t="n">
        <f aca="false">IF(R1760="","",IF(F1760="BUY",R1760-S1760,S1760-R1760))</f>
        <v>0.0199999999999818</v>
      </c>
      <c r="V1760" s="39" t="n">
        <f aca="false">IF(F1760="BUY",S1760-J1760,J1760-S1760)</f>
        <v>0.480000000000018</v>
      </c>
      <c r="W1760" s="6" t="n">
        <v>3.36</v>
      </c>
      <c r="X1760" s="26" t="n">
        <f aca="false">IFERROR(W1760/N1760,0)</f>
        <v>0.08</v>
      </c>
      <c r="Y1760" s="22" t="str">
        <f aca="false">IF(W1760&gt;0,"Win",IF(W1760&lt;0,"Loss","Flat"))</f>
        <v>Win</v>
      </c>
      <c r="Z1760" s="24" t="n">
        <f aca="false">Summary!$C$5+SUM(W$2:W1760)</f>
        <v>4549.66</v>
      </c>
      <c r="AA1760" s="24" t="n">
        <f aca="false">MAX(AA1759,Z1760)</f>
        <v>5106.86</v>
      </c>
      <c r="AB1760" s="24" t="n">
        <f aca="false">AA1760-Z1760</f>
        <v>557.2</v>
      </c>
      <c r="AC1760" s="23" t="n">
        <f aca="false">IFERROR(AB1760/AA1760,0)</f>
        <v>0.109108140814512</v>
      </c>
      <c r="AD1760" s="22" t="s">
        <v>1997</v>
      </c>
    </row>
    <row r="1761" customFormat="false" ht="15" hidden="false" customHeight="false" outlineLevel="0" collapsed="false">
      <c r="A1761" s="22" t="n">
        <v>1760</v>
      </c>
      <c r="B1761" s="22" t="s">
        <v>171</v>
      </c>
      <c r="C1761" s="37" t="n">
        <v>46224.2337268519</v>
      </c>
      <c r="D1761" s="22" t="s">
        <v>203</v>
      </c>
      <c r="E1761" s="22" t="n">
        <v>5</v>
      </c>
      <c r="F1761" s="22" t="s">
        <v>181</v>
      </c>
      <c r="G1761" s="22" t="s">
        <v>243</v>
      </c>
      <c r="H1761" s="22" t="n">
        <v>0.07</v>
      </c>
      <c r="I1761" s="38" t="n">
        <v>4040.44</v>
      </c>
      <c r="J1761" s="38" t="n">
        <v>4040.59</v>
      </c>
      <c r="K1761" s="39" t="n">
        <f aca="false">IF(F1761="BUY",J1761-I1761,I1761-J1761)</f>
        <v>0.150000000000091</v>
      </c>
      <c r="L1761" s="38" t="n">
        <v>4034.44</v>
      </c>
      <c r="M1761" s="39" t="n">
        <f aca="false">ABS(I1761-L1761)</f>
        <v>6</v>
      </c>
      <c r="N1761" s="24" t="n">
        <f aca="false">M1761*H1761*Summary!$C$6</f>
        <v>42</v>
      </c>
      <c r="O1761" s="37" t="n">
        <v>46224.2338194445</v>
      </c>
      <c r="P1761" s="22" t="n">
        <f aca="false">ROUND((O1761-C1761)*86400,0)</f>
        <v>8</v>
      </c>
      <c r="Q1761" s="22" t="str">
        <f aca="false">IF(P1761&lt;10,"a) &lt;10s",IF(P1761&lt;60,"b) 10-60s",IF(P1761&lt;600,"c) 1-10min","d) &gt;10min")))</f>
        <v>a) &lt;10s</v>
      </c>
      <c r="R1761" s="38" t="n">
        <v>4041.09</v>
      </c>
      <c r="S1761" s="38" t="n">
        <v>4041.02</v>
      </c>
      <c r="T1761" s="22" t="s">
        <v>189</v>
      </c>
      <c r="U1761" s="39" t="n">
        <f aca="false">IF(R1761="","",IF(F1761="BUY",R1761-S1761,S1761-R1761))</f>
        <v>0.0700000000001637</v>
      </c>
      <c r="V1761" s="39" t="n">
        <f aca="false">IF(F1761="BUY",S1761-J1761,J1761-S1761)</f>
        <v>0.429999999999836</v>
      </c>
      <c r="W1761" s="6" t="n">
        <v>3.01</v>
      </c>
      <c r="X1761" s="26" t="n">
        <f aca="false">IFERROR(W1761/N1761,0)</f>
        <v>0.0716666666666667</v>
      </c>
      <c r="Y1761" s="22" t="str">
        <f aca="false">IF(W1761&gt;0,"Win",IF(W1761&lt;0,"Loss","Flat"))</f>
        <v>Win</v>
      </c>
      <c r="Z1761" s="24" t="n">
        <f aca="false">Summary!$C$5+SUM(W$2:W1761)</f>
        <v>4552.67</v>
      </c>
      <c r="AA1761" s="24" t="n">
        <f aca="false">MAX(AA1760,Z1761)</f>
        <v>5106.86</v>
      </c>
      <c r="AB1761" s="24" t="n">
        <f aca="false">AA1761-Z1761</f>
        <v>554.19</v>
      </c>
      <c r="AC1761" s="23" t="n">
        <f aca="false">IFERROR(AB1761/AA1761,0)</f>
        <v>0.108518737541268</v>
      </c>
      <c r="AD1761" s="22" t="s">
        <v>1998</v>
      </c>
    </row>
    <row r="1762" customFormat="false" ht="15" hidden="false" customHeight="false" outlineLevel="0" collapsed="false">
      <c r="A1762" s="22" t="n">
        <v>1761</v>
      </c>
      <c r="B1762" s="22" t="s">
        <v>171</v>
      </c>
      <c r="C1762" s="37" t="n">
        <v>46224.3813657407</v>
      </c>
      <c r="D1762" s="22" t="s">
        <v>203</v>
      </c>
      <c r="E1762" s="22" t="n">
        <v>9</v>
      </c>
      <c r="F1762" s="22" t="s">
        <v>181</v>
      </c>
      <c r="G1762" s="22" t="s">
        <v>235</v>
      </c>
      <c r="H1762" s="22" t="n">
        <v>0.07</v>
      </c>
      <c r="I1762" s="38" t="n">
        <v>4067.45</v>
      </c>
      <c r="J1762" s="38" t="n">
        <v>4067.45</v>
      </c>
      <c r="K1762" s="39" t="n">
        <f aca="false">IF(F1762="BUY",J1762-I1762,I1762-J1762)</f>
        <v>0</v>
      </c>
      <c r="L1762" s="38" t="n">
        <v>4061.45</v>
      </c>
      <c r="M1762" s="39" t="n">
        <f aca="false">ABS(I1762-L1762)</f>
        <v>6</v>
      </c>
      <c r="N1762" s="24" t="n">
        <f aca="false">M1762*H1762*Summary!$C$6</f>
        <v>42</v>
      </c>
      <c r="O1762" s="37" t="n">
        <v>46224.4381481482</v>
      </c>
      <c r="P1762" s="22" t="n">
        <f aca="false">ROUND((O1762-C1762)*86400,0)</f>
        <v>4906</v>
      </c>
      <c r="Q1762" s="22" t="str">
        <f aca="false">IF(P1762&lt;10,"a) &lt;10s",IF(P1762&lt;60,"b) 10-60s",IF(P1762&lt;600,"c) 1-10min","d) &gt;10min")))</f>
        <v>d) &gt;10min</v>
      </c>
      <c r="R1762" s="38" t="n">
        <v>4067.95</v>
      </c>
      <c r="S1762" s="38" t="n">
        <v>4067.89</v>
      </c>
      <c r="T1762" s="22" t="s">
        <v>189</v>
      </c>
      <c r="U1762" s="39" t="n">
        <f aca="false">IF(R1762="","",IF(F1762="BUY",R1762-S1762,S1762-R1762))</f>
        <v>0.0599999999999454</v>
      </c>
      <c r="V1762" s="39" t="n">
        <f aca="false">IF(F1762="BUY",S1762-J1762,J1762-S1762)</f>
        <v>0.440000000000055</v>
      </c>
      <c r="W1762" s="6" t="n">
        <v>3.08</v>
      </c>
      <c r="X1762" s="26" t="n">
        <f aca="false">IFERROR(W1762/N1762,0)</f>
        <v>0.0733333333333333</v>
      </c>
      <c r="Y1762" s="22" t="str">
        <f aca="false">IF(W1762&gt;0,"Win",IF(W1762&lt;0,"Loss","Flat"))</f>
        <v>Win</v>
      </c>
      <c r="Z1762" s="24" t="n">
        <f aca="false">Summary!$C$5+SUM(W$2:W1762)</f>
        <v>4555.75</v>
      </c>
      <c r="AA1762" s="24" t="n">
        <f aca="false">MAX(AA1761,Z1762)</f>
        <v>5106.86</v>
      </c>
      <c r="AB1762" s="24" t="n">
        <f aca="false">AA1762-Z1762</f>
        <v>551.11</v>
      </c>
      <c r="AC1762" s="23" t="n">
        <f aca="false">IFERROR(AB1762/AA1762,0)</f>
        <v>0.107915627215158</v>
      </c>
      <c r="AD1762" s="22" t="s">
        <v>1999</v>
      </c>
    </row>
    <row r="1763" customFormat="false" ht="15" hidden="false" customHeight="false" outlineLevel="0" collapsed="false">
      <c r="A1763" s="22" t="n">
        <v>1762</v>
      </c>
      <c r="B1763" s="22" t="s">
        <v>171</v>
      </c>
      <c r="C1763" s="37" t="n">
        <v>46225.3751851852</v>
      </c>
      <c r="D1763" s="22" t="s">
        <v>204</v>
      </c>
      <c r="E1763" s="22" t="n">
        <v>9</v>
      </c>
      <c r="F1763" s="22" t="s">
        <v>181</v>
      </c>
      <c r="G1763" s="22" t="s">
        <v>235</v>
      </c>
      <c r="H1763" s="22" t="n">
        <v>0.07</v>
      </c>
      <c r="I1763" s="38" t="n">
        <v>4133.91</v>
      </c>
      <c r="J1763" s="38" t="n">
        <v>4134.33</v>
      </c>
      <c r="K1763" s="39" t="n">
        <f aca="false">IF(F1763="BUY",J1763-I1763,I1763-J1763)</f>
        <v>0.420000000000073</v>
      </c>
      <c r="L1763" s="38" t="n">
        <v>4127.91</v>
      </c>
      <c r="M1763" s="39" t="n">
        <f aca="false">ABS(I1763-L1763)</f>
        <v>6</v>
      </c>
      <c r="N1763" s="24" t="n">
        <f aca="false">M1763*H1763*Summary!$C$6</f>
        <v>42</v>
      </c>
      <c r="O1763" s="37" t="n">
        <v>46225.3913541667</v>
      </c>
      <c r="P1763" s="22" t="n">
        <f aca="false">ROUND((O1763-C1763)*86400,0)</f>
        <v>1397</v>
      </c>
      <c r="Q1763" s="22" t="str">
        <f aca="false">IF(P1763&lt;10,"a) &lt;10s",IF(P1763&lt;60,"b) 10-60s",IF(P1763&lt;600,"c) 1-10min","d) &gt;10min")))</f>
        <v>d) &gt;10min</v>
      </c>
      <c r="R1763" s="38" t="n">
        <v>4127.91</v>
      </c>
      <c r="S1763" s="38" t="n">
        <v>4127.79</v>
      </c>
      <c r="T1763" s="22" t="s">
        <v>188</v>
      </c>
      <c r="U1763" s="39" t="n">
        <f aca="false">IF(R1763="","",IF(F1763="BUY",R1763-S1763,S1763-R1763))</f>
        <v>0.119999999999891</v>
      </c>
      <c r="V1763" s="39" t="n">
        <f aca="false">IF(F1763="BUY",S1763-J1763,J1763-S1763)</f>
        <v>-6.53999999999996</v>
      </c>
      <c r="W1763" s="6" t="n">
        <v>-45.78</v>
      </c>
      <c r="X1763" s="26" t="n">
        <f aca="false">IFERROR(W1763/N1763,0)</f>
        <v>-1.09</v>
      </c>
      <c r="Y1763" s="22" t="str">
        <f aca="false">IF(W1763&gt;0,"Win",IF(W1763&lt;0,"Loss","Flat"))</f>
        <v>Loss</v>
      </c>
      <c r="Z1763" s="24" t="n">
        <f aca="false">Summary!$C$5+SUM(W$2:W1763)</f>
        <v>4509.97</v>
      </c>
      <c r="AA1763" s="24" t="n">
        <f aca="false">MAX(AA1762,Z1763)</f>
        <v>5106.86</v>
      </c>
      <c r="AB1763" s="24" t="n">
        <f aca="false">AA1763-Z1763</f>
        <v>596.889999999999</v>
      </c>
      <c r="AC1763" s="23" t="n">
        <f aca="false">IFERROR(AB1763/AA1763,0)</f>
        <v>0.116880039789616</v>
      </c>
      <c r="AD1763" s="22" t="s">
        <v>2000</v>
      </c>
    </row>
    <row r="1764" customFormat="false" ht="15" hidden="false" customHeight="false" outlineLevel="0" collapsed="false">
      <c r="A1764" s="22" t="n">
        <v>1763</v>
      </c>
      <c r="B1764" s="22" t="s">
        <v>171</v>
      </c>
      <c r="C1764" s="37" t="n">
        <v>46226.4030439815</v>
      </c>
      <c r="D1764" s="22" t="s">
        <v>205</v>
      </c>
      <c r="E1764" s="22" t="n">
        <v>9</v>
      </c>
      <c r="F1764" s="22" t="s">
        <v>182</v>
      </c>
      <c r="G1764" s="22" t="s">
        <v>241</v>
      </c>
      <c r="H1764" s="22" t="n">
        <v>0.07</v>
      </c>
      <c r="I1764" s="38" t="n">
        <v>4119.04</v>
      </c>
      <c r="J1764" s="38" t="n">
        <v>4119.04</v>
      </c>
      <c r="K1764" s="39" t="n">
        <f aca="false">IF(F1764="BUY",J1764-I1764,I1764-J1764)</f>
        <v>0</v>
      </c>
      <c r="L1764" s="38" t="n">
        <v>4125.04</v>
      </c>
      <c r="M1764" s="39" t="n">
        <f aca="false">ABS(I1764-L1764)</f>
        <v>6</v>
      </c>
      <c r="N1764" s="24" t="n">
        <f aca="false">M1764*H1764*Summary!$C$6</f>
        <v>42</v>
      </c>
      <c r="O1764" s="37" t="n">
        <v>46226.4734722222</v>
      </c>
      <c r="P1764" s="22" t="n">
        <f aca="false">ROUND((O1764-C1764)*86400,0)</f>
        <v>6085</v>
      </c>
      <c r="Q1764" s="22" t="str">
        <f aca="false">IF(P1764&lt;10,"a) &lt;10s",IF(P1764&lt;60,"b) 10-60s",IF(P1764&lt;600,"c) 1-10min","d) &gt;10min")))</f>
        <v>d) &gt;10min</v>
      </c>
      <c r="R1764" s="38"/>
      <c r="S1764" s="38" t="n">
        <v>4089.03</v>
      </c>
      <c r="T1764" s="22" t="s">
        <v>187</v>
      </c>
      <c r="U1764" s="39" t="str">
        <f aca="false">IF(R1764="","",IF(F1764="BUY",R1764-S1764,S1764-R1764))</f>
        <v/>
      </c>
      <c r="V1764" s="39" t="n">
        <f aca="false">IF(F1764="BUY",S1764-J1764,J1764-S1764)</f>
        <v>30.0099999999998</v>
      </c>
      <c r="W1764" s="6" t="n">
        <v>210.07</v>
      </c>
      <c r="X1764" s="26" t="n">
        <f aca="false">IFERROR(W1764/N1764,0)</f>
        <v>5.00166666666667</v>
      </c>
      <c r="Y1764" s="22" t="str">
        <f aca="false">IF(W1764&gt;0,"Win",IF(W1764&lt;0,"Loss","Flat"))</f>
        <v>Win</v>
      </c>
      <c r="Z1764" s="24" t="n">
        <f aca="false">Summary!$C$5+SUM(W$2:W1764)</f>
        <v>4720.04</v>
      </c>
      <c r="AA1764" s="24" t="n">
        <f aca="false">MAX(AA1763,Z1764)</f>
        <v>5106.86</v>
      </c>
      <c r="AB1764" s="24" t="n">
        <f aca="false">AA1764-Z1764</f>
        <v>386.82</v>
      </c>
      <c r="AC1764" s="23" t="n">
        <f aca="false">IFERROR(AB1764/AA1764,0)</f>
        <v>0.0757451741383159</v>
      </c>
      <c r="AD1764" s="22" t="s">
        <v>2001</v>
      </c>
    </row>
    <row r="1765" customFormat="false" ht="15" hidden="false" customHeight="false" outlineLevel="0" collapsed="false">
      <c r="A1765" s="22" t="n">
        <v>1764</v>
      </c>
      <c r="B1765" s="22" t="s">
        <v>171</v>
      </c>
      <c r="C1765" s="37" t="n">
        <v>46226.6113888889</v>
      </c>
      <c r="D1765" s="22" t="s">
        <v>205</v>
      </c>
      <c r="E1765" s="22" t="n">
        <v>14</v>
      </c>
      <c r="F1765" s="22" t="s">
        <v>182</v>
      </c>
      <c r="G1765" s="22" t="s">
        <v>237</v>
      </c>
      <c r="H1765" s="22" t="n">
        <v>0.07</v>
      </c>
      <c r="I1765" s="38" t="n">
        <v>4076.33</v>
      </c>
      <c r="J1765" s="38" t="n">
        <v>4076.1</v>
      </c>
      <c r="K1765" s="39" t="n">
        <f aca="false">IF(F1765="BUY",J1765-I1765,I1765-J1765)</f>
        <v>0.230000000000018</v>
      </c>
      <c r="L1765" s="38" t="n">
        <v>4082.33</v>
      </c>
      <c r="M1765" s="39" t="n">
        <f aca="false">ABS(I1765-L1765)</f>
        <v>6</v>
      </c>
      <c r="N1765" s="24" t="n">
        <f aca="false">M1765*H1765*Summary!$C$6</f>
        <v>42</v>
      </c>
      <c r="O1765" s="37" t="n">
        <v>46226.612025463</v>
      </c>
      <c r="P1765" s="22" t="n">
        <f aca="false">ROUND((O1765-C1765)*86400,0)</f>
        <v>55</v>
      </c>
      <c r="Q1765" s="22" t="str">
        <f aca="false">IF(P1765&lt;10,"a) &lt;10s",IF(P1765&lt;60,"b) 10-60s",IF(P1765&lt;600,"c) 1-10min","d) &gt;10min")))</f>
        <v>b) 10-60s</v>
      </c>
      <c r="R1765" s="38" t="n">
        <v>4075.6</v>
      </c>
      <c r="S1765" s="38" t="n">
        <v>4075.66</v>
      </c>
      <c r="T1765" s="22" t="s">
        <v>189</v>
      </c>
      <c r="U1765" s="39" t="n">
        <f aca="false">IF(R1765="","",IF(F1765="BUY",R1765-S1765,S1765-R1765))</f>
        <v>0.0599999999999454</v>
      </c>
      <c r="V1765" s="39" t="n">
        <f aca="false">IF(F1765="BUY",S1765-J1765,J1765-S1765)</f>
        <v>0.440000000000055</v>
      </c>
      <c r="W1765" s="6" t="n">
        <v>3.08</v>
      </c>
      <c r="X1765" s="26" t="n">
        <f aca="false">IFERROR(W1765/N1765,0)</f>
        <v>0.0733333333333333</v>
      </c>
      <c r="Y1765" s="22" t="str">
        <f aca="false">IF(W1765&gt;0,"Win",IF(W1765&lt;0,"Loss","Flat"))</f>
        <v>Win</v>
      </c>
      <c r="Z1765" s="24" t="n">
        <f aca="false">Summary!$C$5+SUM(W$2:W1765)</f>
        <v>4723.12</v>
      </c>
      <c r="AA1765" s="24" t="n">
        <f aca="false">MAX(AA1764,Z1765)</f>
        <v>5106.86</v>
      </c>
      <c r="AB1765" s="24" t="n">
        <f aca="false">AA1765-Z1765</f>
        <v>383.74</v>
      </c>
      <c r="AC1765" s="23" t="n">
        <f aca="false">IFERROR(AB1765/AA1765,0)</f>
        <v>0.0751420638122055</v>
      </c>
      <c r="AD1765" s="22" t="s">
        <v>2002</v>
      </c>
    </row>
    <row r="1766" customFormat="false" ht="15" hidden="false" customHeight="false" outlineLevel="0" collapsed="false">
      <c r="A1766" s="22" t="n">
        <v>1765</v>
      </c>
      <c r="B1766" s="22" t="s">
        <v>171</v>
      </c>
      <c r="C1766" s="37" t="n">
        <v>46227.1696527778</v>
      </c>
      <c r="D1766" s="22" t="s">
        <v>206</v>
      </c>
      <c r="E1766" s="22" t="n">
        <v>4</v>
      </c>
      <c r="F1766" s="22" t="s">
        <v>182</v>
      </c>
      <c r="G1766" s="22" t="s">
        <v>237</v>
      </c>
      <c r="H1766" s="22" t="n">
        <v>0.07</v>
      </c>
      <c r="I1766" s="38" t="n">
        <v>4039.69</v>
      </c>
      <c r="J1766" s="38" t="n">
        <v>4039.56</v>
      </c>
      <c r="K1766" s="39" t="n">
        <f aca="false">IF(F1766="BUY",J1766-I1766,I1766-J1766)</f>
        <v>0.130000000000109</v>
      </c>
      <c r="L1766" s="38" t="n">
        <v>4045.69</v>
      </c>
      <c r="M1766" s="39" t="n">
        <f aca="false">ABS(I1766-L1766)</f>
        <v>6</v>
      </c>
      <c r="N1766" s="24" t="n">
        <f aca="false">M1766*H1766*Summary!$C$6</f>
        <v>42</v>
      </c>
      <c r="O1766" s="37" t="n">
        <v>46227.177974537</v>
      </c>
      <c r="P1766" s="22" t="n">
        <f aca="false">ROUND((O1766-C1766)*86400,0)</f>
        <v>719</v>
      </c>
      <c r="Q1766" s="22" t="str">
        <f aca="false">IF(P1766&lt;10,"a) &lt;10s",IF(P1766&lt;60,"b) 10-60s",IF(P1766&lt;600,"c) 1-10min","d) &gt;10min")))</f>
        <v>d) &gt;10min</v>
      </c>
      <c r="R1766" s="38" t="n">
        <v>4045.69</v>
      </c>
      <c r="S1766" s="38" t="n">
        <v>4045.69</v>
      </c>
      <c r="T1766" s="22" t="s">
        <v>188</v>
      </c>
      <c r="U1766" s="39" t="n">
        <f aca="false">IF(R1766="","",IF(F1766="BUY",R1766-S1766,S1766-R1766))</f>
        <v>0</v>
      </c>
      <c r="V1766" s="39" t="n">
        <f aca="false">IF(F1766="BUY",S1766-J1766,J1766-S1766)</f>
        <v>-6.13000000000011</v>
      </c>
      <c r="W1766" s="6" t="n">
        <v>-42.91</v>
      </c>
      <c r="X1766" s="26" t="n">
        <f aca="false">IFERROR(W1766/N1766,0)</f>
        <v>-1.02166666666667</v>
      </c>
      <c r="Y1766" s="22" t="str">
        <f aca="false">IF(W1766&gt;0,"Win",IF(W1766&lt;0,"Loss","Flat"))</f>
        <v>Loss</v>
      </c>
      <c r="Z1766" s="24" t="n">
        <f aca="false">Summary!$C$5+SUM(W$2:W1766)</f>
        <v>4680.21</v>
      </c>
      <c r="AA1766" s="24" t="n">
        <f aca="false">MAX(AA1765,Z1766)</f>
        <v>5106.86</v>
      </c>
      <c r="AB1766" s="24" t="n">
        <f aca="false">AA1766-Z1766</f>
        <v>426.65</v>
      </c>
      <c r="AC1766" s="23" t="n">
        <f aca="false">IFERROR(AB1766/AA1766,0)</f>
        <v>0.0835444872191522</v>
      </c>
      <c r="AD1766" s="22" t="s">
        <v>2003</v>
      </c>
    </row>
    <row r="1767" customFormat="false" ht="15" hidden="false" customHeight="false" outlineLevel="0" collapsed="false">
      <c r="A1767" s="22" t="n">
        <v>1766</v>
      </c>
      <c r="B1767" s="22" t="s">
        <v>171</v>
      </c>
      <c r="C1767" s="37" t="n">
        <v>46227.3882638889</v>
      </c>
      <c r="D1767" s="22" t="s">
        <v>206</v>
      </c>
      <c r="E1767" s="22" t="n">
        <v>9</v>
      </c>
      <c r="F1767" s="22" t="s">
        <v>181</v>
      </c>
      <c r="G1767" s="22" t="s">
        <v>235</v>
      </c>
      <c r="H1767" s="22" t="n">
        <v>0.07</v>
      </c>
      <c r="I1767" s="38" t="n">
        <v>4032.03</v>
      </c>
      <c r="J1767" s="38" t="n">
        <v>4032.13</v>
      </c>
      <c r="K1767" s="39" t="n">
        <f aca="false">IF(F1767="BUY",J1767-I1767,I1767-J1767)</f>
        <v>0.0999999999999091</v>
      </c>
      <c r="L1767" s="38" t="n">
        <v>4026.03</v>
      </c>
      <c r="M1767" s="39" t="n">
        <f aca="false">ABS(I1767-L1767)</f>
        <v>6</v>
      </c>
      <c r="N1767" s="24" t="n">
        <f aca="false">M1767*H1767*Summary!$C$6</f>
        <v>42</v>
      </c>
      <c r="O1767" s="37" t="n">
        <v>46227.4110185185</v>
      </c>
      <c r="P1767" s="22" t="n">
        <f aca="false">ROUND((O1767-C1767)*86400,0)</f>
        <v>1966</v>
      </c>
      <c r="Q1767" s="22" t="str">
        <f aca="false">IF(P1767&lt;10,"a) &lt;10s",IF(P1767&lt;60,"b) 10-60s",IF(P1767&lt;600,"c) 1-10min","d) &gt;10min")))</f>
        <v>d) &gt;10min</v>
      </c>
      <c r="R1767" s="38" t="n">
        <v>4032.63</v>
      </c>
      <c r="S1767" s="38" t="n">
        <v>4032.39</v>
      </c>
      <c r="T1767" s="22" t="s">
        <v>189</v>
      </c>
      <c r="U1767" s="39" t="n">
        <f aca="false">IF(R1767="","",IF(F1767="BUY",R1767-S1767,S1767-R1767))</f>
        <v>0.240000000000236</v>
      </c>
      <c r="V1767" s="39" t="n">
        <f aca="false">IF(F1767="BUY",S1767-J1767,J1767-S1767)</f>
        <v>0.259999999999764</v>
      </c>
      <c r="W1767" s="6" t="n">
        <v>1.82</v>
      </c>
      <c r="X1767" s="26" t="n">
        <f aca="false">IFERROR(W1767/N1767,0)</f>
        <v>0.0433333333333333</v>
      </c>
      <c r="Y1767" s="22" t="str">
        <f aca="false">IF(W1767&gt;0,"Win",IF(W1767&lt;0,"Loss","Flat"))</f>
        <v>Win</v>
      </c>
      <c r="Z1767" s="24" t="n">
        <f aca="false">Summary!$C$5+SUM(W$2:W1767)</f>
        <v>4682.03</v>
      </c>
      <c r="AA1767" s="24" t="n">
        <f aca="false">MAX(AA1766,Z1767)</f>
        <v>5106.86</v>
      </c>
      <c r="AB1767" s="24" t="n">
        <f aca="false">AA1767-Z1767</f>
        <v>424.83</v>
      </c>
      <c r="AC1767" s="23" t="n">
        <f aca="false">IFERROR(AB1767/AA1767,0)</f>
        <v>0.0831881038446325</v>
      </c>
      <c r="AD1767" s="22" t="s">
        <v>2004</v>
      </c>
    </row>
    <row r="1768" customFormat="false" ht="15" hidden="false" customHeight="false" outlineLevel="0" collapsed="false">
      <c r="A1768" s="22" t="n">
        <v>1767</v>
      </c>
      <c r="B1768" s="22" t="s">
        <v>171</v>
      </c>
      <c r="C1768" s="37" t="n">
        <v>46230.3757060185</v>
      </c>
      <c r="D1768" s="22" t="s">
        <v>202</v>
      </c>
      <c r="E1768" s="22" t="n">
        <v>9</v>
      </c>
      <c r="F1768" s="22" t="s">
        <v>181</v>
      </c>
      <c r="G1768" s="22" t="s">
        <v>235</v>
      </c>
      <c r="H1768" s="22" t="n">
        <v>0.07</v>
      </c>
      <c r="I1768" s="38" t="n">
        <v>4094.54</v>
      </c>
      <c r="J1768" s="38" t="n">
        <v>4094.55</v>
      </c>
      <c r="K1768" s="39" t="n">
        <f aca="false">IF(F1768="BUY",J1768-I1768,I1768-J1768)</f>
        <v>0.0100000000002183</v>
      </c>
      <c r="L1768" s="38" t="n">
        <v>4088.54</v>
      </c>
      <c r="M1768" s="39" t="n">
        <f aca="false">ABS(I1768-L1768)</f>
        <v>6</v>
      </c>
      <c r="N1768" s="24" t="n">
        <f aca="false">M1768*H1768*Summary!$C$6</f>
        <v>42</v>
      </c>
      <c r="O1768" s="37" t="n">
        <v>46230.3977777778</v>
      </c>
      <c r="P1768" s="22" t="n">
        <f aca="false">ROUND((O1768-C1768)*86400,0)</f>
        <v>1907</v>
      </c>
      <c r="Q1768" s="22" t="str">
        <f aca="false">IF(P1768&lt;10,"a) &lt;10s",IF(P1768&lt;60,"b) 10-60s",IF(P1768&lt;600,"c) 1-10min","d) &gt;10min")))</f>
        <v>d) &gt;10min</v>
      </c>
      <c r="R1768" s="38" t="n">
        <v>4095.05</v>
      </c>
      <c r="S1768" s="38" t="n">
        <v>4094.67</v>
      </c>
      <c r="T1768" s="22" t="s">
        <v>189</v>
      </c>
      <c r="U1768" s="39" t="n">
        <f aca="false">IF(R1768="","",IF(F1768="BUY",R1768-S1768,S1768-R1768))</f>
        <v>0.380000000000109</v>
      </c>
      <c r="V1768" s="39" t="n">
        <f aca="false">IF(F1768="BUY",S1768-J1768,J1768-S1768)</f>
        <v>0.119999999999891</v>
      </c>
      <c r="W1768" s="6" t="n">
        <v>0.84</v>
      </c>
      <c r="X1768" s="26" t="n">
        <f aca="false">IFERROR(W1768/N1768,0)</f>
        <v>0.02</v>
      </c>
      <c r="Y1768" s="22" t="str">
        <f aca="false">IF(W1768&gt;0,"Win",IF(W1768&lt;0,"Loss","Flat"))</f>
        <v>Win</v>
      </c>
      <c r="Z1768" s="24" t="n">
        <f aca="false">Summary!$C$5+SUM(W$2:W1768)</f>
        <v>4682.87</v>
      </c>
      <c r="AA1768" s="24" t="n">
        <f aca="false">MAX(AA1767,Z1768)</f>
        <v>5106.86</v>
      </c>
      <c r="AB1768" s="24" t="n">
        <f aca="false">AA1768-Z1768</f>
        <v>423.99</v>
      </c>
      <c r="AC1768" s="23" t="n">
        <f aca="false">IFERROR(AB1768/AA1768,0)</f>
        <v>0.0830236192102387</v>
      </c>
      <c r="AD1768" s="22" t="s">
        <v>2005</v>
      </c>
    </row>
    <row r="1769" customFormat="false" ht="15" hidden="false" customHeight="false" outlineLevel="0" collapsed="false">
      <c r="A1769" s="22" t="n">
        <v>1768</v>
      </c>
      <c r="B1769" s="22" t="s">
        <v>171</v>
      </c>
      <c r="C1769" s="37" t="n">
        <v>46231.1284722222</v>
      </c>
      <c r="D1769" s="22" t="s">
        <v>203</v>
      </c>
      <c r="E1769" s="22" t="n">
        <v>3</v>
      </c>
      <c r="F1769" s="22" t="s">
        <v>182</v>
      </c>
      <c r="G1769" s="22" t="s">
        <v>237</v>
      </c>
      <c r="H1769" s="22" t="n">
        <v>0.07</v>
      </c>
      <c r="I1769" s="38" t="n">
        <v>4065.07</v>
      </c>
      <c r="J1769" s="38" t="n">
        <v>4065.03</v>
      </c>
      <c r="K1769" s="39" t="n">
        <f aca="false">IF(F1769="BUY",J1769-I1769,I1769-J1769)</f>
        <v>0.0399999999999636</v>
      </c>
      <c r="L1769" s="38" t="n">
        <v>4071.07</v>
      </c>
      <c r="M1769" s="39" t="n">
        <f aca="false">ABS(I1769-L1769)</f>
        <v>6</v>
      </c>
      <c r="N1769" s="24" t="n">
        <f aca="false">M1769*H1769*Summary!$C$6</f>
        <v>42</v>
      </c>
      <c r="O1769" s="37" t="n">
        <v>46231.1296990741</v>
      </c>
      <c r="P1769" s="22" t="n">
        <f aca="false">ROUND((O1769-C1769)*86400,0)</f>
        <v>106</v>
      </c>
      <c r="Q1769" s="22" t="str">
        <f aca="false">IF(P1769&lt;10,"a) &lt;10s",IF(P1769&lt;60,"b) 10-60s",IF(P1769&lt;600,"c) 1-10min","d) &gt;10min")))</f>
        <v>c) 1-10min</v>
      </c>
      <c r="R1769" s="38" t="n">
        <v>4064.53</v>
      </c>
      <c r="S1769" s="38" t="n">
        <v>4064.69</v>
      </c>
      <c r="T1769" s="22" t="s">
        <v>189</v>
      </c>
      <c r="U1769" s="39" t="n">
        <f aca="false">IF(R1769="","",IF(F1769="BUY",R1769-S1769,S1769-R1769))</f>
        <v>0.159999999999854</v>
      </c>
      <c r="V1769" s="39" t="n">
        <f aca="false">IF(F1769="BUY",S1769-J1769,J1769-S1769)</f>
        <v>0.340000000000146</v>
      </c>
      <c r="W1769" s="6" t="n">
        <v>2.38</v>
      </c>
      <c r="X1769" s="26" t="n">
        <f aca="false">IFERROR(W1769/N1769,0)</f>
        <v>0.0566666666666667</v>
      </c>
      <c r="Y1769" s="22" t="str">
        <f aca="false">IF(W1769&gt;0,"Win",IF(W1769&lt;0,"Loss","Flat"))</f>
        <v>Win</v>
      </c>
      <c r="Z1769" s="24" t="n">
        <f aca="false">Summary!$C$5+SUM(W$2:W1769)</f>
        <v>4685.25</v>
      </c>
      <c r="AA1769" s="24" t="n">
        <f aca="false">MAX(AA1768,Z1769)</f>
        <v>5106.86</v>
      </c>
      <c r="AB1769" s="24" t="n">
        <f aca="false">AA1769-Z1769</f>
        <v>421.61</v>
      </c>
      <c r="AC1769" s="23" t="n">
        <f aca="false">IFERROR(AB1769/AA1769,0)</f>
        <v>0.0825575794127898</v>
      </c>
      <c r="AD1769" s="22" t="s">
        <v>2006</v>
      </c>
    </row>
    <row r="1770" customFormat="false" ht="15" hidden="false" customHeight="false" outlineLevel="0" collapsed="false">
      <c r="A1770" s="22" t="n">
        <v>1769</v>
      </c>
      <c r="B1770" s="22" t="s">
        <v>171</v>
      </c>
      <c r="C1770" s="37" t="n">
        <v>46231.3971759259</v>
      </c>
      <c r="D1770" s="22" t="s">
        <v>203</v>
      </c>
      <c r="E1770" s="22" t="n">
        <v>9</v>
      </c>
      <c r="F1770" s="22" t="s">
        <v>181</v>
      </c>
      <c r="G1770" s="22" t="s">
        <v>235</v>
      </c>
      <c r="H1770" s="22" t="n">
        <v>0.07</v>
      </c>
      <c r="I1770" s="38" t="n">
        <v>4049.49</v>
      </c>
      <c r="J1770" s="38" t="n">
        <v>4049.56</v>
      </c>
      <c r="K1770" s="39" t="n">
        <f aca="false">IF(F1770="BUY",J1770-I1770,I1770-J1770)</f>
        <v>0.0700000000001637</v>
      </c>
      <c r="L1770" s="38" t="n">
        <v>4043.49</v>
      </c>
      <c r="M1770" s="39" t="n">
        <f aca="false">ABS(I1770-L1770)</f>
        <v>6</v>
      </c>
      <c r="N1770" s="24" t="n">
        <f aca="false">M1770*H1770*Summary!$C$6</f>
        <v>42</v>
      </c>
      <c r="O1770" s="37" t="n">
        <v>46231.4062384259</v>
      </c>
      <c r="P1770" s="22" t="n">
        <f aca="false">ROUND((O1770-C1770)*86400,0)</f>
        <v>783</v>
      </c>
      <c r="Q1770" s="22" t="str">
        <f aca="false">IF(P1770&lt;10,"a) &lt;10s",IF(P1770&lt;60,"b) 10-60s",IF(P1770&lt;600,"c) 1-10min","d) &gt;10min")))</f>
        <v>d) &gt;10min</v>
      </c>
      <c r="R1770" s="38" t="n">
        <v>4050.06</v>
      </c>
      <c r="S1770" s="38" t="n">
        <v>4050.05</v>
      </c>
      <c r="T1770" s="22" t="s">
        <v>189</v>
      </c>
      <c r="U1770" s="39" t="n">
        <f aca="false">IF(R1770="","",IF(F1770="BUY",R1770-S1770,S1770-R1770))</f>
        <v>0.00999999999976353</v>
      </c>
      <c r="V1770" s="39" t="n">
        <f aca="false">IF(F1770="BUY",S1770-J1770,J1770-S1770)</f>
        <v>0.490000000000236</v>
      </c>
      <c r="W1770" s="6" t="n">
        <v>3.43</v>
      </c>
      <c r="X1770" s="26" t="n">
        <f aca="false">IFERROR(W1770/N1770,0)</f>
        <v>0.0816666666666667</v>
      </c>
      <c r="Y1770" s="22" t="str">
        <f aca="false">IF(W1770&gt;0,"Win",IF(W1770&lt;0,"Loss","Flat"))</f>
        <v>Win</v>
      </c>
      <c r="Z1770" s="24" t="n">
        <f aca="false">Summary!$C$5+SUM(W$2:W1770)</f>
        <v>4688.68</v>
      </c>
      <c r="AA1770" s="24" t="n">
        <f aca="false">MAX(AA1769,Z1770)</f>
        <v>5106.86</v>
      </c>
      <c r="AB1770" s="24" t="n">
        <f aca="false">AA1770-Z1770</f>
        <v>418.179999999999</v>
      </c>
      <c r="AC1770" s="23" t="n">
        <f aca="false">IFERROR(AB1770/AA1770,0)</f>
        <v>0.0818859338223486</v>
      </c>
      <c r="AD1770" s="22" t="s">
        <v>2007</v>
      </c>
    </row>
    <row r="1771" customFormat="false" ht="15" hidden="false" customHeight="false" outlineLevel="0" collapsed="false">
      <c r="A1771" s="22" t="n">
        <v>1770</v>
      </c>
      <c r="B1771" s="22" t="s">
        <v>171</v>
      </c>
      <c r="C1771" s="37" t="n">
        <v>46232.1698958333</v>
      </c>
      <c r="D1771" s="22" t="s">
        <v>204</v>
      </c>
      <c r="E1771" s="22" t="n">
        <v>4</v>
      </c>
      <c r="F1771" s="22" t="s">
        <v>182</v>
      </c>
      <c r="G1771" s="22" t="s">
        <v>237</v>
      </c>
      <c r="H1771" s="22" t="n">
        <v>0.07</v>
      </c>
      <c r="I1771" s="38" t="n">
        <v>4011.34</v>
      </c>
      <c r="J1771" s="38" t="n">
        <v>4010.67</v>
      </c>
      <c r="K1771" s="39" t="n">
        <f aca="false">IF(F1771="BUY",J1771-I1771,I1771-J1771)</f>
        <v>0.670000000000073</v>
      </c>
      <c r="L1771" s="38" t="n">
        <v>4017.34</v>
      </c>
      <c r="M1771" s="39" t="n">
        <f aca="false">ABS(I1771-L1771)</f>
        <v>6</v>
      </c>
      <c r="N1771" s="24" t="n">
        <f aca="false">M1771*H1771*Summary!$C$6</f>
        <v>42</v>
      </c>
      <c r="O1771" s="37" t="n">
        <v>46232.1738078704</v>
      </c>
      <c r="P1771" s="22" t="n">
        <f aca="false">ROUND((O1771-C1771)*86400,0)</f>
        <v>338</v>
      </c>
      <c r="Q1771" s="22" t="str">
        <f aca="false">IF(P1771&lt;10,"a) &lt;10s",IF(P1771&lt;60,"b) 10-60s",IF(P1771&lt;600,"c) 1-10min","d) &gt;10min")))</f>
        <v>c) 1-10min</v>
      </c>
      <c r="R1771" s="38" t="n">
        <v>4017.34</v>
      </c>
      <c r="S1771" s="38" t="n">
        <v>4017.36</v>
      </c>
      <c r="T1771" s="22" t="s">
        <v>188</v>
      </c>
      <c r="U1771" s="39" t="n">
        <f aca="false">IF(R1771="","",IF(F1771="BUY",R1771-S1771,S1771-R1771))</f>
        <v>0.0199999999999818</v>
      </c>
      <c r="V1771" s="39" t="n">
        <f aca="false">IF(F1771="BUY",S1771-J1771,J1771-S1771)</f>
        <v>-6.69000000000006</v>
      </c>
      <c r="W1771" s="6" t="n">
        <v>-46.83</v>
      </c>
      <c r="X1771" s="26" t="n">
        <f aca="false">IFERROR(W1771/N1771,0)</f>
        <v>-1.115</v>
      </c>
      <c r="Y1771" s="22" t="str">
        <f aca="false">IF(W1771&gt;0,"Win",IF(W1771&lt;0,"Loss","Flat"))</f>
        <v>Loss</v>
      </c>
      <c r="Z1771" s="24" t="n">
        <f aca="false">Summary!$C$5+SUM(W$2:W1771)</f>
        <v>4641.85</v>
      </c>
      <c r="AA1771" s="24" t="n">
        <f aca="false">MAX(AA1770,Z1771)</f>
        <v>5106.86</v>
      </c>
      <c r="AB1771" s="24" t="n">
        <f aca="false">AA1771-Z1771</f>
        <v>465.009999999999</v>
      </c>
      <c r="AC1771" s="23" t="n">
        <f aca="false">IFERROR(AB1771/AA1771,0)</f>
        <v>0.0910559521897995</v>
      </c>
      <c r="AD1771" s="22" t="s">
        <v>2008</v>
      </c>
    </row>
    <row r="1772" customFormat="false" ht="15" hidden="false" customHeight="false" outlineLevel="0" collapsed="false">
      <c r="A1772" s="22" t="n">
        <v>1771</v>
      </c>
      <c r="B1772" s="22" t="s">
        <v>171</v>
      </c>
      <c r="C1772" s="37" t="n">
        <v>46232.3871875</v>
      </c>
      <c r="D1772" s="22" t="s">
        <v>204</v>
      </c>
      <c r="E1772" s="22" t="n">
        <v>9</v>
      </c>
      <c r="F1772" s="22" t="s">
        <v>181</v>
      </c>
      <c r="G1772" s="22" t="s">
        <v>235</v>
      </c>
      <c r="H1772" s="22" t="n">
        <v>0.07</v>
      </c>
      <c r="I1772" s="38" t="n">
        <v>4039.76</v>
      </c>
      <c r="J1772" s="38" t="n">
        <v>4039.78</v>
      </c>
      <c r="K1772" s="39" t="n">
        <f aca="false">IF(F1772="BUY",J1772-I1772,I1772-J1772)</f>
        <v>0.0199999999999818</v>
      </c>
      <c r="L1772" s="38" t="n">
        <v>4033.76</v>
      </c>
      <c r="M1772" s="39" t="n">
        <f aca="false">ABS(I1772-L1772)</f>
        <v>6</v>
      </c>
      <c r="N1772" s="24" t="n">
        <f aca="false">M1772*H1772*Summary!$C$6</f>
        <v>42</v>
      </c>
      <c r="O1772" s="37" t="n">
        <v>46232.3925231482</v>
      </c>
      <c r="P1772" s="22" t="n">
        <f aca="false">ROUND((O1772-C1772)*86400,0)</f>
        <v>461</v>
      </c>
      <c r="Q1772" s="22" t="str">
        <f aca="false">IF(P1772&lt;10,"a) &lt;10s",IF(P1772&lt;60,"b) 10-60s",IF(P1772&lt;600,"c) 1-10min","d) &gt;10min")))</f>
        <v>c) 1-10min</v>
      </c>
      <c r="R1772" s="38" t="n">
        <v>4040.28</v>
      </c>
      <c r="S1772" s="38" t="n">
        <v>4040.14</v>
      </c>
      <c r="T1772" s="22" t="s">
        <v>189</v>
      </c>
      <c r="U1772" s="39" t="n">
        <f aca="false">IF(R1772="","",IF(F1772="BUY",R1772-S1772,S1772-R1772))</f>
        <v>0.140000000000327</v>
      </c>
      <c r="V1772" s="39" t="n">
        <f aca="false">IF(F1772="BUY",S1772-J1772,J1772-S1772)</f>
        <v>0.359999999999673</v>
      </c>
      <c r="W1772" s="6" t="n">
        <v>2.52</v>
      </c>
      <c r="X1772" s="26" t="n">
        <f aca="false">IFERROR(W1772/N1772,0)</f>
        <v>0.06</v>
      </c>
      <c r="Y1772" s="22" t="str">
        <f aca="false">IF(W1772&gt;0,"Win",IF(W1772&lt;0,"Loss","Flat"))</f>
        <v>Win</v>
      </c>
      <c r="Z1772" s="24" t="n">
        <f aca="false">Summary!$C$5+SUM(W$2:W1772)</f>
        <v>4644.37</v>
      </c>
      <c r="AA1772" s="24" t="n">
        <f aca="false">MAX(AA1771,Z1772)</f>
        <v>5106.86</v>
      </c>
      <c r="AB1772" s="24" t="n">
        <f aca="false">AA1772-Z1772</f>
        <v>462.49</v>
      </c>
      <c r="AC1772" s="23" t="n">
        <f aca="false">IFERROR(AB1772/AA1772,0)</f>
        <v>0.0905624982866184</v>
      </c>
      <c r="AD1772" s="22" t="s">
        <v>2009</v>
      </c>
    </row>
    <row r="1773" customFormat="false" ht="15" hidden="false" customHeight="false" outlineLevel="0" collapsed="false">
      <c r="A1773" s="22" t="n">
        <v>1772</v>
      </c>
      <c r="B1773" s="22" t="s">
        <v>171</v>
      </c>
      <c r="C1773" s="37" t="n">
        <v>46233.4734722222</v>
      </c>
      <c r="D1773" s="22" t="s">
        <v>205</v>
      </c>
      <c r="E1773" s="22" t="n">
        <v>11</v>
      </c>
      <c r="F1773" s="22" t="s">
        <v>181</v>
      </c>
      <c r="G1773" s="22" t="s">
        <v>235</v>
      </c>
      <c r="H1773" s="22" t="n">
        <v>0.07</v>
      </c>
      <c r="I1773" s="38" t="n">
        <v>4059.85</v>
      </c>
      <c r="J1773" s="38" t="n">
        <v>4059.87</v>
      </c>
      <c r="K1773" s="39" t="n">
        <f aca="false">IF(F1773="BUY",J1773-I1773,I1773-J1773)</f>
        <v>0.0199999999999818</v>
      </c>
      <c r="L1773" s="38" t="n">
        <v>4053.85</v>
      </c>
      <c r="M1773" s="39" t="n">
        <f aca="false">ABS(I1773-L1773)</f>
        <v>6</v>
      </c>
      <c r="N1773" s="24" t="n">
        <f aca="false">M1773*H1773*Summary!$C$6</f>
        <v>42</v>
      </c>
      <c r="O1773" s="37" t="n">
        <v>46233.4753935185</v>
      </c>
      <c r="P1773" s="22" t="n">
        <f aca="false">ROUND((O1773-C1773)*86400,0)</f>
        <v>166</v>
      </c>
      <c r="Q1773" s="22" t="str">
        <f aca="false">IF(P1773&lt;10,"a) &lt;10s",IF(P1773&lt;60,"b) 10-60s",IF(P1773&lt;600,"c) 1-10min","d) &gt;10min")))</f>
        <v>c) 1-10min</v>
      </c>
      <c r="R1773" s="38" t="n">
        <v>4060.37</v>
      </c>
      <c r="S1773" s="38" t="n">
        <v>4060.3</v>
      </c>
      <c r="T1773" s="22" t="s">
        <v>189</v>
      </c>
      <c r="U1773" s="39" t="n">
        <f aca="false">IF(R1773="","",IF(F1773="BUY",R1773-S1773,S1773-R1773))</f>
        <v>0.069999999999709</v>
      </c>
      <c r="V1773" s="39" t="n">
        <f aca="false">IF(F1773="BUY",S1773-J1773,J1773-S1773)</f>
        <v>0.430000000000291</v>
      </c>
      <c r="W1773" s="6" t="n">
        <v>3.01</v>
      </c>
      <c r="X1773" s="26" t="n">
        <f aca="false">IFERROR(W1773/N1773,0)</f>
        <v>0.0716666666666667</v>
      </c>
      <c r="Y1773" s="22" t="str">
        <f aca="false">IF(W1773&gt;0,"Win",IF(W1773&lt;0,"Loss","Flat"))</f>
        <v>Win</v>
      </c>
      <c r="Z1773" s="24" t="n">
        <f aca="false">Summary!$C$5+SUM(W$2:W1773)</f>
        <v>4647.38</v>
      </c>
      <c r="AA1773" s="24" t="n">
        <f aca="false">MAX(AA1772,Z1773)</f>
        <v>5106.86</v>
      </c>
      <c r="AB1773" s="24" t="n">
        <f aca="false">AA1773-Z1773</f>
        <v>459.48</v>
      </c>
      <c r="AC1773" s="23" t="n">
        <f aca="false">IFERROR(AB1773/AA1773,0)</f>
        <v>0.0899730950133741</v>
      </c>
      <c r="AD1773" s="22" t="s">
        <v>2010</v>
      </c>
    </row>
    <row r="1774" customFormat="false" ht="15" hidden="false" customHeight="false" outlineLevel="0" collapsed="false">
      <c r="A1774" s="22" t="n">
        <v>1773</v>
      </c>
      <c r="B1774" s="22" t="s">
        <v>171</v>
      </c>
      <c r="C1774" s="37" t="n">
        <v>46233.7086689815</v>
      </c>
      <c r="D1774" s="22" t="s">
        <v>205</v>
      </c>
      <c r="E1774" s="22" t="n">
        <v>17</v>
      </c>
      <c r="F1774" s="22" t="s">
        <v>181</v>
      </c>
      <c r="G1774" s="22" t="s">
        <v>243</v>
      </c>
      <c r="H1774" s="22" t="n">
        <v>0.07</v>
      </c>
      <c r="I1774" s="38" t="n">
        <v>4116.11</v>
      </c>
      <c r="J1774" s="38" t="n">
        <v>4117.02</v>
      </c>
      <c r="K1774" s="39" t="n">
        <f aca="false">IF(F1774="BUY",J1774-I1774,I1774-J1774)</f>
        <v>0.910000000000764</v>
      </c>
      <c r="L1774" s="38" t="n">
        <v>4110.11</v>
      </c>
      <c r="M1774" s="39" t="n">
        <f aca="false">ABS(I1774-L1774)</f>
        <v>6</v>
      </c>
      <c r="N1774" s="24" t="n">
        <f aca="false">M1774*H1774*Summary!$C$6</f>
        <v>42</v>
      </c>
      <c r="O1774" s="37" t="n">
        <v>46233.7087152778</v>
      </c>
      <c r="P1774" s="22" t="n">
        <f aca="false">ROUND((O1774-C1774)*86400,0)</f>
        <v>4</v>
      </c>
      <c r="Q1774" s="22" t="str">
        <f aca="false">IF(P1774&lt;10,"a) &lt;10s",IF(P1774&lt;60,"b) 10-60s",IF(P1774&lt;600,"c) 1-10min","d) &gt;10min")))</f>
        <v>a) &lt;10s</v>
      </c>
      <c r="R1774" s="38" t="n">
        <v>4117.52</v>
      </c>
      <c r="S1774" s="38" t="n">
        <v>4117.45</v>
      </c>
      <c r="T1774" s="22" t="s">
        <v>189</v>
      </c>
      <c r="U1774" s="39" t="n">
        <f aca="false">IF(R1774="","",IF(F1774="BUY",R1774-S1774,S1774-R1774))</f>
        <v>0.0700000000006185</v>
      </c>
      <c r="V1774" s="39" t="n">
        <f aca="false">IF(F1774="BUY",S1774-J1774,J1774-S1774)</f>
        <v>0.429999999999382</v>
      </c>
      <c r="W1774" s="6" t="n">
        <v>3.01</v>
      </c>
      <c r="X1774" s="26" t="n">
        <f aca="false">IFERROR(W1774/N1774,0)</f>
        <v>0.0716666666666667</v>
      </c>
      <c r="Y1774" s="22" t="str">
        <f aca="false">IF(W1774&gt;0,"Win",IF(W1774&lt;0,"Loss","Flat"))</f>
        <v>Win</v>
      </c>
      <c r="Z1774" s="24" t="n">
        <f aca="false">Summary!$C$5+SUM(W$2:W1774)</f>
        <v>4650.39</v>
      </c>
      <c r="AA1774" s="24" t="n">
        <f aca="false">MAX(AA1773,Z1774)</f>
        <v>5106.86</v>
      </c>
      <c r="AB1774" s="24" t="n">
        <f aca="false">AA1774-Z1774</f>
        <v>456.469999999999</v>
      </c>
      <c r="AC1774" s="23" t="n">
        <f aca="false">IFERROR(AB1774/AA1774,0)</f>
        <v>0.0893836917401298</v>
      </c>
      <c r="AD1774" s="22" t="s">
        <v>2011</v>
      </c>
    </row>
    <row r="1775" customFormat="false" ht="15" hidden="false" customHeight="false" outlineLevel="0" collapsed="false">
      <c r="A1775" s="22" t="n">
        <v>1774</v>
      </c>
      <c r="B1775" s="22" t="s">
        <v>171</v>
      </c>
      <c r="C1775" s="37" t="n">
        <v>46234.3763657407</v>
      </c>
      <c r="D1775" s="22" t="s">
        <v>206</v>
      </c>
      <c r="E1775" s="22" t="n">
        <v>9</v>
      </c>
      <c r="F1775" s="22" t="s">
        <v>182</v>
      </c>
      <c r="G1775" s="22" t="s">
        <v>241</v>
      </c>
      <c r="H1775" s="22" t="n">
        <v>0.07</v>
      </c>
      <c r="I1775" s="38" t="n">
        <v>4072.82</v>
      </c>
      <c r="J1775" s="38" t="n">
        <v>4072.75</v>
      </c>
      <c r="K1775" s="39" t="n">
        <f aca="false">IF(F1775="BUY",J1775-I1775,I1775-J1775)</f>
        <v>0.0700000000001637</v>
      </c>
      <c r="L1775" s="38" t="n">
        <v>4078.82</v>
      </c>
      <c r="M1775" s="39" t="n">
        <f aca="false">ABS(I1775-L1775)</f>
        <v>6</v>
      </c>
      <c r="N1775" s="24" t="n">
        <f aca="false">M1775*H1775*Summary!$C$6</f>
        <v>42</v>
      </c>
      <c r="O1775" s="37" t="n">
        <v>46234.3785416667</v>
      </c>
      <c r="P1775" s="22" t="n">
        <f aca="false">ROUND((O1775-C1775)*86400,0)</f>
        <v>188</v>
      </c>
      <c r="Q1775" s="22" t="str">
        <f aca="false">IF(P1775&lt;10,"a) &lt;10s",IF(P1775&lt;60,"b) 10-60s",IF(P1775&lt;600,"c) 1-10min","d) &gt;10min")))</f>
        <v>c) 1-10min</v>
      </c>
      <c r="R1775" s="38" t="n">
        <v>4078.82</v>
      </c>
      <c r="S1775" s="38" t="n">
        <v>4078.82</v>
      </c>
      <c r="T1775" s="22" t="s">
        <v>188</v>
      </c>
      <c r="U1775" s="39" t="n">
        <f aca="false">IF(R1775="","",IF(F1775="BUY",R1775-S1775,S1775-R1775))</f>
        <v>0</v>
      </c>
      <c r="V1775" s="39" t="n">
        <f aca="false">IF(F1775="BUY",S1775-J1775,J1775-S1775)</f>
        <v>-6.07000000000016</v>
      </c>
      <c r="W1775" s="6" t="n">
        <v>-42.49</v>
      </c>
      <c r="X1775" s="26" t="n">
        <f aca="false">IFERROR(W1775/N1775,0)</f>
        <v>-1.01166666666667</v>
      </c>
      <c r="Y1775" s="22" t="str">
        <f aca="false">IF(W1775&gt;0,"Win",IF(W1775&lt;0,"Loss","Flat"))</f>
        <v>Loss</v>
      </c>
      <c r="Z1775" s="24" t="n">
        <f aca="false">Summary!$C$5+SUM(W$2:W1775)</f>
        <v>4607.9</v>
      </c>
      <c r="AA1775" s="24" t="n">
        <f aca="false">MAX(AA1774,Z1775)</f>
        <v>5106.86</v>
      </c>
      <c r="AB1775" s="24" t="n">
        <f aca="false">AA1775-Z1775</f>
        <v>498.96</v>
      </c>
      <c r="AC1775" s="23" t="n">
        <f aca="false">IFERROR(AB1775/AA1775,0)</f>
        <v>0.0977038728298798</v>
      </c>
      <c r="AD1775" s="22" t="s">
        <v>2012</v>
      </c>
    </row>
    <row r="1776" customFormat="false" ht="15" hidden="false" customHeight="false" outlineLevel="0" collapsed="false">
      <c r="A1776" s="22" t="n">
        <v>1775</v>
      </c>
      <c r="B1776" s="22" t="s">
        <v>171</v>
      </c>
      <c r="C1776" s="37" t="n">
        <v>46234.6942013889</v>
      </c>
      <c r="D1776" s="22" t="s">
        <v>206</v>
      </c>
      <c r="E1776" s="22" t="n">
        <v>16</v>
      </c>
      <c r="F1776" s="22" t="s">
        <v>182</v>
      </c>
      <c r="G1776" s="22" t="s">
        <v>237</v>
      </c>
      <c r="H1776" s="22" t="n">
        <v>0.07</v>
      </c>
      <c r="I1776" s="38" t="n">
        <v>4028.16</v>
      </c>
      <c r="J1776" s="38" t="n">
        <v>4028.12</v>
      </c>
      <c r="K1776" s="39" t="n">
        <f aca="false">IF(F1776="BUY",J1776-I1776,I1776-J1776)</f>
        <v>0.0399999999999636</v>
      </c>
      <c r="L1776" s="38" t="n">
        <v>4034.16</v>
      </c>
      <c r="M1776" s="39" t="n">
        <f aca="false">ABS(I1776-L1776)</f>
        <v>6</v>
      </c>
      <c r="N1776" s="24" t="n">
        <f aca="false">M1776*H1776*Summary!$C$6</f>
        <v>42</v>
      </c>
      <c r="O1776" s="37" t="n">
        <v>46234.6986342593</v>
      </c>
      <c r="P1776" s="22" t="n">
        <f aca="false">ROUND((O1776-C1776)*86400,0)</f>
        <v>383</v>
      </c>
      <c r="Q1776" s="22" t="str">
        <f aca="false">IF(P1776&lt;10,"a) &lt;10s",IF(P1776&lt;60,"b) 10-60s",IF(P1776&lt;600,"c) 1-10min","d) &gt;10min")))</f>
        <v>c) 1-10min</v>
      </c>
      <c r="R1776" s="38" t="n">
        <v>4027.62</v>
      </c>
      <c r="S1776" s="38" t="n">
        <v>4028.26</v>
      </c>
      <c r="T1776" s="22" t="s">
        <v>189</v>
      </c>
      <c r="U1776" s="39" t="n">
        <f aca="false">IF(R1776="","",IF(F1776="BUY",R1776-S1776,S1776-R1776))</f>
        <v>0.640000000000327</v>
      </c>
      <c r="V1776" s="39" t="n">
        <f aca="false">IF(F1776="BUY",S1776-J1776,J1776-S1776)</f>
        <v>-0.140000000000327</v>
      </c>
      <c r="W1776" s="6" t="n">
        <v>-0.98</v>
      </c>
      <c r="X1776" s="26" t="n">
        <f aca="false">IFERROR(W1776/N1776,0)</f>
        <v>-0.0233333333333333</v>
      </c>
      <c r="Y1776" s="22" t="str">
        <f aca="false">IF(W1776&gt;0,"Win",IF(W1776&lt;0,"Loss","Flat"))</f>
        <v>Loss</v>
      </c>
      <c r="Z1776" s="24" t="n">
        <f aca="false">Summary!$C$5+SUM(W$2:W1776)</f>
        <v>4606.92</v>
      </c>
      <c r="AA1776" s="24" t="n">
        <f aca="false">MAX(AA1775,Z1776)</f>
        <v>5106.86</v>
      </c>
      <c r="AB1776" s="24" t="n">
        <f aca="false">AA1776-Z1776</f>
        <v>499.94</v>
      </c>
      <c r="AC1776" s="23" t="n">
        <f aca="false">IFERROR(AB1776/AA1776,0)</f>
        <v>0.0978957715700058</v>
      </c>
      <c r="AD1776" s="22" t="s">
        <v>2013</v>
      </c>
    </row>
    <row r="1777" customFormat="false" ht="15" hidden="false" customHeight="false" outlineLevel="0" collapsed="false">
      <c r="A1777" s="22" t="n">
        <v>1776</v>
      </c>
      <c r="B1777" s="22" t="s">
        <v>172</v>
      </c>
      <c r="C1777" s="37" t="n">
        <v>46237.3912268519</v>
      </c>
      <c r="D1777" s="22" t="s">
        <v>202</v>
      </c>
      <c r="E1777" s="22" t="n">
        <v>9</v>
      </c>
      <c r="F1777" s="22" t="s">
        <v>181</v>
      </c>
      <c r="G1777" s="22" t="s">
        <v>235</v>
      </c>
      <c r="H1777" s="22" t="n">
        <v>0.07</v>
      </c>
      <c r="I1777" s="38" t="n">
        <v>4071.6</v>
      </c>
      <c r="J1777" s="38" t="n">
        <v>4071.6</v>
      </c>
      <c r="K1777" s="39" t="n">
        <f aca="false">IF(F1777="BUY",J1777-I1777,I1777-J1777)</f>
        <v>0</v>
      </c>
      <c r="L1777" s="38" t="n">
        <v>4065.6</v>
      </c>
      <c r="M1777" s="39" t="n">
        <f aca="false">ABS(I1777-L1777)</f>
        <v>6</v>
      </c>
      <c r="N1777" s="24" t="n">
        <f aca="false">M1777*H1777*Summary!$C$6</f>
        <v>42</v>
      </c>
      <c r="O1777" s="37" t="n">
        <v>46237.3978240741</v>
      </c>
      <c r="P1777" s="22" t="n">
        <f aca="false">ROUND((O1777-C1777)*86400,0)</f>
        <v>570</v>
      </c>
      <c r="Q1777" s="22" t="str">
        <f aca="false">IF(P1777&lt;10,"a) &lt;10s",IF(P1777&lt;60,"b) 10-60s",IF(P1777&lt;600,"c) 1-10min","d) &gt;10min")))</f>
        <v>c) 1-10min</v>
      </c>
      <c r="R1777" s="38" t="n">
        <v>4065.6</v>
      </c>
      <c r="S1777" s="38" t="n">
        <v>4065.52</v>
      </c>
      <c r="T1777" s="22" t="s">
        <v>188</v>
      </c>
      <c r="U1777" s="39" t="n">
        <f aca="false">IF(R1777="","",IF(F1777="BUY",R1777-S1777,S1777-R1777))</f>
        <v>0.0799999999999272</v>
      </c>
      <c r="V1777" s="39" t="n">
        <f aca="false">IF(F1777="BUY",S1777-J1777,J1777-S1777)</f>
        <v>-6.07999999999993</v>
      </c>
      <c r="W1777" s="6" t="n">
        <v>-42.56</v>
      </c>
      <c r="X1777" s="26" t="n">
        <f aca="false">IFERROR(W1777/N1777,0)</f>
        <v>-1.01333333333333</v>
      </c>
      <c r="Y1777" s="22" t="str">
        <f aca="false">IF(W1777&gt;0,"Win",IF(W1777&lt;0,"Loss","Flat"))</f>
        <v>Loss</v>
      </c>
      <c r="Z1777" s="24" t="n">
        <f aca="false">Summary!$C$5+SUM(W$2:W1777)</f>
        <v>4564.36</v>
      </c>
      <c r="AA1777" s="24" t="n">
        <f aca="false">MAX(AA1776,Z1777)</f>
        <v>5106.86</v>
      </c>
      <c r="AB1777" s="24" t="n">
        <f aca="false">AA1777-Z1777</f>
        <v>542.5</v>
      </c>
      <c r="AC1777" s="23" t="n">
        <f aca="false">IFERROR(AB1777/AA1777,0)</f>
        <v>0.106229659712622</v>
      </c>
      <c r="AD1777" s="22" t="s">
        <v>2014</v>
      </c>
    </row>
    <row r="1778" customFormat="false" ht="15" hidden="false" customHeight="false" outlineLevel="0" collapsed="false">
      <c r="A1778" s="22" t="n">
        <v>1777</v>
      </c>
      <c r="B1778" s="22" t="s">
        <v>172</v>
      </c>
      <c r="C1778" s="37" t="n">
        <v>46237.6931597222</v>
      </c>
      <c r="D1778" s="22" t="s">
        <v>202</v>
      </c>
      <c r="E1778" s="22" t="n">
        <v>16</v>
      </c>
      <c r="F1778" s="22" t="s">
        <v>182</v>
      </c>
      <c r="G1778" s="22" t="s">
        <v>237</v>
      </c>
      <c r="H1778" s="22" t="n">
        <v>0.07</v>
      </c>
      <c r="I1778" s="38" t="n">
        <v>4020.55</v>
      </c>
      <c r="J1778" s="38" t="n">
        <v>4020.54</v>
      </c>
      <c r="K1778" s="39" t="n">
        <f aca="false">IF(F1778="BUY",J1778-I1778,I1778-J1778)</f>
        <v>0.0100000000002183</v>
      </c>
      <c r="L1778" s="38" t="n">
        <v>4026.55</v>
      </c>
      <c r="M1778" s="39" t="n">
        <f aca="false">ABS(I1778-L1778)</f>
        <v>6</v>
      </c>
      <c r="N1778" s="24" t="n">
        <f aca="false">M1778*H1778*Summary!$C$6</f>
        <v>42</v>
      </c>
      <c r="O1778" s="37" t="n">
        <v>46237.6937615741</v>
      </c>
      <c r="P1778" s="22" t="n">
        <f aca="false">ROUND((O1778-C1778)*86400,0)</f>
        <v>52</v>
      </c>
      <c r="Q1778" s="22" t="str">
        <f aca="false">IF(P1778&lt;10,"a) &lt;10s",IF(P1778&lt;60,"b) 10-60s",IF(P1778&lt;600,"c) 1-10min","d) &gt;10min")))</f>
        <v>b) 10-60s</v>
      </c>
      <c r="R1778" s="38" t="n">
        <v>4026.55</v>
      </c>
      <c r="S1778" s="38" t="n">
        <v>4026.6</v>
      </c>
      <c r="T1778" s="22" t="s">
        <v>188</v>
      </c>
      <c r="U1778" s="39" t="n">
        <f aca="false">IF(R1778="","",IF(F1778="BUY",R1778-S1778,S1778-R1778))</f>
        <v>0.0499999999997272</v>
      </c>
      <c r="V1778" s="39" t="n">
        <f aca="false">IF(F1778="BUY",S1778-J1778,J1778-S1778)</f>
        <v>-6.05999999999995</v>
      </c>
      <c r="W1778" s="6" t="n">
        <v>-42.42</v>
      </c>
      <c r="X1778" s="26" t="n">
        <f aca="false">IFERROR(W1778/N1778,0)</f>
        <v>-1.01</v>
      </c>
      <c r="Y1778" s="22" t="str">
        <f aca="false">IF(W1778&gt;0,"Win",IF(W1778&lt;0,"Loss","Flat"))</f>
        <v>Loss</v>
      </c>
      <c r="Z1778" s="24" t="n">
        <f aca="false">Summary!$C$5+SUM(W$2:W1778)</f>
        <v>4521.94</v>
      </c>
      <c r="AA1778" s="24" t="n">
        <f aca="false">MAX(AA1777,Z1778)</f>
        <v>5106.86</v>
      </c>
      <c r="AB1778" s="24" t="n">
        <f aca="false">AA1778-Z1778</f>
        <v>584.92</v>
      </c>
      <c r="AC1778" s="23" t="n">
        <f aca="false">IFERROR(AB1778/AA1778,0)</f>
        <v>0.114536133749506</v>
      </c>
      <c r="AD1778" s="22" t="s">
        <v>2015</v>
      </c>
    </row>
    <row r="1779" customFormat="false" ht="15" hidden="false" customHeight="false" outlineLevel="0" collapsed="false">
      <c r="A1779" s="22" t="n">
        <v>1778</v>
      </c>
      <c r="B1779" s="22" t="s">
        <v>172</v>
      </c>
      <c r="C1779" s="37" t="n">
        <v>46238.4597453704</v>
      </c>
      <c r="D1779" s="22" t="s">
        <v>203</v>
      </c>
      <c r="E1779" s="22" t="n">
        <v>11</v>
      </c>
      <c r="F1779" s="22" t="s">
        <v>181</v>
      </c>
      <c r="G1779" s="22" t="s">
        <v>235</v>
      </c>
      <c r="H1779" s="22" t="n">
        <v>0.07</v>
      </c>
      <c r="I1779" s="38" t="n">
        <v>4067.56</v>
      </c>
      <c r="J1779" s="38" t="n">
        <v>4067.56</v>
      </c>
      <c r="K1779" s="39" t="n">
        <f aca="false">IF(F1779="BUY",J1779-I1779,I1779-J1779)</f>
        <v>0</v>
      </c>
      <c r="L1779" s="38" t="n">
        <v>4061.56</v>
      </c>
      <c r="M1779" s="39" t="n">
        <f aca="false">ABS(I1779-L1779)</f>
        <v>6</v>
      </c>
      <c r="N1779" s="24" t="n">
        <f aca="false">M1779*H1779*Summary!$C$6</f>
        <v>42</v>
      </c>
      <c r="O1779" s="37" t="n">
        <v>46238.4656134259</v>
      </c>
      <c r="P1779" s="22" t="n">
        <f aca="false">ROUND((O1779-C1779)*86400,0)</f>
        <v>507</v>
      </c>
      <c r="Q1779" s="22" t="str">
        <f aca="false">IF(P1779&lt;10,"a) &lt;10s",IF(P1779&lt;60,"b) 10-60s",IF(P1779&lt;600,"c) 1-10min","d) &gt;10min")))</f>
        <v>c) 1-10min</v>
      </c>
      <c r="R1779" s="38" t="n">
        <v>4068.06</v>
      </c>
      <c r="S1779" s="38" t="n">
        <v>4068.05</v>
      </c>
      <c r="T1779" s="22" t="s">
        <v>189</v>
      </c>
      <c r="U1779" s="39" t="n">
        <f aca="false">IF(R1779="","",IF(F1779="BUY",R1779-S1779,S1779-R1779))</f>
        <v>0.00999999999976353</v>
      </c>
      <c r="V1779" s="39" t="n">
        <f aca="false">IF(F1779="BUY",S1779-J1779,J1779-S1779)</f>
        <v>0.490000000000236</v>
      </c>
      <c r="W1779" s="6" t="n">
        <v>3.43</v>
      </c>
      <c r="X1779" s="26" t="n">
        <f aca="false">IFERROR(W1779/N1779,0)</f>
        <v>0.0816666666666667</v>
      </c>
      <c r="Y1779" s="22" t="str">
        <f aca="false">IF(W1779&gt;0,"Win",IF(W1779&lt;0,"Loss","Flat"))</f>
        <v>Win</v>
      </c>
      <c r="Z1779" s="24" t="n">
        <f aca="false">Summary!$C$5+SUM(W$2:W1779)</f>
        <v>4525.37</v>
      </c>
      <c r="AA1779" s="24" t="n">
        <f aca="false">MAX(AA1778,Z1779)</f>
        <v>5106.86</v>
      </c>
      <c r="AB1779" s="24" t="n">
        <f aca="false">AA1779-Z1779</f>
        <v>581.49</v>
      </c>
      <c r="AC1779" s="23" t="n">
        <f aca="false">IFERROR(AB1779/AA1779,0)</f>
        <v>0.113864488159064</v>
      </c>
      <c r="AD1779" s="22" t="s">
        <v>2016</v>
      </c>
    </row>
    <row r="1780" customFormat="false" ht="15" hidden="false" customHeight="false" outlineLevel="0" collapsed="false">
      <c r="A1780" s="22" t="n">
        <v>1779</v>
      </c>
      <c r="B1780" s="22" t="s">
        <v>172</v>
      </c>
      <c r="C1780" s="37" t="n">
        <v>46238.6194328704</v>
      </c>
      <c r="D1780" s="22" t="s">
        <v>203</v>
      </c>
      <c r="E1780" s="22" t="n">
        <v>14</v>
      </c>
      <c r="F1780" s="22" t="s">
        <v>181</v>
      </c>
      <c r="G1780" s="22" t="s">
        <v>243</v>
      </c>
      <c r="H1780" s="22" t="n">
        <v>0.07</v>
      </c>
      <c r="I1780" s="38" t="n">
        <v>4081.94</v>
      </c>
      <c r="J1780" s="38" t="n">
        <v>4081.97</v>
      </c>
      <c r="K1780" s="39" t="n">
        <f aca="false">IF(F1780="BUY",J1780-I1780,I1780-J1780)</f>
        <v>0.0299999999997453</v>
      </c>
      <c r="L1780" s="38" t="n">
        <v>4075.94</v>
      </c>
      <c r="M1780" s="39" t="n">
        <f aca="false">ABS(I1780-L1780)</f>
        <v>6</v>
      </c>
      <c r="N1780" s="24" t="n">
        <f aca="false">M1780*H1780*Summary!$C$6</f>
        <v>42</v>
      </c>
      <c r="O1780" s="37" t="n">
        <v>46238.6196875</v>
      </c>
      <c r="P1780" s="22" t="n">
        <f aca="false">ROUND((O1780-C1780)*86400,0)</f>
        <v>22</v>
      </c>
      <c r="Q1780" s="22" t="str">
        <f aca="false">IF(P1780&lt;10,"a) &lt;10s",IF(P1780&lt;60,"b) 10-60s",IF(P1780&lt;600,"c) 1-10min","d) &gt;10min")))</f>
        <v>b) 10-60s</v>
      </c>
      <c r="R1780" s="38" t="n">
        <v>4082.47</v>
      </c>
      <c r="S1780" s="38" t="n">
        <v>4082.45</v>
      </c>
      <c r="T1780" s="22" t="s">
        <v>189</v>
      </c>
      <c r="U1780" s="39" t="n">
        <f aca="false">IF(R1780="","",IF(F1780="BUY",R1780-S1780,S1780-R1780))</f>
        <v>0.0199999999999818</v>
      </c>
      <c r="V1780" s="39" t="n">
        <f aca="false">IF(F1780="BUY",S1780-J1780,J1780-S1780)</f>
        <v>0.480000000000018</v>
      </c>
      <c r="W1780" s="6" t="n">
        <v>3.36</v>
      </c>
      <c r="X1780" s="26" t="n">
        <f aca="false">IFERROR(W1780/N1780,0)</f>
        <v>0.08</v>
      </c>
      <c r="Y1780" s="22" t="str">
        <f aca="false">IF(W1780&gt;0,"Win",IF(W1780&lt;0,"Loss","Flat"))</f>
        <v>Win</v>
      </c>
      <c r="Z1780" s="24" t="n">
        <f aca="false">Summary!$C$5+SUM(W$2:W1780)</f>
        <v>4528.73</v>
      </c>
      <c r="AA1780" s="24" t="n">
        <f aca="false">MAX(AA1779,Z1780)</f>
        <v>5106.86</v>
      </c>
      <c r="AB1780" s="24" t="n">
        <f aca="false">AA1780-Z1780</f>
        <v>578.13</v>
      </c>
      <c r="AC1780" s="23" t="n">
        <f aca="false">IFERROR(AB1780/AA1780,0)</f>
        <v>0.11320654962149</v>
      </c>
      <c r="AD1780" s="22" t="s">
        <v>2017</v>
      </c>
    </row>
    <row r="1781" customFormat="false" ht="15" hidden="false" customHeight="false" outlineLevel="0" collapsed="false">
      <c r="A1781" s="22" t="n">
        <v>1780</v>
      </c>
      <c r="B1781" s="22" t="s">
        <v>172</v>
      </c>
      <c r="C1781" s="37" t="n">
        <v>46239.2262731482</v>
      </c>
      <c r="D1781" s="22" t="s">
        <v>204</v>
      </c>
      <c r="E1781" s="22" t="n">
        <v>5</v>
      </c>
      <c r="F1781" s="22" t="s">
        <v>181</v>
      </c>
      <c r="G1781" s="22" t="s">
        <v>243</v>
      </c>
      <c r="H1781" s="22" t="n">
        <v>0.07</v>
      </c>
      <c r="I1781" s="38" t="n">
        <v>4106.4</v>
      </c>
      <c r="J1781" s="38" t="n">
        <v>4107.25</v>
      </c>
      <c r="K1781" s="39" t="n">
        <f aca="false">IF(F1781="BUY",J1781-I1781,I1781-J1781)</f>
        <v>0.850000000000364</v>
      </c>
      <c r="L1781" s="38" t="n">
        <v>4100.4</v>
      </c>
      <c r="M1781" s="39" t="n">
        <f aca="false">ABS(I1781-L1781)</f>
        <v>6</v>
      </c>
      <c r="N1781" s="24" t="n">
        <f aca="false">M1781*H1781*Summary!$C$6</f>
        <v>42</v>
      </c>
      <c r="O1781" s="37" t="n">
        <v>46239.2959953704</v>
      </c>
      <c r="P1781" s="22" t="n">
        <f aca="false">ROUND((O1781-C1781)*86400,0)</f>
        <v>6024</v>
      </c>
      <c r="Q1781" s="22" t="str">
        <f aca="false">IF(P1781&lt;10,"a) &lt;10s",IF(P1781&lt;60,"b) 10-60s",IF(P1781&lt;600,"c) 1-10min","d) &gt;10min")))</f>
        <v>d) &gt;10min</v>
      </c>
      <c r="R1781" s="38"/>
      <c r="S1781" s="38" t="n">
        <v>4136.42</v>
      </c>
      <c r="T1781" s="22" t="s">
        <v>187</v>
      </c>
      <c r="U1781" s="39" t="str">
        <f aca="false">IF(R1781="","",IF(F1781="BUY",R1781-S1781,S1781-R1781))</f>
        <v/>
      </c>
      <c r="V1781" s="39" t="n">
        <f aca="false">IF(F1781="BUY",S1781-J1781,J1781-S1781)</f>
        <v>29.1700000000001</v>
      </c>
      <c r="W1781" s="6" t="n">
        <v>204.19</v>
      </c>
      <c r="X1781" s="26" t="n">
        <f aca="false">IFERROR(W1781/N1781,0)</f>
        <v>4.86166666666667</v>
      </c>
      <c r="Y1781" s="22" t="str">
        <f aca="false">IF(W1781&gt;0,"Win",IF(W1781&lt;0,"Loss","Flat"))</f>
        <v>Win</v>
      </c>
      <c r="Z1781" s="24" t="n">
        <f aca="false">Summary!$C$5+SUM(W$2:W1781)</f>
        <v>4732.92</v>
      </c>
      <c r="AA1781" s="24" t="n">
        <f aca="false">MAX(AA1780,Z1781)</f>
        <v>5106.86</v>
      </c>
      <c r="AB1781" s="24" t="n">
        <f aca="false">AA1781-Z1781</f>
        <v>373.94</v>
      </c>
      <c r="AC1781" s="23" t="n">
        <f aca="false">IFERROR(AB1781/AA1781,0)</f>
        <v>0.0732230764109452</v>
      </c>
      <c r="AD1781" s="22" t="s">
        <v>2018</v>
      </c>
    </row>
    <row r="1782" customFormat="false" ht="15" hidden="false" customHeight="false" outlineLevel="0" collapsed="false">
      <c r="A1782" s="22" t="n">
        <v>1781</v>
      </c>
      <c r="B1782" s="22" t="s">
        <v>172</v>
      </c>
      <c r="C1782" s="37" t="n">
        <v>46239.383599537</v>
      </c>
      <c r="D1782" s="22" t="s">
        <v>204</v>
      </c>
      <c r="E1782" s="22" t="n">
        <v>9</v>
      </c>
      <c r="F1782" s="22" t="s">
        <v>181</v>
      </c>
      <c r="G1782" s="22" t="s">
        <v>235</v>
      </c>
      <c r="H1782" s="22" t="n">
        <v>0.07</v>
      </c>
      <c r="I1782" s="38" t="n">
        <v>4172.65</v>
      </c>
      <c r="J1782" s="38" t="n">
        <v>4172.67</v>
      </c>
      <c r="K1782" s="39" t="n">
        <f aca="false">IF(F1782="BUY",J1782-I1782,I1782-J1782)</f>
        <v>0.0200000000004366</v>
      </c>
      <c r="L1782" s="38" t="n">
        <v>4166.65</v>
      </c>
      <c r="M1782" s="39" t="n">
        <f aca="false">ABS(I1782-L1782)</f>
        <v>6</v>
      </c>
      <c r="N1782" s="24" t="n">
        <f aca="false">M1782*H1782*Summary!$C$6</f>
        <v>42</v>
      </c>
      <c r="O1782" s="37" t="n">
        <v>46239.3884837963</v>
      </c>
      <c r="P1782" s="22" t="n">
        <f aca="false">ROUND((O1782-C1782)*86400,0)</f>
        <v>422</v>
      </c>
      <c r="Q1782" s="22" t="str">
        <f aca="false">IF(P1782&lt;10,"a) &lt;10s",IF(P1782&lt;60,"b) 10-60s",IF(P1782&lt;600,"c) 1-10min","d) &gt;10min")))</f>
        <v>c) 1-10min</v>
      </c>
      <c r="R1782" s="38" t="n">
        <v>4166.65</v>
      </c>
      <c r="S1782" s="38" t="n">
        <v>4166.57</v>
      </c>
      <c r="T1782" s="22" t="s">
        <v>188</v>
      </c>
      <c r="U1782" s="39" t="n">
        <f aca="false">IF(R1782="","",IF(F1782="BUY",R1782-S1782,S1782-R1782))</f>
        <v>0.0799999999999272</v>
      </c>
      <c r="V1782" s="39" t="n">
        <f aca="false">IF(F1782="BUY",S1782-J1782,J1782-S1782)</f>
        <v>-6.10000000000036</v>
      </c>
      <c r="W1782" s="6" t="n">
        <v>-42.7</v>
      </c>
      <c r="X1782" s="26" t="n">
        <f aca="false">IFERROR(W1782/N1782,0)</f>
        <v>-1.01666666666667</v>
      </c>
      <c r="Y1782" s="22" t="str">
        <f aca="false">IF(W1782&gt;0,"Win",IF(W1782&lt;0,"Loss","Flat"))</f>
        <v>Loss</v>
      </c>
      <c r="Z1782" s="24" t="n">
        <f aca="false">Summary!$C$5+SUM(W$2:W1782)</f>
        <v>4690.22</v>
      </c>
      <c r="AA1782" s="24" t="n">
        <f aca="false">MAX(AA1781,Z1782)</f>
        <v>5106.86</v>
      </c>
      <c r="AB1782" s="24" t="n">
        <f aca="false">AA1782-Z1782</f>
        <v>416.639999999999</v>
      </c>
      <c r="AC1782" s="23" t="n">
        <f aca="false">IFERROR(AB1782/AA1782,0)</f>
        <v>0.0815843786592935</v>
      </c>
      <c r="AD1782" s="22" t="s">
        <v>2019</v>
      </c>
    </row>
    <row r="1783" customFormat="false" ht="15" hidden="false" customHeight="false" outlineLevel="0" collapsed="false">
      <c r="A1783" s="22" t="n">
        <v>1782</v>
      </c>
      <c r="B1783" s="22" t="s">
        <v>172</v>
      </c>
      <c r="C1783" s="37" t="n">
        <v>46240.1077314815</v>
      </c>
      <c r="D1783" s="22" t="s">
        <v>205</v>
      </c>
      <c r="E1783" s="22" t="n">
        <v>2</v>
      </c>
      <c r="F1783" s="22" t="s">
        <v>181</v>
      </c>
      <c r="G1783" s="22" t="s">
        <v>243</v>
      </c>
      <c r="H1783" s="22" t="n">
        <v>0.07</v>
      </c>
      <c r="I1783" s="38" t="n">
        <v>4267.72</v>
      </c>
      <c r="J1783" s="38" t="n">
        <v>4267.75</v>
      </c>
      <c r="K1783" s="39" t="n">
        <f aca="false">IF(F1783="BUY",J1783-I1783,I1783-J1783)</f>
        <v>0.0299999999997453</v>
      </c>
      <c r="L1783" s="38" t="n">
        <v>4261.72</v>
      </c>
      <c r="M1783" s="39" t="n">
        <f aca="false">ABS(I1783-L1783)</f>
        <v>6</v>
      </c>
      <c r="N1783" s="24" t="n">
        <f aca="false">M1783*H1783*Summary!$C$6</f>
        <v>42</v>
      </c>
      <c r="O1783" s="37" t="n">
        <v>46240.1258449074</v>
      </c>
      <c r="P1783" s="22" t="n">
        <f aca="false">ROUND((O1783-C1783)*86400,0)</f>
        <v>1565</v>
      </c>
      <c r="Q1783" s="22" t="str">
        <f aca="false">IF(P1783&lt;10,"a) &lt;10s",IF(P1783&lt;60,"b) 10-60s",IF(P1783&lt;600,"c) 1-10min","d) &gt;10min")))</f>
        <v>d) &gt;10min</v>
      </c>
      <c r="R1783" s="38" t="n">
        <v>4268.25</v>
      </c>
      <c r="S1783" s="38" t="n">
        <v>4267.36</v>
      </c>
      <c r="T1783" s="22" t="s">
        <v>189</v>
      </c>
      <c r="U1783" s="39" t="n">
        <f aca="false">IF(R1783="","",IF(F1783="BUY",R1783-S1783,S1783-R1783))</f>
        <v>0.890000000000327</v>
      </c>
      <c r="V1783" s="39" t="n">
        <f aca="false">IF(F1783="BUY",S1783-J1783,J1783-S1783)</f>
        <v>-0.390000000000327</v>
      </c>
      <c r="W1783" s="6" t="n">
        <v>-2.73</v>
      </c>
      <c r="X1783" s="26" t="n">
        <f aca="false">IFERROR(W1783/N1783,0)</f>
        <v>-0.065</v>
      </c>
      <c r="Y1783" s="22" t="str">
        <f aca="false">IF(W1783&gt;0,"Win",IF(W1783&lt;0,"Loss","Flat"))</f>
        <v>Loss</v>
      </c>
      <c r="Z1783" s="24" t="n">
        <f aca="false">Summary!$C$5+SUM(W$2:W1783)</f>
        <v>4687.49</v>
      </c>
      <c r="AA1783" s="24" t="n">
        <f aca="false">MAX(AA1782,Z1783)</f>
        <v>5106.86</v>
      </c>
      <c r="AB1783" s="24" t="n">
        <f aca="false">AA1783-Z1783</f>
        <v>419.37</v>
      </c>
      <c r="AC1783" s="23" t="n">
        <f aca="false">IFERROR(AB1783/AA1783,0)</f>
        <v>0.0821189537210732</v>
      </c>
      <c r="AD1783" s="22" t="s">
        <v>2020</v>
      </c>
    </row>
    <row r="1784" customFormat="false" ht="15" hidden="false" customHeight="false" outlineLevel="0" collapsed="false">
      <c r="A1784" s="22" t="n">
        <v>1783</v>
      </c>
      <c r="B1784" s="22" t="s">
        <v>172</v>
      </c>
      <c r="C1784" s="37" t="n">
        <v>46240.3766666667</v>
      </c>
      <c r="D1784" s="22" t="s">
        <v>205</v>
      </c>
      <c r="E1784" s="22" t="n">
        <v>9</v>
      </c>
      <c r="F1784" s="22" t="s">
        <v>181</v>
      </c>
      <c r="G1784" s="22" t="s">
        <v>235</v>
      </c>
      <c r="H1784" s="22" t="n">
        <v>0.07</v>
      </c>
      <c r="I1784" s="38" t="n">
        <v>4268.25</v>
      </c>
      <c r="J1784" s="38" t="n">
        <v>4268.35</v>
      </c>
      <c r="K1784" s="39" t="n">
        <f aca="false">IF(F1784="BUY",J1784-I1784,I1784-J1784)</f>
        <v>0.100000000000364</v>
      </c>
      <c r="L1784" s="38" t="n">
        <v>4262.25</v>
      </c>
      <c r="M1784" s="39" t="n">
        <f aca="false">ABS(I1784-L1784)</f>
        <v>6</v>
      </c>
      <c r="N1784" s="24" t="n">
        <f aca="false">M1784*H1784*Summary!$C$6</f>
        <v>42</v>
      </c>
      <c r="O1784" s="37" t="n">
        <v>46240.3817361111</v>
      </c>
      <c r="P1784" s="22" t="n">
        <f aca="false">ROUND((O1784-C1784)*86400,0)</f>
        <v>438</v>
      </c>
      <c r="Q1784" s="22" t="str">
        <f aca="false">IF(P1784&lt;10,"a) &lt;10s",IF(P1784&lt;60,"b) 10-60s",IF(P1784&lt;600,"c) 1-10min","d) &gt;10min")))</f>
        <v>c) 1-10min</v>
      </c>
      <c r="R1784" s="38" t="n">
        <v>4262.25</v>
      </c>
      <c r="S1784" s="38" t="n">
        <v>4262.17</v>
      </c>
      <c r="T1784" s="22" t="s">
        <v>188</v>
      </c>
      <c r="U1784" s="39" t="n">
        <f aca="false">IF(R1784="","",IF(F1784="BUY",R1784-S1784,S1784-R1784))</f>
        <v>0.0799999999999272</v>
      </c>
      <c r="V1784" s="39" t="n">
        <f aca="false">IF(F1784="BUY",S1784-J1784,J1784-S1784)</f>
        <v>-6.18000000000029</v>
      </c>
      <c r="W1784" s="6" t="n">
        <v>-43.26</v>
      </c>
      <c r="X1784" s="26" t="n">
        <f aca="false">IFERROR(W1784/N1784,0)</f>
        <v>-1.03</v>
      </c>
      <c r="Y1784" s="22" t="str">
        <f aca="false">IF(W1784&gt;0,"Win",IF(W1784&lt;0,"Loss","Flat"))</f>
        <v>Loss</v>
      </c>
      <c r="Z1784" s="24" t="n">
        <f aca="false">Summary!$C$5+SUM(W$2:W1784)</f>
        <v>4644.23</v>
      </c>
      <c r="AA1784" s="24" t="n">
        <f aca="false">MAX(AA1783,Z1784)</f>
        <v>5106.86</v>
      </c>
      <c r="AB1784" s="24" t="n">
        <f aca="false">AA1784-Z1784</f>
        <v>462.63</v>
      </c>
      <c r="AC1784" s="23" t="n">
        <f aca="false">IFERROR(AB1784/AA1784,0)</f>
        <v>0.0905899123923507</v>
      </c>
      <c r="AD1784" s="22" t="s">
        <v>2021</v>
      </c>
    </row>
    <row r="1785" customFormat="false" ht="15" hidden="false" customHeight="false" outlineLevel="0" collapsed="false">
      <c r="A1785" s="22" t="n">
        <v>1784</v>
      </c>
      <c r="B1785" s="22" t="s">
        <v>172</v>
      </c>
      <c r="C1785" s="37" t="n">
        <v>46241.3750578704</v>
      </c>
      <c r="D1785" s="22" t="s">
        <v>206</v>
      </c>
      <c r="E1785" s="22" t="n">
        <v>9</v>
      </c>
      <c r="F1785" s="22" t="s">
        <v>181</v>
      </c>
      <c r="G1785" s="22" t="s">
        <v>235</v>
      </c>
      <c r="H1785" s="22" t="n">
        <v>0.07</v>
      </c>
      <c r="I1785" s="38" t="n">
        <v>4280.36</v>
      </c>
      <c r="J1785" s="38" t="n">
        <v>4280.36</v>
      </c>
      <c r="K1785" s="39" t="n">
        <f aca="false">IF(F1785="BUY",J1785-I1785,I1785-J1785)</f>
        <v>0</v>
      </c>
      <c r="L1785" s="38" t="n">
        <v>4274.36</v>
      </c>
      <c r="M1785" s="39" t="n">
        <f aca="false">ABS(I1785-L1785)</f>
        <v>6</v>
      </c>
      <c r="N1785" s="24" t="n">
        <f aca="false">M1785*H1785*Summary!$C$6</f>
        <v>42</v>
      </c>
      <c r="O1785" s="37" t="n">
        <v>46241.3959259259</v>
      </c>
      <c r="P1785" s="22" t="n">
        <f aca="false">ROUND((O1785-C1785)*86400,0)</f>
        <v>1803</v>
      </c>
      <c r="Q1785" s="22" t="str">
        <f aca="false">IF(P1785&lt;10,"a) &lt;10s",IF(P1785&lt;60,"b) 10-60s",IF(P1785&lt;600,"c) 1-10min","d) &gt;10min")))</f>
        <v>d) &gt;10min</v>
      </c>
      <c r="R1785" s="38" t="n">
        <v>4280.86</v>
      </c>
      <c r="S1785" s="38" t="n">
        <v>4280.86</v>
      </c>
      <c r="T1785" s="22" t="s">
        <v>189</v>
      </c>
      <c r="U1785" s="39" t="n">
        <f aca="false">IF(R1785="","",IF(F1785="BUY",R1785-S1785,S1785-R1785))</f>
        <v>0</v>
      </c>
      <c r="V1785" s="39" t="n">
        <f aca="false">IF(F1785="BUY",S1785-J1785,J1785-S1785)</f>
        <v>0.5</v>
      </c>
      <c r="W1785" s="6" t="n">
        <v>3.5</v>
      </c>
      <c r="X1785" s="26" t="n">
        <f aca="false">IFERROR(W1785/N1785,0)</f>
        <v>0.0833333333333333</v>
      </c>
      <c r="Y1785" s="22" t="str">
        <f aca="false">IF(W1785&gt;0,"Win",IF(W1785&lt;0,"Loss","Flat"))</f>
        <v>Win</v>
      </c>
      <c r="Z1785" s="24" t="n">
        <f aca="false">Summary!$C$5+SUM(W$2:W1785)</f>
        <v>4647.73</v>
      </c>
      <c r="AA1785" s="24" t="n">
        <f aca="false">MAX(AA1784,Z1785)</f>
        <v>5106.86</v>
      </c>
      <c r="AB1785" s="24" t="n">
        <f aca="false">AA1785-Z1785</f>
        <v>459.13</v>
      </c>
      <c r="AC1785" s="23" t="n">
        <f aca="false">IFERROR(AB1785/AA1785,0)</f>
        <v>0.0899045597490435</v>
      </c>
      <c r="AD1785" s="22" t="s">
        <v>2022</v>
      </c>
    </row>
    <row r="1786" customFormat="false" ht="15" hidden="false" customHeight="false" outlineLevel="0" collapsed="false">
      <c r="A1786" s="22" t="n">
        <v>1785</v>
      </c>
      <c r="B1786" s="22" t="s">
        <v>172</v>
      </c>
      <c r="C1786" s="37" t="n">
        <v>46241.4818518519</v>
      </c>
      <c r="D1786" s="22" t="s">
        <v>206</v>
      </c>
      <c r="E1786" s="22" t="n">
        <v>11</v>
      </c>
      <c r="F1786" s="22" t="s">
        <v>181</v>
      </c>
      <c r="G1786" s="22" t="s">
        <v>243</v>
      </c>
      <c r="H1786" s="22" t="n">
        <v>0.07</v>
      </c>
      <c r="I1786" s="38" t="n">
        <v>4303.75</v>
      </c>
      <c r="J1786" s="38" t="n">
        <v>4303.93</v>
      </c>
      <c r="K1786" s="39" t="n">
        <f aca="false">IF(F1786="BUY",J1786-I1786,I1786-J1786)</f>
        <v>0.180000000000291</v>
      </c>
      <c r="L1786" s="38" t="n">
        <v>4297.75</v>
      </c>
      <c r="M1786" s="39" t="n">
        <f aca="false">ABS(I1786-L1786)</f>
        <v>6</v>
      </c>
      <c r="N1786" s="24" t="n">
        <f aca="false">M1786*H1786*Summary!$C$6</f>
        <v>42</v>
      </c>
      <c r="O1786" s="37" t="n">
        <v>46241.4835532407</v>
      </c>
      <c r="P1786" s="22" t="n">
        <f aca="false">ROUND((O1786-C1786)*86400,0)</f>
        <v>147</v>
      </c>
      <c r="Q1786" s="22" t="str">
        <f aca="false">IF(P1786&lt;10,"a) &lt;10s",IF(P1786&lt;60,"b) 10-60s",IF(P1786&lt;600,"c) 1-10min","d) &gt;10min")))</f>
        <v>c) 1-10min</v>
      </c>
      <c r="R1786" s="38" t="n">
        <v>4304.43</v>
      </c>
      <c r="S1786" s="38" t="n">
        <v>4304.4</v>
      </c>
      <c r="T1786" s="22" t="s">
        <v>189</v>
      </c>
      <c r="U1786" s="39" t="n">
        <f aca="false">IF(R1786="","",IF(F1786="BUY",R1786-S1786,S1786-R1786))</f>
        <v>0.0300000000006548</v>
      </c>
      <c r="V1786" s="39" t="n">
        <f aca="false">IF(F1786="BUY",S1786-J1786,J1786-S1786)</f>
        <v>0.469999999999345</v>
      </c>
      <c r="W1786" s="6" t="n">
        <v>3.29</v>
      </c>
      <c r="X1786" s="26" t="n">
        <f aca="false">IFERROR(W1786/N1786,0)</f>
        <v>0.0783333333333333</v>
      </c>
      <c r="Y1786" s="22" t="str">
        <f aca="false">IF(W1786&gt;0,"Win",IF(W1786&lt;0,"Loss","Flat"))</f>
        <v>Win</v>
      </c>
      <c r="Z1786" s="24" t="n">
        <f aca="false">Summary!$C$5+SUM(W$2:W1786)</f>
        <v>4651.02</v>
      </c>
      <c r="AA1786" s="24" t="n">
        <f aca="false">MAX(AA1785,Z1786)</f>
        <v>5106.86</v>
      </c>
      <c r="AB1786" s="24" t="n">
        <f aca="false">AA1786-Z1786</f>
        <v>455.839999999999</v>
      </c>
      <c r="AC1786" s="23" t="n">
        <f aca="false">IFERROR(AB1786/AA1786,0)</f>
        <v>0.0892603282643345</v>
      </c>
      <c r="AD1786" s="22" t="s">
        <v>2023</v>
      </c>
    </row>
    <row r="1787" customFormat="false" ht="15" hidden="false" customHeight="false" outlineLevel="0" collapsed="false">
      <c r="A1787" s="22" t="n">
        <v>1786</v>
      </c>
      <c r="B1787" s="22" t="s">
        <v>172</v>
      </c>
      <c r="C1787" s="37" t="n">
        <v>46244.4051041667</v>
      </c>
      <c r="D1787" s="22" t="s">
        <v>202</v>
      </c>
      <c r="E1787" s="22" t="n">
        <v>9</v>
      </c>
      <c r="F1787" s="22" t="s">
        <v>181</v>
      </c>
      <c r="G1787" s="22" t="s">
        <v>235</v>
      </c>
      <c r="H1787" s="22" t="n">
        <v>0.07</v>
      </c>
      <c r="I1787" s="38" t="n">
        <v>4351.82</v>
      </c>
      <c r="J1787" s="38" t="n">
        <v>4351.92</v>
      </c>
      <c r="K1787" s="39" t="n">
        <f aca="false">IF(F1787="BUY",J1787-I1787,I1787-J1787)</f>
        <v>0.100000000000364</v>
      </c>
      <c r="L1787" s="38" t="n">
        <v>4345.82</v>
      </c>
      <c r="M1787" s="39" t="n">
        <f aca="false">ABS(I1787-L1787)</f>
        <v>6</v>
      </c>
      <c r="N1787" s="24" t="n">
        <f aca="false">M1787*H1787*Summary!$C$6</f>
        <v>42</v>
      </c>
      <c r="O1787" s="37" t="n">
        <v>46244.4254166667</v>
      </c>
      <c r="P1787" s="22" t="n">
        <f aca="false">ROUND((O1787-C1787)*86400,0)</f>
        <v>1755</v>
      </c>
      <c r="Q1787" s="22" t="str">
        <f aca="false">IF(P1787&lt;10,"a) &lt;10s",IF(P1787&lt;60,"b) 10-60s",IF(P1787&lt;600,"c) 1-10min","d) &gt;10min")))</f>
        <v>d) &gt;10min</v>
      </c>
      <c r="R1787" s="38" t="n">
        <v>4352.42</v>
      </c>
      <c r="S1787" s="38" t="n">
        <v>4352.42</v>
      </c>
      <c r="T1787" s="22" t="s">
        <v>189</v>
      </c>
      <c r="U1787" s="39" t="n">
        <f aca="false">IF(R1787="","",IF(F1787="BUY",R1787-S1787,S1787-R1787))</f>
        <v>0</v>
      </c>
      <c r="V1787" s="39" t="n">
        <f aca="false">IF(F1787="BUY",S1787-J1787,J1787-S1787)</f>
        <v>0.5</v>
      </c>
      <c r="W1787" s="6" t="n">
        <v>3.5</v>
      </c>
      <c r="X1787" s="26" t="n">
        <f aca="false">IFERROR(W1787/N1787,0)</f>
        <v>0.0833333333333333</v>
      </c>
      <c r="Y1787" s="22" t="str">
        <f aca="false">IF(W1787&gt;0,"Win",IF(W1787&lt;0,"Loss","Flat"))</f>
        <v>Win</v>
      </c>
      <c r="Z1787" s="24" t="n">
        <f aca="false">Summary!$C$5+SUM(W$2:W1787)</f>
        <v>4654.52</v>
      </c>
      <c r="AA1787" s="24" t="n">
        <f aca="false">MAX(AA1786,Z1787)</f>
        <v>5106.86</v>
      </c>
      <c r="AB1787" s="24" t="n">
        <f aca="false">AA1787-Z1787</f>
        <v>452.339999999999</v>
      </c>
      <c r="AC1787" s="23" t="n">
        <f aca="false">IFERROR(AB1787/AA1787,0)</f>
        <v>0.0885749756210273</v>
      </c>
      <c r="AD1787" s="22" t="s">
        <v>2024</v>
      </c>
    </row>
    <row r="1788" customFormat="false" ht="15" hidden="false" customHeight="false" outlineLevel="0" collapsed="false">
      <c r="A1788" s="22" t="n">
        <v>1787</v>
      </c>
      <c r="B1788" s="22" t="s">
        <v>172</v>
      </c>
      <c r="C1788" s="37" t="n">
        <v>46244.8967939815</v>
      </c>
      <c r="D1788" s="22" t="s">
        <v>202</v>
      </c>
      <c r="E1788" s="22" t="n">
        <v>21</v>
      </c>
      <c r="F1788" s="22" t="s">
        <v>181</v>
      </c>
      <c r="G1788" s="22" t="s">
        <v>243</v>
      </c>
      <c r="H1788" s="22" t="n">
        <v>0.07</v>
      </c>
      <c r="I1788" s="38" t="n">
        <v>4371.7</v>
      </c>
      <c r="J1788" s="38" t="n">
        <v>4372.39</v>
      </c>
      <c r="K1788" s="39" t="n">
        <f aca="false">IF(F1788="BUY",J1788-I1788,I1788-J1788)</f>
        <v>0.690000000000509</v>
      </c>
      <c r="L1788" s="38" t="n">
        <v>4365.7</v>
      </c>
      <c r="M1788" s="39" t="n">
        <f aca="false">ABS(I1788-L1788)</f>
        <v>6</v>
      </c>
      <c r="N1788" s="24" t="n">
        <f aca="false">M1788*H1788*Summary!$C$6</f>
        <v>42</v>
      </c>
      <c r="O1788" s="37" t="n">
        <v>46244.9270833333</v>
      </c>
      <c r="P1788" s="22" t="n">
        <f aca="false">ROUND((O1788-C1788)*86400,0)</f>
        <v>2617</v>
      </c>
      <c r="Q1788" s="22" t="str">
        <f aca="false">IF(P1788&lt;10,"a) &lt;10s",IF(P1788&lt;60,"b) 10-60s",IF(P1788&lt;600,"c) 1-10min","d) &gt;10min")))</f>
        <v>d) &gt;10min</v>
      </c>
      <c r="R1788" s="38"/>
      <c r="S1788" s="38" t="n">
        <v>4381.65</v>
      </c>
      <c r="T1788" s="22" t="s">
        <v>191</v>
      </c>
      <c r="U1788" s="39" t="str">
        <f aca="false">IF(R1788="","",IF(F1788="BUY",R1788-S1788,S1788-R1788))</f>
        <v/>
      </c>
      <c r="V1788" s="39" t="n">
        <f aca="false">IF(F1788="BUY",S1788-J1788,J1788-S1788)</f>
        <v>9.25999999999931</v>
      </c>
      <c r="W1788" s="6" t="n">
        <v>64.82</v>
      </c>
      <c r="X1788" s="26" t="n">
        <f aca="false">IFERROR(W1788/N1788,0)</f>
        <v>1.54333333333333</v>
      </c>
      <c r="Y1788" s="22" t="str">
        <f aca="false">IF(W1788&gt;0,"Win",IF(W1788&lt;0,"Loss","Flat"))</f>
        <v>Win</v>
      </c>
      <c r="Z1788" s="24" t="n">
        <f aca="false">Summary!$C$5+SUM(W$2:W1788)</f>
        <v>4719.34</v>
      </c>
      <c r="AA1788" s="24" t="n">
        <f aca="false">MAX(AA1787,Z1788)</f>
        <v>5106.86</v>
      </c>
      <c r="AB1788" s="24" t="n">
        <f aca="false">AA1788-Z1788</f>
        <v>387.52</v>
      </c>
      <c r="AC1788" s="23" t="n">
        <f aca="false">IFERROR(AB1788/AA1788,0)</f>
        <v>0.0758822446669773</v>
      </c>
      <c r="AD1788" s="22" t="s">
        <v>2025</v>
      </c>
    </row>
    <row r="1789" customFormat="false" ht="15" hidden="false" customHeight="false" outlineLevel="0" collapsed="false">
      <c r="A1789" s="22" t="n">
        <v>1788</v>
      </c>
      <c r="B1789" s="22" t="s">
        <v>172</v>
      </c>
      <c r="C1789" s="37" t="n">
        <v>46245.3947800926</v>
      </c>
      <c r="D1789" s="22" t="s">
        <v>203</v>
      </c>
      <c r="E1789" s="22" t="n">
        <v>9</v>
      </c>
      <c r="F1789" s="22" t="s">
        <v>182</v>
      </c>
      <c r="G1789" s="22" t="s">
        <v>241</v>
      </c>
      <c r="H1789" s="22" t="n">
        <v>0.07</v>
      </c>
      <c r="I1789" s="38" t="n">
        <v>4367.08</v>
      </c>
      <c r="J1789" s="38" t="n">
        <v>4366.53</v>
      </c>
      <c r="K1789" s="39" t="n">
        <f aca="false">IF(F1789="BUY",J1789-I1789,I1789-J1789)</f>
        <v>0.550000000000182</v>
      </c>
      <c r="L1789" s="38" t="n">
        <v>4373.08</v>
      </c>
      <c r="M1789" s="39" t="n">
        <f aca="false">ABS(I1789-L1789)</f>
        <v>6</v>
      </c>
      <c r="N1789" s="24" t="n">
        <f aca="false">M1789*H1789*Summary!$C$6</f>
        <v>42</v>
      </c>
      <c r="O1789" s="37" t="n">
        <v>46245.3961342593</v>
      </c>
      <c r="P1789" s="22" t="n">
        <f aca="false">ROUND((O1789-C1789)*86400,0)</f>
        <v>117</v>
      </c>
      <c r="Q1789" s="22" t="str">
        <f aca="false">IF(P1789&lt;10,"a) &lt;10s",IF(P1789&lt;60,"b) 10-60s",IF(P1789&lt;600,"c) 1-10min","d) &gt;10min")))</f>
        <v>c) 1-10min</v>
      </c>
      <c r="R1789" s="38" t="n">
        <v>4366.03</v>
      </c>
      <c r="S1789" s="38" t="n">
        <v>4366.14</v>
      </c>
      <c r="T1789" s="22" t="s">
        <v>189</v>
      </c>
      <c r="U1789" s="39" t="n">
        <f aca="false">IF(R1789="","",IF(F1789="BUY",R1789-S1789,S1789-R1789))</f>
        <v>0.110000000000582</v>
      </c>
      <c r="V1789" s="39" t="n">
        <f aca="false">IF(F1789="BUY",S1789-J1789,J1789-S1789)</f>
        <v>0.389999999999418</v>
      </c>
      <c r="W1789" s="6" t="n">
        <v>2.73</v>
      </c>
      <c r="X1789" s="26" t="n">
        <f aca="false">IFERROR(W1789/N1789,0)</f>
        <v>0.065</v>
      </c>
      <c r="Y1789" s="22" t="str">
        <f aca="false">IF(W1789&gt;0,"Win",IF(W1789&lt;0,"Loss","Flat"))</f>
        <v>Win</v>
      </c>
      <c r="Z1789" s="24" t="n">
        <f aca="false">Summary!$C$5+SUM(W$2:W1789)</f>
        <v>4722.07</v>
      </c>
      <c r="AA1789" s="24" t="n">
        <f aca="false">MAX(AA1788,Z1789)</f>
        <v>5106.86</v>
      </c>
      <c r="AB1789" s="24" t="n">
        <f aca="false">AA1789-Z1789</f>
        <v>384.79</v>
      </c>
      <c r="AC1789" s="23" t="n">
        <f aca="false">IFERROR(AB1789/AA1789,0)</f>
        <v>0.0753476696051977</v>
      </c>
      <c r="AD1789" s="22" t="s">
        <v>2026</v>
      </c>
    </row>
    <row r="1790" customFormat="false" ht="15" hidden="false" customHeight="false" outlineLevel="0" collapsed="false">
      <c r="A1790" s="22" t="n">
        <v>1789</v>
      </c>
      <c r="B1790" s="22" t="s">
        <v>172</v>
      </c>
      <c r="C1790" s="37" t="n">
        <v>46246.4137152778</v>
      </c>
      <c r="D1790" s="22" t="s">
        <v>204</v>
      </c>
      <c r="E1790" s="22" t="n">
        <v>9</v>
      </c>
      <c r="F1790" s="22" t="s">
        <v>181</v>
      </c>
      <c r="G1790" s="22" t="s">
        <v>235</v>
      </c>
      <c r="H1790" s="22" t="n">
        <v>0.07</v>
      </c>
      <c r="I1790" s="38" t="n">
        <v>4404.79</v>
      </c>
      <c r="J1790" s="38" t="n">
        <v>4404.94</v>
      </c>
      <c r="K1790" s="39" t="n">
        <f aca="false">IF(F1790="BUY",J1790-I1790,I1790-J1790)</f>
        <v>0.149999999999636</v>
      </c>
      <c r="L1790" s="38" t="n">
        <v>4398.79</v>
      </c>
      <c r="M1790" s="39" t="n">
        <f aca="false">ABS(I1790-L1790)</f>
        <v>6</v>
      </c>
      <c r="N1790" s="24" t="n">
        <f aca="false">M1790*H1790*Summary!$C$6</f>
        <v>42</v>
      </c>
      <c r="O1790" s="37" t="n">
        <v>46246.4293171296</v>
      </c>
      <c r="P1790" s="22" t="n">
        <f aca="false">ROUND((O1790-C1790)*86400,0)</f>
        <v>1348</v>
      </c>
      <c r="Q1790" s="22" t="str">
        <f aca="false">IF(P1790&lt;10,"a) &lt;10s",IF(P1790&lt;60,"b) 10-60s",IF(P1790&lt;600,"c) 1-10min","d) &gt;10min")))</f>
        <v>d) &gt;10min</v>
      </c>
      <c r="R1790" s="38" t="n">
        <v>4398.79</v>
      </c>
      <c r="S1790" s="38" t="n">
        <v>4398.77</v>
      </c>
      <c r="T1790" s="22" t="s">
        <v>188</v>
      </c>
      <c r="U1790" s="39" t="n">
        <f aca="false">IF(R1790="","",IF(F1790="BUY",R1790-S1790,S1790-R1790))</f>
        <v>0.0199999999995271</v>
      </c>
      <c r="V1790" s="39" t="n">
        <f aca="false">IF(F1790="BUY",S1790-J1790,J1790-S1790)</f>
        <v>-6.16999999999916</v>
      </c>
      <c r="W1790" s="6" t="n">
        <v>-43.19</v>
      </c>
      <c r="X1790" s="26" t="n">
        <f aca="false">IFERROR(W1790/N1790,0)</f>
        <v>-1.02833333333333</v>
      </c>
      <c r="Y1790" s="22" t="str">
        <f aca="false">IF(W1790&gt;0,"Win",IF(W1790&lt;0,"Loss","Flat"))</f>
        <v>Loss</v>
      </c>
      <c r="Z1790" s="24" t="n">
        <f aca="false">Summary!$C$5+SUM(W$2:W1790)</f>
        <v>4678.88</v>
      </c>
      <c r="AA1790" s="24" t="n">
        <f aca="false">MAX(AA1789,Z1790)</f>
        <v>5106.86</v>
      </c>
      <c r="AB1790" s="24" t="n">
        <f aca="false">AA1790-Z1790</f>
        <v>427.98</v>
      </c>
      <c r="AC1790" s="23" t="n">
        <f aca="false">IFERROR(AB1790/AA1790,0)</f>
        <v>0.0838049212236089</v>
      </c>
      <c r="AD1790" s="22" t="s">
        <v>2027</v>
      </c>
    </row>
    <row r="1791" customFormat="false" ht="15" hidden="false" customHeight="false" outlineLevel="0" collapsed="false">
      <c r="A1791" s="22" t="n">
        <v>1790</v>
      </c>
      <c r="B1791" s="22" t="s">
        <v>172</v>
      </c>
      <c r="C1791" s="37" t="n">
        <v>46246.6548726852</v>
      </c>
      <c r="D1791" s="22" t="s">
        <v>204</v>
      </c>
      <c r="E1791" s="22" t="n">
        <v>15</v>
      </c>
      <c r="F1791" s="22" t="s">
        <v>181</v>
      </c>
      <c r="G1791" s="22" t="s">
        <v>243</v>
      </c>
      <c r="H1791" s="22" t="n">
        <v>0.07</v>
      </c>
      <c r="I1791" s="38" t="n">
        <v>4434.97</v>
      </c>
      <c r="J1791" s="38" t="n">
        <v>4435.05</v>
      </c>
      <c r="K1791" s="39" t="n">
        <f aca="false">IF(F1791="BUY",J1791-I1791,I1791-J1791)</f>
        <v>0.0799999999999272</v>
      </c>
      <c r="L1791" s="38" t="n">
        <v>4428.97</v>
      </c>
      <c r="M1791" s="39" t="n">
        <f aca="false">ABS(I1791-L1791)</f>
        <v>6</v>
      </c>
      <c r="N1791" s="24" t="n">
        <f aca="false">M1791*H1791*Summary!$C$6</f>
        <v>42</v>
      </c>
      <c r="O1791" s="37" t="n">
        <v>46246.6549768519</v>
      </c>
      <c r="P1791" s="22" t="n">
        <f aca="false">ROUND((O1791-C1791)*86400,0)</f>
        <v>9</v>
      </c>
      <c r="Q1791" s="22" t="str">
        <f aca="false">IF(P1791&lt;10,"a) &lt;10s",IF(P1791&lt;60,"b) 10-60s",IF(P1791&lt;600,"c) 1-10min","d) &gt;10min")))</f>
        <v>a) &lt;10s</v>
      </c>
      <c r="R1791" s="38" t="n">
        <v>4435.55</v>
      </c>
      <c r="S1791" s="38" t="n">
        <v>4435.39</v>
      </c>
      <c r="T1791" s="22" t="s">
        <v>189</v>
      </c>
      <c r="U1791" s="39" t="n">
        <f aca="false">IF(R1791="","",IF(F1791="BUY",R1791-S1791,S1791-R1791))</f>
        <v>0.159999999999854</v>
      </c>
      <c r="V1791" s="39" t="n">
        <f aca="false">IF(F1791="BUY",S1791-J1791,J1791-S1791)</f>
        <v>0.340000000000146</v>
      </c>
      <c r="W1791" s="6" t="n">
        <v>2.38</v>
      </c>
      <c r="X1791" s="26" t="n">
        <f aca="false">IFERROR(W1791/N1791,0)</f>
        <v>0.0566666666666667</v>
      </c>
      <c r="Y1791" s="22" t="str">
        <f aca="false">IF(W1791&gt;0,"Win",IF(W1791&lt;0,"Loss","Flat"))</f>
        <v>Win</v>
      </c>
      <c r="Z1791" s="24" t="n">
        <f aca="false">Summary!$C$5+SUM(W$2:W1791)</f>
        <v>4681.26</v>
      </c>
      <c r="AA1791" s="24" t="n">
        <f aca="false">MAX(AA1790,Z1791)</f>
        <v>5106.86</v>
      </c>
      <c r="AB1791" s="24" t="n">
        <f aca="false">AA1791-Z1791</f>
        <v>425.599999999999</v>
      </c>
      <c r="AC1791" s="23" t="n">
        <f aca="false">IFERROR(AB1791/AA1791,0)</f>
        <v>0.08333888142616</v>
      </c>
      <c r="AD1791" s="22" t="s">
        <v>2028</v>
      </c>
    </row>
    <row r="1792" customFormat="false" ht="15" hidden="false" customHeight="false" outlineLevel="0" collapsed="false">
      <c r="A1792" s="22" t="n">
        <v>1791</v>
      </c>
      <c r="B1792" s="22" t="s">
        <v>172</v>
      </c>
      <c r="C1792" s="37" t="n">
        <v>46247.3778819444</v>
      </c>
      <c r="D1792" s="22" t="s">
        <v>205</v>
      </c>
      <c r="E1792" s="22" t="n">
        <v>9</v>
      </c>
      <c r="F1792" s="22" t="s">
        <v>182</v>
      </c>
      <c r="G1792" s="22" t="s">
        <v>241</v>
      </c>
      <c r="H1792" s="22" t="n">
        <v>0.07</v>
      </c>
      <c r="I1792" s="38" t="n">
        <v>4380.33</v>
      </c>
      <c r="J1792" s="38" t="n">
        <v>4380.25</v>
      </c>
      <c r="K1792" s="39" t="n">
        <f aca="false">IF(F1792="BUY",J1792-I1792,I1792-J1792)</f>
        <v>0.0799999999999272</v>
      </c>
      <c r="L1792" s="38" t="n">
        <v>4386.33</v>
      </c>
      <c r="M1792" s="39" t="n">
        <f aca="false">ABS(I1792-L1792)</f>
        <v>6</v>
      </c>
      <c r="N1792" s="24" t="n">
        <f aca="false">M1792*H1792*Summary!$C$6</f>
        <v>42</v>
      </c>
      <c r="O1792" s="37" t="n">
        <v>46247.3816898148</v>
      </c>
      <c r="P1792" s="22" t="n">
        <f aca="false">ROUND((O1792-C1792)*86400,0)</f>
        <v>329</v>
      </c>
      <c r="Q1792" s="22" t="str">
        <f aca="false">IF(P1792&lt;10,"a) &lt;10s",IF(P1792&lt;60,"b) 10-60s",IF(P1792&lt;600,"c) 1-10min","d) &gt;10min")))</f>
        <v>c) 1-10min</v>
      </c>
      <c r="R1792" s="38" t="n">
        <v>4379.75</v>
      </c>
      <c r="S1792" s="38" t="n">
        <v>4379.85</v>
      </c>
      <c r="T1792" s="22" t="s">
        <v>189</v>
      </c>
      <c r="U1792" s="39" t="n">
        <f aca="false">IF(R1792="","",IF(F1792="BUY",R1792-S1792,S1792-R1792))</f>
        <v>0.100000000000364</v>
      </c>
      <c r="V1792" s="39" t="n">
        <f aca="false">IF(F1792="BUY",S1792-J1792,J1792-S1792)</f>
        <v>0.399999999999636</v>
      </c>
      <c r="W1792" s="6" t="n">
        <v>2.8</v>
      </c>
      <c r="X1792" s="26" t="n">
        <f aca="false">IFERROR(W1792/N1792,0)</f>
        <v>0.0666666666666667</v>
      </c>
      <c r="Y1792" s="22" t="str">
        <f aca="false">IF(W1792&gt;0,"Win",IF(W1792&lt;0,"Loss","Flat"))</f>
        <v>Win</v>
      </c>
      <c r="Z1792" s="24" t="n">
        <f aca="false">Summary!$C$5+SUM(W$2:W1792)</f>
        <v>4684.06</v>
      </c>
      <c r="AA1792" s="24" t="n">
        <f aca="false">MAX(AA1791,Z1792)</f>
        <v>5106.86</v>
      </c>
      <c r="AB1792" s="24" t="n">
        <f aca="false">AA1792-Z1792</f>
        <v>422.8</v>
      </c>
      <c r="AC1792" s="23" t="n">
        <f aca="false">IFERROR(AB1792/AA1792,0)</f>
        <v>0.0827905993115144</v>
      </c>
      <c r="AD1792" s="22" t="s">
        <v>2029</v>
      </c>
    </row>
    <row r="1793" customFormat="false" ht="15" hidden="false" customHeight="false" outlineLevel="0" collapsed="false">
      <c r="A1793" s="22" t="n">
        <v>1792</v>
      </c>
      <c r="B1793" s="22" t="s">
        <v>172</v>
      </c>
      <c r="C1793" s="37" t="n">
        <v>46247.7293171296</v>
      </c>
      <c r="D1793" s="22" t="s">
        <v>205</v>
      </c>
      <c r="E1793" s="22" t="n">
        <v>17</v>
      </c>
      <c r="F1793" s="22" t="s">
        <v>182</v>
      </c>
      <c r="G1793" s="22" t="s">
        <v>237</v>
      </c>
      <c r="H1793" s="22" t="n">
        <v>0.07</v>
      </c>
      <c r="I1793" s="38" t="n">
        <v>4361.5</v>
      </c>
      <c r="J1793" s="38" t="n">
        <v>4352.76</v>
      </c>
      <c r="K1793" s="39" t="n">
        <f aca="false">IF(F1793="BUY",J1793-I1793,I1793-J1793)</f>
        <v>8.73999999999978</v>
      </c>
      <c r="L1793" s="38" t="n">
        <v>4367.5</v>
      </c>
      <c r="M1793" s="39" t="n">
        <f aca="false">ABS(I1793-L1793)</f>
        <v>6</v>
      </c>
      <c r="N1793" s="24" t="n">
        <f aca="false">M1793*H1793*Summary!$C$6</f>
        <v>42</v>
      </c>
      <c r="O1793" s="37" t="n">
        <v>46247.7299768519</v>
      </c>
      <c r="P1793" s="22" t="n">
        <f aca="false">ROUND((O1793-C1793)*86400,0)</f>
        <v>57</v>
      </c>
      <c r="Q1793" s="22" t="str">
        <f aca="false">IF(P1793&lt;10,"a) &lt;10s",IF(P1793&lt;60,"b) 10-60s",IF(P1793&lt;600,"c) 1-10min","d) &gt;10min")))</f>
        <v>b) 10-60s</v>
      </c>
      <c r="R1793" s="38" t="n">
        <v>4367.5</v>
      </c>
      <c r="S1793" s="38" t="n">
        <v>4367.72</v>
      </c>
      <c r="T1793" s="22" t="s">
        <v>188</v>
      </c>
      <c r="U1793" s="39" t="n">
        <f aca="false">IF(R1793="","",IF(F1793="BUY",R1793-S1793,S1793-R1793))</f>
        <v>0.220000000000255</v>
      </c>
      <c r="V1793" s="39" t="n">
        <f aca="false">IF(F1793="BUY",S1793-J1793,J1793-S1793)</f>
        <v>-14.96</v>
      </c>
      <c r="W1793" s="6" t="n">
        <v>-104.72</v>
      </c>
      <c r="X1793" s="26" t="n">
        <f aca="false">IFERROR(W1793/N1793,0)</f>
        <v>-2.49333333333333</v>
      </c>
      <c r="Y1793" s="22" t="str">
        <f aca="false">IF(W1793&gt;0,"Win",IF(W1793&lt;0,"Loss","Flat"))</f>
        <v>Loss</v>
      </c>
      <c r="Z1793" s="24" t="n">
        <f aca="false">Summary!$C$5+SUM(W$2:W1793)</f>
        <v>4579.34</v>
      </c>
      <c r="AA1793" s="24" t="n">
        <f aca="false">MAX(AA1792,Z1793)</f>
        <v>5106.86</v>
      </c>
      <c r="AB1793" s="24" t="n">
        <f aca="false">AA1793-Z1793</f>
        <v>527.52</v>
      </c>
      <c r="AC1793" s="23" t="n">
        <f aca="false">IFERROR(AB1793/AA1793,0)</f>
        <v>0.103296350399267</v>
      </c>
      <c r="AD1793" s="22" t="s">
        <v>2030</v>
      </c>
    </row>
    <row r="1794" customFormat="false" ht="15" hidden="false" customHeight="false" outlineLevel="0" collapsed="false">
      <c r="A1794" s="22" t="n">
        <v>1793</v>
      </c>
      <c r="B1794" s="22" t="s">
        <v>172</v>
      </c>
      <c r="C1794" s="37" t="n">
        <v>46248.143287037</v>
      </c>
      <c r="D1794" s="22" t="s">
        <v>206</v>
      </c>
      <c r="E1794" s="22" t="n">
        <v>3</v>
      </c>
      <c r="F1794" s="22" t="s">
        <v>182</v>
      </c>
      <c r="G1794" s="22" t="s">
        <v>237</v>
      </c>
      <c r="H1794" s="22" t="n">
        <v>0.07</v>
      </c>
      <c r="I1794" s="38" t="n">
        <v>4343.37</v>
      </c>
      <c r="J1794" s="38" t="n">
        <v>4342.73</v>
      </c>
      <c r="K1794" s="39" t="n">
        <f aca="false">IF(F1794="BUY",J1794-I1794,I1794-J1794)</f>
        <v>0.640000000000327</v>
      </c>
      <c r="L1794" s="38" t="n">
        <v>4349.37</v>
      </c>
      <c r="M1794" s="39" t="n">
        <f aca="false">ABS(I1794-L1794)</f>
        <v>6</v>
      </c>
      <c r="N1794" s="24" t="n">
        <f aca="false">M1794*H1794*Summary!$C$6</f>
        <v>42</v>
      </c>
      <c r="O1794" s="37" t="n">
        <v>46248.1432986111</v>
      </c>
      <c r="P1794" s="22" t="n">
        <f aca="false">ROUND((O1794-C1794)*86400,0)</f>
        <v>1</v>
      </c>
      <c r="Q1794" s="22" t="str">
        <f aca="false">IF(P1794&lt;10,"a) &lt;10s",IF(P1794&lt;60,"b) 10-60s",IF(P1794&lt;600,"c) 1-10min","d) &gt;10min")))</f>
        <v>a) &lt;10s</v>
      </c>
      <c r="R1794" s="38" t="n">
        <v>4342.23</v>
      </c>
      <c r="S1794" s="38" t="n">
        <v>4342.35</v>
      </c>
      <c r="T1794" s="22" t="s">
        <v>189</v>
      </c>
      <c r="U1794" s="39" t="n">
        <f aca="false">IF(R1794="","",IF(F1794="BUY",R1794-S1794,S1794-R1794))</f>
        <v>0.1200000000008</v>
      </c>
      <c r="V1794" s="39" t="n">
        <f aca="false">IF(F1794="BUY",S1794-J1794,J1794-S1794)</f>
        <v>0.3799999999992</v>
      </c>
      <c r="W1794" s="6" t="n">
        <v>2.66</v>
      </c>
      <c r="X1794" s="26" t="n">
        <f aca="false">IFERROR(W1794/N1794,0)</f>
        <v>0.0633333333333333</v>
      </c>
      <c r="Y1794" s="22" t="str">
        <f aca="false">IF(W1794&gt;0,"Win",IF(W1794&lt;0,"Loss","Flat"))</f>
        <v>Win</v>
      </c>
      <c r="Z1794" s="24" t="n">
        <f aca="false">Summary!$C$5+SUM(W$2:W1794)</f>
        <v>4582</v>
      </c>
      <c r="AA1794" s="24" t="n">
        <f aca="false">MAX(AA1793,Z1794)</f>
        <v>5106.86</v>
      </c>
      <c r="AB1794" s="24" t="n">
        <f aca="false">AA1794-Z1794</f>
        <v>524.86</v>
      </c>
      <c r="AC1794" s="23" t="n">
        <f aca="false">IFERROR(AB1794/AA1794,0)</f>
        <v>0.102775482390353</v>
      </c>
      <c r="AD1794" s="22" t="s">
        <v>2031</v>
      </c>
    </row>
    <row r="1795" customFormat="false" ht="15" hidden="false" customHeight="false" outlineLevel="0" collapsed="false">
      <c r="A1795" s="22" t="n">
        <v>1794</v>
      </c>
      <c r="B1795" s="22" t="s">
        <v>172</v>
      </c>
      <c r="C1795" s="37" t="n">
        <v>46251.1558680556</v>
      </c>
      <c r="D1795" s="22" t="s">
        <v>202</v>
      </c>
      <c r="E1795" s="22" t="n">
        <v>3</v>
      </c>
      <c r="F1795" s="22" t="s">
        <v>181</v>
      </c>
      <c r="G1795" s="22" t="s">
        <v>243</v>
      </c>
      <c r="H1795" s="22" t="n">
        <v>0.07</v>
      </c>
      <c r="I1795" s="38" t="n">
        <v>4396.77</v>
      </c>
      <c r="J1795" s="38" t="n">
        <v>4396.95</v>
      </c>
      <c r="K1795" s="39" t="n">
        <f aca="false">IF(F1795="BUY",J1795-I1795,I1795-J1795)</f>
        <v>0.179999999999382</v>
      </c>
      <c r="L1795" s="38" t="n">
        <v>4390.77</v>
      </c>
      <c r="M1795" s="39" t="n">
        <f aca="false">ABS(I1795-L1795)</f>
        <v>6</v>
      </c>
      <c r="N1795" s="24" t="n">
        <f aca="false">M1795*H1795*Summary!$C$6</f>
        <v>42</v>
      </c>
      <c r="O1795" s="37" t="n">
        <v>46251.1957175926</v>
      </c>
      <c r="P1795" s="22" t="n">
        <f aca="false">ROUND((O1795-C1795)*86400,0)</f>
        <v>3443</v>
      </c>
      <c r="Q1795" s="22" t="str">
        <f aca="false">IF(P1795&lt;10,"a) &lt;10s",IF(P1795&lt;60,"b) 10-60s",IF(P1795&lt;600,"c) 1-10min","d) &gt;10min")))</f>
        <v>d) &gt;10min</v>
      </c>
      <c r="R1795" s="38" t="n">
        <v>4397.45</v>
      </c>
      <c r="S1795" s="38" t="n">
        <v>4397.4</v>
      </c>
      <c r="T1795" s="22" t="s">
        <v>189</v>
      </c>
      <c r="U1795" s="39" t="n">
        <f aca="false">IF(R1795="","",IF(F1795="BUY",R1795-S1795,S1795-R1795))</f>
        <v>0.0500000000001819</v>
      </c>
      <c r="V1795" s="39" t="n">
        <f aca="false">IF(F1795="BUY",S1795-J1795,J1795-S1795)</f>
        <v>0.449999999999818</v>
      </c>
      <c r="W1795" s="6" t="n">
        <v>3.15</v>
      </c>
      <c r="X1795" s="26" t="n">
        <f aca="false">IFERROR(W1795/N1795,0)</f>
        <v>0.075</v>
      </c>
      <c r="Y1795" s="22" t="str">
        <f aca="false">IF(W1795&gt;0,"Win",IF(W1795&lt;0,"Loss","Flat"))</f>
        <v>Win</v>
      </c>
      <c r="Z1795" s="24" t="n">
        <f aca="false">Summary!$C$5+SUM(W$2:W1795)</f>
        <v>4585.15</v>
      </c>
      <c r="AA1795" s="24" t="n">
        <f aca="false">MAX(AA1794,Z1795)</f>
        <v>5106.86</v>
      </c>
      <c r="AB1795" s="24" t="n">
        <f aca="false">AA1795-Z1795</f>
        <v>521.71</v>
      </c>
      <c r="AC1795" s="23" t="n">
        <f aca="false">IFERROR(AB1795/AA1795,0)</f>
        <v>0.102158665011377</v>
      </c>
      <c r="AD1795" s="22" t="s">
        <v>2032</v>
      </c>
    </row>
    <row r="1796" customFormat="false" ht="15" hidden="false" customHeight="false" outlineLevel="0" collapsed="false">
      <c r="A1796" s="22" t="n">
        <v>1795</v>
      </c>
      <c r="B1796" s="22" t="s">
        <v>172</v>
      </c>
      <c r="C1796" s="37" t="n">
        <v>46251.4094328704</v>
      </c>
      <c r="D1796" s="22" t="s">
        <v>202</v>
      </c>
      <c r="E1796" s="22" t="n">
        <v>9</v>
      </c>
      <c r="F1796" s="22" t="s">
        <v>181</v>
      </c>
      <c r="G1796" s="22" t="s">
        <v>235</v>
      </c>
      <c r="H1796" s="22" t="n">
        <v>0.07</v>
      </c>
      <c r="I1796" s="38" t="n">
        <v>4401.08</v>
      </c>
      <c r="J1796" s="38" t="n">
        <v>4401.1</v>
      </c>
      <c r="K1796" s="39" t="n">
        <f aca="false">IF(F1796="BUY",J1796-I1796,I1796-J1796)</f>
        <v>0.0200000000004366</v>
      </c>
      <c r="L1796" s="38" t="n">
        <v>4395.08</v>
      </c>
      <c r="M1796" s="39" t="n">
        <f aca="false">ABS(I1796-L1796)</f>
        <v>6</v>
      </c>
      <c r="N1796" s="24" t="n">
        <f aca="false">M1796*H1796*Summary!$C$6</f>
        <v>42</v>
      </c>
      <c r="O1796" s="37" t="n">
        <v>46251.4132175926</v>
      </c>
      <c r="P1796" s="22" t="n">
        <f aca="false">ROUND((O1796-C1796)*86400,0)</f>
        <v>327</v>
      </c>
      <c r="Q1796" s="22" t="str">
        <f aca="false">IF(P1796&lt;10,"a) &lt;10s",IF(P1796&lt;60,"b) 10-60s",IF(P1796&lt;600,"c) 1-10min","d) &gt;10min")))</f>
        <v>c) 1-10min</v>
      </c>
      <c r="R1796" s="38" t="n">
        <v>4401.6</v>
      </c>
      <c r="S1796" s="38" t="n">
        <v>4401.54</v>
      </c>
      <c r="T1796" s="22" t="s">
        <v>189</v>
      </c>
      <c r="U1796" s="39" t="n">
        <f aca="false">IF(R1796="","",IF(F1796="BUY",R1796-S1796,S1796-R1796))</f>
        <v>0.0600000000004002</v>
      </c>
      <c r="V1796" s="39" t="n">
        <f aca="false">IF(F1796="BUY",S1796-J1796,J1796-S1796)</f>
        <v>0.4399999999996</v>
      </c>
      <c r="W1796" s="6" t="n">
        <v>3.08</v>
      </c>
      <c r="X1796" s="26" t="n">
        <f aca="false">IFERROR(W1796/N1796,0)</f>
        <v>0.0733333333333333</v>
      </c>
      <c r="Y1796" s="22" t="str">
        <f aca="false">IF(W1796&gt;0,"Win",IF(W1796&lt;0,"Loss","Flat"))</f>
        <v>Win</v>
      </c>
      <c r="Z1796" s="24" t="n">
        <f aca="false">Summary!$C$5+SUM(W$2:W1796)</f>
        <v>4588.23</v>
      </c>
      <c r="AA1796" s="24" t="n">
        <f aca="false">MAX(AA1795,Z1796)</f>
        <v>5106.86</v>
      </c>
      <c r="AB1796" s="24" t="n">
        <f aca="false">AA1796-Z1796</f>
        <v>518.63</v>
      </c>
      <c r="AC1796" s="23" t="n">
        <f aca="false">IFERROR(AB1796/AA1796,0)</f>
        <v>0.101555554685267</v>
      </c>
      <c r="AD1796" s="22" t="s">
        <v>2033</v>
      </c>
    </row>
    <row r="1797" customFormat="false" ht="15" hidden="false" customHeight="false" outlineLevel="0" collapsed="false">
      <c r="A1797" s="22" t="n">
        <v>1796</v>
      </c>
      <c r="B1797" s="22" t="s">
        <v>172</v>
      </c>
      <c r="C1797" s="37" t="n">
        <v>46252.1250231482</v>
      </c>
      <c r="D1797" s="22" t="s">
        <v>203</v>
      </c>
      <c r="E1797" s="22" t="n">
        <v>3</v>
      </c>
      <c r="F1797" s="22" t="s">
        <v>181</v>
      </c>
      <c r="G1797" s="22" t="s">
        <v>243</v>
      </c>
      <c r="H1797" s="22" t="n">
        <v>0.07</v>
      </c>
      <c r="I1797" s="38" t="n">
        <v>4428.68</v>
      </c>
      <c r="J1797" s="38" t="n">
        <v>4428.81</v>
      </c>
      <c r="K1797" s="39" t="n">
        <f aca="false">IF(F1797="BUY",J1797-I1797,I1797-J1797)</f>
        <v>0.130000000000109</v>
      </c>
      <c r="L1797" s="38" t="n">
        <v>4422.68</v>
      </c>
      <c r="M1797" s="39" t="n">
        <f aca="false">ABS(I1797-L1797)</f>
        <v>6</v>
      </c>
      <c r="N1797" s="24" t="n">
        <f aca="false">M1797*H1797*Summary!$C$6</f>
        <v>42</v>
      </c>
      <c r="O1797" s="37" t="n">
        <v>46252.1253356482</v>
      </c>
      <c r="P1797" s="22" t="n">
        <f aca="false">ROUND((O1797-C1797)*86400,0)</f>
        <v>27</v>
      </c>
      <c r="Q1797" s="22" t="str">
        <f aca="false">IF(P1797&lt;10,"a) &lt;10s",IF(P1797&lt;60,"b) 10-60s",IF(P1797&lt;600,"c) 1-10min","d) &gt;10min")))</f>
        <v>b) 10-60s</v>
      </c>
      <c r="R1797" s="38" t="n">
        <v>4422.68</v>
      </c>
      <c r="S1797" s="38" t="n">
        <v>4422.51</v>
      </c>
      <c r="T1797" s="22" t="s">
        <v>188</v>
      </c>
      <c r="U1797" s="39" t="n">
        <f aca="false">IF(R1797="","",IF(F1797="BUY",R1797-S1797,S1797-R1797))</f>
        <v>0.170000000000073</v>
      </c>
      <c r="V1797" s="39" t="n">
        <f aca="false">IF(F1797="BUY",S1797-J1797,J1797-S1797)</f>
        <v>-6.30000000000018</v>
      </c>
      <c r="W1797" s="6" t="n">
        <v>-44.1</v>
      </c>
      <c r="X1797" s="26" t="n">
        <f aca="false">IFERROR(W1797/N1797,0)</f>
        <v>-1.05</v>
      </c>
      <c r="Y1797" s="22" t="str">
        <f aca="false">IF(W1797&gt;0,"Win",IF(W1797&lt;0,"Loss","Flat"))</f>
        <v>Loss</v>
      </c>
      <c r="Z1797" s="24" t="n">
        <f aca="false">Summary!$C$5+SUM(W$2:W1797)</f>
        <v>4544.13</v>
      </c>
      <c r="AA1797" s="24" t="n">
        <f aca="false">MAX(AA1796,Z1797)</f>
        <v>5106.86</v>
      </c>
      <c r="AB1797" s="24" t="n">
        <f aca="false">AA1797-Z1797</f>
        <v>562.73</v>
      </c>
      <c r="AC1797" s="23" t="n">
        <f aca="false">IFERROR(AB1797/AA1797,0)</f>
        <v>0.110190997990938</v>
      </c>
      <c r="AD1797" s="22" t="s">
        <v>2034</v>
      </c>
    </row>
    <row r="1798" customFormat="false" ht="15" hidden="false" customHeight="false" outlineLevel="0" collapsed="false">
      <c r="A1798" s="22" t="n">
        <v>1797</v>
      </c>
      <c r="B1798" s="22" t="s">
        <v>172</v>
      </c>
      <c r="C1798" s="37" t="n">
        <v>46252.3893402778</v>
      </c>
      <c r="D1798" s="22" t="s">
        <v>203</v>
      </c>
      <c r="E1798" s="22" t="n">
        <v>9</v>
      </c>
      <c r="F1798" s="22" t="s">
        <v>181</v>
      </c>
      <c r="G1798" s="22" t="s">
        <v>235</v>
      </c>
      <c r="H1798" s="22" t="n">
        <v>0.07</v>
      </c>
      <c r="I1798" s="38" t="n">
        <v>4397.43</v>
      </c>
      <c r="J1798" s="38" t="n">
        <v>4397.43</v>
      </c>
      <c r="K1798" s="39" t="n">
        <f aca="false">IF(F1798="BUY",J1798-I1798,I1798-J1798)</f>
        <v>0</v>
      </c>
      <c r="L1798" s="38" t="n">
        <v>4391.43</v>
      </c>
      <c r="M1798" s="39" t="n">
        <f aca="false">ABS(I1798-L1798)</f>
        <v>6</v>
      </c>
      <c r="N1798" s="24" t="n">
        <f aca="false">M1798*H1798*Summary!$C$6</f>
        <v>42</v>
      </c>
      <c r="O1798" s="37" t="n">
        <v>46252.3975347222</v>
      </c>
      <c r="P1798" s="22" t="n">
        <f aca="false">ROUND((O1798-C1798)*86400,0)</f>
        <v>708</v>
      </c>
      <c r="Q1798" s="22" t="str">
        <f aca="false">IF(P1798&lt;10,"a) &lt;10s",IF(P1798&lt;60,"b) 10-60s",IF(P1798&lt;600,"c) 1-10min","d) &gt;10min")))</f>
        <v>d) &gt;10min</v>
      </c>
      <c r="R1798" s="38" t="n">
        <v>4397.93</v>
      </c>
      <c r="S1798" s="38" t="n">
        <v>4397.93</v>
      </c>
      <c r="T1798" s="22" t="s">
        <v>189</v>
      </c>
      <c r="U1798" s="39" t="n">
        <f aca="false">IF(R1798="","",IF(F1798="BUY",R1798-S1798,S1798-R1798))</f>
        <v>0</v>
      </c>
      <c r="V1798" s="39" t="n">
        <f aca="false">IF(F1798="BUY",S1798-J1798,J1798-S1798)</f>
        <v>0.5</v>
      </c>
      <c r="W1798" s="6" t="n">
        <v>3.5</v>
      </c>
      <c r="X1798" s="26" t="n">
        <f aca="false">IFERROR(W1798/N1798,0)</f>
        <v>0.0833333333333333</v>
      </c>
      <c r="Y1798" s="22" t="str">
        <f aca="false">IF(W1798&gt;0,"Win",IF(W1798&lt;0,"Loss","Flat"))</f>
        <v>Win</v>
      </c>
      <c r="Z1798" s="24" t="n">
        <f aca="false">Summary!$C$5+SUM(W$2:W1798)</f>
        <v>4547.63</v>
      </c>
      <c r="AA1798" s="24" t="n">
        <f aca="false">MAX(AA1797,Z1798)</f>
        <v>5106.86</v>
      </c>
      <c r="AB1798" s="24" t="n">
        <f aca="false">AA1798-Z1798</f>
        <v>559.23</v>
      </c>
      <c r="AC1798" s="23" t="n">
        <f aca="false">IFERROR(AB1798/AA1798,0)</f>
        <v>0.10950564534763</v>
      </c>
      <c r="AD1798" s="22" t="s">
        <v>2035</v>
      </c>
    </row>
    <row r="1799" customFormat="false" ht="15" hidden="false" customHeight="false" outlineLevel="0" collapsed="false">
      <c r="A1799" s="22" t="n">
        <v>1798</v>
      </c>
      <c r="B1799" s="22" t="s">
        <v>172</v>
      </c>
      <c r="C1799" s="37" t="n">
        <v>46253.1062847222</v>
      </c>
      <c r="D1799" s="22" t="s">
        <v>204</v>
      </c>
      <c r="E1799" s="22" t="n">
        <v>2</v>
      </c>
      <c r="F1799" s="22" t="s">
        <v>182</v>
      </c>
      <c r="G1799" s="22" t="s">
        <v>237</v>
      </c>
      <c r="H1799" s="22" t="n">
        <v>0.07</v>
      </c>
      <c r="I1799" s="38" t="n">
        <v>4329.3</v>
      </c>
      <c r="J1799" s="38" t="n">
        <v>4328.55</v>
      </c>
      <c r="K1799" s="39" t="n">
        <f aca="false">IF(F1799="BUY",J1799-I1799,I1799-J1799)</f>
        <v>0.75</v>
      </c>
      <c r="L1799" s="38" t="n">
        <v>4335.3</v>
      </c>
      <c r="M1799" s="39" t="n">
        <f aca="false">ABS(I1799-L1799)</f>
        <v>6</v>
      </c>
      <c r="N1799" s="24" t="n">
        <f aca="false">M1799*H1799*Summary!$C$6</f>
        <v>42</v>
      </c>
      <c r="O1799" s="37" t="n">
        <v>46253.1255787037</v>
      </c>
      <c r="P1799" s="22" t="n">
        <f aca="false">ROUND((O1799-C1799)*86400,0)</f>
        <v>1667</v>
      </c>
      <c r="Q1799" s="22" t="str">
        <f aca="false">IF(P1799&lt;10,"a) &lt;10s",IF(P1799&lt;60,"b) 10-60s",IF(P1799&lt;600,"c) 1-10min","d) &gt;10min")))</f>
        <v>d) &gt;10min</v>
      </c>
      <c r="R1799" s="38" t="n">
        <v>4335.3</v>
      </c>
      <c r="S1799" s="38" t="n">
        <v>4335.33</v>
      </c>
      <c r="T1799" s="22" t="s">
        <v>188</v>
      </c>
      <c r="U1799" s="39" t="n">
        <f aca="false">IF(R1799="","",IF(F1799="BUY",R1799-S1799,S1799-R1799))</f>
        <v>0.0299999999997453</v>
      </c>
      <c r="V1799" s="39" t="n">
        <f aca="false">IF(F1799="BUY",S1799-J1799,J1799-S1799)</f>
        <v>-6.77999999999975</v>
      </c>
      <c r="W1799" s="6" t="n">
        <v>-47.46</v>
      </c>
      <c r="X1799" s="26" t="n">
        <f aca="false">IFERROR(W1799/N1799,0)</f>
        <v>-1.13</v>
      </c>
      <c r="Y1799" s="22" t="str">
        <f aca="false">IF(W1799&gt;0,"Win",IF(W1799&lt;0,"Loss","Flat"))</f>
        <v>Loss</v>
      </c>
      <c r="Z1799" s="24" t="n">
        <f aca="false">Summary!$C$5+SUM(W$2:W1799)</f>
        <v>4500.17</v>
      </c>
      <c r="AA1799" s="24" t="n">
        <f aca="false">MAX(AA1798,Z1799)</f>
        <v>5106.86</v>
      </c>
      <c r="AB1799" s="24" t="n">
        <f aca="false">AA1799-Z1799</f>
        <v>606.69</v>
      </c>
      <c r="AC1799" s="23" t="n">
        <f aca="false">IFERROR(AB1799/AA1799,0)</f>
        <v>0.118799027190877</v>
      </c>
      <c r="AD1799" s="22" t="s">
        <v>2036</v>
      </c>
    </row>
    <row r="1800" customFormat="false" ht="15" hidden="false" customHeight="false" outlineLevel="0" collapsed="false">
      <c r="A1800" s="22" t="n">
        <v>1799</v>
      </c>
      <c r="B1800" s="22" t="s">
        <v>172</v>
      </c>
      <c r="C1800" s="37" t="n">
        <v>46253.4353125</v>
      </c>
      <c r="D1800" s="22" t="s">
        <v>204</v>
      </c>
      <c r="E1800" s="22" t="n">
        <v>10</v>
      </c>
      <c r="F1800" s="22" t="s">
        <v>181</v>
      </c>
      <c r="G1800" s="22" t="s">
        <v>235</v>
      </c>
      <c r="H1800" s="22" t="n">
        <v>0.07</v>
      </c>
      <c r="I1800" s="38" t="n">
        <v>4356.04</v>
      </c>
      <c r="J1800" s="38" t="n">
        <v>4356.17</v>
      </c>
      <c r="K1800" s="39" t="n">
        <f aca="false">IF(F1800="BUY",J1800-I1800,I1800-J1800)</f>
        <v>0.130000000000109</v>
      </c>
      <c r="L1800" s="38" t="n">
        <v>4350.04</v>
      </c>
      <c r="M1800" s="39" t="n">
        <f aca="false">ABS(I1800-L1800)</f>
        <v>6</v>
      </c>
      <c r="N1800" s="24" t="n">
        <f aca="false">M1800*H1800*Summary!$C$6</f>
        <v>42</v>
      </c>
      <c r="O1800" s="37" t="n">
        <v>46253.445162037</v>
      </c>
      <c r="P1800" s="22" t="n">
        <f aca="false">ROUND((O1800-C1800)*86400,0)</f>
        <v>851</v>
      </c>
      <c r="Q1800" s="22" t="str">
        <f aca="false">IF(P1800&lt;10,"a) &lt;10s",IF(P1800&lt;60,"b) 10-60s",IF(P1800&lt;600,"c) 1-10min","d) &gt;10min")))</f>
        <v>d) &gt;10min</v>
      </c>
      <c r="R1800" s="38" t="n">
        <v>4356.67</v>
      </c>
      <c r="S1800" s="38" t="n">
        <v>4356.52</v>
      </c>
      <c r="T1800" s="22" t="s">
        <v>189</v>
      </c>
      <c r="U1800" s="39" t="n">
        <f aca="false">IF(R1800="","",IF(F1800="BUY",R1800-S1800,S1800-R1800))</f>
        <v>0.149999999999636</v>
      </c>
      <c r="V1800" s="39" t="n">
        <f aca="false">IF(F1800="BUY",S1800-J1800,J1800-S1800)</f>
        <v>0.350000000000364</v>
      </c>
      <c r="W1800" s="6" t="n">
        <v>2.45</v>
      </c>
      <c r="X1800" s="26" t="n">
        <f aca="false">IFERROR(W1800/N1800,0)</f>
        <v>0.0583333333333333</v>
      </c>
      <c r="Y1800" s="22" t="str">
        <f aca="false">IF(W1800&gt;0,"Win",IF(W1800&lt;0,"Loss","Flat"))</f>
        <v>Win</v>
      </c>
      <c r="Z1800" s="24" t="n">
        <f aca="false">Summary!$C$5+SUM(W$2:W1800)</f>
        <v>4502.62</v>
      </c>
      <c r="AA1800" s="24" t="n">
        <f aca="false">MAX(AA1799,Z1800)</f>
        <v>5106.86</v>
      </c>
      <c r="AB1800" s="24" t="n">
        <f aca="false">AA1800-Z1800</f>
        <v>604.24</v>
      </c>
      <c r="AC1800" s="23" t="n">
        <f aca="false">IFERROR(AB1800/AA1800,0)</f>
        <v>0.118319280340561</v>
      </c>
      <c r="AD1800" s="22" t="s">
        <v>2037</v>
      </c>
    </row>
    <row r="1801" customFormat="false" ht="15" hidden="false" customHeight="false" outlineLevel="0" collapsed="false">
      <c r="A1801" s="22" t="n">
        <v>1800</v>
      </c>
      <c r="B1801" s="22" t="s">
        <v>172</v>
      </c>
      <c r="C1801" s="37" t="n">
        <v>46254.4715972222</v>
      </c>
      <c r="D1801" s="22" t="s">
        <v>205</v>
      </c>
      <c r="E1801" s="22" t="n">
        <v>11</v>
      </c>
      <c r="F1801" s="22" t="s">
        <v>181</v>
      </c>
      <c r="G1801" s="22" t="s">
        <v>235</v>
      </c>
      <c r="H1801" s="22" t="n">
        <v>0.07</v>
      </c>
      <c r="I1801" s="38" t="n">
        <v>4498.82</v>
      </c>
      <c r="J1801" s="38" t="n">
        <v>4498.82</v>
      </c>
      <c r="K1801" s="39" t="n">
        <f aca="false">IF(F1801="BUY",J1801-I1801,I1801-J1801)</f>
        <v>0</v>
      </c>
      <c r="L1801" s="38" t="n">
        <v>4492.82</v>
      </c>
      <c r="M1801" s="39" t="n">
        <f aca="false">ABS(I1801-L1801)</f>
        <v>6</v>
      </c>
      <c r="N1801" s="24" t="n">
        <f aca="false">M1801*H1801*Summary!$C$6</f>
        <v>42</v>
      </c>
      <c r="O1801" s="37" t="n">
        <v>46254.4768634259</v>
      </c>
      <c r="P1801" s="22" t="n">
        <f aca="false">ROUND((O1801-C1801)*86400,0)</f>
        <v>455</v>
      </c>
      <c r="Q1801" s="22" t="str">
        <f aca="false">IF(P1801&lt;10,"a) &lt;10s",IF(P1801&lt;60,"b) 10-60s",IF(P1801&lt;600,"c) 1-10min","d) &gt;10min")))</f>
        <v>c) 1-10min</v>
      </c>
      <c r="R1801" s="38" t="n">
        <v>4492.82</v>
      </c>
      <c r="S1801" s="38" t="n">
        <v>4492.82</v>
      </c>
      <c r="T1801" s="22" t="s">
        <v>188</v>
      </c>
      <c r="U1801" s="39" t="n">
        <f aca="false">IF(R1801="","",IF(F1801="BUY",R1801-S1801,S1801-R1801))</f>
        <v>0</v>
      </c>
      <c r="V1801" s="39" t="n">
        <f aca="false">IF(F1801="BUY",S1801-J1801,J1801-S1801)</f>
        <v>-6</v>
      </c>
      <c r="W1801" s="6" t="n">
        <v>-42</v>
      </c>
      <c r="X1801" s="26" t="n">
        <f aca="false">IFERROR(W1801/N1801,0)</f>
        <v>-1</v>
      </c>
      <c r="Y1801" s="22" t="str">
        <f aca="false">IF(W1801&gt;0,"Win",IF(W1801&lt;0,"Loss","Flat"))</f>
        <v>Loss</v>
      </c>
      <c r="Z1801" s="24" t="n">
        <f aca="false">Summary!$C$5+SUM(W$2:W1801)</f>
        <v>4460.62</v>
      </c>
      <c r="AA1801" s="24" t="n">
        <f aca="false">MAX(AA1800,Z1801)</f>
        <v>5106.86</v>
      </c>
      <c r="AB1801" s="24" t="n">
        <f aca="false">AA1801-Z1801</f>
        <v>646.24</v>
      </c>
      <c r="AC1801" s="23" t="n">
        <f aca="false">IFERROR(AB1801/AA1801,0)</f>
        <v>0.126543512060248</v>
      </c>
      <c r="AD1801" s="22" t="s">
        <v>2038</v>
      </c>
    </row>
    <row r="1802" customFormat="false" ht="15" hidden="false" customHeight="false" outlineLevel="0" collapsed="false">
      <c r="A1802" s="22" t="n">
        <v>1801</v>
      </c>
      <c r="B1802" s="22" t="s">
        <v>172</v>
      </c>
      <c r="C1802" s="37" t="n">
        <v>46255.1915972222</v>
      </c>
      <c r="D1802" s="22" t="s">
        <v>206</v>
      </c>
      <c r="E1802" s="22" t="n">
        <v>4</v>
      </c>
      <c r="F1802" s="22" t="s">
        <v>181</v>
      </c>
      <c r="G1802" s="22" t="s">
        <v>243</v>
      </c>
      <c r="H1802" s="22" t="n">
        <v>0.07</v>
      </c>
      <c r="I1802" s="38" t="n">
        <v>4540.8</v>
      </c>
      <c r="J1802" s="38" t="n">
        <v>4540.86</v>
      </c>
      <c r="K1802" s="39" t="n">
        <f aca="false">IF(F1802="BUY",J1802-I1802,I1802-J1802)</f>
        <v>0.0599999999994907</v>
      </c>
      <c r="L1802" s="38" t="n">
        <v>4534.8</v>
      </c>
      <c r="M1802" s="39" t="n">
        <f aca="false">ABS(I1802-L1802)</f>
        <v>6</v>
      </c>
      <c r="N1802" s="24" t="n">
        <f aca="false">M1802*H1802*Summary!$C$6</f>
        <v>42</v>
      </c>
      <c r="O1802" s="37" t="n">
        <v>46255.1916550926</v>
      </c>
      <c r="P1802" s="22" t="n">
        <f aca="false">ROUND((O1802-C1802)*86400,0)</f>
        <v>5</v>
      </c>
      <c r="Q1802" s="22" t="str">
        <f aca="false">IF(P1802&lt;10,"a) &lt;10s",IF(P1802&lt;60,"b) 10-60s",IF(P1802&lt;600,"c) 1-10min","d) &gt;10min")))</f>
        <v>a) &lt;10s</v>
      </c>
      <c r="R1802" s="38" t="n">
        <v>4541.36</v>
      </c>
      <c r="S1802" s="38" t="n">
        <v>4541.34</v>
      </c>
      <c r="T1802" s="22" t="s">
        <v>189</v>
      </c>
      <c r="U1802" s="39" t="n">
        <f aca="false">IF(R1802="","",IF(F1802="BUY",R1802-S1802,S1802-R1802))</f>
        <v>0.0199999999995271</v>
      </c>
      <c r="V1802" s="39" t="n">
        <f aca="false">IF(F1802="BUY",S1802-J1802,J1802-S1802)</f>
        <v>0.480000000000473</v>
      </c>
      <c r="W1802" s="6" t="n">
        <v>3.36</v>
      </c>
      <c r="X1802" s="26" t="n">
        <f aca="false">IFERROR(W1802/N1802,0)</f>
        <v>0.08</v>
      </c>
      <c r="Y1802" s="22" t="str">
        <f aca="false">IF(W1802&gt;0,"Win",IF(W1802&lt;0,"Loss","Flat"))</f>
        <v>Win</v>
      </c>
      <c r="Z1802" s="24" t="n">
        <f aca="false">Summary!$C$5+SUM(W$2:W1802)</f>
        <v>4463.98</v>
      </c>
      <c r="AA1802" s="24" t="n">
        <f aca="false">MAX(AA1801,Z1802)</f>
        <v>5106.86</v>
      </c>
      <c r="AB1802" s="24" t="n">
        <f aca="false">AA1802-Z1802</f>
        <v>642.88</v>
      </c>
      <c r="AC1802" s="23" t="n">
        <f aca="false">IFERROR(AB1802/AA1802,0)</f>
        <v>0.125885573522673</v>
      </c>
      <c r="AD1802" s="22" t="s">
        <v>2039</v>
      </c>
    </row>
    <row r="1803" customFormat="false" ht="15" hidden="false" customHeight="false" outlineLevel="0" collapsed="false">
      <c r="A1803" s="22" t="n">
        <v>1802</v>
      </c>
      <c r="B1803" s="22" t="s">
        <v>172</v>
      </c>
      <c r="C1803" s="37" t="n">
        <v>46255.3868055556</v>
      </c>
      <c r="D1803" s="22" t="s">
        <v>206</v>
      </c>
      <c r="E1803" s="22" t="n">
        <v>9</v>
      </c>
      <c r="F1803" s="22" t="s">
        <v>181</v>
      </c>
      <c r="G1803" s="22" t="s">
        <v>235</v>
      </c>
      <c r="H1803" s="22" t="n">
        <v>0.07</v>
      </c>
      <c r="I1803" s="38" t="n">
        <v>4556.04</v>
      </c>
      <c r="J1803" s="38" t="n">
        <v>4556.05</v>
      </c>
      <c r="K1803" s="39" t="n">
        <f aca="false">IF(F1803="BUY",J1803-I1803,I1803-J1803)</f>
        <v>0.0100000000002183</v>
      </c>
      <c r="L1803" s="38" t="n">
        <v>4550.04</v>
      </c>
      <c r="M1803" s="39" t="n">
        <f aca="false">ABS(I1803-L1803)</f>
        <v>6</v>
      </c>
      <c r="N1803" s="24" t="n">
        <f aca="false">M1803*H1803*Summary!$C$6</f>
        <v>42</v>
      </c>
      <c r="O1803" s="37" t="n">
        <v>46255.3915277778</v>
      </c>
      <c r="P1803" s="22" t="n">
        <f aca="false">ROUND((O1803-C1803)*86400,0)</f>
        <v>408</v>
      </c>
      <c r="Q1803" s="22" t="str">
        <f aca="false">IF(P1803&lt;10,"a) &lt;10s",IF(P1803&lt;60,"b) 10-60s",IF(P1803&lt;600,"c) 1-10min","d) &gt;10min")))</f>
        <v>c) 1-10min</v>
      </c>
      <c r="R1803" s="38" t="n">
        <v>4550.04</v>
      </c>
      <c r="S1803" s="38" t="n">
        <v>4549.98</v>
      </c>
      <c r="T1803" s="22" t="s">
        <v>188</v>
      </c>
      <c r="U1803" s="39" t="n">
        <f aca="false">IF(R1803="","",IF(F1803="BUY",R1803-S1803,S1803-R1803))</f>
        <v>0.0600000000004002</v>
      </c>
      <c r="V1803" s="39" t="n">
        <f aca="false">IF(F1803="BUY",S1803-J1803,J1803-S1803)</f>
        <v>-6.07000000000062</v>
      </c>
      <c r="W1803" s="6" t="n">
        <v>-42.49</v>
      </c>
      <c r="X1803" s="26" t="n">
        <f aca="false">IFERROR(W1803/N1803,0)</f>
        <v>-1.01166666666667</v>
      </c>
      <c r="Y1803" s="22" t="str">
        <f aca="false">IF(W1803&gt;0,"Win",IF(W1803&lt;0,"Loss","Flat"))</f>
        <v>Loss</v>
      </c>
      <c r="Z1803" s="24" t="n">
        <f aca="false">Summary!$C$5+SUM(W$2:W1803)</f>
        <v>4421.49</v>
      </c>
      <c r="AA1803" s="24" t="n">
        <f aca="false">MAX(AA1802,Z1803)</f>
        <v>5106.86</v>
      </c>
      <c r="AB1803" s="24" t="n">
        <f aca="false">AA1803-Z1803</f>
        <v>685.37</v>
      </c>
      <c r="AC1803" s="23" t="n">
        <f aca="false">IFERROR(AB1803/AA1803,0)</f>
        <v>0.134205754612423</v>
      </c>
      <c r="AD1803" s="22" t="s">
        <v>2040</v>
      </c>
    </row>
    <row r="1804" customFormat="false" ht="15" hidden="false" customHeight="false" outlineLevel="0" collapsed="false">
      <c r="A1804" s="22" t="n">
        <v>1803</v>
      </c>
      <c r="B1804" s="22" t="s">
        <v>172</v>
      </c>
      <c r="C1804" s="37" t="n">
        <v>46258.3770949074</v>
      </c>
      <c r="D1804" s="22" t="s">
        <v>202</v>
      </c>
      <c r="E1804" s="22" t="n">
        <v>9</v>
      </c>
      <c r="F1804" s="22" t="s">
        <v>181</v>
      </c>
      <c r="G1804" s="22" t="s">
        <v>235</v>
      </c>
      <c r="H1804" s="22" t="n">
        <v>0.07</v>
      </c>
      <c r="I1804" s="38" t="n">
        <v>4646.15</v>
      </c>
      <c r="J1804" s="38" t="n">
        <v>4646.41</v>
      </c>
      <c r="K1804" s="39" t="n">
        <f aca="false">IF(F1804="BUY",J1804-I1804,I1804-J1804)</f>
        <v>0.260000000000218</v>
      </c>
      <c r="L1804" s="38" t="n">
        <v>4640.15</v>
      </c>
      <c r="M1804" s="39" t="n">
        <f aca="false">ABS(I1804-L1804)</f>
        <v>6</v>
      </c>
      <c r="N1804" s="24" t="n">
        <f aca="false">M1804*H1804*Summary!$C$6</f>
        <v>42</v>
      </c>
      <c r="O1804" s="37" t="n">
        <v>46258.3804976852</v>
      </c>
      <c r="P1804" s="22" t="n">
        <f aca="false">ROUND((O1804-C1804)*86400,0)</f>
        <v>294</v>
      </c>
      <c r="Q1804" s="22" t="str">
        <f aca="false">IF(P1804&lt;10,"a) &lt;10s",IF(P1804&lt;60,"b) 10-60s",IF(P1804&lt;600,"c) 1-10min","d) &gt;10min")))</f>
        <v>c) 1-10min</v>
      </c>
      <c r="R1804" s="38" t="n">
        <v>4646.91</v>
      </c>
      <c r="S1804" s="38" t="n">
        <v>4646.91</v>
      </c>
      <c r="T1804" s="22" t="s">
        <v>189</v>
      </c>
      <c r="U1804" s="39" t="n">
        <f aca="false">IF(R1804="","",IF(F1804="BUY",R1804-S1804,S1804-R1804))</f>
        <v>0</v>
      </c>
      <c r="V1804" s="39" t="n">
        <f aca="false">IF(F1804="BUY",S1804-J1804,J1804-S1804)</f>
        <v>0.5</v>
      </c>
      <c r="W1804" s="6" t="n">
        <v>3.5</v>
      </c>
      <c r="X1804" s="26" t="n">
        <f aca="false">IFERROR(W1804/N1804,0)</f>
        <v>0.0833333333333333</v>
      </c>
      <c r="Y1804" s="22" t="str">
        <f aca="false">IF(W1804&gt;0,"Win",IF(W1804&lt;0,"Loss","Flat"))</f>
        <v>Win</v>
      </c>
      <c r="Z1804" s="24" t="n">
        <f aca="false">Summary!$C$5+SUM(W$2:W1804)</f>
        <v>4424.99</v>
      </c>
      <c r="AA1804" s="24" t="n">
        <f aca="false">MAX(AA1803,Z1804)</f>
        <v>5106.86</v>
      </c>
      <c r="AB1804" s="24" t="n">
        <f aca="false">AA1804-Z1804</f>
        <v>681.87</v>
      </c>
      <c r="AC1804" s="23" t="n">
        <f aca="false">IFERROR(AB1804/AA1804,0)</f>
        <v>0.133520401969116</v>
      </c>
      <c r="AD1804" s="22" t="s">
        <v>2041</v>
      </c>
    </row>
    <row r="1805" customFormat="false" ht="15" hidden="false" customHeight="false" outlineLevel="0" collapsed="false">
      <c r="A1805" s="22" t="n">
        <v>1804</v>
      </c>
      <c r="B1805" s="22" t="s">
        <v>172</v>
      </c>
      <c r="C1805" s="37" t="n">
        <v>46259.3795949074</v>
      </c>
      <c r="D1805" s="22" t="s">
        <v>203</v>
      </c>
      <c r="E1805" s="22" t="n">
        <v>9</v>
      </c>
      <c r="F1805" s="22" t="s">
        <v>181</v>
      </c>
      <c r="G1805" s="22" t="s">
        <v>235</v>
      </c>
      <c r="H1805" s="22" t="n">
        <v>0.07</v>
      </c>
      <c r="I1805" s="38" t="n">
        <v>4647.59</v>
      </c>
      <c r="J1805" s="38" t="n">
        <v>4647.63</v>
      </c>
      <c r="K1805" s="39" t="n">
        <f aca="false">IF(F1805="BUY",J1805-I1805,I1805-J1805)</f>
        <v>0.0399999999999636</v>
      </c>
      <c r="L1805" s="38" t="n">
        <v>4641.59</v>
      </c>
      <c r="M1805" s="39" t="n">
        <f aca="false">ABS(I1805-L1805)</f>
        <v>6</v>
      </c>
      <c r="N1805" s="24" t="n">
        <f aca="false">M1805*H1805*Summary!$C$6</f>
        <v>42</v>
      </c>
      <c r="O1805" s="37" t="n">
        <v>46259.3823842593</v>
      </c>
      <c r="P1805" s="22" t="n">
        <f aca="false">ROUND((O1805-C1805)*86400,0)</f>
        <v>241</v>
      </c>
      <c r="Q1805" s="22" t="str">
        <f aca="false">IF(P1805&lt;10,"a) &lt;10s",IF(P1805&lt;60,"b) 10-60s",IF(P1805&lt;600,"c) 1-10min","d) &gt;10min")))</f>
        <v>c) 1-10min</v>
      </c>
      <c r="R1805" s="38" t="n">
        <v>4648.13</v>
      </c>
      <c r="S1805" s="38" t="n">
        <v>4647.84</v>
      </c>
      <c r="T1805" s="22" t="s">
        <v>189</v>
      </c>
      <c r="U1805" s="39" t="n">
        <f aca="false">IF(R1805="","",IF(F1805="BUY",R1805-S1805,S1805-R1805))</f>
        <v>0.289999999999964</v>
      </c>
      <c r="V1805" s="39" t="n">
        <f aca="false">IF(F1805="BUY",S1805-J1805,J1805-S1805)</f>
        <v>0.210000000000036</v>
      </c>
      <c r="W1805" s="6" t="n">
        <v>1.47</v>
      </c>
      <c r="X1805" s="26" t="n">
        <f aca="false">IFERROR(W1805/N1805,0)</f>
        <v>0.035</v>
      </c>
      <c r="Y1805" s="22" t="str">
        <f aca="false">IF(W1805&gt;0,"Win",IF(W1805&lt;0,"Loss","Flat"))</f>
        <v>Win</v>
      </c>
      <c r="Z1805" s="24" t="n">
        <f aca="false">Summary!$C$5+SUM(W$2:W1805)</f>
        <v>4426.46</v>
      </c>
      <c r="AA1805" s="24" t="n">
        <f aca="false">MAX(AA1804,Z1805)</f>
        <v>5106.86</v>
      </c>
      <c r="AB1805" s="24" t="n">
        <f aca="false">AA1805-Z1805</f>
        <v>680.4</v>
      </c>
      <c r="AC1805" s="23" t="n">
        <f aca="false">IFERROR(AB1805/AA1805,0)</f>
        <v>0.133232553858927</v>
      </c>
      <c r="AD1805" s="22" t="s">
        <v>2042</v>
      </c>
    </row>
    <row r="1806" customFormat="false" ht="15" hidden="false" customHeight="false" outlineLevel="0" collapsed="false">
      <c r="A1806" s="22" t="n">
        <v>1805</v>
      </c>
      <c r="B1806" s="22" t="s">
        <v>172</v>
      </c>
      <c r="C1806" s="37" t="n">
        <v>46260.3856712963</v>
      </c>
      <c r="D1806" s="22" t="s">
        <v>204</v>
      </c>
      <c r="E1806" s="22" t="n">
        <v>9</v>
      </c>
      <c r="F1806" s="22" t="s">
        <v>182</v>
      </c>
      <c r="G1806" s="22" t="s">
        <v>241</v>
      </c>
      <c r="H1806" s="22" t="n">
        <v>0.07</v>
      </c>
      <c r="I1806" s="38" t="n">
        <v>4635.09</v>
      </c>
      <c r="J1806" s="38" t="n">
        <v>4635.08</v>
      </c>
      <c r="K1806" s="39" t="n">
        <f aca="false">IF(F1806="BUY",J1806-I1806,I1806-J1806)</f>
        <v>0.0100000000002183</v>
      </c>
      <c r="L1806" s="38" t="n">
        <v>4641.09</v>
      </c>
      <c r="M1806" s="39" t="n">
        <f aca="false">ABS(I1806-L1806)</f>
        <v>6</v>
      </c>
      <c r="N1806" s="24" t="n">
        <f aca="false">M1806*H1806*Summary!$C$6</f>
        <v>42</v>
      </c>
      <c r="O1806" s="37" t="n">
        <v>46260.3888773148</v>
      </c>
      <c r="P1806" s="22" t="n">
        <f aca="false">ROUND((O1806-C1806)*86400,0)</f>
        <v>277</v>
      </c>
      <c r="Q1806" s="22" t="str">
        <f aca="false">IF(P1806&lt;10,"a) &lt;10s",IF(P1806&lt;60,"b) 10-60s",IF(P1806&lt;600,"c) 1-10min","d) &gt;10min")))</f>
        <v>c) 1-10min</v>
      </c>
      <c r="R1806" s="38" t="n">
        <v>4634.58</v>
      </c>
      <c r="S1806" s="38" t="n">
        <v>4634.65</v>
      </c>
      <c r="T1806" s="22" t="s">
        <v>189</v>
      </c>
      <c r="U1806" s="39" t="n">
        <f aca="false">IF(R1806="","",IF(F1806="BUY",R1806-S1806,S1806-R1806))</f>
        <v>0.069999999999709</v>
      </c>
      <c r="V1806" s="39" t="n">
        <f aca="false">IF(F1806="BUY",S1806-J1806,J1806-S1806)</f>
        <v>0.430000000000291</v>
      </c>
      <c r="W1806" s="6" t="n">
        <v>3.01</v>
      </c>
      <c r="X1806" s="26" t="n">
        <f aca="false">IFERROR(W1806/N1806,0)</f>
        <v>0.0716666666666667</v>
      </c>
      <c r="Y1806" s="22" t="str">
        <f aca="false">IF(W1806&gt;0,"Win",IF(W1806&lt;0,"Loss","Flat"))</f>
        <v>Win</v>
      </c>
      <c r="Z1806" s="24" t="n">
        <f aca="false">Summary!$C$5+SUM(W$2:W1806)</f>
        <v>4429.47</v>
      </c>
      <c r="AA1806" s="24" t="n">
        <f aca="false">MAX(AA1805,Z1806)</f>
        <v>5106.86</v>
      </c>
      <c r="AB1806" s="24" t="n">
        <f aca="false">AA1806-Z1806</f>
        <v>677.389999999999</v>
      </c>
      <c r="AC1806" s="23" t="n">
        <f aca="false">IFERROR(AB1806/AA1806,0)</f>
        <v>0.132643150585683</v>
      </c>
      <c r="AD1806" s="22" t="s">
        <v>2043</v>
      </c>
    </row>
    <row r="1807" customFormat="false" ht="15" hidden="false" customHeight="false" outlineLevel="0" collapsed="false">
      <c r="A1807" s="22" t="n">
        <v>1806</v>
      </c>
      <c r="B1807" s="22" t="s">
        <v>172</v>
      </c>
      <c r="C1807" s="37" t="n">
        <v>46260.6777893519</v>
      </c>
      <c r="D1807" s="22" t="s">
        <v>204</v>
      </c>
      <c r="E1807" s="22" t="n">
        <v>16</v>
      </c>
      <c r="F1807" s="22" t="s">
        <v>182</v>
      </c>
      <c r="G1807" s="22" t="s">
        <v>237</v>
      </c>
      <c r="H1807" s="22" t="n">
        <v>0.07</v>
      </c>
      <c r="I1807" s="38" t="n">
        <v>4604.82</v>
      </c>
      <c r="J1807" s="38" t="n">
        <v>4603.57</v>
      </c>
      <c r="K1807" s="39" t="n">
        <f aca="false">IF(F1807="BUY",J1807-I1807,I1807-J1807)</f>
        <v>1.25</v>
      </c>
      <c r="L1807" s="38" t="n">
        <v>4610.82</v>
      </c>
      <c r="M1807" s="39" t="n">
        <f aca="false">ABS(I1807-L1807)</f>
        <v>6</v>
      </c>
      <c r="N1807" s="24" t="n">
        <f aca="false">M1807*H1807*Summary!$C$6</f>
        <v>42</v>
      </c>
      <c r="O1807" s="37" t="n">
        <v>46260.677962963</v>
      </c>
      <c r="P1807" s="22" t="n">
        <f aca="false">ROUND((O1807-C1807)*86400,0)</f>
        <v>15</v>
      </c>
      <c r="Q1807" s="22" t="str">
        <f aca="false">IF(P1807&lt;10,"a) &lt;10s",IF(P1807&lt;60,"b) 10-60s",IF(P1807&lt;600,"c) 1-10min","d) &gt;10min")))</f>
        <v>b) 10-60s</v>
      </c>
      <c r="R1807" s="38" t="n">
        <v>4603.07</v>
      </c>
      <c r="S1807" s="38" t="n">
        <v>4603.42</v>
      </c>
      <c r="T1807" s="22" t="s">
        <v>189</v>
      </c>
      <c r="U1807" s="39" t="n">
        <f aca="false">IF(R1807="","",IF(F1807="BUY",R1807-S1807,S1807-R1807))</f>
        <v>0.350000000000364</v>
      </c>
      <c r="V1807" s="39" t="n">
        <f aca="false">IF(F1807="BUY",S1807-J1807,J1807-S1807)</f>
        <v>0.149999999999636</v>
      </c>
      <c r="W1807" s="6" t="n">
        <v>1.05</v>
      </c>
      <c r="X1807" s="26" t="n">
        <f aca="false">IFERROR(W1807/N1807,0)</f>
        <v>0.025</v>
      </c>
      <c r="Y1807" s="22" t="str">
        <f aca="false">IF(W1807&gt;0,"Win",IF(W1807&lt;0,"Loss","Flat"))</f>
        <v>Win</v>
      </c>
      <c r="Z1807" s="24" t="n">
        <f aca="false">Summary!$C$5+SUM(W$2:W1807)</f>
        <v>4430.52</v>
      </c>
      <c r="AA1807" s="24" t="n">
        <f aca="false">MAX(AA1806,Z1807)</f>
        <v>5106.86</v>
      </c>
      <c r="AB1807" s="24" t="n">
        <f aca="false">AA1807-Z1807</f>
        <v>676.339999999999</v>
      </c>
      <c r="AC1807" s="23" t="n">
        <f aca="false">IFERROR(AB1807/AA1807,0)</f>
        <v>0.132437544792691</v>
      </c>
      <c r="AD1807" s="22" t="s">
        <v>2044</v>
      </c>
    </row>
    <row r="1808" customFormat="false" ht="15" hidden="false" customHeight="false" outlineLevel="0" collapsed="false">
      <c r="A1808" s="22" t="n">
        <v>1807</v>
      </c>
      <c r="B1808" s="22" t="s">
        <v>172</v>
      </c>
      <c r="C1808" s="37" t="n">
        <v>46261.3763773148</v>
      </c>
      <c r="D1808" s="22" t="s">
        <v>205</v>
      </c>
      <c r="E1808" s="22" t="n">
        <v>9</v>
      </c>
      <c r="F1808" s="22" t="s">
        <v>182</v>
      </c>
      <c r="G1808" s="22" t="s">
        <v>241</v>
      </c>
      <c r="H1808" s="22" t="n">
        <v>0.07</v>
      </c>
      <c r="I1808" s="38" t="n">
        <v>4600.68</v>
      </c>
      <c r="J1808" s="38" t="n">
        <v>4600.67</v>
      </c>
      <c r="K1808" s="39" t="n">
        <f aca="false">IF(F1808="BUY",J1808-I1808,I1808-J1808)</f>
        <v>0.0100000000002183</v>
      </c>
      <c r="L1808" s="38" t="n">
        <v>4606.68</v>
      </c>
      <c r="M1808" s="39" t="n">
        <f aca="false">ABS(I1808-L1808)</f>
        <v>6</v>
      </c>
      <c r="N1808" s="24" t="n">
        <f aca="false">M1808*H1808*Summary!$C$6</f>
        <v>42</v>
      </c>
      <c r="O1808" s="37" t="n">
        <v>46261.3850462963</v>
      </c>
      <c r="P1808" s="22" t="n">
        <f aca="false">ROUND((O1808-C1808)*86400,0)</f>
        <v>749</v>
      </c>
      <c r="Q1808" s="22" t="str">
        <f aca="false">IF(P1808&lt;10,"a) &lt;10s",IF(P1808&lt;60,"b) 10-60s",IF(P1808&lt;600,"c) 1-10min","d) &gt;10min")))</f>
        <v>d) &gt;10min</v>
      </c>
      <c r="R1808" s="38" t="n">
        <v>4606.68</v>
      </c>
      <c r="S1808" s="38" t="n">
        <v>4606.7</v>
      </c>
      <c r="T1808" s="22" t="s">
        <v>188</v>
      </c>
      <c r="U1808" s="39" t="n">
        <f aca="false">IF(R1808="","",IF(F1808="BUY",R1808-S1808,S1808-R1808))</f>
        <v>0.0199999999995271</v>
      </c>
      <c r="V1808" s="39" t="n">
        <f aca="false">IF(F1808="BUY",S1808-J1808,J1808-S1808)</f>
        <v>-6.02999999999975</v>
      </c>
      <c r="W1808" s="6" t="n">
        <v>-42.21</v>
      </c>
      <c r="X1808" s="26" t="n">
        <f aca="false">IFERROR(W1808/N1808,0)</f>
        <v>-1.005</v>
      </c>
      <c r="Y1808" s="22" t="str">
        <f aca="false">IF(W1808&gt;0,"Win",IF(W1808&lt;0,"Loss","Flat"))</f>
        <v>Loss</v>
      </c>
      <c r="Z1808" s="24" t="n">
        <f aca="false">Summary!$C$5+SUM(W$2:W1808)</f>
        <v>4388.31</v>
      </c>
      <c r="AA1808" s="24" t="n">
        <f aca="false">MAX(AA1807,Z1808)</f>
        <v>5106.86</v>
      </c>
      <c r="AB1808" s="24" t="n">
        <f aca="false">AA1808-Z1808</f>
        <v>718.55</v>
      </c>
      <c r="AC1808" s="23" t="n">
        <f aca="false">IFERROR(AB1808/AA1808,0)</f>
        <v>0.140702897670976</v>
      </c>
      <c r="AD1808" s="22" t="s">
        <v>2045</v>
      </c>
    </row>
    <row r="1809" customFormat="false" ht="15" hidden="false" customHeight="false" outlineLevel="0" collapsed="false">
      <c r="A1809" s="22" t="n">
        <v>1808</v>
      </c>
      <c r="B1809" s="22" t="s">
        <v>172</v>
      </c>
      <c r="C1809" s="37" t="n">
        <v>46261.525775463</v>
      </c>
      <c r="D1809" s="22" t="s">
        <v>205</v>
      </c>
      <c r="E1809" s="22" t="n">
        <v>12</v>
      </c>
      <c r="F1809" s="22" t="s">
        <v>182</v>
      </c>
      <c r="G1809" s="22" t="s">
        <v>237</v>
      </c>
      <c r="H1809" s="22" t="n">
        <v>0.07</v>
      </c>
      <c r="I1809" s="38" t="n">
        <v>4582.79</v>
      </c>
      <c r="J1809" s="38" t="n">
        <v>4582.65</v>
      </c>
      <c r="K1809" s="39" t="n">
        <f aca="false">IF(F1809="BUY",J1809-I1809,I1809-J1809)</f>
        <v>0.140000000000327</v>
      </c>
      <c r="L1809" s="38" t="n">
        <v>4588.79</v>
      </c>
      <c r="M1809" s="39" t="n">
        <f aca="false">ABS(I1809-L1809)</f>
        <v>6</v>
      </c>
      <c r="N1809" s="24" t="n">
        <f aca="false">M1809*H1809*Summary!$C$6</f>
        <v>42</v>
      </c>
      <c r="O1809" s="37" t="n">
        <v>46261.525787037</v>
      </c>
      <c r="P1809" s="22" t="n">
        <f aca="false">ROUND((O1809-C1809)*86400,0)</f>
        <v>1</v>
      </c>
      <c r="Q1809" s="22" t="str">
        <f aca="false">IF(P1809&lt;10,"a) &lt;10s",IF(P1809&lt;60,"b) 10-60s",IF(P1809&lt;600,"c) 1-10min","d) &gt;10min")))</f>
        <v>a) &lt;10s</v>
      </c>
      <c r="R1809" s="38" t="n">
        <v>4582.15</v>
      </c>
      <c r="S1809" s="38" t="n">
        <v>4582.34</v>
      </c>
      <c r="T1809" s="22" t="s">
        <v>189</v>
      </c>
      <c r="U1809" s="39" t="n">
        <f aca="false">IF(R1809="","",IF(F1809="BUY",R1809-S1809,S1809-R1809))</f>
        <v>0.190000000000509</v>
      </c>
      <c r="V1809" s="39" t="n">
        <f aca="false">IF(F1809="BUY",S1809-J1809,J1809-S1809)</f>
        <v>0.309999999999491</v>
      </c>
      <c r="W1809" s="6" t="n">
        <v>2.17</v>
      </c>
      <c r="X1809" s="26" t="n">
        <f aca="false">IFERROR(W1809/N1809,0)</f>
        <v>0.0516666666666667</v>
      </c>
      <c r="Y1809" s="22" t="str">
        <f aca="false">IF(W1809&gt;0,"Win",IF(W1809&lt;0,"Loss","Flat"))</f>
        <v>Win</v>
      </c>
      <c r="Z1809" s="24" t="n">
        <f aca="false">Summary!$C$5+SUM(W$2:W1809)</f>
        <v>4390.48</v>
      </c>
      <c r="AA1809" s="24" t="n">
        <f aca="false">MAX(AA1808,Z1809)</f>
        <v>5106.86</v>
      </c>
      <c r="AB1809" s="24" t="n">
        <f aca="false">AA1809-Z1809</f>
        <v>716.38</v>
      </c>
      <c r="AC1809" s="23" t="n">
        <f aca="false">IFERROR(AB1809/AA1809,0)</f>
        <v>0.140277979032125</v>
      </c>
      <c r="AD1809" s="22" t="s">
        <v>2046</v>
      </c>
    </row>
    <row r="1810" customFormat="false" ht="15" hidden="false" customHeight="false" outlineLevel="0" collapsed="false">
      <c r="A1810" s="22" t="n">
        <v>1809</v>
      </c>
      <c r="B1810" s="22" t="s">
        <v>172</v>
      </c>
      <c r="C1810" s="37" t="n">
        <v>46262.3971643519</v>
      </c>
      <c r="D1810" s="22" t="s">
        <v>206</v>
      </c>
      <c r="E1810" s="22" t="n">
        <v>9</v>
      </c>
      <c r="F1810" s="22" t="s">
        <v>181</v>
      </c>
      <c r="G1810" s="22" t="s">
        <v>235</v>
      </c>
      <c r="H1810" s="22" t="n">
        <v>0.07</v>
      </c>
      <c r="I1810" s="38" t="n">
        <v>4586.05</v>
      </c>
      <c r="J1810" s="38" t="n">
        <v>4586.06</v>
      </c>
      <c r="K1810" s="39" t="n">
        <f aca="false">IF(F1810="BUY",J1810-I1810,I1810-J1810)</f>
        <v>0.0100000000002183</v>
      </c>
      <c r="L1810" s="38" t="n">
        <v>4580.05</v>
      </c>
      <c r="M1810" s="39" t="n">
        <f aca="false">ABS(I1810-L1810)</f>
        <v>6</v>
      </c>
      <c r="N1810" s="24" t="n">
        <f aca="false">M1810*H1810*Summary!$C$6</f>
        <v>42</v>
      </c>
      <c r="O1810" s="37" t="n">
        <v>46262.7066550926</v>
      </c>
      <c r="P1810" s="22" t="n">
        <f aca="false">ROUND((O1810-C1810)*86400,0)</f>
        <v>26740</v>
      </c>
      <c r="Q1810" s="22" t="str">
        <f aca="false">IF(P1810&lt;10,"a) &lt;10s",IF(P1810&lt;60,"b) 10-60s",IF(P1810&lt;600,"c) 1-10min","d) &gt;10min")))</f>
        <v>d) &gt;10min</v>
      </c>
      <c r="R1810" s="38"/>
      <c r="S1810" s="38" t="n">
        <v>4616.15</v>
      </c>
      <c r="T1810" s="22" t="s">
        <v>187</v>
      </c>
      <c r="U1810" s="39" t="str">
        <f aca="false">IF(R1810="","",IF(F1810="BUY",R1810-S1810,S1810-R1810))</f>
        <v/>
      </c>
      <c r="V1810" s="39" t="n">
        <f aca="false">IF(F1810="BUY",S1810-J1810,J1810-S1810)</f>
        <v>30.0899999999992</v>
      </c>
      <c r="W1810" s="6" t="n">
        <v>210.63</v>
      </c>
      <c r="X1810" s="26" t="n">
        <f aca="false">IFERROR(W1810/N1810,0)</f>
        <v>5.015</v>
      </c>
      <c r="Y1810" s="22" t="str">
        <f aca="false">IF(W1810&gt;0,"Win",IF(W1810&lt;0,"Loss","Flat"))</f>
        <v>Win</v>
      </c>
      <c r="Z1810" s="24" t="n">
        <f aca="false">Summary!$C$5+SUM(W$2:W1810)</f>
        <v>4601.11</v>
      </c>
      <c r="AA1810" s="24" t="n">
        <f aca="false">MAX(AA1809,Z1810)</f>
        <v>5106.86</v>
      </c>
      <c r="AB1810" s="24" t="n">
        <f aca="false">AA1810-Z1810</f>
        <v>505.75</v>
      </c>
      <c r="AC1810" s="23" t="n">
        <f aca="false">IFERROR(AB1810/AA1810,0)</f>
        <v>0.0990334569578959</v>
      </c>
      <c r="AD1810" s="22" t="s">
        <v>2047</v>
      </c>
    </row>
    <row r="1811" customFormat="false" ht="15" hidden="false" customHeight="false" outlineLevel="0" collapsed="false">
      <c r="A1811" s="22" t="n">
        <v>1810</v>
      </c>
      <c r="B1811" s="22" t="s">
        <v>172</v>
      </c>
      <c r="C1811" s="37" t="n">
        <v>46262.7119791667</v>
      </c>
      <c r="D1811" s="22" t="s">
        <v>206</v>
      </c>
      <c r="E1811" s="22" t="n">
        <v>17</v>
      </c>
      <c r="F1811" s="22" t="s">
        <v>182</v>
      </c>
      <c r="G1811" s="22" t="s">
        <v>237</v>
      </c>
      <c r="H1811" s="22" t="n">
        <v>0.07</v>
      </c>
      <c r="I1811" s="38" t="n">
        <v>4564.23</v>
      </c>
      <c r="J1811" s="38" t="n">
        <v>4563.75</v>
      </c>
      <c r="K1811" s="39" t="n">
        <f aca="false">IF(F1811="BUY",J1811-I1811,I1811-J1811)</f>
        <v>0.479999999999563</v>
      </c>
      <c r="L1811" s="38" t="n">
        <v>4570.23</v>
      </c>
      <c r="M1811" s="39" t="n">
        <f aca="false">ABS(I1811-L1811)</f>
        <v>6</v>
      </c>
      <c r="N1811" s="24" t="n">
        <f aca="false">M1811*H1811*Summary!$C$6</f>
        <v>42</v>
      </c>
      <c r="O1811" s="37" t="n">
        <v>46262.7120138889</v>
      </c>
      <c r="P1811" s="22" t="n">
        <f aca="false">ROUND((O1811-C1811)*86400,0)</f>
        <v>3</v>
      </c>
      <c r="Q1811" s="22" t="str">
        <f aca="false">IF(P1811&lt;10,"a) &lt;10s",IF(P1811&lt;60,"b) 10-60s",IF(P1811&lt;600,"c) 1-10min","d) &gt;10min")))</f>
        <v>a) &lt;10s</v>
      </c>
      <c r="R1811" s="38" t="n">
        <v>4563.25</v>
      </c>
      <c r="S1811" s="38" t="n">
        <v>4563.41</v>
      </c>
      <c r="T1811" s="22" t="s">
        <v>189</v>
      </c>
      <c r="U1811" s="39" t="n">
        <f aca="false">IF(R1811="","",IF(F1811="BUY",R1811-S1811,S1811-R1811))</f>
        <v>0.159999999999854</v>
      </c>
      <c r="V1811" s="39" t="n">
        <f aca="false">IF(F1811="BUY",S1811-J1811,J1811-S1811)</f>
        <v>0.340000000000146</v>
      </c>
      <c r="W1811" s="6" t="n">
        <v>2.38</v>
      </c>
      <c r="X1811" s="26" t="n">
        <f aca="false">IFERROR(W1811/N1811,0)</f>
        <v>0.0566666666666667</v>
      </c>
      <c r="Y1811" s="22" t="str">
        <f aca="false">IF(W1811&gt;0,"Win",IF(W1811&lt;0,"Loss","Flat"))</f>
        <v>Win</v>
      </c>
      <c r="Z1811" s="24" t="n">
        <f aca="false">Summary!$C$5+SUM(W$2:W1811)</f>
        <v>4603.49</v>
      </c>
      <c r="AA1811" s="24" t="n">
        <f aca="false">MAX(AA1810,Z1811)</f>
        <v>5106.86</v>
      </c>
      <c r="AB1811" s="24" t="n">
        <f aca="false">AA1811-Z1811</f>
        <v>503.37</v>
      </c>
      <c r="AC1811" s="23" t="n">
        <f aca="false">IFERROR(AB1811/AA1811,0)</f>
        <v>0.0985674171604469</v>
      </c>
      <c r="AD1811" s="22" t="s">
        <v>2048</v>
      </c>
    </row>
    <row r="1812" customFormat="false" ht="15" hidden="false" customHeight="false" outlineLevel="0" collapsed="false">
      <c r="A1812" s="22" t="n">
        <v>1811</v>
      </c>
      <c r="B1812" s="22" t="s">
        <v>172</v>
      </c>
      <c r="C1812" s="37" t="n">
        <v>46265.4318981482</v>
      </c>
      <c r="D1812" s="22" t="s">
        <v>202</v>
      </c>
      <c r="E1812" s="22" t="n">
        <v>10</v>
      </c>
      <c r="F1812" s="22" t="s">
        <v>181</v>
      </c>
      <c r="G1812" s="22" t="s">
        <v>235</v>
      </c>
      <c r="H1812" s="22" t="n">
        <v>0.07</v>
      </c>
      <c r="I1812" s="38" t="n">
        <v>4443.53</v>
      </c>
      <c r="J1812" s="38" t="n">
        <v>4443.62</v>
      </c>
      <c r="K1812" s="39" t="n">
        <f aca="false">IF(F1812="BUY",J1812-I1812,I1812-J1812)</f>
        <v>0.0900000000001455</v>
      </c>
      <c r="L1812" s="38" t="n">
        <v>4437.53</v>
      </c>
      <c r="M1812" s="39" t="n">
        <f aca="false">ABS(I1812-L1812)</f>
        <v>6</v>
      </c>
      <c r="N1812" s="24" t="n">
        <f aca="false">M1812*H1812*Summary!$C$6</f>
        <v>42</v>
      </c>
      <c r="O1812" s="37" t="n">
        <v>46265.4371064815</v>
      </c>
      <c r="P1812" s="22" t="n">
        <f aca="false">ROUND((O1812-C1812)*86400,0)</f>
        <v>450</v>
      </c>
      <c r="Q1812" s="22" t="str">
        <f aca="false">IF(P1812&lt;10,"a) &lt;10s",IF(P1812&lt;60,"b) 10-60s",IF(P1812&lt;600,"c) 1-10min","d) &gt;10min")))</f>
        <v>c) 1-10min</v>
      </c>
      <c r="R1812" s="38" t="n">
        <v>4444.12</v>
      </c>
      <c r="S1812" s="38" t="n">
        <v>4443.96</v>
      </c>
      <c r="T1812" s="22" t="s">
        <v>189</v>
      </c>
      <c r="U1812" s="39" t="n">
        <f aca="false">IF(R1812="","",IF(F1812="BUY",R1812-S1812,S1812-R1812))</f>
        <v>0.159999999999854</v>
      </c>
      <c r="V1812" s="39" t="n">
        <f aca="false">IF(F1812="BUY",S1812-J1812,J1812-S1812)</f>
        <v>0.340000000000146</v>
      </c>
      <c r="W1812" s="6" t="n">
        <v>2.38</v>
      </c>
      <c r="X1812" s="26" t="n">
        <f aca="false">IFERROR(W1812/N1812,0)</f>
        <v>0.0566666666666667</v>
      </c>
      <c r="Y1812" s="22" t="str">
        <f aca="false">IF(W1812&gt;0,"Win",IF(W1812&lt;0,"Loss","Flat"))</f>
        <v>Win</v>
      </c>
      <c r="Z1812" s="24" t="n">
        <f aca="false">Summary!$C$5+SUM(W$2:W1812)</f>
        <v>4605.87</v>
      </c>
      <c r="AA1812" s="24" t="n">
        <f aca="false">MAX(AA1811,Z1812)</f>
        <v>5106.86</v>
      </c>
      <c r="AB1812" s="24" t="n">
        <f aca="false">AA1812-Z1812</f>
        <v>500.99</v>
      </c>
      <c r="AC1812" s="23" t="n">
        <f aca="false">IFERROR(AB1812/AA1812,0)</f>
        <v>0.098101377362998</v>
      </c>
      <c r="AD1812" s="22" t="s">
        <v>2049</v>
      </c>
    </row>
    <row r="1813" customFormat="false" ht="15" hidden="false" customHeight="false" outlineLevel="0" collapsed="false">
      <c r="A1813" s="22" t="n">
        <v>1812</v>
      </c>
      <c r="B1813" s="22" t="s">
        <v>173</v>
      </c>
      <c r="C1813" s="37" t="n">
        <v>46266.4378009259</v>
      </c>
      <c r="D1813" s="22" t="s">
        <v>203</v>
      </c>
      <c r="E1813" s="22" t="n">
        <v>10</v>
      </c>
      <c r="F1813" s="22" t="s">
        <v>182</v>
      </c>
      <c r="G1813" s="22" t="s">
        <v>241</v>
      </c>
      <c r="H1813" s="22" t="n">
        <v>0.07</v>
      </c>
      <c r="I1813" s="38" t="n">
        <v>4423.5</v>
      </c>
      <c r="J1813" s="38" t="n">
        <v>4422.53</v>
      </c>
      <c r="K1813" s="39" t="n">
        <f aca="false">IF(F1813="BUY",J1813-I1813,I1813-J1813)</f>
        <v>0.970000000000255</v>
      </c>
      <c r="L1813" s="38" t="n">
        <v>4429.5</v>
      </c>
      <c r="M1813" s="39" t="n">
        <f aca="false">ABS(I1813-L1813)</f>
        <v>6</v>
      </c>
      <c r="N1813" s="24" t="n">
        <f aca="false">M1813*H1813*Summary!$C$6</f>
        <v>42</v>
      </c>
      <c r="O1813" s="37" t="n">
        <v>46266.4381712963</v>
      </c>
      <c r="P1813" s="22" t="n">
        <f aca="false">ROUND((O1813-C1813)*86400,0)</f>
        <v>32</v>
      </c>
      <c r="Q1813" s="22" t="str">
        <f aca="false">IF(P1813&lt;10,"a) &lt;10s",IF(P1813&lt;60,"b) 10-60s",IF(P1813&lt;600,"c) 1-10min","d) &gt;10min")))</f>
        <v>b) 10-60s</v>
      </c>
      <c r="R1813" s="38" t="n">
        <v>4422.03</v>
      </c>
      <c r="S1813" s="38" t="n">
        <v>4422.73</v>
      </c>
      <c r="T1813" s="22" t="s">
        <v>189</v>
      </c>
      <c r="U1813" s="39" t="n">
        <f aca="false">IF(R1813="","",IF(F1813="BUY",R1813-S1813,S1813-R1813))</f>
        <v>0.699999999999818</v>
      </c>
      <c r="V1813" s="39" t="n">
        <f aca="false">IF(F1813="BUY",S1813-J1813,J1813-S1813)</f>
        <v>-0.199999999999818</v>
      </c>
      <c r="W1813" s="6" t="n">
        <v>-1.4</v>
      </c>
      <c r="X1813" s="26" t="n">
        <f aca="false">IFERROR(W1813/N1813,0)</f>
        <v>-0.0333333333333333</v>
      </c>
      <c r="Y1813" s="22" t="str">
        <f aca="false">IF(W1813&gt;0,"Win",IF(W1813&lt;0,"Loss","Flat"))</f>
        <v>Loss</v>
      </c>
      <c r="Z1813" s="24" t="n">
        <f aca="false">Summary!$C$5+SUM(W$2:W1813)</f>
        <v>4604.47</v>
      </c>
      <c r="AA1813" s="24" t="n">
        <f aca="false">MAX(AA1812,Z1813)</f>
        <v>5106.86</v>
      </c>
      <c r="AB1813" s="24" t="n">
        <f aca="false">AA1813-Z1813</f>
        <v>502.389999999999</v>
      </c>
      <c r="AC1813" s="23" t="n">
        <f aca="false">IFERROR(AB1813/AA1813,0)</f>
        <v>0.0983755184203208</v>
      </c>
      <c r="AD1813" s="22" t="s">
        <v>2050</v>
      </c>
    </row>
    <row r="1814" customFormat="false" ht="15" hidden="false" customHeight="false" outlineLevel="0" collapsed="false">
      <c r="A1814" s="22" t="n">
        <v>1813</v>
      </c>
      <c r="B1814" s="22" t="s">
        <v>173</v>
      </c>
      <c r="C1814" s="37" t="n">
        <v>46266.4651736111</v>
      </c>
      <c r="D1814" s="22" t="s">
        <v>203</v>
      </c>
      <c r="E1814" s="22" t="n">
        <v>11</v>
      </c>
      <c r="F1814" s="22" t="s">
        <v>182</v>
      </c>
      <c r="G1814" s="22" t="s">
        <v>237</v>
      </c>
      <c r="H1814" s="22" t="n">
        <v>0.07</v>
      </c>
      <c r="I1814" s="38" t="n">
        <v>4396.15</v>
      </c>
      <c r="J1814" s="38" t="n">
        <v>4396.06</v>
      </c>
      <c r="K1814" s="39" t="n">
        <f aca="false">IF(F1814="BUY",J1814-I1814,I1814-J1814)</f>
        <v>0.089999999999236</v>
      </c>
      <c r="L1814" s="38" t="n">
        <v>4402.15</v>
      </c>
      <c r="M1814" s="39" t="n">
        <f aca="false">ABS(I1814-L1814)</f>
        <v>6</v>
      </c>
      <c r="N1814" s="24" t="n">
        <f aca="false">M1814*H1814*Summary!$C$6</f>
        <v>42</v>
      </c>
      <c r="O1814" s="37" t="n">
        <v>46266.4668634259</v>
      </c>
      <c r="P1814" s="22" t="n">
        <f aca="false">ROUND((O1814-C1814)*86400,0)</f>
        <v>146</v>
      </c>
      <c r="Q1814" s="22" t="str">
        <f aca="false">IF(P1814&lt;10,"a) &lt;10s",IF(P1814&lt;60,"b) 10-60s",IF(P1814&lt;600,"c) 1-10min","d) &gt;10min")))</f>
        <v>c) 1-10min</v>
      </c>
      <c r="R1814" s="38" t="n">
        <v>4395.56</v>
      </c>
      <c r="S1814" s="38" t="n">
        <v>4395.67</v>
      </c>
      <c r="T1814" s="22" t="s">
        <v>189</v>
      </c>
      <c r="U1814" s="39" t="n">
        <f aca="false">IF(R1814="","",IF(F1814="BUY",R1814-S1814,S1814-R1814))</f>
        <v>0.109999999999673</v>
      </c>
      <c r="V1814" s="39" t="n">
        <f aca="false">IF(F1814="BUY",S1814-J1814,J1814-S1814)</f>
        <v>0.390000000000327</v>
      </c>
      <c r="W1814" s="6" t="n">
        <v>2.73</v>
      </c>
      <c r="X1814" s="26" t="n">
        <f aca="false">IFERROR(W1814/N1814,0)</f>
        <v>0.065</v>
      </c>
      <c r="Y1814" s="22" t="str">
        <f aca="false">IF(W1814&gt;0,"Win",IF(W1814&lt;0,"Loss","Flat"))</f>
        <v>Win</v>
      </c>
      <c r="Z1814" s="24" t="n">
        <f aca="false">Summary!$C$5+SUM(W$2:W1814)</f>
        <v>4607.2</v>
      </c>
      <c r="AA1814" s="24" t="n">
        <f aca="false">MAX(AA1813,Z1814)</f>
        <v>5106.86</v>
      </c>
      <c r="AB1814" s="24" t="n">
        <f aca="false">AA1814-Z1814</f>
        <v>499.66</v>
      </c>
      <c r="AC1814" s="23" t="n">
        <f aca="false">IFERROR(AB1814/AA1814,0)</f>
        <v>0.0978409433585412</v>
      </c>
      <c r="AD1814" s="22" t="s">
        <v>2051</v>
      </c>
    </row>
    <row r="1815" customFormat="false" ht="15" hidden="false" customHeight="false" outlineLevel="0" collapsed="false">
      <c r="A1815" s="22" t="n">
        <v>1814</v>
      </c>
      <c r="B1815" s="22" t="s">
        <v>173</v>
      </c>
      <c r="C1815" s="37" t="n">
        <v>46267.1258101852</v>
      </c>
      <c r="D1815" s="22" t="s">
        <v>204</v>
      </c>
      <c r="E1815" s="22" t="n">
        <v>3</v>
      </c>
      <c r="F1815" s="22" t="s">
        <v>182</v>
      </c>
      <c r="G1815" s="22" t="s">
        <v>237</v>
      </c>
      <c r="H1815" s="22" t="n">
        <v>0.07</v>
      </c>
      <c r="I1815" s="38" t="n">
        <v>4322.53</v>
      </c>
      <c r="J1815" s="38" t="n">
        <v>4322.34</v>
      </c>
      <c r="K1815" s="39" t="n">
        <f aca="false">IF(F1815="BUY",J1815-I1815,I1815-J1815)</f>
        <v>0.1899999999996</v>
      </c>
      <c r="L1815" s="38" t="n">
        <v>4328.53</v>
      </c>
      <c r="M1815" s="39" t="n">
        <f aca="false">ABS(I1815-L1815)</f>
        <v>6</v>
      </c>
      <c r="N1815" s="24" t="n">
        <f aca="false">M1815*H1815*Summary!$C$6</f>
        <v>42</v>
      </c>
      <c r="O1815" s="37" t="n">
        <v>46267.1270486111</v>
      </c>
      <c r="P1815" s="22" t="n">
        <f aca="false">ROUND((O1815-C1815)*86400,0)</f>
        <v>107</v>
      </c>
      <c r="Q1815" s="22" t="str">
        <f aca="false">IF(P1815&lt;10,"a) &lt;10s",IF(P1815&lt;60,"b) 10-60s",IF(P1815&lt;600,"c) 1-10min","d) &gt;10min")))</f>
        <v>c) 1-10min</v>
      </c>
      <c r="R1815" s="38" t="n">
        <v>4321.84</v>
      </c>
      <c r="S1815" s="38" t="n">
        <v>4321.96</v>
      </c>
      <c r="T1815" s="22" t="s">
        <v>189</v>
      </c>
      <c r="U1815" s="39" t="n">
        <f aca="false">IF(R1815="","",IF(F1815="BUY",R1815-S1815,S1815-R1815))</f>
        <v>0.119999999999891</v>
      </c>
      <c r="V1815" s="39" t="n">
        <f aca="false">IF(F1815="BUY",S1815-J1815,J1815-S1815)</f>
        <v>0.380000000000109</v>
      </c>
      <c r="W1815" s="6" t="n">
        <v>2.66</v>
      </c>
      <c r="X1815" s="26" t="n">
        <f aca="false">IFERROR(W1815/N1815,0)</f>
        <v>0.0633333333333333</v>
      </c>
      <c r="Y1815" s="22" t="str">
        <f aca="false">IF(W1815&gt;0,"Win",IF(W1815&lt;0,"Loss","Flat"))</f>
        <v>Win</v>
      </c>
      <c r="Z1815" s="24" t="n">
        <f aca="false">Summary!$C$5+SUM(W$2:W1815)</f>
        <v>4609.86</v>
      </c>
      <c r="AA1815" s="24" t="n">
        <f aca="false">MAX(AA1814,Z1815)</f>
        <v>5106.86</v>
      </c>
      <c r="AB1815" s="24" t="n">
        <f aca="false">AA1815-Z1815</f>
        <v>497</v>
      </c>
      <c r="AC1815" s="23" t="n">
        <f aca="false">IFERROR(AB1815/AA1815,0)</f>
        <v>0.0973200753496278</v>
      </c>
      <c r="AD1815" s="22" t="s">
        <v>2052</v>
      </c>
    </row>
    <row r="1816" customFormat="false" ht="15" hidden="false" customHeight="false" outlineLevel="0" collapsed="false">
      <c r="A1816" s="22" t="n">
        <v>1815</v>
      </c>
      <c r="B1816" s="22" t="s">
        <v>173</v>
      </c>
      <c r="C1816" s="37" t="n">
        <v>46267.3841319445</v>
      </c>
      <c r="D1816" s="22" t="s">
        <v>204</v>
      </c>
      <c r="E1816" s="22" t="n">
        <v>9</v>
      </c>
      <c r="F1816" s="22" t="s">
        <v>181</v>
      </c>
      <c r="G1816" s="22" t="s">
        <v>235</v>
      </c>
      <c r="H1816" s="22" t="n">
        <v>0.07</v>
      </c>
      <c r="I1816" s="38" t="n">
        <v>4326.49</v>
      </c>
      <c r="J1816" s="38" t="n">
        <v>4326.55</v>
      </c>
      <c r="K1816" s="39" t="n">
        <f aca="false">IF(F1816="BUY",J1816-I1816,I1816-J1816)</f>
        <v>0.0600000000004002</v>
      </c>
      <c r="L1816" s="38" t="n">
        <v>4320.49</v>
      </c>
      <c r="M1816" s="39" t="n">
        <f aca="false">ABS(I1816-L1816)</f>
        <v>6</v>
      </c>
      <c r="N1816" s="24" t="n">
        <f aca="false">M1816*H1816*Summary!$C$6</f>
        <v>42</v>
      </c>
      <c r="O1816" s="37" t="n">
        <v>46267.3845833333</v>
      </c>
      <c r="P1816" s="22" t="n">
        <f aca="false">ROUND((O1816-C1816)*86400,0)</f>
        <v>39</v>
      </c>
      <c r="Q1816" s="22" t="str">
        <f aca="false">IF(P1816&lt;10,"a) &lt;10s",IF(P1816&lt;60,"b) 10-60s",IF(P1816&lt;600,"c) 1-10min","d) &gt;10min")))</f>
        <v>b) 10-60s</v>
      </c>
      <c r="R1816" s="38" t="n">
        <v>4327.05</v>
      </c>
      <c r="S1816" s="38" t="n">
        <v>4327.05</v>
      </c>
      <c r="T1816" s="22" t="s">
        <v>189</v>
      </c>
      <c r="U1816" s="39" t="n">
        <f aca="false">IF(R1816="","",IF(F1816="BUY",R1816-S1816,S1816-R1816))</f>
        <v>0</v>
      </c>
      <c r="V1816" s="39" t="n">
        <f aca="false">IF(F1816="BUY",S1816-J1816,J1816-S1816)</f>
        <v>0.5</v>
      </c>
      <c r="W1816" s="6" t="n">
        <v>3.5</v>
      </c>
      <c r="X1816" s="26" t="n">
        <f aca="false">IFERROR(W1816/N1816,0)</f>
        <v>0.0833333333333333</v>
      </c>
      <c r="Y1816" s="22" t="str">
        <f aca="false">IF(W1816&gt;0,"Win",IF(W1816&lt;0,"Loss","Flat"))</f>
        <v>Win</v>
      </c>
      <c r="Z1816" s="24" t="n">
        <f aca="false">Summary!$C$5+SUM(W$2:W1816)</f>
        <v>4613.36</v>
      </c>
      <c r="AA1816" s="24" t="n">
        <f aca="false">MAX(AA1815,Z1816)</f>
        <v>5106.86</v>
      </c>
      <c r="AB1816" s="24" t="n">
        <f aca="false">AA1816-Z1816</f>
        <v>493.5</v>
      </c>
      <c r="AC1816" s="23" t="n">
        <f aca="false">IFERROR(AB1816/AA1816,0)</f>
        <v>0.0966347227063205</v>
      </c>
      <c r="AD1816" s="22" t="s">
        <v>2053</v>
      </c>
    </row>
    <row r="1817" customFormat="false" ht="15" hidden="false" customHeight="false" outlineLevel="0" collapsed="false">
      <c r="A1817" s="22" t="n">
        <v>1816</v>
      </c>
      <c r="B1817" s="22" t="s">
        <v>173</v>
      </c>
      <c r="C1817" s="37" t="n">
        <v>46268.1665972222</v>
      </c>
      <c r="D1817" s="22" t="s">
        <v>205</v>
      </c>
      <c r="E1817" s="22" t="n">
        <v>3</v>
      </c>
      <c r="F1817" s="22" t="s">
        <v>181</v>
      </c>
      <c r="G1817" s="22" t="s">
        <v>243</v>
      </c>
      <c r="H1817" s="22" t="n">
        <v>0.07</v>
      </c>
      <c r="I1817" s="38" t="n">
        <v>4397.48</v>
      </c>
      <c r="J1817" s="38" t="n">
        <v>4397.51</v>
      </c>
      <c r="K1817" s="39" t="n">
        <f aca="false">IF(F1817="BUY",J1817-I1817,I1817-J1817)</f>
        <v>0.0300000000006548</v>
      </c>
      <c r="L1817" s="38" t="n">
        <v>4391.48</v>
      </c>
      <c r="M1817" s="39" t="n">
        <f aca="false">ABS(I1817-L1817)</f>
        <v>6</v>
      </c>
      <c r="N1817" s="24" t="n">
        <f aca="false">M1817*H1817*Summary!$C$6</f>
        <v>42</v>
      </c>
      <c r="O1817" s="37" t="n">
        <v>46268.1667824074</v>
      </c>
      <c r="P1817" s="22" t="n">
        <f aca="false">ROUND((O1817-C1817)*86400,0)</f>
        <v>16</v>
      </c>
      <c r="Q1817" s="22" t="str">
        <f aca="false">IF(P1817&lt;10,"a) &lt;10s",IF(P1817&lt;60,"b) 10-60s",IF(P1817&lt;600,"c) 1-10min","d) &gt;10min")))</f>
        <v>b) 10-60s</v>
      </c>
      <c r="R1817" s="38" t="n">
        <v>4391.48</v>
      </c>
      <c r="S1817" s="38" t="n">
        <v>4391.45</v>
      </c>
      <c r="T1817" s="22" t="s">
        <v>188</v>
      </c>
      <c r="U1817" s="39" t="n">
        <f aca="false">IF(R1817="","",IF(F1817="BUY",R1817-S1817,S1817-R1817))</f>
        <v>0.0299999999997453</v>
      </c>
      <c r="V1817" s="39" t="n">
        <f aca="false">IF(F1817="BUY",S1817-J1817,J1817-S1817)</f>
        <v>-6.0600000000004</v>
      </c>
      <c r="W1817" s="6" t="n">
        <v>-42.42</v>
      </c>
      <c r="X1817" s="26" t="n">
        <f aca="false">IFERROR(W1817/N1817,0)</f>
        <v>-1.01</v>
      </c>
      <c r="Y1817" s="22" t="str">
        <f aca="false">IF(W1817&gt;0,"Win",IF(W1817&lt;0,"Loss","Flat"))</f>
        <v>Loss</v>
      </c>
      <c r="Z1817" s="24" t="n">
        <f aca="false">Summary!$C$5+SUM(W$2:W1817)</f>
        <v>4570.94</v>
      </c>
      <c r="AA1817" s="24" t="n">
        <f aca="false">MAX(AA1816,Z1817)</f>
        <v>5106.86</v>
      </c>
      <c r="AB1817" s="24" t="n">
        <f aca="false">AA1817-Z1817</f>
        <v>535.92</v>
      </c>
      <c r="AC1817" s="23" t="n">
        <f aca="false">IFERROR(AB1817/AA1817,0)</f>
        <v>0.104941196743204</v>
      </c>
      <c r="AD1817" s="22" t="s">
        <v>2054</v>
      </c>
    </row>
    <row r="1818" customFormat="false" ht="15" hidden="false" customHeight="false" outlineLevel="0" collapsed="false">
      <c r="A1818" s="22" t="n">
        <v>1817</v>
      </c>
      <c r="B1818" s="22" t="s">
        <v>173</v>
      </c>
      <c r="C1818" s="37" t="n">
        <v>46268.3911111111</v>
      </c>
      <c r="D1818" s="22" t="s">
        <v>205</v>
      </c>
      <c r="E1818" s="22" t="n">
        <v>9</v>
      </c>
      <c r="F1818" s="22" t="s">
        <v>182</v>
      </c>
      <c r="G1818" s="22" t="s">
        <v>241</v>
      </c>
      <c r="H1818" s="22" t="n">
        <v>0.07</v>
      </c>
      <c r="I1818" s="38" t="n">
        <v>4422.42</v>
      </c>
      <c r="J1818" s="38" t="n">
        <v>4422.36</v>
      </c>
      <c r="K1818" s="39" t="n">
        <f aca="false">IF(F1818="BUY",J1818-I1818,I1818-J1818)</f>
        <v>0.0600000000004002</v>
      </c>
      <c r="L1818" s="38" t="n">
        <v>4428.42</v>
      </c>
      <c r="M1818" s="39" t="n">
        <f aca="false">ABS(I1818-L1818)</f>
        <v>6</v>
      </c>
      <c r="N1818" s="24" t="n">
        <f aca="false">M1818*H1818*Summary!$C$6</f>
        <v>42</v>
      </c>
      <c r="O1818" s="37" t="n">
        <v>46268.393125</v>
      </c>
      <c r="P1818" s="22" t="n">
        <f aca="false">ROUND((O1818-C1818)*86400,0)</f>
        <v>174</v>
      </c>
      <c r="Q1818" s="22" t="str">
        <f aca="false">IF(P1818&lt;10,"a) &lt;10s",IF(P1818&lt;60,"b) 10-60s",IF(P1818&lt;600,"c) 1-10min","d) &gt;10min")))</f>
        <v>c) 1-10min</v>
      </c>
      <c r="R1818" s="38" t="n">
        <v>4421.86</v>
      </c>
      <c r="S1818" s="38" t="n">
        <v>4421.9</v>
      </c>
      <c r="T1818" s="22" t="s">
        <v>189</v>
      </c>
      <c r="U1818" s="39" t="n">
        <f aca="false">IF(R1818="","",IF(F1818="BUY",R1818-S1818,S1818-R1818))</f>
        <v>0.0399999999999636</v>
      </c>
      <c r="V1818" s="39" t="n">
        <f aca="false">IF(F1818="BUY",S1818-J1818,J1818-S1818)</f>
        <v>0.460000000000036</v>
      </c>
      <c r="W1818" s="6" t="n">
        <v>3.22</v>
      </c>
      <c r="X1818" s="26" t="n">
        <f aca="false">IFERROR(W1818/N1818,0)</f>
        <v>0.0766666666666667</v>
      </c>
      <c r="Y1818" s="22" t="str">
        <f aca="false">IF(W1818&gt;0,"Win",IF(W1818&lt;0,"Loss","Flat"))</f>
        <v>Win</v>
      </c>
      <c r="Z1818" s="24" t="n">
        <f aca="false">Summary!$C$5+SUM(W$2:W1818)</f>
        <v>4574.16</v>
      </c>
      <c r="AA1818" s="24" t="n">
        <f aca="false">MAX(AA1817,Z1818)</f>
        <v>5106.86</v>
      </c>
      <c r="AB1818" s="24" t="n">
        <f aca="false">AA1818-Z1818</f>
        <v>532.7</v>
      </c>
      <c r="AC1818" s="23" t="n">
        <f aca="false">IFERROR(AB1818/AA1818,0)</f>
        <v>0.104310672311362</v>
      </c>
      <c r="AD1818" s="22" t="s">
        <v>2055</v>
      </c>
    </row>
    <row r="1819" customFormat="false" ht="15" hidden="false" customHeight="false" outlineLevel="0" collapsed="false">
      <c r="A1819" s="22" t="n">
        <v>1818</v>
      </c>
      <c r="B1819" s="22" t="s">
        <v>173</v>
      </c>
      <c r="C1819" s="37" t="n">
        <v>46269.3991203704</v>
      </c>
      <c r="D1819" s="22" t="s">
        <v>206</v>
      </c>
      <c r="E1819" s="22" t="n">
        <v>9</v>
      </c>
      <c r="F1819" s="22" t="s">
        <v>182</v>
      </c>
      <c r="G1819" s="22" t="s">
        <v>241</v>
      </c>
      <c r="H1819" s="22" t="n">
        <v>0.07</v>
      </c>
      <c r="I1819" s="38" t="n">
        <v>4465.15</v>
      </c>
      <c r="J1819" s="38" t="n">
        <v>4465.11</v>
      </c>
      <c r="K1819" s="39" t="n">
        <f aca="false">IF(F1819="BUY",J1819-I1819,I1819-J1819)</f>
        <v>0.0399999999999636</v>
      </c>
      <c r="L1819" s="38" t="n">
        <v>4471.15</v>
      </c>
      <c r="M1819" s="39" t="n">
        <f aca="false">ABS(I1819-L1819)</f>
        <v>6</v>
      </c>
      <c r="N1819" s="24" t="n">
        <f aca="false">M1819*H1819*Summary!$C$6</f>
        <v>42</v>
      </c>
      <c r="O1819" s="37" t="n">
        <v>46269.4103240741</v>
      </c>
      <c r="P1819" s="22" t="n">
        <f aca="false">ROUND((O1819-C1819)*86400,0)</f>
        <v>968</v>
      </c>
      <c r="Q1819" s="22" t="str">
        <f aca="false">IF(P1819&lt;10,"a) &lt;10s",IF(P1819&lt;60,"b) 10-60s",IF(P1819&lt;600,"c) 1-10min","d) &gt;10min")))</f>
        <v>d) &gt;10min</v>
      </c>
      <c r="R1819" s="38" t="n">
        <v>4464.61</v>
      </c>
      <c r="S1819" s="38" t="n">
        <v>4464.7</v>
      </c>
      <c r="T1819" s="22" t="s">
        <v>189</v>
      </c>
      <c r="U1819" s="39" t="n">
        <f aca="false">IF(R1819="","",IF(F1819="BUY",R1819-S1819,S1819-R1819))</f>
        <v>0.0900000000001455</v>
      </c>
      <c r="V1819" s="39" t="n">
        <f aca="false">IF(F1819="BUY",S1819-J1819,J1819-S1819)</f>
        <v>0.409999999999855</v>
      </c>
      <c r="W1819" s="6" t="n">
        <v>2.87</v>
      </c>
      <c r="X1819" s="26" t="n">
        <f aca="false">IFERROR(W1819/N1819,0)</f>
        <v>0.0683333333333333</v>
      </c>
      <c r="Y1819" s="22" t="str">
        <f aca="false">IF(W1819&gt;0,"Win",IF(W1819&lt;0,"Loss","Flat"))</f>
        <v>Win</v>
      </c>
      <c r="Z1819" s="24" t="n">
        <f aca="false">Summary!$C$5+SUM(W$2:W1819)</f>
        <v>4577.03</v>
      </c>
      <c r="AA1819" s="24" t="n">
        <f aca="false">MAX(AA1818,Z1819)</f>
        <v>5106.86</v>
      </c>
      <c r="AB1819" s="24" t="n">
        <f aca="false">AA1819-Z1819</f>
        <v>529.83</v>
      </c>
      <c r="AC1819" s="23" t="n">
        <f aca="false">IFERROR(AB1819/AA1819,0)</f>
        <v>0.10374868314385</v>
      </c>
      <c r="AD1819" s="22" t="s">
        <v>2056</v>
      </c>
    </row>
    <row r="1820" customFormat="false" ht="15" hidden="false" customHeight="false" outlineLevel="0" collapsed="false">
      <c r="A1820" s="22" t="n">
        <v>1819</v>
      </c>
      <c r="B1820" s="22" t="s">
        <v>173</v>
      </c>
      <c r="C1820" s="37" t="n">
        <v>46269.6477314815</v>
      </c>
      <c r="D1820" s="22" t="s">
        <v>206</v>
      </c>
      <c r="E1820" s="22" t="n">
        <v>15</v>
      </c>
      <c r="F1820" s="22" t="s">
        <v>182</v>
      </c>
      <c r="G1820" s="22" t="s">
        <v>237</v>
      </c>
      <c r="H1820" s="22" t="n">
        <v>0.07</v>
      </c>
      <c r="I1820" s="38" t="n">
        <v>4380.75</v>
      </c>
      <c r="J1820" s="38" t="n">
        <v>4374.15</v>
      </c>
      <c r="K1820" s="39" t="n">
        <f aca="false">IF(F1820="BUY",J1820-I1820,I1820-J1820)</f>
        <v>6.60000000000036</v>
      </c>
      <c r="L1820" s="38" t="n">
        <v>4386.75</v>
      </c>
      <c r="M1820" s="39" t="n">
        <f aca="false">ABS(I1820-L1820)</f>
        <v>6</v>
      </c>
      <c r="N1820" s="24" t="n">
        <f aca="false">M1820*H1820*Summary!$C$6</f>
        <v>42</v>
      </c>
      <c r="O1820" s="37" t="n">
        <v>46269.6477314815</v>
      </c>
      <c r="P1820" s="22" t="n">
        <f aca="false">ROUND((O1820-C1820)*86400,0)</f>
        <v>0</v>
      </c>
      <c r="Q1820" s="22" t="str">
        <f aca="false">IF(P1820&lt;10,"a) &lt;10s",IF(P1820&lt;60,"b) 10-60s",IF(P1820&lt;600,"c) 1-10min","d) &gt;10min")))</f>
        <v>a) &lt;10s</v>
      </c>
      <c r="R1820" s="38" t="n">
        <v>4386.75</v>
      </c>
      <c r="S1820" s="38" t="n">
        <v>4388.33</v>
      </c>
      <c r="T1820" s="22" t="s">
        <v>188</v>
      </c>
      <c r="U1820" s="39" t="n">
        <f aca="false">IF(R1820="","",IF(F1820="BUY",R1820-S1820,S1820-R1820))</f>
        <v>1.57999999999993</v>
      </c>
      <c r="V1820" s="39" t="n">
        <f aca="false">IF(F1820="BUY",S1820-J1820,J1820-S1820)</f>
        <v>-14.1800000000003</v>
      </c>
      <c r="W1820" s="6" t="n">
        <v>-99.26</v>
      </c>
      <c r="X1820" s="26" t="n">
        <f aca="false">IFERROR(W1820/N1820,0)</f>
        <v>-2.36333333333333</v>
      </c>
      <c r="Y1820" s="22" t="str">
        <f aca="false">IF(W1820&gt;0,"Win",IF(W1820&lt;0,"Loss","Flat"))</f>
        <v>Loss</v>
      </c>
      <c r="Z1820" s="24" t="n">
        <f aca="false">Summary!$C$5+SUM(W$2:W1820)</f>
        <v>4477.77</v>
      </c>
      <c r="AA1820" s="24" t="n">
        <f aca="false">MAX(AA1819,Z1820)</f>
        <v>5106.86</v>
      </c>
      <c r="AB1820" s="24" t="n">
        <f aca="false">AA1820-Z1820</f>
        <v>629.089999999999</v>
      </c>
      <c r="AC1820" s="23" t="n">
        <f aca="false">IFERROR(AB1820/AA1820,0)</f>
        <v>0.123185284108043</v>
      </c>
      <c r="AD1820" s="22" t="s">
        <v>2057</v>
      </c>
    </row>
    <row r="1821" customFormat="false" ht="15" hidden="false" customHeight="false" outlineLevel="0" collapsed="false">
      <c r="A1821" s="22" t="n">
        <v>1820</v>
      </c>
      <c r="B1821" s="22" t="s">
        <v>173</v>
      </c>
      <c r="C1821" s="37" t="n">
        <v>46272.3751851852</v>
      </c>
      <c r="D1821" s="22" t="s">
        <v>202</v>
      </c>
      <c r="E1821" s="22" t="n">
        <v>9</v>
      </c>
      <c r="F1821" s="22" t="s">
        <v>182</v>
      </c>
      <c r="G1821" s="22" t="s">
        <v>241</v>
      </c>
      <c r="H1821" s="22" t="n">
        <v>0.07</v>
      </c>
      <c r="I1821" s="38" t="n">
        <v>4392.93</v>
      </c>
      <c r="J1821" s="38" t="n">
        <v>4392.89</v>
      </c>
      <c r="K1821" s="39" t="n">
        <f aca="false">IF(F1821="BUY",J1821-I1821,I1821-J1821)</f>
        <v>0.0399999999999636</v>
      </c>
      <c r="L1821" s="38" t="n">
        <v>4398.93</v>
      </c>
      <c r="M1821" s="39" t="n">
        <f aca="false">ABS(I1821-L1821)</f>
        <v>6</v>
      </c>
      <c r="N1821" s="24" t="n">
        <f aca="false">M1821*H1821*Summary!$C$6</f>
        <v>42</v>
      </c>
      <c r="O1821" s="37" t="n">
        <v>46272.3759953704</v>
      </c>
      <c r="P1821" s="22" t="n">
        <f aca="false">ROUND((O1821-C1821)*86400,0)</f>
        <v>70</v>
      </c>
      <c r="Q1821" s="22" t="str">
        <f aca="false">IF(P1821&lt;10,"a) &lt;10s",IF(P1821&lt;60,"b) 10-60s",IF(P1821&lt;600,"c) 1-10min","d) &gt;10min")))</f>
        <v>c) 1-10min</v>
      </c>
      <c r="R1821" s="38" t="n">
        <v>4392.39</v>
      </c>
      <c r="S1821" s="38" t="n">
        <v>4392.49</v>
      </c>
      <c r="T1821" s="22" t="s">
        <v>189</v>
      </c>
      <c r="U1821" s="39" t="n">
        <f aca="false">IF(R1821="","",IF(F1821="BUY",R1821-S1821,S1821-R1821))</f>
        <v>0.0999999999994543</v>
      </c>
      <c r="V1821" s="39" t="n">
        <f aca="false">IF(F1821="BUY",S1821-J1821,J1821-S1821)</f>
        <v>0.400000000000546</v>
      </c>
      <c r="W1821" s="6" t="n">
        <v>2.8</v>
      </c>
      <c r="X1821" s="26" t="n">
        <f aca="false">IFERROR(W1821/N1821,0)</f>
        <v>0.0666666666666667</v>
      </c>
      <c r="Y1821" s="22" t="str">
        <f aca="false">IF(W1821&gt;0,"Win",IF(W1821&lt;0,"Loss","Flat"))</f>
        <v>Win</v>
      </c>
      <c r="Z1821" s="24" t="n">
        <f aca="false">Summary!$C$5+SUM(W$2:W1821)</f>
        <v>4480.57</v>
      </c>
      <c r="AA1821" s="24" t="n">
        <f aca="false">MAX(AA1820,Z1821)</f>
        <v>5106.86</v>
      </c>
      <c r="AB1821" s="24" t="n">
        <f aca="false">AA1821-Z1821</f>
        <v>626.29</v>
      </c>
      <c r="AC1821" s="23" t="n">
        <f aca="false">IFERROR(AB1821/AA1821,0)</f>
        <v>0.122637001993397</v>
      </c>
      <c r="AD1821" s="22" t="s">
        <v>2058</v>
      </c>
    </row>
    <row r="1822" customFormat="false" ht="15" hidden="false" customHeight="false" outlineLevel="0" collapsed="false">
      <c r="A1822" s="22" t="n">
        <v>1821</v>
      </c>
      <c r="B1822" s="22" t="s">
        <v>173</v>
      </c>
      <c r="C1822" s="37" t="n">
        <v>46273.3759722222</v>
      </c>
      <c r="D1822" s="22" t="s">
        <v>203</v>
      </c>
      <c r="E1822" s="22" t="n">
        <v>9</v>
      </c>
      <c r="F1822" s="22" t="s">
        <v>182</v>
      </c>
      <c r="G1822" s="22" t="s">
        <v>241</v>
      </c>
      <c r="H1822" s="22" t="n">
        <v>0.07</v>
      </c>
      <c r="I1822" s="38" t="n">
        <v>4417.03</v>
      </c>
      <c r="J1822" s="38" t="n">
        <v>4416.65</v>
      </c>
      <c r="K1822" s="39" t="n">
        <f aca="false">IF(F1822="BUY",J1822-I1822,I1822-J1822)</f>
        <v>0.380000000000109</v>
      </c>
      <c r="L1822" s="38" t="n">
        <v>4423.03</v>
      </c>
      <c r="M1822" s="39" t="n">
        <f aca="false">ABS(I1822-L1822)</f>
        <v>6</v>
      </c>
      <c r="N1822" s="24" t="n">
        <f aca="false">M1822*H1822*Summary!$C$6</f>
        <v>42</v>
      </c>
      <c r="O1822" s="37" t="n">
        <v>46273.6356712963</v>
      </c>
      <c r="P1822" s="22" t="n">
        <f aca="false">ROUND((O1822-C1822)*86400,0)</f>
        <v>22438</v>
      </c>
      <c r="Q1822" s="22" t="str">
        <f aca="false">IF(P1822&lt;10,"a) &lt;10s",IF(P1822&lt;60,"b) 10-60s",IF(P1822&lt;600,"c) 1-10min","d) &gt;10min")))</f>
        <v>d) &gt;10min</v>
      </c>
      <c r="R1822" s="38"/>
      <c r="S1822" s="38" t="n">
        <v>4387.01</v>
      </c>
      <c r="T1822" s="22" t="s">
        <v>187</v>
      </c>
      <c r="U1822" s="39" t="str">
        <f aca="false">IF(R1822="","",IF(F1822="BUY",R1822-S1822,S1822-R1822))</f>
        <v/>
      </c>
      <c r="V1822" s="39" t="n">
        <f aca="false">IF(F1822="BUY",S1822-J1822,J1822-S1822)</f>
        <v>29.6399999999994</v>
      </c>
      <c r="W1822" s="6" t="n">
        <v>207.48</v>
      </c>
      <c r="X1822" s="26" t="n">
        <f aca="false">IFERROR(W1822/N1822,0)</f>
        <v>4.94</v>
      </c>
      <c r="Y1822" s="22" t="str">
        <f aca="false">IF(W1822&gt;0,"Win",IF(W1822&lt;0,"Loss","Flat"))</f>
        <v>Win</v>
      </c>
      <c r="Z1822" s="24" t="n">
        <f aca="false">Summary!$C$5+SUM(W$2:W1822)</f>
        <v>4688.05</v>
      </c>
      <c r="AA1822" s="24" t="n">
        <f aca="false">MAX(AA1821,Z1822)</f>
        <v>5106.86</v>
      </c>
      <c r="AB1822" s="24" t="n">
        <f aca="false">AA1822-Z1822</f>
        <v>418.81</v>
      </c>
      <c r="AC1822" s="23" t="n">
        <f aca="false">IFERROR(AB1822/AA1822,0)</f>
        <v>0.082009297298144</v>
      </c>
      <c r="AD1822" s="22" t="s">
        <v>2059</v>
      </c>
    </row>
    <row r="1823" customFormat="false" ht="15" hidden="false" customHeight="false" outlineLevel="0" collapsed="false">
      <c r="A1823" s="22" t="n">
        <v>1822</v>
      </c>
      <c r="B1823" s="22" t="s">
        <v>173</v>
      </c>
      <c r="C1823" s="37" t="n">
        <v>46273.798599537</v>
      </c>
      <c r="D1823" s="22" t="s">
        <v>203</v>
      </c>
      <c r="E1823" s="22" t="n">
        <v>19</v>
      </c>
      <c r="F1823" s="22" t="s">
        <v>182</v>
      </c>
      <c r="G1823" s="22" t="s">
        <v>237</v>
      </c>
      <c r="H1823" s="22" t="n">
        <v>0.07</v>
      </c>
      <c r="I1823" s="38" t="n">
        <v>4380.94</v>
      </c>
      <c r="J1823" s="38" t="n">
        <v>4380.16</v>
      </c>
      <c r="K1823" s="39" t="n">
        <f aca="false">IF(F1823="BUY",J1823-I1823,I1823-J1823)</f>
        <v>0.779999999999745</v>
      </c>
      <c r="L1823" s="38" t="n">
        <v>4386.94</v>
      </c>
      <c r="M1823" s="39" t="n">
        <f aca="false">ABS(I1823-L1823)</f>
        <v>6</v>
      </c>
      <c r="N1823" s="24" t="n">
        <f aca="false">M1823*H1823*Summary!$C$6</f>
        <v>42</v>
      </c>
      <c r="O1823" s="37" t="n">
        <v>46273.8023148148</v>
      </c>
      <c r="P1823" s="22" t="n">
        <f aca="false">ROUND((O1823-C1823)*86400,0)</f>
        <v>321</v>
      </c>
      <c r="Q1823" s="22" t="str">
        <f aca="false">IF(P1823&lt;10,"a) &lt;10s",IF(P1823&lt;60,"b) 10-60s",IF(P1823&lt;600,"c) 1-10min","d) &gt;10min")))</f>
        <v>c) 1-10min</v>
      </c>
      <c r="R1823" s="38" t="n">
        <v>4386.94</v>
      </c>
      <c r="S1823" s="38" t="n">
        <v>4387.01</v>
      </c>
      <c r="T1823" s="22" t="s">
        <v>188</v>
      </c>
      <c r="U1823" s="39" t="n">
        <f aca="false">IF(R1823="","",IF(F1823="BUY",R1823-S1823,S1823-R1823))</f>
        <v>0.0700000000006185</v>
      </c>
      <c r="V1823" s="39" t="n">
        <f aca="false">IF(F1823="BUY",S1823-J1823,J1823-S1823)</f>
        <v>-6.85000000000036</v>
      </c>
      <c r="W1823" s="6" t="n">
        <v>-47.95</v>
      </c>
      <c r="X1823" s="26" t="n">
        <f aca="false">IFERROR(W1823/N1823,0)</f>
        <v>-1.14166666666667</v>
      </c>
      <c r="Y1823" s="22" t="str">
        <f aca="false">IF(W1823&gt;0,"Win",IF(W1823&lt;0,"Loss","Flat"))</f>
        <v>Loss</v>
      </c>
      <c r="Z1823" s="24" t="n">
        <f aca="false">Summary!$C$5+SUM(W$2:W1823)</f>
        <v>4640.1</v>
      </c>
      <c r="AA1823" s="24" t="n">
        <f aca="false">MAX(AA1822,Z1823)</f>
        <v>5106.86</v>
      </c>
      <c r="AB1823" s="24" t="n">
        <f aca="false">AA1823-Z1823</f>
        <v>466.759999999999</v>
      </c>
      <c r="AC1823" s="23" t="n">
        <f aca="false">IFERROR(AB1823/AA1823,0)</f>
        <v>0.0913986285114531</v>
      </c>
      <c r="AD1823" s="22" t="s">
        <v>2060</v>
      </c>
    </row>
    <row r="1824" customFormat="false" ht="15" hidden="false" customHeight="false" outlineLevel="0" collapsed="false">
      <c r="A1824" s="22" t="n">
        <v>1823</v>
      </c>
      <c r="B1824" s="22" t="s">
        <v>173</v>
      </c>
      <c r="C1824" s="37" t="n">
        <v>46274.3776041667</v>
      </c>
      <c r="D1824" s="22" t="s">
        <v>204</v>
      </c>
      <c r="E1824" s="22" t="n">
        <v>9</v>
      </c>
      <c r="F1824" s="22" t="s">
        <v>181</v>
      </c>
      <c r="G1824" s="22" t="s">
        <v>235</v>
      </c>
      <c r="H1824" s="22" t="n">
        <v>0.07</v>
      </c>
      <c r="I1824" s="38" t="n">
        <v>4400.77</v>
      </c>
      <c r="J1824" s="38" t="n">
        <v>4401.08</v>
      </c>
      <c r="K1824" s="39" t="n">
        <f aca="false">IF(F1824="BUY",J1824-I1824,I1824-J1824)</f>
        <v>0.309999999999491</v>
      </c>
      <c r="L1824" s="38" t="n">
        <v>4394.77</v>
      </c>
      <c r="M1824" s="39" t="n">
        <f aca="false">ABS(I1824-L1824)</f>
        <v>6</v>
      </c>
      <c r="N1824" s="24" t="n">
        <f aca="false">M1824*H1824*Summary!$C$6</f>
        <v>42</v>
      </c>
      <c r="O1824" s="37" t="n">
        <v>46274.3800231482</v>
      </c>
      <c r="P1824" s="22" t="n">
        <f aca="false">ROUND((O1824-C1824)*86400,0)</f>
        <v>209</v>
      </c>
      <c r="Q1824" s="22" t="str">
        <f aca="false">IF(P1824&lt;10,"a) &lt;10s",IF(P1824&lt;60,"b) 10-60s",IF(P1824&lt;600,"c) 1-10min","d) &gt;10min")))</f>
        <v>c) 1-10min</v>
      </c>
      <c r="R1824" s="38" t="n">
        <v>4401.58</v>
      </c>
      <c r="S1824" s="38" t="n">
        <v>4401.56</v>
      </c>
      <c r="T1824" s="22" t="s">
        <v>189</v>
      </c>
      <c r="U1824" s="39" t="n">
        <f aca="false">IF(R1824="","",IF(F1824="BUY",R1824-S1824,S1824-R1824))</f>
        <v>0.0199999999995271</v>
      </c>
      <c r="V1824" s="39" t="n">
        <f aca="false">IF(F1824="BUY",S1824-J1824,J1824-S1824)</f>
        <v>0.480000000000473</v>
      </c>
      <c r="W1824" s="6" t="n">
        <v>3.36</v>
      </c>
      <c r="X1824" s="26" t="n">
        <f aca="false">IFERROR(W1824/N1824,0)</f>
        <v>0.08</v>
      </c>
      <c r="Y1824" s="22" t="str">
        <f aca="false">IF(W1824&gt;0,"Win",IF(W1824&lt;0,"Loss","Flat"))</f>
        <v>Win</v>
      </c>
      <c r="Z1824" s="24" t="n">
        <f aca="false">Summary!$C$5+SUM(W$2:W1824)</f>
        <v>4643.46</v>
      </c>
      <c r="AA1824" s="24" t="n">
        <f aca="false">MAX(AA1823,Z1824)</f>
        <v>5106.86</v>
      </c>
      <c r="AB1824" s="24" t="n">
        <f aca="false">AA1824-Z1824</f>
        <v>463.4</v>
      </c>
      <c r="AC1824" s="23" t="n">
        <f aca="false">IFERROR(AB1824/AA1824,0)</f>
        <v>0.0907406899738782</v>
      </c>
      <c r="AD1824" s="22" t="s">
        <v>2061</v>
      </c>
    </row>
    <row r="1825" customFormat="false" ht="15" hidden="false" customHeight="false" outlineLevel="0" collapsed="false">
      <c r="A1825" s="22" t="n">
        <v>1824</v>
      </c>
      <c r="B1825" s="22" t="s">
        <v>173</v>
      </c>
      <c r="C1825" s="37" t="n">
        <v>46275.3750231482</v>
      </c>
      <c r="D1825" s="22" t="s">
        <v>205</v>
      </c>
      <c r="E1825" s="22" t="n">
        <v>9</v>
      </c>
      <c r="F1825" s="22" t="s">
        <v>181</v>
      </c>
      <c r="G1825" s="22" t="s">
        <v>243</v>
      </c>
      <c r="H1825" s="22" t="n">
        <v>0.07</v>
      </c>
      <c r="I1825" s="38" t="n">
        <v>4433.79</v>
      </c>
      <c r="J1825" s="38" t="n">
        <v>4436.09</v>
      </c>
      <c r="K1825" s="39" t="n">
        <f aca="false">IF(F1825="BUY",J1825-I1825,I1825-J1825)</f>
        <v>2.30000000000018</v>
      </c>
      <c r="L1825" s="38" t="n">
        <v>4427.79</v>
      </c>
      <c r="M1825" s="39" t="n">
        <f aca="false">ABS(I1825-L1825)</f>
        <v>6</v>
      </c>
      <c r="N1825" s="24" t="n">
        <f aca="false">M1825*H1825*Summary!$C$6</f>
        <v>42</v>
      </c>
      <c r="O1825" s="37" t="n">
        <v>46275.3766898148</v>
      </c>
      <c r="P1825" s="22" t="n">
        <f aca="false">ROUND((O1825-C1825)*86400,0)</f>
        <v>144</v>
      </c>
      <c r="Q1825" s="22" t="str">
        <f aca="false">IF(P1825&lt;10,"a) &lt;10s",IF(P1825&lt;60,"b) 10-60s",IF(P1825&lt;600,"c) 1-10min","d) &gt;10min")))</f>
        <v>c) 1-10min</v>
      </c>
      <c r="R1825" s="38" t="n">
        <v>4427.79</v>
      </c>
      <c r="S1825" s="38" t="n">
        <v>4427.79</v>
      </c>
      <c r="T1825" s="22" t="s">
        <v>188</v>
      </c>
      <c r="U1825" s="39" t="n">
        <f aca="false">IF(R1825="","",IF(F1825="BUY",R1825-S1825,S1825-R1825))</f>
        <v>0</v>
      </c>
      <c r="V1825" s="39" t="n">
        <f aca="false">IF(F1825="BUY",S1825-J1825,J1825-S1825)</f>
        <v>-8.30000000000018</v>
      </c>
      <c r="W1825" s="6" t="n">
        <v>-58.1</v>
      </c>
      <c r="X1825" s="26" t="n">
        <f aca="false">IFERROR(W1825/N1825,0)</f>
        <v>-1.38333333333333</v>
      </c>
      <c r="Y1825" s="22" t="str">
        <f aca="false">IF(W1825&gt;0,"Win",IF(W1825&lt;0,"Loss","Flat"))</f>
        <v>Loss</v>
      </c>
      <c r="Z1825" s="24" t="n">
        <f aca="false">Summary!$C$5+SUM(W$2:W1825)</f>
        <v>4585.36</v>
      </c>
      <c r="AA1825" s="24" t="n">
        <f aca="false">MAX(AA1824,Z1825)</f>
        <v>5106.86</v>
      </c>
      <c r="AB1825" s="24" t="n">
        <f aca="false">AA1825-Z1825</f>
        <v>521.5</v>
      </c>
      <c r="AC1825" s="23" t="n">
        <f aca="false">IFERROR(AB1825/AA1825,0)</f>
        <v>0.102117543852778</v>
      </c>
      <c r="AD1825" s="22" t="s">
        <v>2062</v>
      </c>
    </row>
    <row r="1826" customFormat="false" ht="15" hidden="false" customHeight="false" outlineLevel="0" collapsed="false">
      <c r="A1826" s="22" t="n">
        <v>1825</v>
      </c>
      <c r="B1826" s="22" t="s">
        <v>173</v>
      </c>
      <c r="C1826" s="37" t="n">
        <v>46275.4403587963</v>
      </c>
      <c r="D1826" s="22" t="s">
        <v>205</v>
      </c>
      <c r="E1826" s="22" t="n">
        <v>10</v>
      </c>
      <c r="F1826" s="22" t="s">
        <v>182</v>
      </c>
      <c r="G1826" s="22" t="s">
        <v>241</v>
      </c>
      <c r="H1826" s="22" t="n">
        <v>0.07</v>
      </c>
      <c r="I1826" s="38" t="n">
        <v>4405.44</v>
      </c>
      <c r="J1826" s="38" t="n">
        <v>4405.43</v>
      </c>
      <c r="K1826" s="39" t="n">
        <f aca="false">IF(F1826="BUY",J1826-I1826,I1826-J1826)</f>
        <v>0.00999999999930878</v>
      </c>
      <c r="L1826" s="38" t="n">
        <v>4411.44</v>
      </c>
      <c r="M1826" s="39" t="n">
        <f aca="false">ABS(I1826-L1826)</f>
        <v>6</v>
      </c>
      <c r="N1826" s="24" t="n">
        <f aca="false">M1826*H1826*Summary!$C$6</f>
        <v>42</v>
      </c>
      <c r="O1826" s="37" t="n">
        <v>46275.4489351852</v>
      </c>
      <c r="P1826" s="22" t="n">
        <f aca="false">ROUND((O1826-C1826)*86400,0)</f>
        <v>741</v>
      </c>
      <c r="Q1826" s="22" t="str">
        <f aca="false">IF(P1826&lt;10,"a) &lt;10s",IF(P1826&lt;60,"b) 10-60s",IF(P1826&lt;600,"c) 1-10min","d) &gt;10min")))</f>
        <v>d) &gt;10min</v>
      </c>
      <c r="R1826" s="38" t="n">
        <v>4411.44</v>
      </c>
      <c r="S1826" s="38" t="n">
        <v>4411.44</v>
      </c>
      <c r="T1826" s="22" t="s">
        <v>188</v>
      </c>
      <c r="U1826" s="39" t="n">
        <f aca="false">IF(R1826="","",IF(F1826="BUY",R1826-S1826,S1826-R1826))</f>
        <v>0</v>
      </c>
      <c r="V1826" s="39" t="n">
        <f aca="false">IF(F1826="BUY",S1826-J1826,J1826-S1826)</f>
        <v>-6.00999999999931</v>
      </c>
      <c r="W1826" s="6" t="n">
        <v>-42.07</v>
      </c>
      <c r="X1826" s="26" t="n">
        <f aca="false">IFERROR(W1826/N1826,0)</f>
        <v>-1.00166666666667</v>
      </c>
      <c r="Y1826" s="22" t="str">
        <f aca="false">IF(W1826&gt;0,"Win",IF(W1826&lt;0,"Loss","Flat"))</f>
        <v>Loss</v>
      </c>
      <c r="Z1826" s="24" t="n">
        <f aca="false">Summary!$C$5+SUM(W$2:W1826)</f>
        <v>4543.29</v>
      </c>
      <c r="AA1826" s="24" t="n">
        <f aca="false">MAX(AA1825,Z1826)</f>
        <v>5106.86</v>
      </c>
      <c r="AB1826" s="24" t="n">
        <f aca="false">AA1826-Z1826</f>
        <v>563.57</v>
      </c>
      <c r="AC1826" s="23" t="n">
        <f aca="false">IFERROR(AB1826/AA1826,0)</f>
        <v>0.110355482625331</v>
      </c>
      <c r="AD1826" s="22" t="s">
        <v>2063</v>
      </c>
    </row>
    <row r="1827" customFormat="false" ht="15" hidden="false" customHeight="false" outlineLevel="0" collapsed="false">
      <c r="A1827" s="22" t="n">
        <v>1826</v>
      </c>
      <c r="B1827" s="22" t="s">
        <v>173</v>
      </c>
      <c r="C1827" s="37" t="n">
        <v>46276.1195949074</v>
      </c>
      <c r="D1827" s="22" t="s">
        <v>206</v>
      </c>
      <c r="E1827" s="22" t="n">
        <v>2</v>
      </c>
      <c r="F1827" s="22" t="s">
        <v>182</v>
      </c>
      <c r="G1827" s="22" t="s">
        <v>237</v>
      </c>
      <c r="H1827" s="22" t="n">
        <v>0.07</v>
      </c>
      <c r="I1827" s="38" t="n">
        <v>4313.5</v>
      </c>
      <c r="J1827" s="38" t="n">
        <v>4313.43</v>
      </c>
      <c r="K1827" s="39" t="n">
        <f aca="false">IF(F1827="BUY",J1827-I1827,I1827-J1827)</f>
        <v>0.069999999999709</v>
      </c>
      <c r="L1827" s="38" t="n">
        <v>4319.5</v>
      </c>
      <c r="M1827" s="39" t="n">
        <f aca="false">ABS(I1827-L1827)</f>
        <v>6</v>
      </c>
      <c r="N1827" s="24" t="n">
        <f aca="false">M1827*H1827*Summary!$C$6</f>
        <v>42</v>
      </c>
      <c r="O1827" s="37" t="n">
        <v>46276.1257060185</v>
      </c>
      <c r="P1827" s="22" t="n">
        <f aca="false">ROUND((O1827-C1827)*86400,0)</f>
        <v>528</v>
      </c>
      <c r="Q1827" s="22" t="str">
        <f aca="false">IF(P1827&lt;10,"a) &lt;10s",IF(P1827&lt;60,"b) 10-60s",IF(P1827&lt;600,"c) 1-10min","d) &gt;10min")))</f>
        <v>c) 1-10min</v>
      </c>
      <c r="R1827" s="38" t="n">
        <v>4319.5</v>
      </c>
      <c r="S1827" s="38" t="n">
        <v>4319.55</v>
      </c>
      <c r="T1827" s="22" t="s">
        <v>188</v>
      </c>
      <c r="U1827" s="39" t="n">
        <f aca="false">IF(R1827="","",IF(F1827="BUY",R1827-S1827,S1827-R1827))</f>
        <v>0.0500000000001819</v>
      </c>
      <c r="V1827" s="39" t="n">
        <f aca="false">IF(F1827="BUY",S1827-J1827,J1827-S1827)</f>
        <v>-6.11999999999989</v>
      </c>
      <c r="W1827" s="6" t="n">
        <v>-42.84</v>
      </c>
      <c r="X1827" s="26" t="n">
        <f aca="false">IFERROR(W1827/N1827,0)</f>
        <v>-1.02</v>
      </c>
      <c r="Y1827" s="22" t="str">
        <f aca="false">IF(W1827&gt;0,"Win",IF(W1827&lt;0,"Loss","Flat"))</f>
        <v>Loss</v>
      </c>
      <c r="Z1827" s="24" t="n">
        <f aca="false">Summary!$C$5+SUM(W$2:W1827)</f>
        <v>4500.45</v>
      </c>
      <c r="AA1827" s="24" t="n">
        <f aca="false">MAX(AA1826,Z1827)</f>
        <v>5106.86</v>
      </c>
      <c r="AB1827" s="24" t="n">
        <f aca="false">AA1827-Z1827</f>
        <v>606.41</v>
      </c>
      <c r="AC1827" s="23" t="n">
        <f aca="false">IFERROR(AB1827/AA1827,0)</f>
        <v>0.118744198979412</v>
      </c>
      <c r="AD1827" s="22" t="s">
        <v>2064</v>
      </c>
    </row>
    <row r="1828" customFormat="false" ht="15" hidden="false" customHeight="false" outlineLevel="0" collapsed="false">
      <c r="A1828" s="22" t="n">
        <v>1827</v>
      </c>
      <c r="B1828" s="22" t="s">
        <v>173</v>
      </c>
      <c r="C1828" s="37" t="n">
        <v>46276.3764467593</v>
      </c>
      <c r="D1828" s="22" t="s">
        <v>206</v>
      </c>
      <c r="E1828" s="22" t="n">
        <v>9</v>
      </c>
      <c r="F1828" s="22" t="s">
        <v>181</v>
      </c>
      <c r="G1828" s="22" t="s">
        <v>235</v>
      </c>
      <c r="H1828" s="22" t="n">
        <v>0.07</v>
      </c>
      <c r="I1828" s="38" t="n">
        <v>4351.77</v>
      </c>
      <c r="J1828" s="38" t="n">
        <v>4352.29</v>
      </c>
      <c r="K1828" s="39" t="n">
        <f aca="false">IF(F1828="BUY",J1828-I1828,I1828-J1828)</f>
        <v>0.519999999999527</v>
      </c>
      <c r="L1828" s="38" t="n">
        <v>4345.77</v>
      </c>
      <c r="M1828" s="39" t="n">
        <f aca="false">ABS(I1828-L1828)</f>
        <v>6</v>
      </c>
      <c r="N1828" s="24" t="n">
        <f aca="false">M1828*H1828*Summary!$C$6</f>
        <v>42</v>
      </c>
      <c r="O1828" s="37" t="n">
        <v>46276.3778125</v>
      </c>
      <c r="P1828" s="22" t="n">
        <f aca="false">ROUND((O1828-C1828)*86400,0)</f>
        <v>118</v>
      </c>
      <c r="Q1828" s="22" t="str">
        <f aca="false">IF(P1828&lt;10,"a) &lt;10s",IF(P1828&lt;60,"b) 10-60s",IF(P1828&lt;600,"c) 1-10min","d) &gt;10min")))</f>
        <v>c) 1-10min</v>
      </c>
      <c r="R1828" s="38" t="n">
        <v>4352.79</v>
      </c>
      <c r="S1828" s="38" t="n">
        <v>4352.74</v>
      </c>
      <c r="T1828" s="22" t="s">
        <v>189</v>
      </c>
      <c r="U1828" s="39" t="n">
        <f aca="false">IF(R1828="","",IF(F1828="BUY",R1828-S1828,S1828-R1828))</f>
        <v>0.0500000000001819</v>
      </c>
      <c r="V1828" s="39" t="n">
        <f aca="false">IF(F1828="BUY",S1828-J1828,J1828-S1828)</f>
        <v>0.449999999999818</v>
      </c>
      <c r="W1828" s="6" t="n">
        <v>3.15</v>
      </c>
      <c r="X1828" s="26" t="n">
        <f aca="false">IFERROR(W1828/N1828,0)</f>
        <v>0.075</v>
      </c>
      <c r="Y1828" s="22" t="str">
        <f aca="false">IF(W1828&gt;0,"Win",IF(W1828&lt;0,"Loss","Flat"))</f>
        <v>Win</v>
      </c>
      <c r="Z1828" s="24" t="n">
        <f aca="false">Summary!$C$5+SUM(W$2:W1828)</f>
        <v>4503.6</v>
      </c>
      <c r="AA1828" s="24" t="n">
        <f aca="false">MAX(AA1827,Z1828)</f>
        <v>5106.86</v>
      </c>
      <c r="AB1828" s="24" t="n">
        <f aca="false">AA1828-Z1828</f>
        <v>603.259999999999</v>
      </c>
      <c r="AC1828" s="23" t="n">
        <f aca="false">IFERROR(AB1828/AA1828,0)</f>
        <v>0.118127381600435</v>
      </c>
      <c r="AD1828" s="22" t="s">
        <v>2065</v>
      </c>
    </row>
    <row r="1829" customFormat="false" ht="15" hidden="false" customHeight="false" outlineLevel="0" collapsed="false">
      <c r="A1829" s="22" t="n">
        <v>1828</v>
      </c>
      <c r="B1829" s="22" t="s">
        <v>173</v>
      </c>
      <c r="C1829" s="37" t="n">
        <v>46279.4142939815</v>
      </c>
      <c r="D1829" s="22" t="s">
        <v>202</v>
      </c>
      <c r="E1829" s="22" t="n">
        <v>9</v>
      </c>
      <c r="F1829" s="22" t="s">
        <v>182</v>
      </c>
      <c r="G1829" s="22" t="s">
        <v>241</v>
      </c>
      <c r="H1829" s="22" t="n">
        <v>0.07</v>
      </c>
      <c r="I1829" s="38" t="n">
        <v>4321.84</v>
      </c>
      <c r="J1829" s="38" t="n">
        <v>4321.79</v>
      </c>
      <c r="K1829" s="39" t="n">
        <f aca="false">IF(F1829="BUY",J1829-I1829,I1829-J1829)</f>
        <v>0.0500000000001819</v>
      </c>
      <c r="L1829" s="38" t="n">
        <v>4327.84</v>
      </c>
      <c r="M1829" s="39" t="n">
        <f aca="false">ABS(I1829-L1829)</f>
        <v>6</v>
      </c>
      <c r="N1829" s="24" t="n">
        <f aca="false">M1829*H1829*Summary!$C$6</f>
        <v>42</v>
      </c>
      <c r="O1829" s="37" t="n">
        <v>46279.4183217593</v>
      </c>
      <c r="P1829" s="22" t="n">
        <f aca="false">ROUND((O1829-C1829)*86400,0)</f>
        <v>348</v>
      </c>
      <c r="Q1829" s="22" t="str">
        <f aca="false">IF(P1829&lt;10,"a) &lt;10s",IF(P1829&lt;60,"b) 10-60s",IF(P1829&lt;600,"c) 1-10min","d) &gt;10min")))</f>
        <v>c) 1-10min</v>
      </c>
      <c r="R1829" s="38" t="n">
        <v>4321.29</v>
      </c>
      <c r="S1829" s="38" t="n">
        <v>4321.34</v>
      </c>
      <c r="T1829" s="22" t="s">
        <v>189</v>
      </c>
      <c r="U1829" s="39" t="n">
        <f aca="false">IF(R1829="","",IF(F1829="BUY",R1829-S1829,S1829-R1829))</f>
        <v>0.0500000000001819</v>
      </c>
      <c r="V1829" s="39" t="n">
        <f aca="false">IF(F1829="BUY",S1829-J1829,J1829-S1829)</f>
        <v>0.449999999999818</v>
      </c>
      <c r="W1829" s="6" t="n">
        <v>3.15</v>
      </c>
      <c r="X1829" s="26" t="n">
        <f aca="false">IFERROR(W1829/N1829,0)</f>
        <v>0.075</v>
      </c>
      <c r="Y1829" s="22" t="str">
        <f aca="false">IF(W1829&gt;0,"Win",IF(W1829&lt;0,"Loss","Flat"))</f>
        <v>Win</v>
      </c>
      <c r="Z1829" s="24" t="n">
        <f aca="false">Summary!$C$5+SUM(W$2:W1829)</f>
        <v>4506.75</v>
      </c>
      <c r="AA1829" s="24" t="n">
        <f aca="false">MAX(AA1828,Z1829)</f>
        <v>5106.86</v>
      </c>
      <c r="AB1829" s="24" t="n">
        <f aca="false">AA1829-Z1829</f>
        <v>600.11</v>
      </c>
      <c r="AC1829" s="23" t="n">
        <f aca="false">IFERROR(AB1829/AA1829,0)</f>
        <v>0.117510564221459</v>
      </c>
      <c r="AD1829" s="22" t="s">
        <v>2066</v>
      </c>
    </row>
    <row r="1830" customFormat="false" ht="15" hidden="false" customHeight="false" outlineLevel="0" collapsed="false">
      <c r="A1830" s="22" t="n">
        <v>1829</v>
      </c>
      <c r="B1830" s="22" t="s">
        <v>173</v>
      </c>
      <c r="C1830" s="37" t="n">
        <v>46279.5119097222</v>
      </c>
      <c r="D1830" s="22" t="s">
        <v>202</v>
      </c>
      <c r="E1830" s="22" t="n">
        <v>12</v>
      </c>
      <c r="F1830" s="22" t="s">
        <v>182</v>
      </c>
      <c r="G1830" s="22" t="s">
        <v>237</v>
      </c>
      <c r="H1830" s="22" t="n">
        <v>0.07</v>
      </c>
      <c r="I1830" s="38" t="n">
        <v>4300.5</v>
      </c>
      <c r="J1830" s="38" t="n">
        <v>4300.41</v>
      </c>
      <c r="K1830" s="39" t="n">
        <f aca="false">IF(F1830="BUY",J1830-I1830,I1830-J1830)</f>
        <v>0.0900000000001455</v>
      </c>
      <c r="L1830" s="38" t="n">
        <v>4306.5</v>
      </c>
      <c r="M1830" s="39" t="n">
        <f aca="false">ABS(I1830-L1830)</f>
        <v>6</v>
      </c>
      <c r="N1830" s="24" t="n">
        <f aca="false">M1830*H1830*Summary!$C$6</f>
        <v>42</v>
      </c>
      <c r="O1830" s="37" t="n">
        <v>46279.6623958333</v>
      </c>
      <c r="P1830" s="22" t="n">
        <f aca="false">ROUND((O1830-C1830)*86400,0)</f>
        <v>13002</v>
      </c>
      <c r="Q1830" s="22" t="str">
        <f aca="false">IF(P1830&lt;10,"a) &lt;10s",IF(P1830&lt;60,"b) 10-60s",IF(P1830&lt;600,"c) 1-10min","d) &gt;10min")))</f>
        <v>d) &gt;10min</v>
      </c>
      <c r="R1830" s="38"/>
      <c r="S1830" s="38" t="n">
        <v>4270.42</v>
      </c>
      <c r="T1830" s="22" t="s">
        <v>187</v>
      </c>
      <c r="U1830" s="39" t="str">
        <f aca="false">IF(R1830="","",IF(F1830="BUY",R1830-S1830,S1830-R1830))</f>
        <v/>
      </c>
      <c r="V1830" s="39" t="n">
        <f aca="false">IF(F1830="BUY",S1830-J1830,J1830-S1830)</f>
        <v>29.9899999999998</v>
      </c>
      <c r="W1830" s="6" t="n">
        <v>209.93</v>
      </c>
      <c r="X1830" s="26" t="n">
        <f aca="false">IFERROR(W1830/N1830,0)</f>
        <v>4.99833333333333</v>
      </c>
      <c r="Y1830" s="22" t="str">
        <f aca="false">IF(W1830&gt;0,"Win",IF(W1830&lt;0,"Loss","Flat"))</f>
        <v>Win</v>
      </c>
      <c r="Z1830" s="24" t="n">
        <f aca="false">Summary!$C$5+SUM(W$2:W1830)</f>
        <v>4716.68</v>
      </c>
      <c r="AA1830" s="24" t="n">
        <f aca="false">MAX(AA1829,Z1830)</f>
        <v>5106.86</v>
      </c>
      <c r="AB1830" s="24" t="n">
        <f aca="false">AA1830-Z1830</f>
        <v>390.179999999999</v>
      </c>
      <c r="AC1830" s="23" t="n">
        <f aca="false">IFERROR(AB1830/AA1830,0)</f>
        <v>0.0764031126758907</v>
      </c>
      <c r="AD1830" s="22" t="s">
        <v>2067</v>
      </c>
    </row>
    <row r="1831" customFormat="false" ht="15" hidden="false" customHeight="false" outlineLevel="0" collapsed="false">
      <c r="A1831" s="22" t="n">
        <v>1830</v>
      </c>
      <c r="B1831" s="22" t="s">
        <v>173</v>
      </c>
      <c r="C1831" s="37" t="n">
        <v>46280.3791435185</v>
      </c>
      <c r="D1831" s="22" t="s">
        <v>203</v>
      </c>
      <c r="E1831" s="22" t="n">
        <v>9</v>
      </c>
      <c r="F1831" s="22" t="s">
        <v>182</v>
      </c>
      <c r="G1831" s="22" t="s">
        <v>241</v>
      </c>
      <c r="H1831" s="22" t="n">
        <v>0.07</v>
      </c>
      <c r="I1831" s="38" t="n">
        <v>4288.91</v>
      </c>
      <c r="J1831" s="38" t="n">
        <v>4288.91</v>
      </c>
      <c r="K1831" s="39" t="n">
        <f aca="false">IF(F1831="BUY",J1831-I1831,I1831-J1831)</f>
        <v>0</v>
      </c>
      <c r="L1831" s="38" t="n">
        <v>4294.91</v>
      </c>
      <c r="M1831" s="39" t="n">
        <f aca="false">ABS(I1831-L1831)</f>
        <v>6</v>
      </c>
      <c r="N1831" s="24" t="n">
        <f aca="false">M1831*H1831*Summary!$C$6</f>
        <v>42</v>
      </c>
      <c r="O1831" s="37" t="n">
        <v>46280.3806134259</v>
      </c>
      <c r="P1831" s="22" t="n">
        <f aca="false">ROUND((O1831-C1831)*86400,0)</f>
        <v>127</v>
      </c>
      <c r="Q1831" s="22" t="str">
        <f aca="false">IF(P1831&lt;10,"a) &lt;10s",IF(P1831&lt;60,"b) 10-60s",IF(P1831&lt;600,"c) 1-10min","d) &gt;10min")))</f>
        <v>c) 1-10min</v>
      </c>
      <c r="R1831" s="38" t="n">
        <v>4288.41</v>
      </c>
      <c r="S1831" s="38" t="n">
        <v>4288.42</v>
      </c>
      <c r="T1831" s="22" t="s">
        <v>189</v>
      </c>
      <c r="U1831" s="39" t="n">
        <f aca="false">IF(R1831="","",IF(F1831="BUY",R1831-S1831,S1831-R1831))</f>
        <v>0.0100000000002183</v>
      </c>
      <c r="V1831" s="39" t="n">
        <f aca="false">IF(F1831="BUY",S1831-J1831,J1831-S1831)</f>
        <v>0.489999999999782</v>
      </c>
      <c r="W1831" s="6" t="n">
        <v>3.43</v>
      </c>
      <c r="X1831" s="26" t="n">
        <f aca="false">IFERROR(W1831/N1831,0)</f>
        <v>0.0816666666666667</v>
      </c>
      <c r="Y1831" s="22" t="str">
        <f aca="false">IF(W1831&gt;0,"Win",IF(W1831&lt;0,"Loss","Flat"))</f>
        <v>Win</v>
      </c>
      <c r="Z1831" s="24" t="n">
        <f aca="false">Summary!$C$5+SUM(W$2:W1831)</f>
        <v>4720.11</v>
      </c>
      <c r="AA1831" s="24" t="n">
        <f aca="false">MAX(AA1830,Z1831)</f>
        <v>5106.86</v>
      </c>
      <c r="AB1831" s="24" t="n">
        <f aca="false">AA1831-Z1831</f>
        <v>386.75</v>
      </c>
      <c r="AC1831" s="23" t="n">
        <f aca="false">IFERROR(AB1831/AA1831,0)</f>
        <v>0.0757314670854498</v>
      </c>
      <c r="AD1831" s="22" t="s">
        <v>2068</v>
      </c>
    </row>
    <row r="1832" customFormat="false" ht="15" hidden="false" customHeight="false" outlineLevel="0" collapsed="false">
      <c r="A1832" s="22" t="n">
        <v>1831</v>
      </c>
      <c r="B1832" s="22" t="s">
        <v>173</v>
      </c>
      <c r="C1832" s="37" t="n">
        <v>46281.2443981482</v>
      </c>
      <c r="D1832" s="22" t="s">
        <v>204</v>
      </c>
      <c r="E1832" s="22" t="n">
        <v>5</v>
      </c>
      <c r="F1832" s="22" t="s">
        <v>181</v>
      </c>
      <c r="G1832" s="22" t="s">
        <v>243</v>
      </c>
      <c r="H1832" s="22" t="n">
        <v>0.07</v>
      </c>
      <c r="I1832" s="38" t="n">
        <v>4317.25</v>
      </c>
      <c r="J1832" s="38" t="n">
        <v>4317.36</v>
      </c>
      <c r="K1832" s="39" t="n">
        <f aca="false">IF(F1832="BUY",J1832-I1832,I1832-J1832)</f>
        <v>0.109999999999673</v>
      </c>
      <c r="L1832" s="38" t="n">
        <v>4311.25</v>
      </c>
      <c r="M1832" s="39" t="n">
        <f aca="false">ABS(I1832-L1832)</f>
        <v>6</v>
      </c>
      <c r="N1832" s="24" t="n">
        <f aca="false">M1832*H1832*Summary!$C$6</f>
        <v>42</v>
      </c>
      <c r="O1832" s="37" t="n">
        <v>46281.5490509259</v>
      </c>
      <c r="P1832" s="22" t="n">
        <f aca="false">ROUND((O1832-C1832)*86400,0)</f>
        <v>26322</v>
      </c>
      <c r="Q1832" s="22" t="str">
        <f aca="false">IF(P1832&lt;10,"a) &lt;10s",IF(P1832&lt;60,"b) 10-60s",IF(P1832&lt;600,"c) 1-10min","d) &gt;10min")))</f>
        <v>d) &gt;10min</v>
      </c>
      <c r="R1832" s="38"/>
      <c r="S1832" s="38" t="n">
        <v>4347.91</v>
      </c>
      <c r="T1832" s="22" t="s">
        <v>187</v>
      </c>
      <c r="U1832" s="39" t="str">
        <f aca="false">IF(R1832="","",IF(F1832="BUY",R1832-S1832,S1832-R1832))</f>
        <v/>
      </c>
      <c r="V1832" s="39" t="n">
        <f aca="false">IF(F1832="BUY",S1832-J1832,J1832-S1832)</f>
        <v>30.5500000000002</v>
      </c>
      <c r="W1832" s="6" t="n">
        <v>213.85</v>
      </c>
      <c r="X1832" s="26" t="n">
        <f aca="false">IFERROR(W1832/N1832,0)</f>
        <v>5.09166666666667</v>
      </c>
      <c r="Y1832" s="22" t="str">
        <f aca="false">IF(W1832&gt;0,"Win",IF(W1832&lt;0,"Loss","Flat"))</f>
        <v>Win</v>
      </c>
      <c r="Z1832" s="24" t="n">
        <f aca="false">Summary!$C$5+SUM(W$2:W1832)</f>
        <v>4933.96</v>
      </c>
      <c r="AA1832" s="24" t="n">
        <f aca="false">MAX(AA1831,Z1832)</f>
        <v>5106.86</v>
      </c>
      <c r="AB1832" s="24" t="n">
        <f aca="false">AA1832-Z1832</f>
        <v>172.9</v>
      </c>
      <c r="AC1832" s="23" t="n">
        <f aca="false">IFERROR(AB1832/AA1832,0)</f>
        <v>0.0338564205793775</v>
      </c>
      <c r="AD1832" s="22" t="s">
        <v>2069</v>
      </c>
    </row>
    <row r="1833" customFormat="false" ht="15" hidden="false" customHeight="false" outlineLevel="0" collapsed="false">
      <c r="A1833" s="22" t="n">
        <v>1832</v>
      </c>
      <c r="B1833" s="22" t="s">
        <v>173</v>
      </c>
      <c r="C1833" s="37" t="n">
        <v>46281.8762847222</v>
      </c>
      <c r="D1833" s="22" t="s">
        <v>204</v>
      </c>
      <c r="E1833" s="22" t="n">
        <v>21</v>
      </c>
      <c r="F1833" s="22" t="s">
        <v>182</v>
      </c>
      <c r="G1833" s="22" t="s">
        <v>241</v>
      </c>
      <c r="H1833" s="22" t="n">
        <v>0.08</v>
      </c>
      <c r="I1833" s="38" t="n">
        <v>4320.3</v>
      </c>
      <c r="J1833" s="38" t="n">
        <v>4319.41</v>
      </c>
      <c r="K1833" s="39" t="n">
        <f aca="false">IF(F1833="BUY",J1833-I1833,I1833-J1833)</f>
        <v>0.890000000000327</v>
      </c>
      <c r="L1833" s="38" t="n">
        <v>4326.3</v>
      </c>
      <c r="M1833" s="39" t="n">
        <f aca="false">ABS(I1833-L1833)</f>
        <v>6</v>
      </c>
      <c r="N1833" s="24" t="n">
        <f aca="false">M1833*H1833*Summary!$C$6</f>
        <v>48</v>
      </c>
      <c r="O1833" s="37" t="n">
        <v>46281.8763078704</v>
      </c>
      <c r="P1833" s="22" t="n">
        <f aca="false">ROUND((O1833-C1833)*86400,0)</f>
        <v>2</v>
      </c>
      <c r="Q1833" s="22" t="str">
        <f aca="false">IF(P1833&lt;10,"a) &lt;10s",IF(P1833&lt;60,"b) 10-60s",IF(P1833&lt;600,"c) 1-10min","d) &gt;10min")))</f>
        <v>a) &lt;10s</v>
      </c>
      <c r="R1833" s="38" t="n">
        <v>4318.91</v>
      </c>
      <c r="S1833" s="38" t="n">
        <v>4319.12</v>
      </c>
      <c r="T1833" s="22" t="s">
        <v>189</v>
      </c>
      <c r="U1833" s="39" t="n">
        <f aca="false">IF(R1833="","",IF(F1833="BUY",R1833-S1833,S1833-R1833))</f>
        <v>0.210000000000036</v>
      </c>
      <c r="V1833" s="39" t="n">
        <f aca="false">IF(F1833="BUY",S1833-J1833,J1833-S1833)</f>
        <v>0.289999999999964</v>
      </c>
      <c r="W1833" s="6" t="n">
        <v>2.32</v>
      </c>
      <c r="X1833" s="26" t="n">
        <f aca="false">IFERROR(W1833/N1833,0)</f>
        <v>0.0483333333333333</v>
      </c>
      <c r="Y1833" s="22" t="str">
        <f aca="false">IF(W1833&gt;0,"Win",IF(W1833&lt;0,"Loss","Flat"))</f>
        <v>Win</v>
      </c>
      <c r="Z1833" s="24" t="n">
        <f aca="false">Summary!$C$5+SUM(W$2:W1833)</f>
        <v>4936.28</v>
      </c>
      <c r="AA1833" s="24" t="n">
        <f aca="false">MAX(AA1832,Z1833)</f>
        <v>5106.86</v>
      </c>
      <c r="AB1833" s="24" t="n">
        <f aca="false">AA1833-Z1833</f>
        <v>170.58</v>
      </c>
      <c r="AC1833" s="23" t="n">
        <f aca="false">IFERROR(AB1833/AA1833,0)</f>
        <v>0.0334021296843853</v>
      </c>
      <c r="AD1833" s="22" t="s">
        <v>2070</v>
      </c>
    </row>
    <row r="1834" customFormat="false" ht="15" hidden="false" customHeight="false" outlineLevel="0" collapsed="false">
      <c r="A1834" s="22" t="n">
        <v>1833</v>
      </c>
      <c r="B1834" s="22" t="s">
        <v>173</v>
      </c>
      <c r="C1834" s="37" t="n">
        <v>46282.3750578704</v>
      </c>
      <c r="D1834" s="22" t="s">
        <v>205</v>
      </c>
      <c r="E1834" s="22" t="n">
        <v>9</v>
      </c>
      <c r="F1834" s="22" t="s">
        <v>181</v>
      </c>
      <c r="G1834" s="22" t="s">
        <v>235</v>
      </c>
      <c r="H1834" s="22" t="n">
        <v>0.08</v>
      </c>
      <c r="I1834" s="38" t="n">
        <v>4305.2</v>
      </c>
      <c r="J1834" s="38" t="n">
        <v>4305.32</v>
      </c>
      <c r="K1834" s="39" t="n">
        <f aca="false">IF(F1834="BUY",J1834-I1834,I1834-J1834)</f>
        <v>0.119999999999891</v>
      </c>
      <c r="L1834" s="38" t="n">
        <v>4299.2</v>
      </c>
      <c r="M1834" s="39" t="n">
        <f aca="false">ABS(I1834-L1834)</f>
        <v>6</v>
      </c>
      <c r="N1834" s="24" t="n">
        <f aca="false">M1834*H1834*Summary!$C$6</f>
        <v>48</v>
      </c>
      <c r="O1834" s="37" t="n">
        <v>46282.3783564815</v>
      </c>
      <c r="P1834" s="22" t="n">
        <f aca="false">ROUND((O1834-C1834)*86400,0)</f>
        <v>285</v>
      </c>
      <c r="Q1834" s="22" t="str">
        <f aca="false">IF(P1834&lt;10,"a) &lt;10s",IF(P1834&lt;60,"b) 10-60s",IF(P1834&lt;600,"c) 1-10min","d) &gt;10min")))</f>
        <v>c) 1-10min</v>
      </c>
      <c r="R1834" s="38" t="n">
        <v>4305.82</v>
      </c>
      <c r="S1834" s="38" t="n">
        <v>4305.67</v>
      </c>
      <c r="T1834" s="22" t="s">
        <v>189</v>
      </c>
      <c r="U1834" s="39" t="n">
        <f aca="false">IF(R1834="","",IF(F1834="BUY",R1834-S1834,S1834-R1834))</f>
        <v>0.149999999999636</v>
      </c>
      <c r="V1834" s="39" t="n">
        <f aca="false">IF(F1834="BUY",S1834-J1834,J1834-S1834)</f>
        <v>0.350000000000364</v>
      </c>
      <c r="W1834" s="6" t="n">
        <v>2.8</v>
      </c>
      <c r="X1834" s="26" t="n">
        <f aca="false">IFERROR(W1834/N1834,0)</f>
        <v>0.0583333333333333</v>
      </c>
      <c r="Y1834" s="22" t="str">
        <f aca="false">IF(W1834&gt;0,"Win",IF(W1834&lt;0,"Loss","Flat"))</f>
        <v>Win</v>
      </c>
      <c r="Z1834" s="24" t="n">
        <f aca="false">Summary!$C$5+SUM(W$2:W1834)</f>
        <v>4939.08</v>
      </c>
      <c r="AA1834" s="24" t="n">
        <f aca="false">MAX(AA1833,Z1834)</f>
        <v>5106.86</v>
      </c>
      <c r="AB1834" s="24" t="n">
        <f aca="false">AA1834-Z1834</f>
        <v>167.78</v>
      </c>
      <c r="AC1834" s="23" t="n">
        <f aca="false">IFERROR(AB1834/AA1834,0)</f>
        <v>0.0328538475697395</v>
      </c>
      <c r="AD1834" s="22" t="s">
        <v>2071</v>
      </c>
    </row>
    <row r="1835" customFormat="false" ht="15" hidden="false" customHeight="false" outlineLevel="0" collapsed="false">
      <c r="A1835" s="22" t="n">
        <v>1834</v>
      </c>
      <c r="B1835" s="22" t="s">
        <v>173</v>
      </c>
      <c r="C1835" s="37" t="n">
        <v>46282.6383564815</v>
      </c>
      <c r="D1835" s="22" t="s">
        <v>205</v>
      </c>
      <c r="E1835" s="22" t="n">
        <v>15</v>
      </c>
      <c r="F1835" s="22" t="s">
        <v>181</v>
      </c>
      <c r="G1835" s="22" t="s">
        <v>243</v>
      </c>
      <c r="H1835" s="22" t="n">
        <v>0.08</v>
      </c>
      <c r="I1835" s="38" t="n">
        <v>4366.53</v>
      </c>
      <c r="J1835" s="38" t="n">
        <v>4366.56</v>
      </c>
      <c r="K1835" s="39" t="n">
        <f aca="false">IF(F1835="BUY",J1835-I1835,I1835-J1835)</f>
        <v>0.0300000000006548</v>
      </c>
      <c r="L1835" s="38" t="n">
        <v>4360.53</v>
      </c>
      <c r="M1835" s="39" t="n">
        <f aca="false">ABS(I1835-L1835)</f>
        <v>6</v>
      </c>
      <c r="N1835" s="24" t="n">
        <f aca="false">M1835*H1835*Summary!$C$6</f>
        <v>48</v>
      </c>
      <c r="O1835" s="37" t="n">
        <v>46282.6496527778</v>
      </c>
      <c r="P1835" s="22" t="n">
        <f aca="false">ROUND((O1835-C1835)*86400,0)</f>
        <v>976</v>
      </c>
      <c r="Q1835" s="22" t="str">
        <f aca="false">IF(P1835&lt;10,"a) &lt;10s",IF(P1835&lt;60,"b) 10-60s",IF(P1835&lt;600,"c) 1-10min","d) &gt;10min")))</f>
        <v>d) &gt;10min</v>
      </c>
      <c r="R1835" s="38" t="n">
        <v>4367.06</v>
      </c>
      <c r="S1835" s="38" t="n">
        <v>4366.61</v>
      </c>
      <c r="T1835" s="22" t="s">
        <v>189</v>
      </c>
      <c r="U1835" s="39" t="n">
        <f aca="false">IF(R1835="","",IF(F1835="BUY",R1835-S1835,S1835-R1835))</f>
        <v>0.450000000000728</v>
      </c>
      <c r="V1835" s="39" t="n">
        <f aca="false">IF(F1835="BUY",S1835-J1835,J1835-S1835)</f>
        <v>0.0499999999992724</v>
      </c>
      <c r="W1835" s="6" t="n">
        <v>0.4</v>
      </c>
      <c r="X1835" s="26" t="n">
        <f aca="false">IFERROR(W1835/N1835,0)</f>
        <v>0.00833333333333333</v>
      </c>
      <c r="Y1835" s="22" t="str">
        <f aca="false">IF(W1835&gt;0,"Win",IF(W1835&lt;0,"Loss","Flat"))</f>
        <v>Win</v>
      </c>
      <c r="Z1835" s="24" t="n">
        <f aca="false">Summary!$C$5+SUM(W$2:W1835)</f>
        <v>4939.48</v>
      </c>
      <c r="AA1835" s="24" t="n">
        <f aca="false">MAX(AA1834,Z1835)</f>
        <v>5106.86</v>
      </c>
      <c r="AB1835" s="24" t="n">
        <f aca="false">AA1835-Z1835</f>
        <v>167.38</v>
      </c>
      <c r="AC1835" s="23" t="n">
        <f aca="false">IFERROR(AB1835/AA1835,0)</f>
        <v>0.0327755215533616</v>
      </c>
      <c r="AD1835" s="22" t="s">
        <v>2072</v>
      </c>
    </row>
    <row r="1836" customFormat="false" ht="15" hidden="false" customHeight="false" outlineLevel="0" collapsed="false">
      <c r="A1836" s="22" t="n">
        <v>1835</v>
      </c>
      <c r="B1836" s="22" t="s">
        <v>173</v>
      </c>
      <c r="C1836" s="37" t="n">
        <v>46283.3750231482</v>
      </c>
      <c r="D1836" s="22" t="s">
        <v>206</v>
      </c>
      <c r="E1836" s="22" t="n">
        <v>9</v>
      </c>
      <c r="F1836" s="22" t="s">
        <v>181</v>
      </c>
      <c r="G1836" s="22" t="s">
        <v>235</v>
      </c>
      <c r="H1836" s="22" t="n">
        <v>0.08</v>
      </c>
      <c r="I1836" s="38" t="n">
        <v>4377.93</v>
      </c>
      <c r="J1836" s="38" t="n">
        <v>4378.32</v>
      </c>
      <c r="K1836" s="39" t="n">
        <f aca="false">IF(F1836="BUY",J1836-I1836,I1836-J1836)</f>
        <v>0.389999999999418</v>
      </c>
      <c r="L1836" s="38" t="n">
        <v>4371.93</v>
      </c>
      <c r="M1836" s="39" t="n">
        <f aca="false">ABS(I1836-L1836)</f>
        <v>6</v>
      </c>
      <c r="N1836" s="24" t="n">
        <f aca="false">M1836*H1836*Summary!$C$6</f>
        <v>48</v>
      </c>
      <c r="O1836" s="37" t="n">
        <v>46283.5297222222</v>
      </c>
      <c r="P1836" s="22" t="n">
        <f aca="false">ROUND((O1836-C1836)*86400,0)</f>
        <v>13366</v>
      </c>
      <c r="Q1836" s="22" t="str">
        <f aca="false">IF(P1836&lt;10,"a) &lt;10s",IF(P1836&lt;60,"b) 10-60s",IF(P1836&lt;600,"c) 1-10min","d) &gt;10min")))</f>
        <v>d) &gt;10min</v>
      </c>
      <c r="R1836" s="38" t="n">
        <v>4378.82</v>
      </c>
      <c r="S1836" s="38" t="n">
        <v>4378.81</v>
      </c>
      <c r="T1836" s="22" t="s">
        <v>189</v>
      </c>
      <c r="U1836" s="39" t="n">
        <f aca="false">IF(R1836="","",IF(F1836="BUY",R1836-S1836,S1836-R1836))</f>
        <v>0.00999999999930878</v>
      </c>
      <c r="V1836" s="39" t="n">
        <f aca="false">IF(F1836="BUY",S1836-J1836,J1836-S1836)</f>
        <v>0.490000000000691</v>
      </c>
      <c r="W1836" s="6" t="n">
        <v>3.92</v>
      </c>
      <c r="X1836" s="26" t="n">
        <f aca="false">IFERROR(W1836/N1836,0)</f>
        <v>0.0816666666666667</v>
      </c>
      <c r="Y1836" s="22" t="str">
        <f aca="false">IF(W1836&gt;0,"Win",IF(W1836&lt;0,"Loss","Flat"))</f>
        <v>Win</v>
      </c>
      <c r="Z1836" s="24" t="n">
        <f aca="false">Summary!$C$5+SUM(W$2:W1836)</f>
        <v>4943.4</v>
      </c>
      <c r="AA1836" s="24" t="n">
        <f aca="false">MAX(AA1835,Z1836)</f>
        <v>5106.86</v>
      </c>
      <c r="AB1836" s="24" t="n">
        <f aca="false">AA1836-Z1836</f>
        <v>163.46</v>
      </c>
      <c r="AC1836" s="23" t="n">
        <f aca="false">IFERROR(AB1836/AA1836,0)</f>
        <v>0.0320079265928575</v>
      </c>
      <c r="AD1836" s="22" t="s">
        <v>2073</v>
      </c>
    </row>
    <row r="1837" customFormat="false" ht="15" hidden="false" customHeight="false" outlineLevel="0" collapsed="false">
      <c r="A1837" s="22" t="n">
        <v>1836</v>
      </c>
      <c r="B1837" s="22" t="s">
        <v>173</v>
      </c>
      <c r="C1837" s="37" t="n">
        <v>46286.3888194444</v>
      </c>
      <c r="D1837" s="22" t="s">
        <v>202</v>
      </c>
      <c r="E1837" s="22" t="n">
        <v>9</v>
      </c>
      <c r="F1837" s="22" t="s">
        <v>182</v>
      </c>
      <c r="G1837" s="22" t="s">
        <v>241</v>
      </c>
      <c r="H1837" s="22" t="n">
        <v>0.08</v>
      </c>
      <c r="I1837" s="38" t="n">
        <v>4348.93</v>
      </c>
      <c r="J1837" s="38" t="n">
        <v>4348.91</v>
      </c>
      <c r="K1837" s="39" t="n">
        <f aca="false">IF(F1837="BUY",J1837-I1837,I1837-J1837)</f>
        <v>0.0200000000004366</v>
      </c>
      <c r="L1837" s="38" t="n">
        <v>4354.93</v>
      </c>
      <c r="M1837" s="39" t="n">
        <f aca="false">ABS(I1837-L1837)</f>
        <v>6</v>
      </c>
      <c r="N1837" s="24" t="n">
        <f aca="false">M1837*H1837*Summary!$C$6</f>
        <v>48</v>
      </c>
      <c r="O1837" s="37" t="n">
        <v>46286.392974537</v>
      </c>
      <c r="P1837" s="22" t="n">
        <f aca="false">ROUND((O1837-C1837)*86400,0)</f>
        <v>359</v>
      </c>
      <c r="Q1837" s="22" t="str">
        <f aca="false">IF(P1837&lt;10,"a) &lt;10s",IF(P1837&lt;60,"b) 10-60s",IF(P1837&lt;600,"c) 1-10min","d) &gt;10min")))</f>
        <v>c) 1-10min</v>
      </c>
      <c r="R1837" s="38" t="n">
        <v>4348.41</v>
      </c>
      <c r="S1837" s="38" t="n">
        <v>4348.51</v>
      </c>
      <c r="T1837" s="22" t="s">
        <v>189</v>
      </c>
      <c r="U1837" s="39" t="n">
        <f aca="false">IF(R1837="","",IF(F1837="BUY",R1837-S1837,S1837-R1837))</f>
        <v>0.100000000000364</v>
      </c>
      <c r="V1837" s="39" t="n">
        <f aca="false">IF(F1837="BUY",S1837-J1837,J1837-S1837)</f>
        <v>0.399999999999636</v>
      </c>
      <c r="W1837" s="6" t="n">
        <v>3.2</v>
      </c>
      <c r="X1837" s="26" t="n">
        <f aca="false">IFERROR(W1837/N1837,0)</f>
        <v>0.0666666666666667</v>
      </c>
      <c r="Y1837" s="22" t="str">
        <f aca="false">IF(W1837&gt;0,"Win",IF(W1837&lt;0,"Loss","Flat"))</f>
        <v>Win</v>
      </c>
      <c r="Z1837" s="24" t="n">
        <f aca="false">Summary!$C$5+SUM(W$2:W1837)</f>
        <v>4946.6</v>
      </c>
      <c r="AA1837" s="24" t="n">
        <f aca="false">MAX(AA1836,Z1837)</f>
        <v>5106.86</v>
      </c>
      <c r="AB1837" s="24" t="n">
        <f aca="false">AA1837-Z1837</f>
        <v>160.259999999999</v>
      </c>
      <c r="AC1837" s="23" t="n">
        <f aca="false">IFERROR(AB1837/AA1837,0)</f>
        <v>0.0313813184618336</v>
      </c>
      <c r="AD1837" s="22" t="s">
        <v>2074</v>
      </c>
    </row>
    <row r="1838" customFormat="false" ht="15" hidden="false" customHeight="false" outlineLevel="0" collapsed="false">
      <c r="A1838" s="22" t="n">
        <v>1837</v>
      </c>
      <c r="B1838" s="22" t="s">
        <v>173</v>
      </c>
      <c r="C1838" s="37" t="n">
        <v>46286.7107638889</v>
      </c>
      <c r="D1838" s="22" t="s">
        <v>202</v>
      </c>
      <c r="E1838" s="22" t="n">
        <v>17</v>
      </c>
      <c r="F1838" s="22" t="s">
        <v>182</v>
      </c>
      <c r="G1838" s="22" t="s">
        <v>237</v>
      </c>
      <c r="H1838" s="22" t="n">
        <v>0.08</v>
      </c>
      <c r="I1838" s="38" t="n">
        <v>4334.11</v>
      </c>
      <c r="J1838" s="38" t="n">
        <v>4334.11</v>
      </c>
      <c r="K1838" s="39" t="n">
        <f aca="false">IF(F1838="BUY",J1838-I1838,I1838-J1838)</f>
        <v>0</v>
      </c>
      <c r="L1838" s="38" t="n">
        <v>4340.11</v>
      </c>
      <c r="M1838" s="39" t="n">
        <f aca="false">ABS(I1838-L1838)</f>
        <v>6</v>
      </c>
      <c r="N1838" s="24" t="n">
        <f aca="false">M1838*H1838*Summary!$C$6</f>
        <v>48</v>
      </c>
      <c r="O1838" s="37" t="n">
        <v>46286.7115046296</v>
      </c>
      <c r="P1838" s="22" t="n">
        <f aca="false">ROUND((O1838-C1838)*86400,0)</f>
        <v>64</v>
      </c>
      <c r="Q1838" s="22" t="str">
        <f aca="false">IF(P1838&lt;10,"a) &lt;10s",IF(P1838&lt;60,"b) 10-60s",IF(P1838&lt;600,"c) 1-10min","d) &gt;10min")))</f>
        <v>c) 1-10min</v>
      </c>
      <c r="R1838" s="38" t="n">
        <v>4333.61</v>
      </c>
      <c r="S1838" s="38" t="n">
        <v>4333.89</v>
      </c>
      <c r="T1838" s="22" t="s">
        <v>189</v>
      </c>
      <c r="U1838" s="39" t="n">
        <f aca="false">IF(R1838="","",IF(F1838="BUY",R1838-S1838,S1838-R1838))</f>
        <v>0.280000000000655</v>
      </c>
      <c r="V1838" s="39" t="n">
        <f aca="false">IF(F1838="BUY",S1838-J1838,J1838-S1838)</f>
        <v>0.219999999999345</v>
      </c>
      <c r="W1838" s="6" t="n">
        <v>1.76</v>
      </c>
      <c r="X1838" s="26" t="n">
        <f aca="false">IFERROR(W1838/N1838,0)</f>
        <v>0.0366666666666667</v>
      </c>
      <c r="Y1838" s="22" t="str">
        <f aca="false">IF(W1838&gt;0,"Win",IF(W1838&lt;0,"Loss","Flat"))</f>
        <v>Win</v>
      </c>
      <c r="Z1838" s="24" t="n">
        <f aca="false">Summary!$C$5+SUM(W$2:W1838)</f>
        <v>4948.36</v>
      </c>
      <c r="AA1838" s="24" t="n">
        <f aca="false">MAX(AA1837,Z1838)</f>
        <v>5106.86</v>
      </c>
      <c r="AB1838" s="24" t="n">
        <f aca="false">AA1838-Z1838</f>
        <v>158.5</v>
      </c>
      <c r="AC1838" s="23" t="n">
        <f aca="false">IFERROR(AB1838/AA1838,0)</f>
        <v>0.0310366839897706</v>
      </c>
      <c r="AD1838" s="22" t="s">
        <v>2075</v>
      </c>
    </row>
    <row r="1839" customFormat="false" ht="15" hidden="false" customHeight="false" outlineLevel="0" collapsed="false">
      <c r="A1839" s="22" t="n">
        <v>1838</v>
      </c>
      <c r="B1839" s="22" t="s">
        <v>173</v>
      </c>
      <c r="C1839" s="37" t="n">
        <v>46287.3579861111</v>
      </c>
      <c r="D1839" s="22" t="s">
        <v>203</v>
      </c>
      <c r="E1839" s="22" t="n">
        <v>8</v>
      </c>
      <c r="F1839" s="22" t="s">
        <v>182</v>
      </c>
      <c r="G1839" s="22" t="s">
        <v>237</v>
      </c>
      <c r="H1839" s="22" t="n">
        <v>0.08</v>
      </c>
      <c r="I1839" s="38" t="n">
        <v>4322.34</v>
      </c>
      <c r="J1839" s="38" t="n">
        <v>4322.2</v>
      </c>
      <c r="K1839" s="39" t="n">
        <f aca="false">IF(F1839="BUY",J1839-I1839,I1839-J1839)</f>
        <v>0.140000000000327</v>
      </c>
      <c r="L1839" s="38" t="n">
        <v>4328.34</v>
      </c>
      <c r="M1839" s="39" t="n">
        <f aca="false">ABS(I1839-L1839)</f>
        <v>6</v>
      </c>
      <c r="N1839" s="24" t="n">
        <f aca="false">M1839*H1839*Summary!$C$6</f>
        <v>48</v>
      </c>
      <c r="O1839" s="37" t="n">
        <v>46287.3587962963</v>
      </c>
      <c r="P1839" s="22" t="n">
        <f aca="false">ROUND((O1839-C1839)*86400,0)</f>
        <v>70</v>
      </c>
      <c r="Q1839" s="22" t="str">
        <f aca="false">IF(P1839&lt;10,"a) &lt;10s",IF(P1839&lt;60,"b) 10-60s",IF(P1839&lt;600,"c) 1-10min","d) &gt;10min")))</f>
        <v>c) 1-10min</v>
      </c>
      <c r="R1839" s="38" t="n">
        <v>4321.7</v>
      </c>
      <c r="S1839" s="38" t="n">
        <v>4321.7</v>
      </c>
      <c r="T1839" s="22" t="s">
        <v>189</v>
      </c>
      <c r="U1839" s="39" t="n">
        <f aca="false">IF(R1839="","",IF(F1839="BUY",R1839-S1839,S1839-R1839))</f>
        <v>0</v>
      </c>
      <c r="V1839" s="39" t="n">
        <f aca="false">IF(F1839="BUY",S1839-J1839,J1839-S1839)</f>
        <v>0.5</v>
      </c>
      <c r="W1839" s="6" t="n">
        <v>4</v>
      </c>
      <c r="X1839" s="26" t="n">
        <f aca="false">IFERROR(W1839/N1839,0)</f>
        <v>0.0833333333333333</v>
      </c>
      <c r="Y1839" s="22" t="str">
        <f aca="false">IF(W1839&gt;0,"Win",IF(W1839&lt;0,"Loss","Flat"))</f>
        <v>Win</v>
      </c>
      <c r="Z1839" s="24" t="n">
        <f aca="false">Summary!$C$5+SUM(W$2:W1839)</f>
        <v>4952.36</v>
      </c>
      <c r="AA1839" s="24" t="n">
        <f aca="false">MAX(AA1838,Z1839)</f>
        <v>5106.86</v>
      </c>
      <c r="AB1839" s="24" t="n">
        <f aca="false">AA1839-Z1839</f>
        <v>154.5</v>
      </c>
      <c r="AC1839" s="23" t="n">
        <f aca="false">IFERROR(AB1839/AA1839,0)</f>
        <v>0.0302534238259909</v>
      </c>
      <c r="AD1839" s="22" t="s">
        <v>2076</v>
      </c>
    </row>
    <row r="1840" customFormat="false" ht="15" hidden="false" customHeight="false" outlineLevel="0" collapsed="false">
      <c r="A1840" s="22" t="n">
        <v>1839</v>
      </c>
      <c r="B1840" s="22" t="s">
        <v>173</v>
      </c>
      <c r="C1840" s="37" t="n">
        <v>46287.3805208333</v>
      </c>
      <c r="D1840" s="22" t="s">
        <v>203</v>
      </c>
      <c r="E1840" s="22" t="n">
        <v>9</v>
      </c>
      <c r="F1840" s="22" t="s">
        <v>182</v>
      </c>
      <c r="G1840" s="22" t="s">
        <v>241</v>
      </c>
      <c r="H1840" s="22" t="n">
        <v>0.08</v>
      </c>
      <c r="I1840" s="38" t="n">
        <v>4315.89</v>
      </c>
      <c r="J1840" s="38" t="n">
        <v>4315.76</v>
      </c>
      <c r="K1840" s="39" t="n">
        <f aca="false">IF(F1840="BUY",J1840-I1840,I1840-J1840)</f>
        <v>0.130000000000109</v>
      </c>
      <c r="L1840" s="38" t="n">
        <v>4321.89</v>
      </c>
      <c r="M1840" s="39" t="n">
        <f aca="false">ABS(I1840-L1840)</f>
        <v>6</v>
      </c>
      <c r="N1840" s="24" t="n">
        <f aca="false">M1840*H1840*Summary!$C$6</f>
        <v>48</v>
      </c>
      <c r="O1840" s="37" t="n">
        <v>46287.4071180556</v>
      </c>
      <c r="P1840" s="22" t="n">
        <f aca="false">ROUND((O1840-C1840)*86400,0)</f>
        <v>2298</v>
      </c>
      <c r="Q1840" s="22" t="str">
        <f aca="false">IF(P1840&lt;10,"a) &lt;10s",IF(P1840&lt;60,"b) 10-60s",IF(P1840&lt;600,"c) 1-10min","d) &gt;10min")))</f>
        <v>d) &gt;10min</v>
      </c>
      <c r="R1840" s="38" t="n">
        <v>4321.89</v>
      </c>
      <c r="S1840" s="38" t="n">
        <v>4321.92</v>
      </c>
      <c r="T1840" s="22" t="s">
        <v>188</v>
      </c>
      <c r="U1840" s="39" t="n">
        <f aca="false">IF(R1840="","",IF(F1840="BUY",R1840-S1840,S1840-R1840))</f>
        <v>0.0299999999997453</v>
      </c>
      <c r="V1840" s="39" t="n">
        <f aca="false">IF(F1840="BUY",S1840-J1840,J1840-S1840)</f>
        <v>-6.15999999999985</v>
      </c>
      <c r="W1840" s="6" t="n">
        <v>-49.28</v>
      </c>
      <c r="X1840" s="26" t="n">
        <f aca="false">IFERROR(W1840/N1840,0)</f>
        <v>-1.02666666666667</v>
      </c>
      <c r="Y1840" s="22" t="str">
        <f aca="false">IF(W1840&gt;0,"Win",IF(W1840&lt;0,"Loss","Flat"))</f>
        <v>Loss</v>
      </c>
      <c r="Z1840" s="24" t="n">
        <f aca="false">Summary!$C$5+SUM(W$2:W1840)</f>
        <v>4903.08</v>
      </c>
      <c r="AA1840" s="24" t="n">
        <f aca="false">MAX(AA1839,Z1840)</f>
        <v>5106.86</v>
      </c>
      <c r="AB1840" s="24" t="n">
        <f aca="false">AA1840-Z1840</f>
        <v>203.78</v>
      </c>
      <c r="AC1840" s="23" t="n">
        <f aca="false">IFERROR(AB1840/AA1840,0)</f>
        <v>0.0399031890437568</v>
      </c>
      <c r="AD1840" s="22" t="s">
        <v>2077</v>
      </c>
    </row>
    <row r="1841" customFormat="false" ht="15" hidden="false" customHeight="false" outlineLevel="0" collapsed="false">
      <c r="A1841" s="22" t="n">
        <v>1840</v>
      </c>
      <c r="B1841" s="22" t="s">
        <v>173</v>
      </c>
      <c r="C1841" s="37" t="n">
        <v>46288.3856712963</v>
      </c>
      <c r="D1841" s="22" t="s">
        <v>204</v>
      </c>
      <c r="E1841" s="22" t="n">
        <v>9</v>
      </c>
      <c r="F1841" s="22" t="s">
        <v>182</v>
      </c>
      <c r="G1841" s="22" t="s">
        <v>241</v>
      </c>
      <c r="H1841" s="22" t="n">
        <v>0.08</v>
      </c>
      <c r="I1841" s="38" t="n">
        <v>4327.74</v>
      </c>
      <c r="J1841" s="38" t="n">
        <v>4327.63</v>
      </c>
      <c r="K1841" s="39" t="n">
        <f aca="false">IF(F1841="BUY",J1841-I1841,I1841-J1841)</f>
        <v>0.109999999999673</v>
      </c>
      <c r="L1841" s="38" t="n">
        <v>4333.74</v>
      </c>
      <c r="M1841" s="39" t="n">
        <f aca="false">ABS(I1841-L1841)</f>
        <v>6</v>
      </c>
      <c r="N1841" s="24" t="n">
        <f aca="false">M1841*H1841*Summary!$C$6</f>
        <v>48</v>
      </c>
      <c r="O1841" s="37" t="n">
        <v>46288.4021412037</v>
      </c>
      <c r="P1841" s="22" t="n">
        <f aca="false">ROUND((O1841-C1841)*86400,0)</f>
        <v>1423</v>
      </c>
      <c r="Q1841" s="22" t="str">
        <f aca="false">IF(P1841&lt;10,"a) &lt;10s",IF(P1841&lt;60,"b) 10-60s",IF(P1841&lt;600,"c) 1-10min","d) &gt;10min")))</f>
        <v>d) &gt;10min</v>
      </c>
      <c r="R1841" s="38" t="n">
        <v>4333.74</v>
      </c>
      <c r="S1841" s="38" t="n">
        <v>4334.61</v>
      </c>
      <c r="T1841" s="22" t="s">
        <v>188</v>
      </c>
      <c r="U1841" s="39" t="n">
        <f aca="false">IF(R1841="","",IF(F1841="BUY",R1841-S1841,S1841-R1841))</f>
        <v>0.869999999999891</v>
      </c>
      <c r="V1841" s="39" t="n">
        <f aca="false">IF(F1841="BUY",S1841-J1841,J1841-S1841)</f>
        <v>-6.97999999999956</v>
      </c>
      <c r="W1841" s="6" t="n">
        <v>-55.84</v>
      </c>
      <c r="X1841" s="26" t="n">
        <f aca="false">IFERROR(W1841/N1841,0)</f>
        <v>-1.16333333333333</v>
      </c>
      <c r="Y1841" s="22" t="str">
        <f aca="false">IF(W1841&gt;0,"Win",IF(W1841&lt;0,"Loss","Flat"))</f>
        <v>Loss</v>
      </c>
      <c r="Z1841" s="24" t="n">
        <f aca="false">Summary!$C$5+SUM(W$2:W1841)</f>
        <v>4847.24</v>
      </c>
      <c r="AA1841" s="24" t="n">
        <f aca="false">MAX(AA1840,Z1841)</f>
        <v>5106.86</v>
      </c>
      <c r="AB1841" s="24" t="n">
        <f aca="false">AA1841-Z1841</f>
        <v>259.62</v>
      </c>
      <c r="AC1841" s="23" t="n">
        <f aca="false">IFERROR(AB1841/AA1841,0)</f>
        <v>0.0508375009301214</v>
      </c>
      <c r="AD1841" s="22" t="s">
        <v>2078</v>
      </c>
    </row>
    <row r="1842" customFormat="false" ht="15" hidden="false" customHeight="false" outlineLevel="0" collapsed="false">
      <c r="A1842" s="22" t="n">
        <v>1841</v>
      </c>
      <c r="B1842" s="22" t="s">
        <v>173</v>
      </c>
      <c r="C1842" s="37" t="n">
        <v>46288.6962268519</v>
      </c>
      <c r="D1842" s="22" t="s">
        <v>204</v>
      </c>
      <c r="E1842" s="22" t="n">
        <v>16</v>
      </c>
      <c r="F1842" s="22" t="s">
        <v>182</v>
      </c>
      <c r="G1842" s="22" t="s">
        <v>237</v>
      </c>
      <c r="H1842" s="22" t="n">
        <v>0.08</v>
      </c>
      <c r="I1842" s="38" t="n">
        <v>4291.25</v>
      </c>
      <c r="J1842" s="38" t="n">
        <v>4290.77</v>
      </c>
      <c r="K1842" s="39" t="n">
        <f aca="false">IF(F1842="BUY",J1842-I1842,I1842-J1842)</f>
        <v>0.479999999999563</v>
      </c>
      <c r="L1842" s="38" t="n">
        <v>4297.25</v>
      </c>
      <c r="M1842" s="39" t="n">
        <f aca="false">ABS(I1842-L1842)</f>
        <v>6</v>
      </c>
      <c r="N1842" s="24" t="n">
        <f aca="false">M1842*H1842*Summary!$C$6</f>
        <v>48</v>
      </c>
      <c r="O1842" s="37" t="n">
        <v>46288.6967592593</v>
      </c>
      <c r="P1842" s="22" t="n">
        <f aca="false">ROUND((O1842-C1842)*86400,0)</f>
        <v>46</v>
      </c>
      <c r="Q1842" s="22" t="str">
        <f aca="false">IF(P1842&lt;10,"a) &lt;10s",IF(P1842&lt;60,"b) 10-60s",IF(P1842&lt;600,"c) 1-10min","d) &gt;10min")))</f>
        <v>b) 10-60s</v>
      </c>
      <c r="R1842" s="38" t="n">
        <v>4290.27</v>
      </c>
      <c r="S1842" s="38" t="n">
        <v>4290.3</v>
      </c>
      <c r="T1842" s="22" t="s">
        <v>189</v>
      </c>
      <c r="U1842" s="39" t="n">
        <f aca="false">IF(R1842="","",IF(F1842="BUY",R1842-S1842,S1842-R1842))</f>
        <v>0.0299999999997453</v>
      </c>
      <c r="V1842" s="39" t="n">
        <f aca="false">IF(F1842="BUY",S1842-J1842,J1842-S1842)</f>
        <v>0.470000000000255</v>
      </c>
      <c r="W1842" s="6" t="n">
        <v>3.76</v>
      </c>
      <c r="X1842" s="26" t="n">
        <f aca="false">IFERROR(W1842/N1842,0)</f>
        <v>0.0783333333333333</v>
      </c>
      <c r="Y1842" s="22" t="str">
        <f aca="false">IF(W1842&gt;0,"Win",IF(W1842&lt;0,"Loss","Flat"))</f>
        <v>Win</v>
      </c>
      <c r="Z1842" s="24" t="n">
        <f aca="false">Summary!$C$5+SUM(W$2:W1842)</f>
        <v>4851</v>
      </c>
      <c r="AA1842" s="24" t="n">
        <f aca="false">MAX(AA1841,Z1842)</f>
        <v>5106.86</v>
      </c>
      <c r="AB1842" s="24" t="n">
        <f aca="false">AA1842-Z1842</f>
        <v>255.86</v>
      </c>
      <c r="AC1842" s="23" t="n">
        <f aca="false">IFERROR(AB1842/AA1842,0)</f>
        <v>0.0501012363761685</v>
      </c>
      <c r="AD1842" s="22" t="s">
        <v>2079</v>
      </c>
    </row>
    <row r="1843" customFormat="false" ht="15" hidden="false" customHeight="false" outlineLevel="0" collapsed="false">
      <c r="A1843" s="22" t="n">
        <v>1842</v>
      </c>
      <c r="B1843" s="22" t="s">
        <v>173</v>
      </c>
      <c r="C1843" s="37" t="n">
        <v>46289.2087268519</v>
      </c>
      <c r="D1843" s="22" t="s">
        <v>205</v>
      </c>
      <c r="E1843" s="22" t="n">
        <v>5</v>
      </c>
      <c r="F1843" s="22" t="s">
        <v>182</v>
      </c>
      <c r="G1843" s="22" t="s">
        <v>237</v>
      </c>
      <c r="H1843" s="22" t="n">
        <v>0.08</v>
      </c>
      <c r="I1843" s="38" t="n">
        <v>4274.22</v>
      </c>
      <c r="J1843" s="38" t="n">
        <v>4274.01</v>
      </c>
      <c r="K1843" s="39" t="n">
        <f aca="false">IF(F1843="BUY",J1843-I1843,I1843-J1843)</f>
        <v>0.210000000000036</v>
      </c>
      <c r="L1843" s="38" t="n">
        <v>4280.22</v>
      </c>
      <c r="M1843" s="39" t="n">
        <f aca="false">ABS(I1843-L1843)</f>
        <v>6</v>
      </c>
      <c r="N1843" s="24" t="n">
        <f aca="false">M1843*H1843*Summary!$C$6</f>
        <v>48</v>
      </c>
      <c r="O1843" s="37" t="n">
        <v>46289.2176736111</v>
      </c>
      <c r="P1843" s="22" t="n">
        <f aca="false">ROUND((O1843-C1843)*86400,0)</f>
        <v>773</v>
      </c>
      <c r="Q1843" s="22" t="str">
        <f aca="false">IF(P1843&lt;10,"a) &lt;10s",IF(P1843&lt;60,"b) 10-60s",IF(P1843&lt;600,"c) 1-10min","d) &gt;10min")))</f>
        <v>d) &gt;10min</v>
      </c>
      <c r="R1843" s="38" t="n">
        <v>4280.22</v>
      </c>
      <c r="S1843" s="38" t="n">
        <v>4280.24</v>
      </c>
      <c r="T1843" s="22" t="s">
        <v>188</v>
      </c>
      <c r="U1843" s="39" t="n">
        <f aca="false">IF(R1843="","",IF(F1843="BUY",R1843-S1843,S1843-R1843))</f>
        <v>0.0199999999995271</v>
      </c>
      <c r="V1843" s="39" t="n">
        <f aca="false">IF(F1843="BUY",S1843-J1843,J1843-S1843)</f>
        <v>-6.22999999999956</v>
      </c>
      <c r="W1843" s="6" t="n">
        <v>-49.84</v>
      </c>
      <c r="X1843" s="26" t="n">
        <f aca="false">IFERROR(W1843/N1843,0)</f>
        <v>-1.03833333333333</v>
      </c>
      <c r="Y1843" s="22" t="str">
        <f aca="false">IF(W1843&gt;0,"Win",IF(W1843&lt;0,"Loss","Flat"))</f>
        <v>Loss</v>
      </c>
      <c r="Z1843" s="24" t="n">
        <f aca="false">Summary!$C$5+SUM(W$2:W1843)</f>
        <v>4801.16</v>
      </c>
      <c r="AA1843" s="24" t="n">
        <f aca="false">MAX(AA1842,Z1843)</f>
        <v>5106.86</v>
      </c>
      <c r="AB1843" s="24" t="n">
        <f aca="false">AA1843-Z1843</f>
        <v>305.7</v>
      </c>
      <c r="AC1843" s="23" t="n">
        <f aca="false">IFERROR(AB1843/AA1843,0)</f>
        <v>0.0598606580168636</v>
      </c>
      <c r="AD1843" s="22" t="s">
        <v>2080</v>
      </c>
    </row>
    <row r="1844" customFormat="false" ht="15" hidden="false" customHeight="false" outlineLevel="0" collapsed="false">
      <c r="A1844" s="22" t="n">
        <v>1843</v>
      </c>
      <c r="B1844" s="22" t="s">
        <v>173</v>
      </c>
      <c r="C1844" s="37" t="n">
        <v>46289.4007175926</v>
      </c>
      <c r="D1844" s="22" t="s">
        <v>205</v>
      </c>
      <c r="E1844" s="22" t="n">
        <v>9</v>
      </c>
      <c r="F1844" s="22" t="s">
        <v>182</v>
      </c>
      <c r="G1844" s="22" t="s">
        <v>241</v>
      </c>
      <c r="H1844" s="22" t="n">
        <v>0.08</v>
      </c>
      <c r="I1844" s="38" t="n">
        <v>4277.27</v>
      </c>
      <c r="J1844" s="38" t="n">
        <v>4277.04</v>
      </c>
      <c r="K1844" s="39" t="n">
        <f aca="false">IF(F1844="BUY",J1844-I1844,I1844-J1844)</f>
        <v>0.230000000000473</v>
      </c>
      <c r="L1844" s="38" t="n">
        <v>4283.27</v>
      </c>
      <c r="M1844" s="39" t="n">
        <f aca="false">ABS(I1844-L1844)</f>
        <v>6</v>
      </c>
      <c r="N1844" s="24" t="n">
        <f aca="false">M1844*H1844*Summary!$C$6</f>
        <v>48</v>
      </c>
      <c r="O1844" s="37" t="n">
        <v>46289.40875</v>
      </c>
      <c r="P1844" s="22" t="n">
        <f aca="false">ROUND((O1844-C1844)*86400,0)</f>
        <v>694</v>
      </c>
      <c r="Q1844" s="22" t="str">
        <f aca="false">IF(P1844&lt;10,"a) &lt;10s",IF(P1844&lt;60,"b) 10-60s",IF(P1844&lt;600,"c) 1-10min","d) &gt;10min")))</f>
        <v>d) &gt;10min</v>
      </c>
      <c r="R1844" s="38" t="n">
        <v>4276.54</v>
      </c>
      <c r="S1844" s="38" t="n">
        <v>4276.55</v>
      </c>
      <c r="T1844" s="22" t="s">
        <v>189</v>
      </c>
      <c r="U1844" s="39" t="n">
        <f aca="false">IF(R1844="","",IF(F1844="BUY",R1844-S1844,S1844-R1844))</f>
        <v>0.0100000000002183</v>
      </c>
      <c r="V1844" s="39" t="n">
        <f aca="false">IF(F1844="BUY",S1844-J1844,J1844-S1844)</f>
        <v>0.489999999999782</v>
      </c>
      <c r="W1844" s="6" t="n">
        <v>3.92</v>
      </c>
      <c r="X1844" s="26" t="n">
        <f aca="false">IFERROR(W1844/N1844,0)</f>
        <v>0.0816666666666667</v>
      </c>
      <c r="Y1844" s="22" t="str">
        <f aca="false">IF(W1844&gt;0,"Win",IF(W1844&lt;0,"Loss","Flat"))</f>
        <v>Win</v>
      </c>
      <c r="Z1844" s="24" t="n">
        <f aca="false">Summary!$C$5+SUM(W$2:W1844)</f>
        <v>4805.08</v>
      </c>
      <c r="AA1844" s="24" t="n">
        <f aca="false">MAX(AA1843,Z1844)</f>
        <v>5106.86</v>
      </c>
      <c r="AB1844" s="24" t="n">
        <f aca="false">AA1844-Z1844</f>
        <v>301.78</v>
      </c>
      <c r="AC1844" s="23" t="n">
        <f aca="false">IFERROR(AB1844/AA1844,0)</f>
        <v>0.0590930630563594</v>
      </c>
      <c r="AD1844" s="22" t="s">
        <v>2081</v>
      </c>
    </row>
    <row r="1845" customFormat="false" ht="15" hidden="false" customHeight="false" outlineLevel="0" collapsed="false">
      <c r="A1845" s="22" t="n">
        <v>1844</v>
      </c>
      <c r="B1845" s="22" t="s">
        <v>173</v>
      </c>
      <c r="C1845" s="37" t="n">
        <v>46290.3837268519</v>
      </c>
      <c r="D1845" s="22" t="s">
        <v>206</v>
      </c>
      <c r="E1845" s="22" t="n">
        <v>9</v>
      </c>
      <c r="F1845" s="22" t="s">
        <v>181</v>
      </c>
      <c r="G1845" s="22" t="s">
        <v>235</v>
      </c>
      <c r="H1845" s="22" t="n">
        <v>0.08</v>
      </c>
      <c r="I1845" s="38" t="n">
        <v>4275.46</v>
      </c>
      <c r="J1845" s="38" t="n">
        <v>4275.46</v>
      </c>
      <c r="K1845" s="39" t="n">
        <f aca="false">IF(F1845="BUY",J1845-I1845,I1845-J1845)</f>
        <v>0</v>
      </c>
      <c r="L1845" s="38" t="n">
        <v>4269.46</v>
      </c>
      <c r="M1845" s="39" t="n">
        <f aca="false">ABS(I1845-L1845)</f>
        <v>6</v>
      </c>
      <c r="N1845" s="24" t="n">
        <f aca="false">M1845*H1845*Summary!$C$6</f>
        <v>48</v>
      </c>
      <c r="O1845" s="37" t="n">
        <v>46290.3914814815</v>
      </c>
      <c r="P1845" s="22" t="n">
        <f aca="false">ROUND((O1845-C1845)*86400,0)</f>
        <v>670</v>
      </c>
      <c r="Q1845" s="22" t="str">
        <f aca="false">IF(P1845&lt;10,"a) &lt;10s",IF(P1845&lt;60,"b) 10-60s",IF(P1845&lt;600,"c) 1-10min","d) &gt;10min")))</f>
        <v>d) &gt;10min</v>
      </c>
      <c r="R1845" s="38" t="n">
        <v>4275.96</v>
      </c>
      <c r="S1845" s="38" t="n">
        <v>4275.88</v>
      </c>
      <c r="T1845" s="22" t="s">
        <v>189</v>
      </c>
      <c r="U1845" s="39" t="n">
        <f aca="false">IF(R1845="","",IF(F1845="BUY",R1845-S1845,S1845-R1845))</f>
        <v>0.0799999999999272</v>
      </c>
      <c r="V1845" s="39" t="n">
        <f aca="false">IF(F1845="BUY",S1845-J1845,J1845-S1845)</f>
        <v>0.420000000000073</v>
      </c>
      <c r="W1845" s="6" t="n">
        <v>3.36</v>
      </c>
      <c r="X1845" s="26" t="n">
        <f aca="false">IFERROR(W1845/N1845,0)</f>
        <v>0.07</v>
      </c>
      <c r="Y1845" s="22" t="str">
        <f aca="false">IF(W1845&gt;0,"Win",IF(W1845&lt;0,"Loss","Flat"))</f>
        <v>Win</v>
      </c>
      <c r="Z1845" s="24" t="n">
        <f aca="false">Summary!$C$5+SUM(W$2:W1845)</f>
        <v>4808.44</v>
      </c>
      <c r="AA1845" s="24" t="n">
        <f aca="false">MAX(AA1844,Z1845)</f>
        <v>5106.86</v>
      </c>
      <c r="AB1845" s="24" t="n">
        <f aca="false">AA1845-Z1845</f>
        <v>298.42</v>
      </c>
      <c r="AC1845" s="23" t="n">
        <f aca="false">IFERROR(AB1845/AA1845,0)</f>
        <v>0.0584351245187846</v>
      </c>
      <c r="AD1845" s="22" t="s">
        <v>2082</v>
      </c>
    </row>
    <row r="1846" customFormat="false" ht="15" hidden="false" customHeight="false" outlineLevel="0" collapsed="false">
      <c r="A1846" s="22" t="n">
        <v>1845</v>
      </c>
      <c r="B1846" s="22" t="s">
        <v>173</v>
      </c>
      <c r="C1846" s="37" t="n">
        <v>46290.5477430556</v>
      </c>
      <c r="D1846" s="22" t="s">
        <v>206</v>
      </c>
      <c r="E1846" s="22" t="n">
        <v>13</v>
      </c>
      <c r="F1846" s="22" t="s">
        <v>181</v>
      </c>
      <c r="G1846" s="22" t="s">
        <v>243</v>
      </c>
      <c r="H1846" s="22" t="n">
        <v>0.08</v>
      </c>
      <c r="I1846" s="38" t="n">
        <v>4302.87</v>
      </c>
      <c r="J1846" s="38" t="n">
        <v>4303.06</v>
      </c>
      <c r="K1846" s="39" t="n">
        <f aca="false">IF(F1846="BUY",J1846-I1846,I1846-J1846)</f>
        <v>0.190000000000509</v>
      </c>
      <c r="L1846" s="38" t="n">
        <v>4296.87</v>
      </c>
      <c r="M1846" s="39" t="n">
        <f aca="false">ABS(I1846-L1846)</f>
        <v>6</v>
      </c>
      <c r="N1846" s="24" t="n">
        <f aca="false">M1846*H1846*Summary!$C$6</f>
        <v>48</v>
      </c>
      <c r="O1846" s="37" t="n">
        <v>46290.5550231482</v>
      </c>
      <c r="P1846" s="22" t="n">
        <f aca="false">ROUND((O1846-C1846)*86400,0)</f>
        <v>629</v>
      </c>
      <c r="Q1846" s="22" t="str">
        <f aca="false">IF(P1846&lt;10,"a) &lt;10s",IF(P1846&lt;60,"b) 10-60s",IF(P1846&lt;600,"c) 1-10min","d) &gt;10min")))</f>
        <v>d) &gt;10min</v>
      </c>
      <c r="R1846" s="38" t="n">
        <v>4303.56</v>
      </c>
      <c r="S1846" s="38" t="n">
        <v>4303.56</v>
      </c>
      <c r="T1846" s="22" t="s">
        <v>189</v>
      </c>
      <c r="U1846" s="39" t="n">
        <f aca="false">IF(R1846="","",IF(F1846="BUY",R1846-S1846,S1846-R1846))</f>
        <v>0</v>
      </c>
      <c r="V1846" s="39" t="n">
        <f aca="false">IF(F1846="BUY",S1846-J1846,J1846-S1846)</f>
        <v>0.5</v>
      </c>
      <c r="W1846" s="6" t="n">
        <v>4</v>
      </c>
      <c r="X1846" s="26" t="n">
        <f aca="false">IFERROR(W1846/N1846,0)</f>
        <v>0.0833333333333333</v>
      </c>
      <c r="Y1846" s="22" t="str">
        <f aca="false">IF(W1846&gt;0,"Win",IF(W1846&lt;0,"Loss","Flat"))</f>
        <v>Win</v>
      </c>
      <c r="Z1846" s="24" t="n">
        <f aca="false">Summary!$C$5+SUM(W$2:W1846)</f>
        <v>4812.44</v>
      </c>
      <c r="AA1846" s="24" t="n">
        <f aca="false">MAX(AA1845,Z1846)</f>
        <v>5106.86</v>
      </c>
      <c r="AB1846" s="24" t="n">
        <f aca="false">AA1846-Z1846</f>
        <v>294.42</v>
      </c>
      <c r="AC1846" s="23" t="n">
        <f aca="false">IFERROR(AB1846/AA1846,0)</f>
        <v>0.0576518643550049</v>
      </c>
      <c r="AD1846" s="22" t="s">
        <v>2083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2084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2085</v>
      </c>
      <c r="B3" s="2" t="s">
        <v>2086</v>
      </c>
      <c r="C3" s="2"/>
    </row>
    <row r="4" customFormat="false" ht="15" hidden="false" customHeight="false" outlineLevel="0" collapsed="false">
      <c r="A4" s="3" t="s">
        <v>2087</v>
      </c>
      <c r="B4" s="2" t="s">
        <v>2088</v>
      </c>
      <c r="C4" s="2"/>
    </row>
    <row r="5" customFormat="false" ht="15" hidden="false" customHeight="false" outlineLevel="0" collapsed="false">
      <c r="A5" s="3" t="s">
        <v>2089</v>
      </c>
      <c r="B5" s="2" t="s">
        <v>2090</v>
      </c>
      <c r="C5" s="2"/>
    </row>
    <row r="6" customFormat="false" ht="15" hidden="false" customHeight="false" outlineLevel="0" collapsed="false">
      <c r="A6" s="3" t="s">
        <v>2091</v>
      </c>
      <c r="B6" s="2" t="n">
        <v>5000</v>
      </c>
      <c r="C6" s="2"/>
    </row>
    <row r="7" customFormat="false" ht="15" hidden="false" customHeight="false" outlineLevel="0" collapsed="false">
      <c r="A7" s="3" t="s">
        <v>2092</v>
      </c>
      <c r="B7" s="2" t="s">
        <v>2093</v>
      </c>
      <c r="C7" s="2"/>
    </row>
    <row r="8" customFormat="false" ht="15" hidden="false" customHeight="false" outlineLevel="0" collapsed="false">
      <c r="A8" s="3" t="s">
        <v>2094</v>
      </c>
      <c r="B8" s="2" t="s">
        <v>2095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8" t="s">
        <v>2096</v>
      </c>
      <c r="B10" s="8" t="s">
        <v>35</v>
      </c>
      <c r="C10" s="8" t="s">
        <v>2097</v>
      </c>
    </row>
    <row r="11" customFormat="false" ht="15" hidden="false" customHeight="false" outlineLevel="0" collapsed="false">
      <c r="A11" s="3" t="s">
        <v>2098</v>
      </c>
      <c r="B11" s="2"/>
      <c r="C11" s="2"/>
    </row>
    <row r="12" customFormat="false" ht="15" hidden="false" customHeight="false" outlineLevel="0" collapsed="false">
      <c r="A12" s="2" t="s">
        <v>2099</v>
      </c>
      <c r="B12" s="2" t="s">
        <v>2100</v>
      </c>
      <c r="C12" s="2"/>
    </row>
    <row r="13" customFormat="false" ht="15" hidden="false" customHeight="false" outlineLevel="0" collapsed="false">
      <c r="A13" s="3" t="s">
        <v>2101</v>
      </c>
      <c r="B13" s="2"/>
      <c r="C13" s="2"/>
    </row>
    <row r="14" customFormat="false" ht="15" hidden="false" customHeight="false" outlineLevel="0" collapsed="false">
      <c r="A14" s="2" t="s">
        <v>2102</v>
      </c>
      <c r="B14" s="2" t="s">
        <v>2103</v>
      </c>
      <c r="C14" s="2"/>
    </row>
    <row r="15" customFormat="false" ht="15" hidden="false" customHeight="false" outlineLevel="0" collapsed="false">
      <c r="A15" s="2" t="s">
        <v>2104</v>
      </c>
      <c r="B15" s="2" t="s">
        <v>2105</v>
      </c>
      <c r="C15" s="2"/>
    </row>
    <row r="16" customFormat="false" ht="15" hidden="false" customHeight="false" outlineLevel="0" collapsed="false">
      <c r="A16" s="2" t="s">
        <v>2106</v>
      </c>
      <c r="B16" s="2" t="s">
        <v>2103</v>
      </c>
      <c r="C16" s="2"/>
    </row>
    <row r="17" customFormat="false" ht="15" hidden="false" customHeight="false" outlineLevel="0" collapsed="false">
      <c r="A17" s="2" t="s">
        <v>2107</v>
      </c>
      <c r="B17" s="2" t="s">
        <v>2108</v>
      </c>
      <c r="C17" s="2"/>
    </row>
    <row r="18" customFormat="false" ht="15" hidden="false" customHeight="false" outlineLevel="0" collapsed="false">
      <c r="A18" s="2" t="s">
        <v>2109</v>
      </c>
      <c r="B18" s="2" t="s">
        <v>2110</v>
      </c>
      <c r="C18" s="2"/>
    </row>
    <row r="19" customFormat="false" ht="15" hidden="false" customHeight="false" outlineLevel="0" collapsed="false">
      <c r="A19" s="2" t="s">
        <v>2111</v>
      </c>
      <c r="B19" s="2" t="s">
        <v>2100</v>
      </c>
      <c r="C19" s="2"/>
    </row>
    <row r="20" customFormat="false" ht="15" hidden="false" customHeight="false" outlineLevel="0" collapsed="false">
      <c r="A20" s="2" t="s">
        <v>2112</v>
      </c>
      <c r="B20" s="2" t="s">
        <v>2113</v>
      </c>
      <c r="C20" s="2"/>
    </row>
    <row r="21" customFormat="false" ht="15" hidden="false" customHeight="false" outlineLevel="0" collapsed="false">
      <c r="A21" s="2" t="s">
        <v>2114</v>
      </c>
      <c r="B21" s="2" t="s">
        <v>2100</v>
      </c>
      <c r="C21" s="2"/>
    </row>
    <row r="22" customFormat="false" ht="15" hidden="false" customHeight="false" outlineLevel="0" collapsed="false">
      <c r="A22" s="2" t="s">
        <v>2115</v>
      </c>
      <c r="B22" s="2" t="s">
        <v>2116</v>
      </c>
      <c r="C22" s="2"/>
    </row>
    <row r="23" customFormat="false" ht="15" hidden="false" customHeight="false" outlineLevel="0" collapsed="false">
      <c r="A23" s="2" t="s">
        <v>2117</v>
      </c>
      <c r="B23" s="2" t="s">
        <v>2118</v>
      </c>
      <c r="C23" s="2"/>
    </row>
    <row r="24" customFormat="false" ht="15" hidden="false" customHeight="false" outlineLevel="0" collapsed="false">
      <c r="A24" s="2" t="s">
        <v>2119</v>
      </c>
      <c r="B24" s="2" t="s">
        <v>2120</v>
      </c>
      <c r="C24" s="2"/>
    </row>
    <row r="25" customFormat="false" ht="15" hidden="false" customHeight="false" outlineLevel="0" collapsed="false">
      <c r="A25" s="2" t="s">
        <v>2121</v>
      </c>
      <c r="B25" s="2" t="s">
        <v>2122</v>
      </c>
      <c r="C25" s="2"/>
    </row>
    <row r="26" customFormat="false" ht="15" hidden="false" customHeight="false" outlineLevel="0" collapsed="false">
      <c r="A26" s="2" t="s">
        <v>2123</v>
      </c>
      <c r="B26" s="2" t="s">
        <v>2124</v>
      </c>
      <c r="C26" s="2"/>
    </row>
    <row r="27" customFormat="false" ht="15" hidden="false" customHeight="false" outlineLevel="0" collapsed="false">
      <c r="A27" s="2" t="s">
        <v>2125</v>
      </c>
      <c r="B27" s="2" t="s">
        <v>2100</v>
      </c>
      <c r="C27" s="2"/>
    </row>
    <row r="28" customFormat="false" ht="15" hidden="false" customHeight="false" outlineLevel="0" collapsed="false">
      <c r="A28" s="3" t="s">
        <v>2126</v>
      </c>
      <c r="B28" s="2"/>
      <c r="C28" s="2"/>
    </row>
    <row r="29" customFormat="false" ht="15" hidden="false" customHeight="false" outlineLevel="0" collapsed="false">
      <c r="A29" s="2" t="s">
        <v>2127</v>
      </c>
      <c r="B29" s="2" t="s">
        <v>2100</v>
      </c>
      <c r="C29" s="2"/>
    </row>
    <row r="30" customFormat="false" ht="15" hidden="false" customHeight="false" outlineLevel="0" collapsed="false">
      <c r="A30" s="2" t="s">
        <v>2128</v>
      </c>
      <c r="B30" s="2" t="s">
        <v>2100</v>
      </c>
      <c r="C30" s="2"/>
    </row>
    <row r="31" customFormat="false" ht="15" hidden="false" customHeight="false" outlineLevel="0" collapsed="false">
      <c r="A31" s="2" t="s">
        <v>2129</v>
      </c>
      <c r="B31" s="2" t="s">
        <v>2100</v>
      </c>
      <c r="C31" s="2"/>
    </row>
    <row r="32" customFormat="false" ht="15" hidden="false" customHeight="false" outlineLevel="0" collapsed="false">
      <c r="A32" s="2" t="s">
        <v>2130</v>
      </c>
      <c r="B32" s="2" t="s">
        <v>2100</v>
      </c>
      <c r="C32" s="2"/>
    </row>
    <row r="33" customFormat="false" ht="15" hidden="false" customHeight="false" outlineLevel="0" collapsed="false">
      <c r="A33" s="2" t="s">
        <v>2131</v>
      </c>
      <c r="B33" s="2" t="s">
        <v>2100</v>
      </c>
      <c r="C33" s="2"/>
    </row>
    <row r="34" customFormat="false" ht="15" hidden="false" customHeight="false" outlineLevel="0" collapsed="false">
      <c r="A34" s="2" t="s">
        <v>2132</v>
      </c>
      <c r="B34" s="2" t="s">
        <v>2133</v>
      </c>
      <c r="C34" s="2"/>
    </row>
    <row r="35" customFormat="false" ht="15" hidden="false" customHeight="false" outlineLevel="0" collapsed="false">
      <c r="A35" s="2" t="s">
        <v>2134</v>
      </c>
      <c r="B35" s="2" t="s">
        <v>2100</v>
      </c>
      <c r="C35" s="2"/>
    </row>
    <row r="36" customFormat="false" ht="15" hidden="false" customHeight="false" outlineLevel="0" collapsed="false">
      <c r="A36" s="2" t="s">
        <v>2135</v>
      </c>
      <c r="B36" s="2" t="s">
        <v>2136</v>
      </c>
      <c r="C36" s="2"/>
    </row>
    <row r="37" customFormat="false" ht="15" hidden="false" customHeight="false" outlineLevel="0" collapsed="false">
      <c r="A37" s="2" t="s">
        <v>2137</v>
      </c>
      <c r="B37" s="2" t="s">
        <v>2138</v>
      </c>
      <c r="C37" s="2"/>
    </row>
    <row r="38" customFormat="false" ht="15" hidden="false" customHeight="false" outlineLevel="0" collapsed="false">
      <c r="A38" s="2" t="s">
        <v>2139</v>
      </c>
      <c r="B38" s="2" t="s">
        <v>2140</v>
      </c>
      <c r="C38" s="2"/>
    </row>
    <row r="39" customFormat="false" ht="15" hidden="false" customHeight="false" outlineLevel="0" collapsed="false">
      <c r="A39" s="2" t="s">
        <v>2141</v>
      </c>
      <c r="B39" s="2" t="s">
        <v>2103</v>
      </c>
      <c r="C39" s="2"/>
    </row>
    <row r="40" customFormat="false" ht="15" hidden="false" customHeight="false" outlineLevel="0" collapsed="false">
      <c r="A40" s="2" t="s">
        <v>2142</v>
      </c>
      <c r="B40" s="2" t="s">
        <v>2100</v>
      </c>
      <c r="C40" s="2"/>
    </row>
    <row r="41" customFormat="false" ht="15" hidden="false" customHeight="false" outlineLevel="0" collapsed="false">
      <c r="A41" s="3" t="s">
        <v>2143</v>
      </c>
      <c r="B41" s="2"/>
      <c r="C41" s="2"/>
    </row>
    <row r="42" customFormat="false" ht="15" hidden="false" customHeight="false" outlineLevel="0" collapsed="false">
      <c r="A42" s="2" t="s">
        <v>2144</v>
      </c>
      <c r="B42" s="2" t="s">
        <v>2145</v>
      </c>
      <c r="C42" s="2"/>
    </row>
    <row r="43" customFormat="false" ht="15" hidden="false" customHeight="false" outlineLevel="0" collapsed="false">
      <c r="A43" s="2" t="s">
        <v>2146</v>
      </c>
      <c r="B43" s="2" t="s">
        <v>2133</v>
      </c>
      <c r="C43" s="2"/>
    </row>
    <row r="44" customFormat="false" ht="15" hidden="false" customHeight="false" outlineLevel="0" collapsed="false">
      <c r="A44" s="2" t="s">
        <v>2147</v>
      </c>
      <c r="B44" s="2" t="s">
        <v>2113</v>
      </c>
      <c r="C44" s="2"/>
    </row>
    <row r="45" customFormat="false" ht="15" hidden="false" customHeight="false" outlineLevel="0" collapsed="false">
      <c r="A45" s="2" t="s">
        <v>2148</v>
      </c>
      <c r="B45" s="2" t="s">
        <v>2136</v>
      </c>
      <c r="C45" s="2"/>
    </row>
    <row r="46" customFormat="false" ht="15" hidden="false" customHeight="false" outlineLevel="0" collapsed="false">
      <c r="A46" s="2" t="s">
        <v>2149</v>
      </c>
      <c r="B46" s="2" t="s">
        <v>2100</v>
      </c>
      <c r="C46" s="2"/>
    </row>
    <row r="47" customFormat="false" ht="15" hidden="false" customHeight="false" outlineLevel="0" collapsed="false">
      <c r="A47" s="2" t="s">
        <v>2150</v>
      </c>
      <c r="B47" s="2" t="s">
        <v>2151</v>
      </c>
      <c r="C47" s="2"/>
    </row>
    <row r="48" customFormat="false" ht="15" hidden="false" customHeight="false" outlineLevel="0" collapsed="false">
      <c r="A48" s="2" t="s">
        <v>2152</v>
      </c>
      <c r="B48" s="2" t="s">
        <v>2136</v>
      </c>
      <c r="C48" s="2"/>
    </row>
    <row r="49" customFormat="false" ht="15" hidden="false" customHeight="false" outlineLevel="0" collapsed="false">
      <c r="A49" s="3" t="s">
        <v>2153</v>
      </c>
      <c r="B49" s="2"/>
      <c r="C49" s="2"/>
    </row>
    <row r="50" customFormat="false" ht="15" hidden="false" customHeight="false" outlineLevel="0" collapsed="false">
      <c r="A50" s="2" t="s">
        <v>2154</v>
      </c>
      <c r="B50" s="2" t="s">
        <v>2103</v>
      </c>
      <c r="C50" s="2"/>
    </row>
    <row r="51" customFormat="false" ht="15" hidden="false" customHeight="false" outlineLevel="0" collapsed="false">
      <c r="A51" s="2" t="s">
        <v>2155</v>
      </c>
      <c r="B51" s="2" t="s">
        <v>2103</v>
      </c>
      <c r="C51" s="2"/>
    </row>
    <row r="52" customFormat="false" ht="15" hidden="false" customHeight="false" outlineLevel="0" collapsed="false">
      <c r="A52" s="2" t="s">
        <v>2156</v>
      </c>
      <c r="B52" s="2" t="s">
        <v>2103</v>
      </c>
      <c r="C52" s="2"/>
    </row>
    <row r="53" customFormat="false" ht="15" hidden="false" customHeight="false" outlineLevel="0" collapsed="false">
      <c r="A53" s="2" t="s">
        <v>2157</v>
      </c>
      <c r="B53" s="2" t="s">
        <v>2103</v>
      </c>
      <c r="C53" s="2"/>
    </row>
    <row r="54" customFormat="false" ht="15" hidden="false" customHeight="false" outlineLevel="0" collapsed="false">
      <c r="A54" s="2" t="s">
        <v>2158</v>
      </c>
      <c r="B54" s="2" t="s">
        <v>2103</v>
      </c>
      <c r="C54" s="2"/>
    </row>
    <row r="55" customFormat="false" ht="15" hidden="false" customHeight="false" outlineLevel="0" collapsed="false">
      <c r="A55" s="2" t="s">
        <v>2159</v>
      </c>
      <c r="B55" s="2"/>
      <c r="C55" s="2"/>
    </row>
    <row r="56" customFormat="false" ht="15" hidden="false" customHeight="false" outlineLevel="0" collapsed="false">
      <c r="A56" s="2" t="s">
        <v>2160</v>
      </c>
      <c r="B56" s="2"/>
      <c r="C56" s="2"/>
    </row>
    <row r="57" customFormat="false" ht="15" hidden="false" customHeight="false" outlineLevel="0" collapsed="false">
      <c r="A57" s="2" t="s">
        <v>2161</v>
      </c>
      <c r="B57" s="2" t="s">
        <v>2103</v>
      </c>
      <c r="C57" s="2"/>
    </row>
    <row r="58" customFormat="false" ht="15" hidden="false" customHeight="false" outlineLevel="0" collapsed="false">
      <c r="A58" s="2" t="s">
        <v>2162</v>
      </c>
      <c r="B58" s="2" t="s">
        <v>2116</v>
      </c>
      <c r="C58" s="2"/>
    </row>
    <row r="59" customFormat="false" ht="15" hidden="false" customHeight="false" outlineLevel="0" collapsed="false">
      <c r="A59" s="2" t="s">
        <v>2163</v>
      </c>
      <c r="B59" s="2"/>
      <c r="C59" s="2"/>
    </row>
    <row r="60" customFormat="false" ht="15" hidden="false" customHeight="false" outlineLevel="0" collapsed="false">
      <c r="A60" s="2" t="s">
        <v>2164</v>
      </c>
      <c r="B60" s="2" t="s">
        <v>2100</v>
      </c>
      <c r="C60" s="2"/>
    </row>
    <row r="61" customFormat="false" ht="15" hidden="false" customHeight="false" outlineLevel="0" collapsed="false">
      <c r="A61" s="2" t="s">
        <v>2165</v>
      </c>
      <c r="B61" s="2" t="s">
        <v>2100</v>
      </c>
      <c r="C61" s="2"/>
    </row>
    <row r="62" customFormat="false" ht="15" hidden="false" customHeight="false" outlineLevel="0" collapsed="false">
      <c r="A62" s="3" t="s">
        <v>2166</v>
      </c>
      <c r="B62" s="2"/>
      <c r="C62" s="2"/>
    </row>
    <row r="63" customFormat="false" ht="15" hidden="false" customHeight="false" outlineLevel="0" collapsed="false">
      <c r="A63" s="2" t="s">
        <v>2167</v>
      </c>
      <c r="B63" s="2" t="s">
        <v>2168</v>
      </c>
      <c r="C63" s="2" t="s">
        <v>2169</v>
      </c>
    </row>
    <row r="64" customFormat="false" ht="15" hidden="false" customHeight="false" outlineLevel="0" collapsed="false">
      <c r="A64" s="2" t="s">
        <v>2170</v>
      </c>
      <c r="B64" s="2" t="s">
        <v>2145</v>
      </c>
      <c r="C64" s="2"/>
    </row>
    <row r="65" customFormat="false" ht="15" hidden="false" customHeight="false" outlineLevel="0" collapsed="false">
      <c r="A65" s="2" t="s">
        <v>2171</v>
      </c>
      <c r="B65" s="2" t="s">
        <v>2172</v>
      </c>
      <c r="C65" s="2"/>
    </row>
    <row r="66" customFormat="false" ht="15" hidden="false" customHeight="false" outlineLevel="0" collapsed="false">
      <c r="A66" s="2" t="s">
        <v>2173</v>
      </c>
      <c r="B66" s="2" t="s">
        <v>2174</v>
      </c>
      <c r="C66" s="2"/>
    </row>
    <row r="67" customFormat="false" ht="15" hidden="false" customHeight="false" outlineLevel="0" collapsed="false">
      <c r="A67" s="3" t="s">
        <v>2175</v>
      </c>
      <c r="B67" s="2"/>
      <c r="C67" s="2"/>
    </row>
    <row r="68" customFormat="false" ht="15" hidden="false" customHeight="false" outlineLevel="0" collapsed="false">
      <c r="A68" s="2" t="s">
        <v>2176</v>
      </c>
      <c r="B68" s="2" t="s">
        <v>2100</v>
      </c>
      <c r="C68" s="2"/>
    </row>
    <row r="69" customFormat="false" ht="15" hidden="false" customHeight="false" outlineLevel="0" collapsed="false">
      <c r="A69" s="2" t="s">
        <v>2177</v>
      </c>
      <c r="B69" s="2" t="s">
        <v>2178</v>
      </c>
      <c r="C69" s="2"/>
    </row>
    <row r="70" customFormat="false" ht="15" hidden="false" customHeight="false" outlineLevel="0" collapsed="false">
      <c r="A70" s="2" t="s">
        <v>2179</v>
      </c>
      <c r="B70" s="2" t="s">
        <v>2180</v>
      </c>
      <c r="C70" s="2"/>
    </row>
    <row r="71" customFormat="false" ht="15" hidden="false" customHeight="false" outlineLevel="0" collapsed="false">
      <c r="A71" s="2" t="s">
        <v>2181</v>
      </c>
      <c r="B71" s="2" t="s">
        <v>2138</v>
      </c>
      <c r="C71" s="2"/>
    </row>
    <row r="72" customFormat="false" ht="15" hidden="false" customHeight="false" outlineLevel="0" collapsed="false">
      <c r="A72" s="3" t="s">
        <v>2182</v>
      </c>
      <c r="B72" s="2"/>
      <c r="C72" s="2"/>
    </row>
    <row r="73" customFormat="false" ht="15" hidden="false" customHeight="false" outlineLevel="0" collapsed="false">
      <c r="A73" s="2" t="s">
        <v>2183</v>
      </c>
      <c r="B73" s="2" t="s">
        <v>2103</v>
      </c>
      <c r="C73" s="2"/>
    </row>
    <row r="74" customFormat="false" ht="15" hidden="false" customHeight="false" outlineLevel="0" collapsed="false">
      <c r="A74" s="2" t="s">
        <v>2184</v>
      </c>
      <c r="B74" s="2" t="s">
        <v>2185</v>
      </c>
      <c r="C74" s="2"/>
    </row>
    <row r="75" customFormat="false" ht="15" hidden="false" customHeight="false" outlineLevel="0" collapsed="false">
      <c r="A75" s="2" t="s">
        <v>2186</v>
      </c>
      <c r="B75" s="2"/>
      <c r="C7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2026-10-03T15:24:20Z</dcterms:created>
  <dc:creator>openpyxl</dc:creator>
  <dc:description/>
  <dc:language>en-US</dc:language>
  <cp:lastModifiedBy/>
  <dcterms:modified xsi:type="dcterms:W3CDTF">2026-10-03T15:24:29Z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