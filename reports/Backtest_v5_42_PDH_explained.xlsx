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Monthly" sheetId="3" state="visible" r:id="rId5"/>
    <sheet name="Breakdown" sheetId="4" state="visible" r:id="rId6"/>
    <sheet name="Trades" sheetId="5" state="visible" r:id="rId7"/>
    <sheet name="Set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1" authorId="0">
      <text>
        <r>
          <rPr>
            <sz val="10"/>
            <rFont val="Arial"/>
            <family val="2"/>
          </rPr>
          <t xml:space="preserve">Profit + commission + swap, copied from the MT5 deals list (blue = source data).</t>
        </r>
      </text>
    </comment>
    <comment ref="X1" authorId="0">
      <text>
        <r>
          <rPr>
            <sz val="10"/>
            <rFont val="Arial"/>
            <family val="2"/>
          </rPr>
          <t xml:space="preserve">Profit divided by planned risk. -1R = lost exactly what was planned; -1.5R = lost 50% more (slippage).</t>
        </r>
      </text>
    </comment>
  </commentList>
</comments>
</file>

<file path=xl/sharedStrings.xml><?xml version="1.0" encoding="utf-8"?>
<sst xmlns="http://schemas.openxmlformats.org/spreadsheetml/2006/main" count="2227" uniqueCount="615">
  <si>
    <t xml:space="preserve">How to read this workbook</t>
  </si>
  <si>
    <t xml:space="preserve">Summary</t>
  </si>
  <si>
    <t xml:space="preserve">Key numbers with a verdict and a plain-language meaning, the balance curve, and the diagnosis.</t>
  </si>
  <si>
    <t xml:space="preserve">Monthly</t>
  </si>
  <si>
    <t xml:space="preserve">One row per month: trades, win rate, net profit, profit factor, start/end balance, return.</t>
  </si>
  <si>
    <t xml:space="preserve">Breakdown</t>
  </si>
  <si>
    <t xml:space="preserve">Results split by side, exit reason, hold time, weekday and entry hour.</t>
  </si>
  <si>
    <t xml:space="preserve">Trades</t>
  </si>
  <si>
    <t xml:space="preserve">Every trade on one row: the MT5 entry deal matched to its exit deal, plus a sentence explaining what happened. Use the filter arrows in the header row.</t>
  </si>
  <si>
    <t xml:space="preserve">Settings</t>
  </si>
  <si>
    <t xml:space="preserve">The EA inputs used in this test, with the important ones explained.</t>
  </si>
  <si>
    <t xml:space="preserve">R multiple</t>
  </si>
  <si>
    <t xml:space="preserve">Profit divided by the planned risk. +2R = won twice the risk, -1R = lost the planned risk.</t>
  </si>
  <si>
    <t xml:space="preserve">Planned risk $</t>
  </si>
  <si>
    <t xml:space="preserve">Distance from order price to initial SL x lots x 100 oz.</t>
  </si>
  <si>
    <t xml:space="preserve">Entry slippage $</t>
  </si>
  <si>
    <t xml:space="preserve">How much worse than the order price the trade filled. Positive = worse.</t>
  </si>
  <si>
    <t xml:space="preserve">Exit reason</t>
  </si>
  <si>
    <t xml:space="preserve">Initial stop loss = full loss. Breakeven/trailing stop = stop had been moved to the order price or beyond (can still be a small loss because of slippage). Closed by EA = closed without an SL comment (account guard, blackout, instant close).</t>
  </si>
  <si>
    <t xml:space="preserve">Win / Loss / Flat</t>
  </si>
  <si>
    <t xml:space="preserve">Flat = closed at exactly $0.00. MT5 counts those as profit trades, so its win count can be a little higher than here.</t>
  </si>
  <si>
    <t xml:space="preserve">Times</t>
  </si>
  <si>
    <t xml:space="preserve">All times are the broker SERVER time used by the tester.</t>
  </si>
  <si>
    <t xml:space="preserve">Colours</t>
  </si>
  <si>
    <t xml:space="preserve">Blue numbers = source data from the MT5 report. Black = formulas. Yellow = the settings that matter most.</t>
  </si>
  <si>
    <t xml:space="preserve">Source</t>
  </si>
  <si>
    <t xml:space="preserve">Built from the MT5 Strategy Tester report (309 trades). All totals match the report's Total Net Profit.</t>
  </si>
  <si>
    <t xml:space="preserve">Backtest summary: plain-language version</t>
  </si>
  <si>
    <t xml:space="preserve">Xauusd pdh pdl london v5 42 | XAUUSD.m | M5 (2025.04.01 - 2026.08.30)</t>
  </si>
  <si>
    <t xml:space="preserve">Inputs (blue): change them and every number recalculates.</t>
  </si>
  <si>
    <t xml:space="preserve">Starting balance</t>
  </si>
  <si>
    <t xml:space="preserve">From the report (Initial Deposit).</t>
  </si>
  <si>
    <t xml:space="preserve">Contract size (oz per 1.00 lot)</t>
  </si>
  <si>
    <t xml:space="preserve">Assumption: standard XAUUSD contract (1 lot = 100 oz). Used for planned risk $.</t>
  </si>
  <si>
    <t xml:space="preserve">Metric</t>
  </si>
  <si>
    <t xml:space="preserve">Value</t>
  </si>
  <si>
    <t xml:space="preserve">Verdict</t>
  </si>
  <si>
    <t xml:space="preserve">What it means</t>
  </si>
  <si>
    <t xml:space="preserve">RESULT</t>
  </si>
  <si>
    <t xml:space="preserve">Net profit</t>
  </si>
  <si>
    <t xml:space="preserve">Total money made or lost over the whole test.</t>
  </si>
  <si>
    <t xml:space="preserve">Final balance</t>
  </si>
  <si>
    <t xml:space="preserve">Starting balance + net profit.</t>
  </si>
  <si>
    <t xml:space="preserve">Return on starting balance</t>
  </si>
  <si>
    <t xml:space="preserve">Net profit as % of the deposit.</t>
  </si>
  <si>
    <t xml:space="preserve">Max drawdown $</t>
  </si>
  <si>
    <t xml:space="preserve">Biggest drop from a balance peak to a later low (closed trades).</t>
  </si>
  <si>
    <t xml:space="preserve">Max drawdown %</t>
  </si>
  <si>
    <t xml:space="preserve">Same drop as % of the peak. Prop firms usually fail you at 8-10%.</t>
  </si>
  <si>
    <t xml:space="preserve">TRADES</t>
  </si>
  <si>
    <t xml:space="preserve">Total trades</t>
  </si>
  <si>
    <t xml:space="preserve">Each row of the Trades sheet = one entry + its exit.</t>
  </si>
  <si>
    <t xml:space="preserve">Winning trades</t>
  </si>
  <si>
    <t xml:space="preserve">Losing trades</t>
  </si>
  <si>
    <t xml:space="preserve">Win rate</t>
  </si>
  <si>
    <t xml:space="preserve">Share of trades that made money.</t>
  </si>
  <si>
    <t xml:space="preserve">Average win</t>
  </si>
  <si>
    <t xml:space="preserve">Typical size of a winner.</t>
  </si>
  <si>
    <t xml:space="preserve">Average loss</t>
  </si>
  <si>
    <t xml:space="preserve">Typical size of a loser.</t>
  </si>
  <si>
    <t xml:space="preserve">Win/loss size ratio</t>
  </si>
  <si>
    <t xml:space="preserve">Average win divided by average loss. Above 1 = winners bigger than losers.</t>
  </si>
  <si>
    <t xml:space="preserve">Break-even win rate needed</t>
  </si>
  <si>
    <t xml:space="preserve">With these win/loss sizes you need at least this win rate just to break even.</t>
  </si>
  <si>
    <t xml:space="preserve">Profit factor</t>
  </si>
  <si>
    <t xml:space="preserve">Gross profit / gross loss. Below 1 = losing system. Aim for 1.3+.</t>
  </si>
  <si>
    <t xml:space="preserve">Expectancy per trade</t>
  </si>
  <si>
    <t xml:space="preserve">What one trade earns on average, after slippage.</t>
  </si>
  <si>
    <t xml:space="preserve">RISK vs REALITY</t>
  </si>
  <si>
    <t xml:space="preserve">Average planned risk per trade</t>
  </si>
  <si>
    <t xml:space="preserve">SL distance x lots x 100 oz: what the EA meant to risk (about 1%).</t>
  </si>
  <si>
    <t xml:space="preserve">Average SL distance $</t>
  </si>
  <si>
    <t xml:space="preserve">How far the stop loss was from the order price, in gold dollars.</t>
  </si>
  <si>
    <t xml:space="preserve">Average entry slippage $</t>
  </si>
  <si>
    <t xml:space="preserve">How much worse than the order price the stop order filled (spread + slippage).</t>
  </si>
  <si>
    <t xml:space="preserve">Slippage as % of the stop</t>
  </si>
  <si>
    <t xml:space="preserve">Share of the stop eaten up before the trade even starts.</t>
  </si>
  <si>
    <t xml:space="preserve">Average R on losing trades</t>
  </si>
  <si>
    <t xml:space="preserve">-1.00R = lost exactly the planned risk. Below -1R = slippage made losses bigger than planned.</t>
  </si>
  <si>
    <t xml:space="preserve">Losing trades that lost more than 1R</t>
  </si>
  <si>
    <t xml:space="preserve">Losses at least 5% bigger than planned.</t>
  </si>
  <si>
    <t xml:space="preserve">Average R on winning trades</t>
  </si>
  <si>
    <t xml:space="preserve">Typical winner measured in planned risk.</t>
  </si>
  <si>
    <t xml:space="preserve">HOLD TIME</t>
  </si>
  <si>
    <t xml:space="preserve">Median hold (seconds)</t>
  </si>
  <si>
    <t xml:space="preserve">Half of all trades were closed faster than this.</t>
  </si>
  <si>
    <t xml:space="preserve">Trades closed within 10 seconds</t>
  </si>
  <si>
    <t xml:space="preserve">In seconds-long trades the result is mostly spread, slippage and tick noise.</t>
  </si>
  <si>
    <t xml:space="preserve">Trades closed within 60 seconds</t>
  </si>
  <si>
    <t xml:space="preserve">EXITS</t>
  </si>
  <si>
    <t xml:space="preserve">Exits: initial stop loss</t>
  </si>
  <si>
    <t xml:space="preserve">Full losses.</t>
  </si>
  <si>
    <t xml:space="preserve">Net $ from initial-SL exits</t>
  </si>
  <si>
    <t xml:space="preserve">Exits: trailing/breakeven stop</t>
  </si>
  <si>
    <t xml:space="preserve">Stop had been moved to the order price or beyond. Can still lose a little because of entry/exit slippage.</t>
  </si>
  <si>
    <t xml:space="preserve">Net $ from trailing/BE exits</t>
  </si>
  <si>
    <t xml:space="preserve">Exits: closed by EA</t>
  </si>
  <si>
    <t xml:space="preserve">Closed without an SL comment: account guard, blackout flatten, or an instant close.</t>
  </si>
  <si>
    <t xml:space="preserve">Net $ from EA closes</t>
  </si>
  <si>
    <t xml:space="preserve">DIAGNOSIS (analyst notes for this report)</t>
  </si>
  <si>
    <t xml:space="preserve">1. The stop loss is too small for gold. Every trade used a $1.50 stop, and gold often moves that much within a few seconds. The median trade lasted only seconds, so results are mostly noise.</t>
  </si>
  <si>
    <t xml:space="preserve">2. Slippage eats the stop. Stop orders fill on a moving price, about $0.58 worse on average, which uses up about 40% of the $1.50 stop before the trade starts.</t>
  </si>
  <si>
    <t xml:space="preserve">3. Losses are bigger than planned. Trades that hit the initial stop lost about 1.5x the planned 1% (see Breakdown &gt; Exit reason), because the exit slips too. Winners are cut short by the 10-point trail.</t>
  </si>
  <si>
    <t xml:space="preserve">4. Result: average win and average loss are about the same size, but only ~41% of trades win, so the account drifts down steadily (profit factor about 0.5).</t>
  </si>
  <si>
    <t xml:space="preserve">5. Time of day matters. Entries in the Asian session (server 01:00-05:59) lose the most (see Breakdown &gt; Entry hour).</t>
  </si>
  <si>
    <t xml:space="preserve">WHAT TO CHANGE: use a stop several times larger (e.g. $5-$12, see v7 EA), take profit at 2R, breakeven at +1R, no 10-point trail, and test each change on its own.</t>
  </si>
  <si>
    <t xml:space="preserve">Month</t>
  </si>
  <si>
    <t xml:space="preserve">Wins</t>
  </si>
  <si>
    <t xml:space="preserve">Losses</t>
  </si>
  <si>
    <t xml:space="preserve">Gross profit</t>
  </si>
  <si>
    <t xml:space="preserve">Gross loss</t>
  </si>
  <si>
    <t xml:space="preserve">Best trade</t>
  </si>
  <si>
    <t xml:space="preserve">Worst trade</t>
  </si>
  <si>
    <t xml:space="preserve">Avg R</t>
  </si>
  <si>
    <t xml:space="preserve">Start balance</t>
  </si>
  <si>
    <t xml:space="preserve">End balance</t>
  </si>
  <si>
    <t xml:space="preserve">Return %</t>
  </si>
  <si>
    <t xml:space="preserve">Comment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</si>
  <si>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</si>
  <si>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</si>
  <si>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</si>
  <si>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</si>
  <si>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</si>
  <si>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</si>
  <si>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</si>
  <si>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</si>
  <si>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</si>
  <si>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</si>
  <si>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</si>
  <si>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</si>
  <si>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</si>
  <si>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</si>
  <si>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</si>
  <si>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</si>
  <si>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</si>
  <si>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TOTAL</t>
  </si>
  <si>
    <t xml:space="preserve">Blue = up month, orange = down month.</t>
  </si>
  <si>
    <t xml:space="preserve">Where the money is made and lost</t>
  </si>
  <si>
    <t xml:space="preserve">By side</t>
  </si>
  <si>
    <t xml:space="preserve">Is one direction worse than the other?</t>
  </si>
  <si>
    <t xml:space="preserve">side</t>
  </si>
  <si>
    <t xml:space="preserve">Avg per trade</t>
  </si>
  <si>
    <t xml:space="preserve">BUY</t>
  </si>
  <si>
    <t xml:space="preserve">SELL</t>
  </si>
  <si>
    <t xml:space="preserve">Total</t>
  </si>
  <si>
    <t xml:space="preserve">By exit reason</t>
  </si>
  <si>
    <t xml:space="preserve">Avg R on 'Initial stop loss' below -1R means the stop filled worse than planned (slippage).</t>
  </si>
  <si>
    <t xml:space="preserve">exit reason</t>
  </si>
  <si>
    <t xml:space="preserve">Initial stop loss</t>
  </si>
  <si>
    <t xml:space="preserve">Breakeven/trailing stop</t>
  </si>
  <si>
    <t xml:space="preserve">Moved stop (below entry)</t>
  </si>
  <si>
    <t xml:space="preserve">Closed by EA (no SL)</t>
  </si>
  <si>
    <t xml:space="preserve">By hold time</t>
  </si>
  <si>
    <t xml:space="preserve">Trades lasting seconds are decided by spread and tick noise, not by the strategy idea.</t>
  </si>
  <si>
    <t xml:space="preserve">hold time</t>
  </si>
  <si>
    <t xml:space="preserve">a) &lt;10s</t>
  </si>
  <si>
    <t xml:space="preserve">b) 10-60s</t>
  </si>
  <si>
    <t xml:space="preserve">c) 1-10min</t>
  </si>
  <si>
    <t xml:space="preserve">d) &gt;10min</t>
  </si>
  <si>
    <t xml:space="preserve">By weekday (entry)</t>
  </si>
  <si>
    <t xml:space="preserve">Day of the week the trade was entered (server time).</t>
  </si>
  <si>
    <t xml:space="preserve">weekday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</si>
  <si>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</si>
  <si>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</si>
  <si>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</si>
  <si>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</si>
  <si>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</si>
  <si>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By entry hour (server time)</t>
  </si>
  <si>
    <t xml:space="preserve">Server hour of entry. On a UTC+2/+3 broker: 01-09 = Asian session, 10-18 = London, 15-23 = New York.</t>
  </si>
  <si>
    <t xml:space="preserve">entry hour</t>
  </si>
  <si>
    <t xml:space="preserve">#</t>
  </si>
  <si>
    <t xml:space="preserve">Entry time (server)</t>
  </si>
  <si>
    <t xml:space="preserve">Weekday</t>
  </si>
  <si>
    <t xml:space="preserve">Entry hour</t>
  </si>
  <si>
    <t xml:space="preserve">Side</t>
  </si>
  <si>
    <t xml:space="preserve">Setup</t>
  </si>
  <si>
    <t xml:space="preserve">Lots</t>
  </si>
  <si>
    <t xml:space="preserve">Order price (planned entry)</t>
  </si>
  <si>
    <t xml:space="preserve">Filled entry</t>
  </si>
  <si>
    <t xml:space="preserve">Initial SL</t>
  </si>
  <si>
    <t xml:space="preserve">SL distance $</t>
  </si>
  <si>
    <t xml:space="preserve">Exit time</t>
  </si>
  <si>
    <t xml:space="preserve">Hold (sec)</t>
  </si>
  <si>
    <t xml:space="preserve">Hold bucket</t>
  </si>
  <si>
    <t xml:space="preserve">Stop level hit</t>
  </si>
  <si>
    <t xml:space="preserve">Exit price</t>
  </si>
  <si>
    <t xml:space="preserve">Exit slippage $</t>
  </si>
  <si>
    <t xml:space="preserve">Price move $</t>
  </si>
  <si>
    <t xml:space="preserve">Profit $</t>
  </si>
  <si>
    <t xml:space="preserve">Result</t>
  </si>
  <si>
    <t xml:space="preserve">Balance after</t>
  </si>
  <si>
    <t xml:space="preserve">Peak balance</t>
  </si>
  <si>
    <t xml:space="preserve">Drawdown $</t>
  </si>
  <si>
    <t xml:space="preserve">Drawdown %</t>
  </si>
  <si>
    <t xml:space="preserve">What happened</t>
  </si>
  <si>
    <t xml:space="preserve">PDH_B</t>
  </si>
  <si>
    <t xml:space="preserve">BUY STOP at 3127.83 filled at 3128.105 ($0.28 worse). SL $1.50 away = $50 risk. Closed by the EA itself (account guard / blackout / instant close) at 3128.915 after 11m18s: +$26.73 (+0.54R).</t>
  </si>
  <si>
    <t xml:space="preserve">PDH_S</t>
  </si>
  <si>
    <t xml:space="preserve">SELL STOP at 3104.18 filled at 3104.125 ($0.05 worse). SL $1.50 away = $50 risk. Closed by the EA itself (account guard / blackout / instant close) at 3104.362 after 28s: -$7.82 (-0.16R).</t>
  </si>
  <si>
    <t xml:space="preserve">SELL STOP at 3053.94 filled at 3053.459 ($0.48 worse). SL $1.50 away = $50 risk. Price went against it; stopped at 3055.805 after 11s: -$77.42 (-1.56R).</t>
  </si>
  <si>
    <t xml:space="preserve">SELL STOP at 3015.34 filled at 3014.668 ($0.67 worse). SL $1.50 away = $48 risk. Price went against it; stopped at 3017.702 after 3s: -$97.09 (-2.02R).</t>
  </si>
  <si>
    <t xml:space="preserve">SELL STOP at 2974.57 filled at 2974.155 ($0.41 worse). SL $1.50 away = $48 risk. Closed by the EA itself (account guard / blackout / instant close) at 2974.055 after 9s: +$3.20 (+0.07R).</t>
  </si>
  <si>
    <t xml:space="preserve">BUY STOP at 3022.49 filled at 3022.625 ($0.14 worse). SL $1.50 away = $48 risk. Closed by the EA itself (account guard / blackout / instant close) at 3022.605 after 1s: -$0.64 (-0.01R).</t>
  </si>
  <si>
    <t xml:space="preserve">BUY STOP at 3099.47 filled at 3099.765 ($0.30 worse). SL $1.50 away = $48 risk. Price went against it; stopped at 3097.795 after 22s: -$63.04 (-1.31R).</t>
  </si>
  <si>
    <t xml:space="preserve">BUY STOP at 3245.03 filled at 3245.065 ($0.03 worse). SL $1.50 away = $46 risk. Price went against it; stopped at 3243.365 after 5s: -$52.70 (-1.13R).</t>
  </si>
  <si>
    <t xml:space="preserve">BUY STOP at 3233.43 filled at 3233.435 ($0.01 worse). SL $1.50 away = $46 risk. Closed by the EA itself (account guard / blackout / instant close) at 3233.855 after 3m26s: +$13.02 (+0.28R).</t>
  </si>
  <si>
    <t xml:space="preserve">BUY STOP at 3357.46 filled at 3357.905 ($0.45 worse). SL $1.50 away = $46 risk. Price went against it; stopped at 3355.945 after 25s: -$60.76 (-1.31R).</t>
  </si>
  <si>
    <t xml:space="preserve">BUY STOP at 3367.02 filled at 3367.165 ($0.14 worse). SL $1.50 away = $46 risk. Price went against it; stopped at 3365.345 after 0s: -$56.42 (-1.21R).</t>
  </si>
  <si>
    <t xml:space="preserve">SELL STOP at 3288.04 filled at 3287.525 ($0.51 worse). SL $1.50 away = $46 risk. Closed by the EA itself (account guard / blackout / instant close) at 3289.035 after 0s: -$46.81 (-1.01R).</t>
  </si>
  <si>
    <t xml:space="preserve">SELL STOP at 3299.33 filled at 3298.915 ($0.41 worse). SL $1.50 away = $45 risk. Closed by the EA itself (account guard / blackout / instant close) at 3298.875 after 2s: +$1.20 (+0.03R).</t>
  </si>
  <si>
    <t xml:space="preserve">SELL STOP at 3266.88 filled at 3264.124 ($2.76 worse). SL $1.50 away = $45 risk. Closed by the EA itself (account guard / blackout / instant close) at 3265.765 after 1s: -$49.23 (-1.09R).</t>
  </si>
  <si>
    <t xml:space="preserve">BUY STOP at 3268.81 filled at 3268.995 ($0.18 worse). SL $1.50 away = $45 risk. Closed by the EA itself (account guard / blackout / instant close) at 3269.165 after 2s: +$5.10 (+0.11R).</t>
  </si>
  <si>
    <t xml:space="preserve">BUY STOP at 3337.40 filled at 3337.555 ($0.15 worse). SL $1.50 away = $45 risk. Closed by the EA itself (account guard / blackout / instant close) at 3337.895 after 8s: +$10.20 (+0.23R).</t>
  </si>
  <si>
    <t xml:space="preserve">SELL STOP at 3359.74 filled at 3359.655 ($0.08 worse). SL $1.50 away = $45 risk. Closed by the EA itself (account guard / blackout / instant close) at 3359.725 after 9s: -$2.10 (-0.05R).</t>
  </si>
  <si>
    <t xml:space="preserve">SELL STOP at 3288.45 filled at 3287.905 ($0.54 worse). SL $1.50 away = $45 risk. Price went against it; stopped at 3290.115 after 21s: -$66.30 (-1.47R).</t>
  </si>
  <si>
    <t xml:space="preserve">SELL STOP at 3274.30 filled at 3273.875 ($0.43 worse). SL $1.50 away = $43 risk. Price went against it; stopped at 3275.925 after 2s: -$59.45 (-1.37R).</t>
  </si>
  <si>
    <t xml:space="preserve">SELL STOP at 3215.54 filled at 3215.525 ($0.01 worse). SL $1.50 away = $43 risk. Closed by the EA itself (account guard / blackout / instant close) at 3215.665 after 4s: -$4.06 (-0.09R).</t>
  </si>
  <si>
    <t xml:space="preserve">SELL STOP at 3167.55 filled at 3166.985 ($0.57 worse). SL $1.50 away = $43 risk. Closed by the EA itself (account guard / blackout / instant close) at 3167.125 after 16s: -$4.06 (-0.09R).</t>
  </si>
  <si>
    <t xml:space="preserve">SELL STOP at 3205.79 filled at 3205.769 ($0.02 worse). SL $1.50 away = $43 risk. Closed by the EA itself (account guard / blackout / instant close) at 3205.705 after 1s: +$1.86 (+0.04R).</t>
  </si>
  <si>
    <t xml:space="preserve">BUY STOP at 3249.51 filled at 3249.635 ($0.12 worse). SL $1.50 away = $43 risk. Closed by the EA itself (account guard / blackout / instant close) at 3250.375 after 2s: +$21.46 (+0.49R).</t>
  </si>
  <si>
    <t xml:space="preserve">BUY STOP at 3324.75 filled at 3324.765 ($0.01 worse). SL $1.50 away = $43 risk. Price went against it; stopped at 3323.245 after 16s: -$44.08 (-1.01R).</t>
  </si>
  <si>
    <t xml:space="preserve">SELL STOP at 3285.11 filled at 3284.555 ($0.56 worse). SL $1.50 away = $43 risk. Closed by the EA itself (account guard / blackout / instant close) at 3285.305 after 0s: -$21.75 (-0.50R).</t>
  </si>
  <si>
    <t xml:space="preserve">BUY STOP at 3345.20 filled at 3345.485 ($0.29 worse). SL $1.50 away = $43 risk. Closed by the EA itself (account guard / blackout / instant close) at 3345.545 after 2s: +$1.74 (+0.04R).</t>
  </si>
  <si>
    <t xml:space="preserve">SELL STOP at 3323.30 filled at 3323.275 ($0.03 worse). SL $1.50 away = $43 risk. Closed by the EA itself (account guard / blackout / instant close) at 3320.602 after 24s: +$77.52 (+1.78R).</t>
  </si>
  <si>
    <t xml:space="preserve">SELL STOP at 3276.08 filled at 3275.989 ($0.09 worse). SL $1.50 away = $43 risk. Closed by the EA itself (account guard / blackout / instant close) at 3276.765 after 1s: -$22.50 (-0.52R).</t>
  </si>
  <si>
    <t xml:space="preserve">BUY STOP at 3325.32 filled at 3325.652 ($0.33 worse). SL $1.50 away = $43 risk. Closed by the EA itself (account guard / blackout / instant close) at 3325.948 after 5s: +$8.58 (+0.20R).</t>
  </si>
  <si>
    <t xml:space="preserve">BUY STOP at 3322.45 filled at 3322.515 ($0.07 worse). SL $1.50 away = $43 risk. Closed by the EA itself (account guard / blackout / instant close) at 3322.998 after 7s: +$14.01 (+0.32R).</t>
  </si>
  <si>
    <t xml:space="preserve">BUY STOP at 3384.50 filled at 3384.502 ($0.00 worse). SL $1.50 away = $43 risk. Price went against it; stopped at 3382.998 after 34s: -$43.62 (-1.00R).</t>
  </si>
  <si>
    <t xml:space="preserve">SELL STOP at 3343.45 filled at 3343.058 ($0.39 worse). SL $1.50 away = $43 risk. Price went against it; stopped at 3345.012 after 6s: -$56.67 (-1.30R).</t>
  </si>
  <si>
    <t xml:space="preserve">SELL STOP at 3339.05 filled at 3338.959 ($0.09 worse). SL $1.50 away = $42 risk. Price went against it; stopped at 3340.552 after 1s: -$44.60 (-1.06R).</t>
  </si>
  <si>
    <t xml:space="preserve">SELL STOP at 3306.92 filled at 3306.825 ($0.10 worse). SL $1.50 away = $42 risk. Closed by the EA itself (account guard / blackout / instant close) at 3306.662 after 4s: +$4.56 (+0.11R).</t>
  </si>
  <si>
    <t xml:space="preserve">BUY STOP at 3338.07 filled at 3338.155 ($0.09 worse). SL $1.50 away = $42 risk. Price went against it; stopped at 3336.559 after 20s: -$44.69 (-1.06R).</t>
  </si>
  <si>
    <t xml:space="preserve">BUY STOP at 3348.90 filled at 3348.941 ($0.04 worse). SL $1.50 away = $42 risk. Price went against it; stopped at 3347.385 after 19s: -$43.57 (-1.04R).</t>
  </si>
  <si>
    <t xml:space="preserve">BUY STOP at 3398.75 filled at 3398.895 ($0.14 worse). SL $1.50 away = $42 risk. Closed by the EA itself (account guard / blackout / instant close) at 3398.148 after 0s: -$20.92 (-0.50R).</t>
  </si>
  <si>
    <t xml:space="preserve">SELL STOP at 3382.53 filled at 3382.329 ($0.20 worse). SL $1.50 away = $40 risk. Price went against it; stopped at 3384.102 after 1s: -$47.87 (-1.18R).</t>
  </si>
  <si>
    <t xml:space="preserve">SELL STOP at 3365.84 filled at 3365.515 ($0.33 worse). SL $1.50 away = $40 risk. Closed by the EA itself (account guard / blackout / instant close) at 3365.685 after 8s: -$4.59 (-0.11R).</t>
  </si>
  <si>
    <t xml:space="preserve">SELL STOP at 3362.36 filled at 3362.255 ($0.11 worse). SL $1.50 away = $40 risk. Price went against it; stopped at 3364.085 after 13s: -$49.41 (-1.22R).</t>
  </si>
  <si>
    <t xml:space="preserve">SELL STOP at 3347.27 filled at 3347.075 ($0.20 worse). SL $1.50 away = $40 risk. Closed by the EA itself (account guard / blackout / instant close) at 3347.202 after 1s: -$3.43 (-0.08R).</t>
  </si>
  <si>
    <t xml:space="preserve">SELL STOP at 3346.68 filled at 3346.045 ($0.63 worse). SL $1.50 away = $40 risk. Closed by the EA itself (account guard / blackout / instant close) at 3345.952 after 4s: +$2.51 (+0.06R).</t>
  </si>
  <si>
    <t xml:space="preserve">BUY STOP at 3336.85 filled at 3336.902 ($0.05 worse). SL $1.50 away = $40 risk. Closed by the EA itself (account guard / blackout / instant close) at 3336.825 after 3m29s: -$2.08 (-0.05R).</t>
  </si>
  <si>
    <t xml:space="preserve">SELL STOP at 3311.71 filled at 3311.325 ($0.39 worse). SL $1.50 away = $40 risk. Closed by the EA itself (account guard / blackout / instant close) at 3311.405 after 19s: -$2.16 (-0.05R).</t>
  </si>
  <si>
    <t xml:space="preserve">SELL STOP at 3309.70 filled at 3309.655 ($0.04 worse). SL $1.50 away = $40 risk. Closed by the EA itself (account guard / blackout / instant close) at 3309.492 after 49s: +$4.40 (+0.11R).</t>
  </si>
  <si>
    <t xml:space="preserve">SELL STOP at 3255.49 filled at 3254.891 ($0.60 worse). SL $1.50 away = $40 risk. Price went against it; stopped at 3257.075 after 2s: -$58.97 (-1.46R).</t>
  </si>
  <si>
    <t xml:space="preserve">BUY STOP at 3309.35 filled at 3309.425 ($0.08 worse). SL $1.50 away = $39 risk. Price went against it; stopped at 3307.798 after 1m05s: -$42.30 (-1.08R).</t>
  </si>
  <si>
    <t xml:space="preserve">SELL STOP at 3327.28 filled at 3327.145 ($0.14 worse). SL $1.50 away = $39 risk. Price went against it; stopped at 3328.785 after 6s: -$42.64 (-1.09R).</t>
  </si>
  <si>
    <t xml:space="preserve">SELL STOP at 3323.35 filled at 3323.085 ($0.26 worse). SL $1.50 away = $39 risk. Price went against it; stopped at 3324.865 after 1m13s: -$46.28 (-1.19R).</t>
  </si>
  <si>
    <t xml:space="preserve">SELL STOP at 3296.20 filled at 3296.145 ($0.05 worse). SL $1.50 away = $39 risk. Closed by the EA itself (account guard / blackout / instant close) at 3296.152 after 5s: -$0.18 (-0.00R).</t>
  </si>
  <si>
    <t xml:space="preserve">SELL STOP at 3286.91 filled at 3286.698 ($0.21 worse). SL $1.50 away = $39 risk. Price went against it; stopped at 3288.415 after 15s: -$44.64 (-1.14R).</t>
  </si>
  <si>
    <t xml:space="preserve">BUY STOP at 3330.09 filled at 3330.142 ($0.05 worse). SL $1.50 away = $38 risk. Closed by the EA itself (account guard / blackout / instant close) at 3330.825 after 20s: +$17.08 (+0.46R).</t>
  </si>
  <si>
    <t xml:space="preserve">BUY STOP at 3368.56 filled at 3368.785 ($0.22 worse). SL $1.50 away = $38 risk. Closed by the EA itself (account guard / blackout / instant close) at 3368.785 after 36s: +$0.00 (+0.00R).</t>
  </si>
  <si>
    <t xml:space="preserve">SELL STOP at 3340.76 filled at 3340.759 ($0.00 worse). SL $1.50 away = $38 risk. Closed by the EA itself (account guard / blackout / instant close) at 3340.195 after 1s: +$14.10 (+0.38R).</t>
  </si>
  <si>
    <t xml:space="preserve">SELL STOP at 3320.06 filled at 3320.018 ($0.04 worse). SL $1.50 away = $38 risk. Price went against it; stopped at 3321.585 after 1m01s: -$39.18 (-1.04R).</t>
  </si>
  <si>
    <t xml:space="preserve">BUY STOP at 3366.15 filled at 3366.435 ($0.28 worse). SL $1.50 away = $38 risk. Closed by the EA itself (account guard / blackout / instant close) at 3364.945 after 0s: -$37.25 (-0.99R).</t>
  </si>
  <si>
    <t xml:space="preserve">SELL STOP at 3319.50 filled at 3317.525 ($1.97 worse). SL $1.50 away = $38 risk. Closed by the EA itself (account guard / blackout / instant close) at 3317.152 after 6s: +$9.33 (+0.25R).</t>
  </si>
  <si>
    <t xml:space="preserve">BUY STOP at 3352.03 filled at 3352.125 ($0.09 worse). SL $1.50 away = $38 risk. Closed by the EA itself (account guard / blackout / instant close) at 3352.598 after 8s: +$11.83 (+0.32R).</t>
  </si>
  <si>
    <t xml:space="preserve">BUY STOP at 3361.04 filled at 3361.065 ($0.03 worse). SL $1.50 away = $38 risk. Closed by the EA itself (account guard / blackout / instant close) at 3361.598 after 53s: +$13.33 (+0.36R).</t>
  </si>
  <si>
    <t xml:space="preserve">BUY STOP at 3401.34 filled at 3401.472 ($0.13 worse). SL $1.50 away = $38 risk. Price went against it; stopped at 3399.825 after 5m38s: -$41.18 (-1.10R).</t>
  </si>
  <si>
    <t xml:space="preserve">BUY STOP at 3433.28 filled at 3433.302 ($0.02 worse). SL $1.50 away = $38 risk. Price went against it; stopped at 3431.655 after 43s: -$41.18 (-1.10R).</t>
  </si>
  <si>
    <t xml:space="preserve">SELL STOP at 3383.12 filled at 3383.065 ($0.05 worse). SL $1.50 away = $38 risk. Closed by the EA itself (account guard / blackout / instant close) at 3383.195 after 7s: -$3.25 (-0.09R).</t>
  </si>
  <si>
    <t xml:space="preserve">SELL STOP at 3381.22 filled at 3381.015 ($0.20 worse). SL $1.50 away = $38 risk. Price went against it; stopped at 3382.725 after 1m43s: -$42.75 (-1.14R).</t>
  </si>
  <si>
    <t xml:space="preserve">SELL STOP at 3351.17 filled at 3350.774 ($0.40 worse). SL $1.50 away = $36 risk. Closed by the EA itself (account guard / blackout / instant close) at 3350.802 after 44s: -$0.67 (-0.02R).</t>
  </si>
  <si>
    <t xml:space="preserve">SELL STOP at 3324.81 filled at 3324.748 ($0.06 worse). SL $1.50 away = $36 risk. Closed by the EA itself (account guard / blackout / instant close) at 3324.445 after 1s: +$7.27 (+0.20R).</t>
  </si>
  <si>
    <t xml:space="preserve">BUY STOP at 3333.91 filled at 3333.912 ($0.00 worse). SL $1.50 away = $36 risk. Price went against it; stopped at 3332.405 after 1m07s: -$36.17 (-1.00R).</t>
  </si>
  <si>
    <t xml:space="preserve">SELL STOP at 3307.82 filled at 3307.815 ($0.01 worse). SL $1.50 away = $36 risk. Price went against it; stopped at 3309.452 after 17s: -$39.29 (-1.09R).</t>
  </si>
  <si>
    <t xml:space="preserve">BUY STOP at 3314.71 filled at 3314.795 ($0.09 worse). SL $1.50 away = $36 risk. Price went against it; stopped at 3312.815 after 0s: -$47.52 (-1.32R).</t>
  </si>
  <si>
    <t xml:space="preserve">BUY STOP at 3363.43 filled at 3363.435 ($0.01 worse). SL $1.50 away = $36 risk. Closed by the EA itself (account guard / blackout / instant close) at 3363.765 after 15s: +$7.92 (+0.22R).</t>
  </si>
  <si>
    <t xml:space="preserve">BUY STOP at 3385.21 filled at 3385.501 ($0.29 worse). SL $1.50 away = $36 risk. Price went against it; stopped at 3383.685 after 42s: -$43.58 (-1.21R).</t>
  </si>
  <si>
    <t xml:space="preserve">BUY STOP at 3385.10 filled at 3385.125 ($0.03 worse). SL $1.50 away = $34 risk. Closed by the EA itself (account guard / blackout / instant close) at 3385.125 after 21s: +$0.00 (+0.00R).</t>
  </si>
  <si>
    <t xml:space="preserve">BUY STOP at 3401.80 filled at 3402.625 ($0.82 worse). SL $1.50 away = $34 risk. Price went against it; stopped at 3399.048 after 0s: -$82.27 (-2.38R).</t>
  </si>
  <si>
    <t xml:space="preserve">SELL STOP at 3373.29 filled at 3372.579 ($0.71 worse). SL $1.50 away = $34 risk. Closed by the EA itself (account guard / blackout / instant close) at 3372.702 after 1s: -$2.83 (-0.08R).</t>
  </si>
  <si>
    <t xml:space="preserve">SELL STOP at 3340.81 filled at 3340.795 ($0.01 worse). SL $1.50 away = $34 risk. Closed by the EA itself (account guard / blackout / instant close) at 3339.902 after 8s: +$20.54 (+0.60R).</t>
  </si>
  <si>
    <t xml:space="preserve">BUY STOP at 3359.20 filled at 3359.335 ($0.14 worse). SL $1.50 away = $34 risk. Price went against it; stopped at 3357.648 after 2m12s: -$38.80 (-1.12R).</t>
  </si>
  <si>
    <t xml:space="preserve">BUY STOP at 3370.51 filled at 3370.602 ($0.09 worse). SL $1.50 away = $34 risk. Closed by the EA itself (account guard / blackout / instant close) at 3370.515 after 2m40s: -$2.00 (-0.06R).</t>
  </si>
  <si>
    <t xml:space="preserve">SELL STOP at 3342.44 filled at 3342.369 ($0.07 worse). SL $1.50 away = $34 risk. Closed by the EA itself (account guard / blackout / instant close) at 3342.522 after 1s: -$3.52 (-0.10R).</t>
  </si>
  <si>
    <t xml:space="preserve">SELL STOP at 3331.95 filled at 3331.135 ($0.81 worse). SL $1.50 away = $34 risk. Closed by the EA itself (account guard / blackout / instant close) at 3331.145 after 44s: -$0.23 (-0.01R).</t>
  </si>
  <si>
    <t xml:space="preserve">BUY STOP at 3348.60 filled at 3348.605 ($0.01 worse). SL $1.50 away = $34 risk. Closed by the EA itself (account guard / blackout / instant close) at 3350.448 after 12m08s: +$42.39 (+1.23R).</t>
  </si>
  <si>
    <t xml:space="preserve">SELL STOP at 3323.34 filled at 3323.265 ($0.08 worse). SL $1.50 away = $34 risk. Price went against it; stopped at 3324.855 after 19s: -$36.57 (-1.06R).</t>
  </si>
  <si>
    <t xml:space="preserve">SELL STOP at 3314.78 filled at 3314.735 ($0.05 worse). SL $1.50 away = $34 risk. Closed by the EA itself (account guard / blackout / instant close) at 3314.285 after 5s: +$10.35 (+0.30R).</t>
  </si>
  <si>
    <t xml:space="preserve">BUY STOP at 3345.17 filled at 3345.222 ($0.05 worse). SL $1.50 away = $34 risk. Price went against it; stopped at 3343.545 after 58s: -$38.57 (-1.12R).</t>
  </si>
  <si>
    <t xml:space="preserve">SELL STOP at 3324.95 filled at 3324.935 ($0.01 worse). SL $1.50 away = $33 risk. Price went against it; stopped at 3326.505 after 17s: -$34.54 (-1.05R).</t>
  </si>
  <si>
    <t xml:space="preserve">BUY STOP at 3351.94 filled at 3351.941 ($0.00 worse). SL $1.50 away = $33 risk. Closed by the EA itself (account guard / blackout / instant close) at 3351.985 after 4s: +$0.97 (+0.03R).</t>
  </si>
  <si>
    <t xml:space="preserve">SELL STOP at 3359.50 filled at 3359.395 ($0.11 worse). SL $1.50 away = $33 risk. Price went against it; stopped at 3361.132 after 8s: -$38.21 (-1.16R).</t>
  </si>
  <si>
    <t xml:space="preserve">BUY STOP at 3376.14 filled at 3376.165 ($0.03 worse). SL $1.50 away = $33 risk. Closed by the EA itself (account guard / blackout / instant close) at 3377.158 after 55s: +$21.85 (+0.66R).</t>
  </si>
  <si>
    <t xml:space="preserve">BUY STOP at 3393.50 filled at 3393.505 ($0.01 worse). SL $1.50 away = $33 risk. Price went against it; stopped at 3391.985 after 4m58s: -$33.44 (-1.01R).</t>
  </si>
  <si>
    <t xml:space="preserve">BUY STOP at 3398.57 filled at 3398.755 ($0.18 worse). SL $1.50 away = $33 risk. Price went against it; stopped at 3397.015 after 6m42s: -$38.28 (-1.16R).</t>
  </si>
  <si>
    <t xml:space="preserve">BUY STOP at 3423.07 filled at 3423.185 ($0.11 worse). SL $1.50 away = $33 risk. Closed by the EA itself (account guard / blackout / instant close) at 3423.435 after 16s: +$5.50 (+0.17R).</t>
  </si>
  <si>
    <t xml:space="preserve">BUY STOP at 3453.57 filled at 3453.615 ($0.04 worse). SL $1.50 away = $33 risk. Closed by the EA itself (account guard / blackout / instant close) at 3454.698 after 8s: +$23.83 (+0.72R).</t>
  </si>
  <si>
    <t xml:space="preserve">BUY STOP at 3489.60 filled at 3489.672 ($0.07 worse). SL $1.50 away = $33 risk. Price went against it; stopped at 3487.725 after 58s: -$42.83 (-1.30R).</t>
  </si>
  <si>
    <t xml:space="preserve">BUY STOP at 3539.85 filled at 3539.955 ($0.11 worse). SL $1.50 away = $33 risk. Price went against it; stopped at 3538.145 after 11s: -$39.82 (-1.21R).</t>
  </si>
  <si>
    <t xml:space="preserve">SELL STOP at 3525.85 filled at 3525.825 ($0.03 worse). SL $1.50 away = $32 risk. Closed by the EA itself (account guard / blackout / instant close) at 3525.625 after 3s: +$4.20 (+0.13R).</t>
  </si>
  <si>
    <t xml:space="preserve">BUY STOP at 3564.00 filled at 3572.405 ($8.41 worse). SL $1.50 away = $32 risk. Closed by the EA itself (account guard / blackout / instant close) at 3567.215 after 0s: -$108.99 (-3.46R).</t>
  </si>
  <si>
    <t xml:space="preserve">BUY STOP at 3599.91 filled at 3599.925 ($0.02 worse). SL $1.50 away = $32 risk. Closed by the EA itself (account guard / blackout / instant close) at 3600.135 after 15s: +$4.41 (+0.14R).</t>
  </si>
  <si>
    <t xml:space="preserve">BUY STOP at 3646.11 filled at 3646.155 ($0.05 worse). SL $1.50 away = $32 risk. Price went against it; stopped at 3644.455 after 30s: -$35.70 (-1.13R).</t>
  </si>
  <si>
    <t xml:space="preserve">SELL STOP at 3624.00 filled at 3623.888 ($0.11 worse). SL $1.50 away = $30 risk. Closed by the EA itself (account guard / blackout / instant close) at 3623.685 after 26s: +$4.06 (+0.14R).</t>
  </si>
  <si>
    <t xml:space="preserve">SELL STOP at 3618.51 filled at 3618.475 ($0.04 worse). SL $1.50 away = $30 risk. Closed by the EA itself (account guard / blackout / instant close) at 3617.854 after 36s: +$12.42 (+0.41R).</t>
  </si>
  <si>
    <t xml:space="preserve">BUY STOP at 3648.90 filled at 3648.902 ($0.00 worse). SL $1.50 away = $30 risk. Closed by the EA itself (account guard / blackout / instant close) at 3648.845 after 14s: -$1.14 (-0.04R).</t>
  </si>
  <si>
    <t xml:space="preserve">SELL STOP at 3630.30 filled at 3630.235 ($0.07 worse). SL $1.50 away = $30 risk. Closed by the EA itself (account guard / blackout / instant close) at 3629.702 after 1s: +$10.66 (+0.36R).</t>
  </si>
  <si>
    <t xml:space="preserve">BUY STOP at 3656.44 filled at 3656.475 ($0.03 worse). SL $1.50 away = $30 risk. Closed by the EA itself (account guard / blackout / instant close) at 3656.465 after 1m15s: -$0.20 (-0.01R).</t>
  </si>
  <si>
    <t xml:space="preserve">BUY STOP at 3685.35 filled at 3685.352 ($0.00 worse). SL $1.50 away = $32 risk. Price went against it; stopped at 3683.785 after 38s: -$32.91 (-1.04R).</t>
  </si>
  <si>
    <t xml:space="preserve">SELL STOP at 3674.46 filled at 3674.455 ($0.01 worse). SL $1.50 away = $30 risk. Price went against it; stopped at 3676.002 after 0s: -$30.94 (-1.03R).</t>
  </si>
  <si>
    <t xml:space="preserve">BUY STOP at 3702.83 filled at 3702.852 ($0.02 worse). SL $1.50 away = $30 risk. Closed by the EA itself (account guard / blackout / instant close) at 3703.808 after 5s: +$19.12 (+0.64R).</t>
  </si>
  <si>
    <t xml:space="preserve">SELL STOP at 3645.77 filled at 3645.445 ($0.32 worse). SL $1.50 away = $30 risk. Price went against it; stopped at 3647.625 after 1s: -$43.60 (-1.45R).</t>
  </si>
  <si>
    <t xml:space="preserve">BUY STOP at 3672.79 filled at 3672.965 ($0.18 worse). SL $1.50 away = $30 risk. Price went against it; stopped at 3671.195 after 14s: -$35.40 (-1.18R).</t>
  </si>
  <si>
    <t xml:space="preserve">BUY STOP at 3748.54 filled at 3748.702 ($0.16 worse). SL $1.50 away = $30 risk. Closed by the EA itself (account guard / blackout / instant close) at 3748.425 after 7s: -$5.54 (-0.18R).</t>
  </si>
  <si>
    <t xml:space="preserve">SELL STOP at 3736.46 filled at 3736.434 ($0.03 worse). SL $1.50 away = $30 risk. Closed by the EA itself (account guard / blackout / instant close) at 3735.845 after 1s: +$11.78 (+0.39R).</t>
  </si>
  <si>
    <t xml:space="preserve">BUY STOP at 3761.43 filled at 3761.525 ($0.10 worse). SL $1.50 away = $30 risk. Closed by the EA itself (account guard / blackout / instant close) at 3762.085 after 2s: +$11.20 (+0.37R).</t>
  </si>
  <si>
    <t xml:space="preserve">BUY STOP at 3783.60 filled at 3783.602 ($0.00 worse). SL $1.50 away = $30 risk. Price went against it; stopped at 3782.085 after 1m30s: -$30.34 (-1.01R).</t>
  </si>
  <si>
    <t xml:space="preserve">BUY STOP at 3834.01 filled at 3834.155 ($0.14 worse). SL $1.50 away = $30 risk. Closed by the EA itself (account guard / blackout / instant close) at 3835.175 after 3m21s: +$20.40 (+0.68R).</t>
  </si>
  <si>
    <t xml:space="preserve">BUY STOP at 3871.51 filled at 3871.515 ($0.00 worse). SL $1.50 away = $30 risk. Closed by the EA itself (account guard / blackout / instant close) at 3871.445 after 10s: -$1.40 (-0.05R).</t>
  </si>
  <si>
    <t xml:space="preserve">SELL STOP at 3853.06 filled at 3852.975 ($0.09 worse). SL $1.50 away = $30 risk. Price went against it; stopped at 3854.582 after 1s: -$32.14 (-1.07R).</t>
  </si>
  <si>
    <t xml:space="preserve">BUY STOP at 3895.15 filled at 3895.215 ($0.07 worse). SL $1.50 away = $30 risk. Closed by the EA itself (account guard / blackout / instant close) at 3895.595 after 13s: +$7.60 (+0.25R).</t>
  </si>
  <si>
    <t xml:space="preserve">BUY STOP at 3891.48 filled at 3891.482 ($0.00 worse). SL $1.50 away = $30 risk. Stop had been moved but price came back; closed at 3891.118 after 13s: -$7.28 (-0.24R).</t>
  </si>
  <si>
    <t xml:space="preserve">BUY STOP at 3990.85 filled at 3990.925 ($0.08 worse). SL $1.50 away = $30 risk. Price went against it; stopped at 3989.169 after 30s: -$35.12 (-1.17R).</t>
  </si>
  <si>
    <t xml:space="preserve">SELL STOP at 3982.75 filled at 3982.735 ($0.01 worse). SL $1.50 away = $29 risk. Price went against it; stopped at 3984.402 after 16s: -$31.67 (-1.11R).</t>
  </si>
  <si>
    <t xml:space="preserve">BUY STOP at 4117.01 filled at 4117.275 ($0.26 worse). SL $1.50 away = $29 risk. Price went against it; stopped at 4115.268 after 0s: -$38.13 (-1.34R).</t>
  </si>
  <si>
    <t xml:space="preserve">BUY STOP at 4179.35 filled at 4179.515 ($0.16 worse). SL $1.50 away = $29 risk. Closed by the EA itself (account guard / blackout / instant close) at 4178.698 after 0s: -$15.52 (-0.54R).</t>
  </si>
  <si>
    <t xml:space="preserve">BUY STOP at 4218.00 filled at 4218.015 ($0.02 worse). SL $1.50 away = $29 risk. Price went against it; stopped at 4216.075 after 5s: -$36.86 (-1.29R).</t>
  </si>
  <si>
    <t xml:space="preserve">SELL STOP at 4199.29 filled at 4199.245 ($0.05 worse). SL $1.50 away = $27 risk. Price went against it; stopped at 4200.852 after 0s: -$28.93 (-1.07R).</t>
  </si>
  <si>
    <t xml:space="preserve">SELL STOP at 4218.51 filled at 4216.365 ($2.15 worse). SL $1.50 away = $27 risk. Closed by the EA itself (account guard / blackout / instant close) at 4216.441 after 1s: -$1.37 (-0.05R).</t>
  </si>
  <si>
    <t xml:space="preserve">SELL STOP at 4078.26 filled at 4067.475 ($10.79 worse). SL $1.50 away = $27 risk. Closed by the EA itself (account guard / blackout / instant close) at 4065.665 after 1s: +$32.58 (+1.21R).</t>
  </si>
  <si>
    <t xml:space="preserve">SELL STOP at 4065.41 filled at 4065.005 ($0.40 worse). SL $1.50 away = $27 risk. Price went against it; stopped at 4067.195 after 11s: -$39.42 (-1.46R).</t>
  </si>
  <si>
    <t xml:space="preserve">SELL STOP at 4043.62 filled at 4039.815 ($3.80 worse). SL $1.50 away = $27 risk. Closed by the EA itself (account guard / blackout / instant close) at 4040.065 after 2s: -$4.50 (-0.17R).</t>
  </si>
  <si>
    <t xml:space="preserve">SELL STOP at 3971.07 filled at 3970.848 ($0.22 worse). SL $1.50 away = $27 risk. Closed by the EA itself (account guard / blackout / instant close) at 3970.872 after 1s: -$0.43 (-0.02R).</t>
  </si>
  <si>
    <t xml:space="preserve">BUY STOP at 4019.41 filled at 4019.535 ($0.12 worse). SL $1.50 away = $27 risk. Price went against it; stopped at 4017.725 after 1m13s: -$32.58 (-1.21R).</t>
  </si>
  <si>
    <t xml:space="preserve">BUY STOP at 4026.95 filled at 4027.455 ($0.51 worse). SL $1.50 away = $27 risk. Price went against it; stopped at 4025.275 after 28s: -$39.24 (-1.45R).</t>
  </si>
  <si>
    <t xml:space="preserve">SELL STOP at 3971.97 filled at 3970.808 ($1.16 worse). SL $1.50 away = $27 risk. Price went against it; stopped at 3973.485 after 1s: -$48.19 (-1.78R).</t>
  </si>
  <si>
    <t xml:space="preserve">SELL STOP at 3962.33 filled at 3960.545 ($1.78 worse). SL $1.50 away = $26 risk. Closed by the EA itself (account guard / blackout / instant close) at 3957.915 after 1s: +$44.71 (+1.75R).</t>
  </si>
  <si>
    <t xml:space="preserve">BUY STOP at 3990.24 filled at 3990.245 ($0.01 worse). SL $1.50 away = $27 risk. Price went against it; stopped at 3988.735 after 2m49s: -$27.18 (-1.01R).</t>
  </si>
  <si>
    <t xml:space="preserve">BUY STOP at 4019.28 filled at 4019.482 ($0.20 worse). SL $1.50 away = $27 risk. Closed by the EA itself (account guard / blackout / instant close) at 4019.075 after 1s: -$7.33 (-0.27R).</t>
  </si>
  <si>
    <t xml:space="preserve">BUY STOP at 4027.23 filled at 4027.235 ($0.01 worse). SL $1.50 away = $26 risk. Closed by the EA itself (account guard / blackout / instant close) at 4028.728 after 0s: +$25.38 (+1.00R).</t>
  </si>
  <si>
    <t xml:space="preserve">BUY STOP at 4148.76 filled at 4149.465 ($0.70 worse). SL $1.50 away = $27 risk. Closed by the EA itself (account guard / blackout / instant close) at 4150.425 after 8s: +$17.28 (+0.64R).</t>
  </si>
  <si>
    <t xml:space="preserve">BUY STOP at 4211.50 filled at 4211.525 ($0.02 worse). SL $1.50 away = $27 risk. Closed by the EA itself (account guard / blackout / instant close) at 4211.385 after 30s: -$2.52 (-0.09R).</t>
  </si>
  <si>
    <t xml:space="preserve">SELL STOP at 4144.97 filled at 4144.748 ($0.22 worse). SL $1.50 away = $27 risk. Closed by the EA itself (account guard / blackout / instant close) at 4142.745 after 2s: +$36.05 (+1.34R).</t>
  </si>
  <si>
    <t xml:space="preserve">SELL STOP at 4031.96 filled at 4031.499 ($0.46 worse). SL $1.50 away = $27 risk. Price went against it; stopped at 4033.495 after 0s: -$35.93 (-1.33R).</t>
  </si>
  <si>
    <t xml:space="preserve">SELL STOP at 4006.74 filled at 4006.555 ($0.18 worse). SL $1.50 away = $27 risk. Price went against it; stopped at 4008.255 after 16s: -$30.60 (-1.13R).</t>
  </si>
  <si>
    <t xml:space="preserve">BUY STOP at 4082.28 filled at 4082.375 ($0.09 worse). SL $1.50 away = $27 risk. Closed by the EA itself (account guard / blackout / instant close) at 4085.098 after 3s: +$49.01 (+1.82R).</t>
  </si>
  <si>
    <t xml:space="preserve">SELL STOP at 4055.25 filled at 4055.245 ($0.01 worse). SL $1.50 away = $27 risk. Closed by the EA itself (account guard / blackout / instant close) at 4054.502 after 1s: +$13.37 (+0.50R).</t>
  </si>
  <si>
    <t xml:space="preserve">SELL STOP at 4038.61 filled at 4036.105 ($2.51 worse). SL $1.50 away = $27 risk. Closed by the EA itself (account guard / blackout / instant close) at 4036.195 after 4s: -$1.62 (-0.06R).</t>
  </si>
  <si>
    <t xml:space="preserve">BUY STOP at 4100.84 filled at 4100.845 ($0.01 worse). SL $1.50 away = $27 risk. Price went against it; stopped at 4099.148 after 35s: -$30.55 (-1.13R).</t>
  </si>
  <si>
    <t xml:space="preserve">BUY STOP at 4139.64 filled at 4139.725 ($0.09 worse). SL $1.50 away = $27 risk. Closed by the EA itself (account guard / blackout / instant close) at 4141.095 after 20s: +$24.66 (+0.91R).</t>
  </si>
  <si>
    <t xml:space="preserve">BUY STOP at 4159.05 filled at 4159.312 ($0.26 worse). SL $1.50 away = $27 risk. Closed by the EA itself (account guard / blackout / instant close) at 4160.995 after 3s: +$30.29 (+1.12R).</t>
  </si>
  <si>
    <t xml:space="preserve">BUY STOP at 4168.40 filled at 4168.515 ($0.12 worse). SL $1.50 away = $27 risk. Price went against it; stopped at 4166.875 after 4m18s: -$29.52 (-1.09R).</t>
  </si>
  <si>
    <t xml:space="preserve">BUY STOP at 4226.73 filled at 4226.805 ($0.08 worse). SL $1.50 away = $27 risk. Closed by the EA itself (account guard / blackout / instant close) at 4227.575 after 6s: +$13.86 (+0.51R).</t>
  </si>
  <si>
    <t xml:space="preserve">SELL STOP at 4204.35 filled at 4203.065 ($1.29 worse). SL $1.50 away = $27 risk. Price went against it; stopped at 4206.955 after 0s: -$70.02 (-2.59R).</t>
  </si>
  <si>
    <t xml:space="preserve">BUY STOP at 4235.85 filled at 4235.875 ($0.02 worse). SL $1.50 away = $27 risk. Closed by the EA itself (account guard / blackout / instant close) at 4237.475 after 5s: +$28.80 (+1.07R).</t>
  </si>
  <si>
    <t xml:space="preserve">SELL STOP at 4194.40 filled at 4194.215 ($0.18 worse). SL $1.50 away = $27 risk. Price went against it; stopped at 4196.152 after 0s: -$34.87 (-1.29R).</t>
  </si>
  <si>
    <t xml:space="preserve">BUY STOP at 4219.26 filled at 4219.395 ($0.14 worse). SL $1.50 away = $26 risk. Closed by the EA itself (account guard / blackout / instant close) at 4219.375 after 16s: -$0.34 (-0.01R).</t>
  </si>
  <si>
    <t xml:space="preserve">SELL STOP at 4191.81 filled at 4191.685 ($0.12 worse). SL $1.50 away = $26 risk. Closed by the EA itself (account guard / blackout / instant close) at 4191.195 after 1s: +$8.33 (+0.33R).</t>
  </si>
  <si>
    <t xml:space="preserve">SELL STOP at 4176.00 filled at 4175.365 ($0.64 worse). SL $1.50 away = $27 risk. Closed by the EA itself (account guard / blackout / instant close) at 4175.335 after 0s: +$0.54 (+0.02R).</t>
  </si>
  <si>
    <t xml:space="preserve">BUY STOP at 4218.76 filled at 4219.395 ($0.64 worse). SL $1.50 away = $27 risk. Closed by the EA itself (account guard / blackout / instant close) at 4219.225 after 2s: -$3.06 (-0.11R).</t>
  </si>
  <si>
    <t xml:space="preserve">BUY STOP at 4221.35 filled at 4221.905 ($0.55 worse). SL $1.50 away = $27 risk. Closed by the EA itself (account guard / blackout / instant close) at 4223.575 after 1s: +$30.06 (+1.11R).</t>
  </si>
  <si>
    <t xml:space="preserve">BUY STOP at 4238.44 filled at 4239.525 ($1.09 worse). SL $1.50 away = $27 risk. Closed by the EA itself (account guard / blackout / instant close) at 4238.875 after 2s: -$11.70 (-0.43R).</t>
  </si>
  <si>
    <t xml:space="preserve">BUY STOP at 4285.71 filled at 4287.342 ($1.63 worse). SL $1.50 away = $27 risk. Closed by the EA itself (account guard / blackout / instant close) at 4287.135 after 1m07s: -$3.73 (-0.14R).</t>
  </si>
  <si>
    <t xml:space="preserve">SELL STOP at 4285.06 filled at 4284.685 ($0.38 worse). SL $1.50 away = $27 risk. Closed by the EA itself (account guard / blackout / instant close) at 4284.435 after 9s: +$4.50 (+0.17R).</t>
  </si>
  <si>
    <t xml:space="preserve">BUY STOP at 4334.94 filled at 4335.115 ($0.18 worse). SL $1.50 away = $27 risk. Closed by the EA itself (account guard / blackout / instant close) at 4336.055 after 1m02s: +$16.92 (+0.63R).</t>
  </si>
  <si>
    <t xml:space="preserve">BUY STOP at 4348.68 filled at 4348.875 ($0.19 worse). SL $1.50 away = $27 risk. Closed by the EA itself (account guard / blackout / instant close) at 4350.005 after 6s: +$20.34 (+0.75R).</t>
  </si>
  <si>
    <t xml:space="preserve">BUY STOP at 4356.36 filled at 4356.385 ($0.03 worse). SL $1.50 away = $27 risk. Price went against it; stopped at 4354.595 after 1s: -$32.22 (-1.19R).</t>
  </si>
  <si>
    <t xml:space="preserve">BUY STOP at 4499.67 filled at 4499.705 ($0.03 worse). SL $1.50 away = $27 risk. Closed by the EA itself (account guard / blackout / instant close) at 4499.655 after 3s: -$0.90 (-0.03R).</t>
  </si>
  <si>
    <t xml:space="preserve">BUY STOP at 4525.77 filled at 4525.775 ($0.00 worse). SL $1.50 away = $27 risk. Closed by the EA itself (account guard / blackout / instant close) at 4525.908 after 3s: +$2.39 (+0.09R).</t>
  </si>
  <si>
    <t xml:space="preserve">SELL STOP at 4482.65 filled at 4482.498 ($0.15 worse). SL $1.50 away = $27 risk. Price went against it; stopped at 4484.561 after 0s: -$37.13 (-1.38R).</t>
  </si>
  <si>
    <t xml:space="preserve">SELL STOP at 4322.97 filled at 4317.798 ($5.17 worse). SL $1.50 away = $26 risk. Closed by the EA itself (account guard / blackout / instant close) at 4321.852 after 0s: -$68.92 (-2.70R).</t>
  </si>
  <si>
    <t xml:space="preserve">BUY STOP at 4372.90 filled at 4373.102 ($0.20 worse). SL $1.50 away = $26 risk. Price went against it; stopped at 4371.348 after 1s: -$29.82 (-1.17R).</t>
  </si>
  <si>
    <t xml:space="preserve">BUY STOP at 4401.93 filled at 4402.085 ($0.15 worse). SL $1.50 away = $26 risk. Price went against it; stopped at 4400.325 after 3s: -$29.92 (-1.17R).</t>
  </si>
  <si>
    <t xml:space="preserve">BUY STOP at 4455.43 filled at 4455.435 ($0.01 worse). SL $1.50 away = $26 risk. Price went against it; stopped at 4453.875 after 7s: -$26.52 (-1.04R).</t>
  </si>
  <si>
    <t xml:space="preserve">SELL STOP at 4427.73 filled at 4427.665 ($0.06 worse). SL $1.50 away = $24 risk. Price went against it; stopped at 4429.272 after 5s: -$25.71 (-1.07R).</t>
  </si>
  <si>
    <t xml:space="preserve">SELL STOP at 4423.14 filled at 4422.465 ($0.68 worse). SL $1.50 away = $24 risk. Price went against it; stopped at 4424.652 after 2s: -$34.99 (-1.46R).</t>
  </si>
  <si>
    <t xml:space="preserve">BUY STOP at 4479.40 filled at 4479.435 ($0.04 worse). SL $1.50 away = $24 risk. Closed by the EA itself (account guard / blackout / instant close) at 4479.765 after 29s: +$5.28 (+0.22R).</t>
  </si>
  <si>
    <t xml:space="preserve">BUY STOP at 4629.98 filled at 4630.055 ($0.08 worse). SL $1.50 away = $24 risk. Price went against it; stopped at 4628.415 after 2s: -$26.24 (-1.09R).</t>
  </si>
  <si>
    <t xml:space="preserve">BUY STOP at 4634.29 filled at 4634.400 ($0.11 worse). SL $1.50 away = $24 risk. Closed by the EA itself (account guard / blackout / instant close) at 4635.735 after 2s: +$21.36 (+0.89R).</t>
  </si>
  <si>
    <t xml:space="preserve">SELL STOP at 4586.17 filled at 4586.168 ($0.00 worse). SL $1.50 away = $24 risk. Closed by the EA itself (account guard / blackout / instant close) at 4586.405 after 3s: -$3.79 (-0.16R).</t>
  </si>
  <si>
    <t xml:space="preserve">SELL STOP at 4580.81 filled at 4580.105 ($0.71 worse). SL $1.50 away = $24 risk. Price went against it; stopped at 4582.802 after 0s: -$43.15 (-1.80R).</t>
  </si>
  <si>
    <t xml:space="preserve">BUY STOP at 4690.27 filled at 4690.272 ($0.00 worse). SL $1.50 away = $24 risk. Closed by the EA itself (account guard / blackout / instant close) at 4691.048 after 2s: +$12.42 (+0.52R).</t>
  </si>
  <si>
    <t xml:space="preserve">BUY STOP at 4766.15 filled at 4766.315 ($0.16 worse). SL $1.50 away = $24 risk. Closed by the EA itself (account guard / blackout / instant close) at 4766.175 after 10s: -$2.24 (-0.09R).</t>
  </si>
  <si>
    <t xml:space="preserve">BUY STOP at 4888.08 filled at 4888.265 ($0.19 worse). SL $1.50 away = $24 risk. Price went against it; stopped at 4886.228 after 0s: -$32.59 (-1.36R).</t>
  </si>
  <si>
    <t xml:space="preserve">BUY STOP at 5110.89 filled at 5110.985 ($0.09 worse). SL $1.50 away = $24 risk. Closed by the EA itself (account guard / blackout / instant close) at 5110.995 after 0s: +$0.16 (+0.01R).</t>
  </si>
  <si>
    <t xml:space="preserve">BUY STOP at 5190.23 filled at 5191.325 ($1.10 worse). SL $1.50 away = $24 risk. Closed by the EA itself (account guard / blackout / instant close) at 5191.215 after 1s: -$1.76 (-0.07R).</t>
  </si>
  <si>
    <t xml:space="preserve">SELL STOP at 5157.11 filled at 5152.048 ($5.06 worse). SL $1.50 away = $24 risk. Closed by the EA itself (account guard / blackout / instant close) at 5156.012 after 0s: -$63.42 (-2.64R).</t>
  </si>
  <si>
    <t xml:space="preserve">SELL STOP at 5098.77 filled at 5096.375 ($2.40 worse). SL $1.50 away = $22 risk. Closed by the EA itself (account guard / blackout / instant close) at 5067.702 after 33s: +$430.10 (+19.12R).</t>
  </si>
  <si>
    <t xml:space="preserve">SELL STOP at 4679.73 filled at 4670.995 ($8.73 worse). SL $1.50 away = $27 risk. Closed by the EA itself (account guard / blackout / instant close) at 4678.145 after 1s: -$128.70 (-4.77R).</t>
  </si>
  <si>
    <t xml:space="preserve">BUY STOP at 4884.25 filled at 4886.555 ($2.31 worse). SL $1.50 away = $26 risk. Closed by the EA itself (account guard / blackout / instant close) at 4883.388 after 0s: -$53.84 (-2.11R).</t>
  </si>
  <si>
    <t xml:space="preserve">BUY STOP at 4993.46 filled at 4993.945 ($0.48 worse). SL $1.50 away = $26 risk. Price went against it; stopped at 4991.705 after 8s: -$38.08 (-1.49R).</t>
  </si>
  <si>
    <t xml:space="preserve">SELL STOP at 4844.17 filled at 4838.785 ($5.39 worse). SL $1.50 away = $26 risk. Price went against it; stopped at 4852.595 after 0s: -$234.77 (-9.21R).</t>
  </si>
  <si>
    <t xml:space="preserve">SELL STOP at 4759.36 filled at 4759.205 ($0.15 worse). SL $1.50 away = $22 risk. Price went against it; stopped at 4760.865 after 3s: -$24.90 (-1.11R).</t>
  </si>
  <si>
    <t xml:space="preserve">BUY STOP at 5078.48 filled at 5083.025 ($4.55 worse). SL $1.50 away = $22 risk. Closed by the EA itself (account guard / blackout / instant close) at 5079.098 after 0s: -$58.91 (-2.62R).</t>
  </si>
  <si>
    <t xml:space="preserve">SELL STOP at 5018.00 filled at 5017.518 ($0.48 worse). SL $1.50 away = $21 risk. Price went against it; stopped at 5020.665 after 0s: -$44.06 (-2.10R).</t>
  </si>
  <si>
    <t xml:space="preserve">SELL STOP at 4964.87 filled at 4960.805 ($4.06 worse). SL $1.50 away = $21 risk. Closed by the EA itself (account guard / blackout / instant close) at 4954.805 after 2s: +$84.00 (+4.00R).</t>
  </si>
  <si>
    <t xml:space="preserve">BUY STOP at 5000.65 filled at 5000.765 ($0.12 worse). SL $1.50 away = $22 risk. Price went against it; stopped at 4999.098 after 2s: -$25.01 (-1.11R).</t>
  </si>
  <si>
    <t xml:space="preserve">BUY STOP at 5010.81 filled at 5011.055 ($0.24 worse). SL $1.50 away = $21 risk. Price went against it; stopped at 5009.165 after 22s: -$26.46 (-1.26R).</t>
  </si>
  <si>
    <t xml:space="preserve">BUY STOP at 5022.02 filled at 5022.055 ($0.03 worse). SL $1.50 away = $21 risk. Closed by the EA itself (account guard / blackout / instant close) at 5022.035 after 19s: -$0.28 (-0.01R).</t>
  </si>
  <si>
    <t xml:space="preserve">SELL STOP at 5096.96 filled at 5094.526 ($2.43 worse). SL $1.50 away = $21 risk. Closed by the EA itself (account guard / blackout / instant close) at 5095.382 after 1s: -$11.98 (-0.57R).</t>
  </si>
  <si>
    <t xml:space="preserve">BUY STOP at 5205.22 filled at 5205.535 ($0.31 worse). SL $1.50 away = $21 risk. Closed by the EA itself (account guard / blackout / instant close) at 5205.358 after 1s: -$2.48 (-0.12R).</t>
  </si>
  <si>
    <t xml:space="preserve">SELL STOP at 5260.10 filled at 5257.695 ($2.41 worse). SL $1.50 away = $21 risk. Price went against it; stopped at 5267.625 after 0s: -$139.02 (-6.62R).</t>
  </si>
  <si>
    <t xml:space="preserve">SELL STOP at 5086.87 filled at 5083.705 ($3.16 worse). SL $1.50 away = $20 risk. Closed by the EA itself (account guard / blackout / instant close) at 5095.455 after 0s: -$152.75 (-7.83R).</t>
  </si>
  <si>
    <t xml:space="preserve">SELL STOP at 5062.13 filled at 5061.705 ($0.43 worse). SL $1.50 away = $18 risk. Closed by the EA itself (account guard / blackout / instant close) at 5046.652 after 6s: +$180.64 (+10.04R).</t>
  </si>
  <si>
    <t xml:space="preserve">BUY STOP at 5196.70 filled at 5196.865 ($0.16 worse). SL $1.50 away = $20 risk. Closed by the EA itself (account guard / blackout / instant close) at 5197.285 after 9s: +$5.46 (+0.28R).</t>
  </si>
  <si>
    <t xml:space="preserve">SELL STOP at 5149.06 filled at 5148.385 ($0.68 worse). SL $1.50 away = $21 risk. Closed by the EA itself (account guard / blackout / instant close) at 5146.625 after 2s: +$24.64 (+1.17R).</t>
  </si>
  <si>
    <t xml:space="preserve">SELL STOP at 5054.80 filled at 5054.005 ($0.80 worse). SL $1.50 away = $21 risk. Closed by the EA itself (account guard / blackout / instant close) at 5052.725 after 2s: +$17.92 (+0.85R).</t>
  </si>
  <si>
    <t xml:space="preserve">SELL STOP at 5009.50 filled at 5009.415 ($0.09 worse). SL $1.50 away = $21 risk. Closed by the EA itself (account guard / blackout / instant close) at 5008.385 after 2s: +$14.42 (+0.69R).</t>
  </si>
  <si>
    <t xml:space="preserve">BUY STOP at 5037.72 filled at 5038.052 ($0.33 worse). SL $1.50 away = $21 risk. Closed by the EA itself (account guard / blackout / instant close) at 5039.085 after 3s: +$14.46 (+0.69R).</t>
  </si>
  <si>
    <t xml:space="preserve">SELL STOP at 4973.50 filled at 4972.058 ($1.44 worse). SL $1.50 away = $21 risk. Closed by the EA itself (account guard / blackout / instant close) at 4962.605 after 4s: +$132.34 (+6.30R).</t>
  </si>
  <si>
    <t xml:space="preserve">SELL STOP at 4806.68 filled at 4806.599 ($0.08 worse). SL $1.50 away = $22 risk. Closed by the EA itself (account guard / blackout / instant close) at 4805.935 after 1s: +$9.96 (+0.44R).</t>
  </si>
  <si>
    <t xml:space="preserve">SELL STOP at 4502.11 filled at 4501.605 ($0.51 worse). SL $1.50 away = $22 risk. Closed by the EA itself (account guard / blackout / instant close) at 4501.645 after 1s: -$0.60 (-0.03R).</t>
  </si>
  <si>
    <t xml:space="preserve">SELL STOP at 4477.13 filled at 4476.845 ($0.28 worse). SL $1.50 away = $22 risk. Closed by the EA itself (account guard / blackout / instant close) at 4476.755 after 1s: +$1.35 (+0.06R).</t>
  </si>
  <si>
    <t xml:space="preserve">BUY STOP at 4483.94 filled at 4484.255 ($0.32 worse). SL $1.50 away = $22 risk. Price went against it; stopped at 4482.406 after 3s: -$27.74 (-1.23R).</t>
  </si>
  <si>
    <t xml:space="preserve">SELL STOP at 4455.26 filled at 4454.865 ($0.40 worse). SL $1.50 away = $22 risk. Closed by the EA itself (account guard / blackout / instant close) at 4452.575 after 1s: +$34.35 (+1.53R).</t>
  </si>
  <si>
    <t xml:space="preserve">BUY STOP at 4544.27 filled at 4544.325 ($0.05 worse). SL $1.50 away = $22 risk. Closed by the EA itself (account guard / blackout / instant close) at 4545.178 after 1s: +$12.80 (+0.57R).</t>
  </si>
  <si>
    <t xml:space="preserve">BUY STOP at 4554.97 filled at 4556.845 ($1.88 worse). SL $1.50 away = $22 risk. Closed by the EA itself (account guard / blackout / instant close) at 4559.775 after 2s: +$43.95 (+1.95R).</t>
  </si>
  <si>
    <t xml:space="preserve">BUY STOP at 4580.47 filled at 4580.945 ($0.47 worse). SL $1.50 away = $22 risk. Closed by the EA itself (account guard / blackout / instant close) at 4584.005 after 1s: +$45.90 (+2.04R).</t>
  </si>
  <si>
    <t xml:space="preserve">BUY STOP at 4686.94 filled at 4687.315 ($0.38 worse). SL $1.50 away = $24 risk. Closed by the EA itself (account guard / blackout / instant close) at 4687.855 after 3s: +$8.64 (+0.36R).</t>
  </si>
  <si>
    <t xml:space="preserve">BUY STOP at 4793.14 filled at 4793.212 ($0.07 worse). SL $1.50 away = $24 risk. Closed by the EA itself (account guard / blackout / instant close) at 4793.365 after 3s: +$2.45 (+0.10R).</t>
  </si>
  <si>
    <t xml:space="preserve">SELL STOP at 4661.63 filled at 4661.414 ($0.22 worse). SL $1.50 away = $24 risk. Closed by the EA itself (account guard / blackout / instant close) at 4661.625 after 2s: -$3.38 (-0.14R).</t>
  </si>
  <si>
    <t xml:space="preserve">SELL STOP at 4699.23 filled at 4698.875 ($0.35 worse). SL $1.50 away = $24 risk. Price went against it; stopped at 4700.955 after 1s: -$33.28 (-1.39R).</t>
  </si>
  <si>
    <t xml:space="preserve">BUY STOP at 4846.10 filled at 4846.302 ($0.20 worse). SL $1.50 away = $22 risk. Closed by the EA itself (account guard / blackout / instant close) at 4846.285 after 17s: -$0.26 (-0.01R).</t>
  </si>
  <si>
    <t xml:space="preserve">SELL STOP at 4785.89 filled at 4785.025 ($0.87 worse). SL $1.50 away = $22 risk. Price went against it; stopped at 4787.575 after 2s: -$38.25 (-1.70R).</t>
  </si>
  <si>
    <t xml:space="preserve">SELL STOP at 4772.90 filled at 4769.375 ($3.52 worse). SL $1.50 away = $22 risk. Closed by the EA itself (account guard / blackout / instant close) at 4774.095 after 7s: -$70.80 (-3.15R).</t>
  </si>
  <si>
    <t xml:space="preserve">SELL STOP at 4768.00 filled at 4767.975 ($0.02 worse). SL $1.50 away = $22 risk. Price went against it; stopped at 4769.535 after 11s: -$23.40 (-1.04R).</t>
  </si>
  <si>
    <t xml:space="preserve">SELL STOP at 4736.64 filled at 4735.805 ($0.84 worse). SL $1.50 away = $22 risk. Closed by the EA itself (account guard / blackout / instant close) at 4735.995 after 1s: -$2.85 (-0.13R).</t>
  </si>
  <si>
    <t xml:space="preserve">SELL STOP at 4715.06 filled at 4714.355 ($0.71 worse). SL $1.50 away = $22 risk. Price went against it; stopped at 4717.415 after 0s: -$45.90 (-2.04R).</t>
  </si>
  <si>
    <t xml:space="preserve">SELL STOP at 4664.05 filled at 4663.735 ($0.32 worse). SL $1.50 away = $21 risk. Closed by the EA itself (account guard / blackout / instant close) at 4664.175 after 0s: -$6.16 (-0.29R).</t>
  </si>
  <si>
    <t xml:space="preserve">SELL STOP at 4667.06 filled at 4667.035 ($0.03 worse). SL $1.50 away = $21 risk. Price went against it; stopped at 4668.615 after 10s: -$22.12 (-1.05R).</t>
  </si>
  <si>
    <t xml:space="preserve">SELL STOP at 4554.68 filled at 4554.635 ($0.05 worse). SL $1.50 away = $21 risk. Closed by the EA itself (account guard / blackout / instant close) at 4553.065 after 2s: +$21.98 (+1.05R).</t>
  </si>
  <si>
    <t xml:space="preserve">BUY STOP at 4610.19 filled at 4610.355 ($0.16 worse). SL $1.50 away = $21 risk. Closed by the EA itself (account guard / blackout / instant close) at 4612.635 after 2s: +$31.92 (+1.52R).</t>
  </si>
  <si>
    <t xml:space="preserve">BUY STOP at 4646.71 filled at 4646.845 ($0.14 worse). SL $1.50 away = $21 risk. Closed by the EA itself (account guard / blackout / instant close) at 4649.735 after 2s: +$40.46 (+1.93R).</t>
  </si>
  <si>
    <t xml:space="preserve">SELL STOP at 4560.05 filled at 4558.305 ($1.74 worse). SL $1.50 away = $22 risk. Closed by the EA itself (account guard / blackout / instant close) at 4558.655 after 1s: -$5.25 (-0.23R).</t>
  </si>
  <si>
    <t xml:space="preserve">BUY STOP at 4586.42 filled at 4587.702 ($1.28 worse). SL $1.50 away = $22 risk. Price went against it; stopped at 4584.775 after 12s: -$43.91 (-1.95R).</t>
  </si>
  <si>
    <t xml:space="preserve">BUY STOP at 4722.83 filled at 4722.845 ($0.02 worse). SL $1.50 away = $21 risk. Closed by the EA itself (account guard / blackout / instant close) at 4723.795 after 1s: +$13.30 (+0.63R).</t>
  </si>
  <si>
    <t xml:space="preserve">SELL STOP at 4684.58 filled at 4684.505 ($0.07 worse). SL $1.50 away = $21 risk. Closed by the EA itself (account guard / blackout / instant close) at 4684.422 after 10s: +$1.16 (+0.06R).</t>
  </si>
  <si>
    <t xml:space="preserve">SELL STOP at 4675.65 filled at 4675.645 ($0.00 worse). SL $1.50 away = $21 risk. Price went against it; stopped at 4677.285 after 2s: -$22.96 (-1.09R).</t>
  </si>
  <si>
    <t xml:space="preserve">BUY STOP at 4748.48 filled at 4754.295 ($5.82 worse). SL $1.50 away = $21 risk. Closed by the EA itself (account guard / blackout / instant close) at 4754.198 after 35s: -$1.36 (-0.06R).</t>
  </si>
  <si>
    <t xml:space="preserve">SELL STOP at 4647.83 filled at 4647.205 ($0.62 worse). SL $1.50 away = $21 risk. Price went against it; stopped at 4649.725 after 2s: -$35.28 (-1.68R).</t>
  </si>
  <si>
    <t xml:space="preserve">SELL STOP at 4669.42 filled at 4668.165 ($1.26 worse). SL $1.50 away = $21 risk. Price went against it; stopped at 4670.995 after 2s: -$39.62 (-1.89R).</t>
  </si>
  <si>
    <t xml:space="preserve">SELL STOP at 4643.97 filled at 4642.735 ($1.24 worse). SL $1.50 away = $21 risk. Price went against it; stopped at 4645.525 after 1s: -$39.06 (-1.86R).</t>
  </si>
  <si>
    <t xml:space="preserve">SELL STOP at 4511.22 filled at 4510.305 ($0.91 worse). SL $1.50 away = $21 risk. Closed by the EA itself (account guard / blackout / instant close) at 4511.505 after 0s: -$16.80 (-0.80R).</t>
  </si>
  <si>
    <t xml:space="preserve">BUY STOP at 4584.02 filled at 4584.415 ($0.39 worse). SL $1.50 away = $20 risk. Closed by the EA itself (account guard / blackout / instant close) at 4586.165 after 2s: +$22.75 (+1.17R).</t>
  </si>
  <si>
    <t xml:space="preserve">SELL STOP at 4480.06 filled at 4479.185 ($0.88 worse). SL $1.50 away = $20 risk. Closed by the EA itself (account guard / blackout / instant close) at 4477.675 after 1s: +$19.63 (+1.01R).</t>
  </si>
  <si>
    <t xml:space="preserve">SELL STOP at 4464.61 filled at 4464.295 ($0.31 worse). SL $1.50 away = $21 risk. Closed by the EA itself (account guard / blackout / instant close) at 4464.315 after 0s: -$0.28 (-0.01R).</t>
  </si>
  <si>
    <t xml:space="preserve">BUY STOP at 4552.59 filled at 4552.865 ($0.27 worse). SL $1.50 away = $21 risk. Closed by the EA itself (account guard / blackout / instant close) at 4552.825 after 2s: -$0.56 (-0.03R).</t>
  </si>
  <si>
    <t xml:space="preserve">BUY STOP at 4580.00 filled at 4580.015 ($0.02 worse). SL $1.50 away = $21 risk. Price went against it; stopped at 4578.315 after 47s: -$23.80 (-1.13R).</t>
  </si>
  <si>
    <t xml:space="preserve">SELL STOP at 4532.89 filled at 4532.865 ($0.03 worse). SL $1.50 away = $21 risk. Closed by the EA itself (account guard / blackout / instant close) at 4533.035 after 2s: -$2.38 (-0.11R).</t>
  </si>
  <si>
    <t xml:space="preserve">SELL STOP at 4482.36 filled at 4482.295 ($0.06 worse). SL $1.50 away = $21 risk. Closed by the EA itself (account guard / blackout / instant close) at 4480.605 after 3s: +$23.66 (+1.13R).</t>
  </si>
  <si>
    <t xml:space="preserve">SELL STOP at 4401.33 filled at 4401.288 ($0.04 worse). SL $1.50 away = $21 risk. Price went against it; stopped at 4402.925 after 3s: -$22.92 (-1.09R).</t>
  </si>
  <si>
    <t xml:space="preserve">BUY STOP at 4516.32 filled at 4516.485 ($0.16 worse). SL $1.50 away = $21 risk. Closed by the EA itself (account guard / blackout / instant close) at 4516.815 after 2s: +$4.62 (+0.22R).</t>
  </si>
  <si>
    <t xml:space="preserve">SELL STOP at 4488.69 filled at 4488.635 ($0.05 worse). SL $1.50 away = $21 risk. Closed by the EA itself (account guard / blackout / instant close) at 4486.502 after 2s: +$29.86 (+1.42R).</t>
  </si>
  <si>
    <t xml:space="preserve">SELL STOP at 4462.66 filled at 4462.088 ($0.57 worse). SL $1.50 away = $21 risk. Price went against it; stopped at 4464.425 after 0s: -$32.72 (-1.56R).</t>
  </si>
  <si>
    <t xml:space="preserve">SELL STOP at 4426.19 filled at 4426.065 ($0.12 worse). SL $1.50 away = $21 risk. Closed by the EA itself (account guard / blackout / instant close) at 4424.985 after 1s: +$15.12 (+0.72R).</t>
  </si>
  <si>
    <t xml:space="preserve">BUY STOP at 4496.52 filled at 4496.815 ($0.29 worse). SL $1.50 away = $21 risk. Closed by the EA itself (account guard / blackout / instant close) at 4497.375 after 1s: +$7.84 (+0.37R).</t>
  </si>
  <si>
    <t xml:space="preserve">SELL STOP at 4423.69 filled at 4422.595 ($1.09 worse). SL $1.50 away = $21 risk. Closed by the EA itself (account guard / blackout / instant close) at 4422.465 after 9s: +$1.82 (+0.09R).</t>
  </si>
  <si>
    <t xml:space="preserve">SELL STOP at 4311.50 filled at 4311.245 ($0.26 worse). SL $1.50 away = $21 risk. Price went against it; stopped at 4313.205 after 4s: -$27.44 (-1.31R).</t>
  </si>
  <si>
    <t xml:space="preserve">BUY STOP at 4353.09 filled at 4353.850 ($0.76 worse). SL $1.50 away = $21 risk. Price went against it; stopped at 4351.465 after 1s: -$33.39 (-1.59R).</t>
  </si>
  <si>
    <t xml:space="preserve">SELL STOP at 4268.13 filled at 4268.025 ($0.11 worse). SL $1.50 away = $21 risk. Price went against it; stopped at 4269.732 after 0s: -$23.90 (-1.14R).</t>
  </si>
  <si>
    <t xml:space="preserve">SELL STOP at 4236.25 filled at 4236.205 ($0.05 worse). SL $1.50 away = $20 risk. Closed by the EA itself (account guard / blackout / instant close) at 4234.375 after 31s: +$23.79 (+1.22R).</t>
  </si>
  <si>
    <t xml:space="preserve">BUY STOP at 4219.85 filled at 4219.955 ($0.10 worse). SL $1.50 away = $20 risk. Price went against it; stopped at 4218.315 after 16s: -$21.32 (-1.09R).</t>
  </si>
  <si>
    <t xml:space="preserve">BUY STOP at 4354.90 filled at 4354.995 ($0.10 worse). SL $1.50 away = $20 risk. Closed by the EA itself (account guard / blackout / instant close) at 4356.415 after 8s: +$18.46 (+0.95R).</t>
  </si>
  <si>
    <t xml:space="preserve">SELL STOP at 4305.76 filled at 4304.465 ($1.30 worse). SL $1.50 away = $20 risk. Closed by the EA itself (account guard / blackout / instant close) at 4304.205 after 2s: +$3.38 (+0.17R).</t>
  </si>
  <si>
    <t xml:space="preserve">SELL STOP at 4218.81 filled at 4218.525 ($0.29 worse). SL $1.50 away = $20 risk. Closed by the EA itself (account guard / blackout / instant close) at 4216.085 after 2s: +$31.72 (+1.63R).</t>
  </si>
  <si>
    <t xml:space="preserve">SELL STOP at 4201.15 filled at 4199.775 ($1.38 worse). SL $1.50 away = $21 risk. Price went against it; stopped at 4202.662 after 4s: -$40.42 (-1.92R).</t>
  </si>
  <si>
    <t xml:space="preserve">BUY STOP at 4212.88 filled at 4213.005 ($0.12 worse). SL $1.50 away = $20 risk. Closed by the EA itself (account guard / blackout / instant close) at 4214.895 after 3s: +$24.57 (+1.26R).</t>
  </si>
  <si>
    <t xml:space="preserve">SELL STOP at 4136.13 filled at 4135.955 ($0.18 worse). SL $1.50 away = $20 risk. Closed by the EA itself (account guard / blackout / instant close) at 4135.225 after 5s: +$9.49 (+0.49R).</t>
  </si>
  <si>
    <t xml:space="preserve">SELL STOP at 4090.55 filled at 4090.395 ($0.16 worse). SL $1.50 away = $21 risk. Closed by the EA itself (account guard / blackout / instant close) at 4089.345 after 3s: +$14.70 (+0.70R).</t>
  </si>
  <si>
    <t xml:space="preserve">BUY STOP at 4043.92 filled at 4044.735 ($0.82 worse). SL $1.50 away = $21 risk. Closed by the EA itself (account guard / blackout / instant close) at 4044.725 after 0s: -$0.14 (-0.01R).</t>
  </si>
  <si>
    <t xml:space="preserve">SELL STOP at 3999.92 filled at 3999.835 ($0.09 worse). SL $1.50 away = $21 risk. Closed by the EA itself (account guard / blackout / instant close) at 3998.805 after 9s: +$14.42 (+0.69R).</t>
  </si>
  <si>
    <t xml:space="preserve">BUY STOP at 4063.21 filled at 4063.655 ($0.45 worse). SL $1.50 away = $21 risk. Closed by the EA itself (account guard / blackout / instant close) at 4065.535 after 2s: +$26.32 (+1.25R).</t>
  </si>
  <si>
    <t xml:space="preserve">BUY STOP at 4115.48 filled at 4115.985 ($0.51 worse). SL $1.50 away = $21 risk. Closed by the EA itself (account guard / blackout / instant close) at 4114.675 after 2s: -$18.34 (-0.87R).</t>
  </si>
  <si>
    <t xml:space="preserve">BUY STOP at 4143.72 filled at 4143.985 ($0.26 worse). SL $1.50 away = $21 risk. Closed by the EA itself (account guard / blackout / instant close) at 4146.025 after 2s: +$28.56 (+1.36R).</t>
  </si>
  <si>
    <t xml:space="preserve">BUY STOP at 4195.36 filled at 4195.655 ($0.30 worse). SL $1.50 away = $21 risk. Closed by the EA itself (account guard / blackout / instant close) at 4200.705 after 0s: +$70.70 (+3.37R).</t>
  </si>
  <si>
    <t xml:space="preserve">SELL STOP at 4128.27 filled at 4127.455 ($0.82 worse). SL $1.50 away = $21 risk. Closed by the EA itself (account guard / blackout / instant close) at 4127.005 after 2s: +$6.30 (+0.30R).</t>
  </si>
  <si>
    <t xml:space="preserve">SELL STOP at 4091.85 filled at 4091.845 ($0.01 worse). SL $1.50 away = $21 risk. Closed by the EA itself (account guard / blackout / instant close) at 4090.505 after 1s: +$18.76 (+0.89R).</t>
  </si>
  <si>
    <t xml:space="preserve">BUY STOP at 4133.69 filled at 4133.745 ($0.06 worse). SL $1.50 away = $22 risk. Closed by the EA itself (account guard / blackout / instant close) at 4133.715 after 1s: -$0.45 (-0.02R).</t>
  </si>
  <si>
    <t xml:space="preserve">SELL STOP at 4072.59 filled at 4072.565 ($0.03 worse). SL $1.50 away = $22 risk. Closed by the EA itself (account guard / blackout / instant close) at 4071.325 after 2s: +$18.60 (+0.83R).</t>
  </si>
  <si>
    <t xml:space="preserve">SELL STOP at 3985.17 filled at 3984.565 ($0.61 worse). SL $1.50 away = $22 risk. Closed by the EA itself (account guard / blackout / instant close) at 3984.895 after 0s: -$4.95 (-0.22R).</t>
  </si>
  <si>
    <t xml:space="preserve">BUY STOP at 4103.27 filled at 4103.415 ($0.14 worse). SL $1.50 away = $22 risk. Price went against it; stopped at 4090.505 after 0s: -$193.65 (-8.61R).</t>
  </si>
  <si>
    <t xml:space="preserve">SELL STOP at 4017.16 filled at 4016.725 ($0.43 worse). SL $1.50 away = $20 risk. Closed by the EA itself (account guard / blackout / instant close) at 4016.425 after 2s: +$3.90 (+0.20R).</t>
  </si>
  <si>
    <t xml:space="preserve">SELL STOP at 3969.05 filled at 3968.035 ($1.02 worse). SL $1.50 away = $20 risk. Price went against it; stopped at 3971.395 after 1s: -$43.68 (-2.24R).</t>
  </si>
  <si>
    <t xml:space="preserve">BUY STOP at 4023.65 filled at 4023.655 ($0.01 worse). SL $1.50 away = $20 risk. Closed by the EA itself (account guard / blackout / instant close) at 4027.045 after 2s: +$44.07 (+2.26R).</t>
  </si>
  <si>
    <t xml:space="preserve">BUY STOP at 4040.44 filled at 4040.585 ($0.14 worse). SL $1.50 away = $20 risk. Closed by the EA itself (account guard / blackout / instant close) at 4042.845 after 2s: +$29.38 (+1.51R).</t>
  </si>
  <si>
    <t xml:space="preserve">BUY STOP at 4086.78 filled at 4086.845 ($0.06 worse). SL $1.50 away = $21 risk. Closed by the EA itself (account guard / blackout / instant close) at 4088.655 after 2s: +$25.34 (+1.21R).</t>
  </si>
  <si>
    <t xml:space="preserve">SELL STOP at 4076.33 filled at 4076.095 ($0.24 worse). SL $1.50 away = $21 risk. Price went against it; stopped at 4077.855 after 12s: -$24.64 (-1.17R).</t>
  </si>
  <si>
    <t xml:space="preserve">SELL STOP at 4039.69 filled at 4039.555 ($0.14 worse). SL $1.50 away = $21 risk. Price went against it; stopped at 4041.625 after 0s: -$28.98 (-1.38R).</t>
  </si>
  <si>
    <t xml:space="preserve">SELL STOP at 4065.07 filled at 4065.025 ($0.05 worse). SL $1.50 away = $20 risk. Closed by the EA itself (account guard / blackout / instant close) at 4064.775 after 3s: +$3.25 (+0.17R).</t>
  </si>
  <si>
    <t xml:space="preserve">SELL STOP at 4011.34 filled at 4010.665 ($0.68 worse). SL $1.50 away = $20 risk. Price went against it; stopped at 4013.025 after 59s: -$30.68 (-1.57R).</t>
  </si>
  <si>
    <t xml:space="preserve">BUY STOP at 4081.77 filled at 4082.135 ($0.37 worse). SL $1.50 away = $20 risk. Price went against it; stopped at 4077.435 after 0s: -$61.10 (-3.13R).</t>
  </si>
  <si>
    <t xml:space="preserve">BUY STOP at 4116.10 filled at 4117.015 ($0.91 worse). SL $1.50 away = $20 risk. Closed by the EA itself (account guard / blackout / instant close) at 4117.915 after 0s: +$11.70 (+0.60R).</t>
  </si>
  <si>
    <t xml:space="preserve">SELL STOP at 4028.16 filled at 4028.115 ($0.05 worse). SL $1.50 away = $20 risk. Closed by the EA itself (account guard / blackout / instant close) at 4028.215 after 2s: -$1.30 (-0.07R).</t>
  </si>
  <si>
    <t xml:space="preserve">SELL STOP at 4020.55 filled at 4020.535 ($0.02 worse). SL $1.50 away = $20 risk. Closed by the EA itself (account guard / blackout / instant close) at 4020.585 after 2s: -$0.65 (-0.03R).</t>
  </si>
  <si>
    <t xml:space="preserve">BUY STOP at 4081.94 filled at 4081.965 ($0.03 worse). SL $1.50 away = $20 risk. Closed by the EA itself (account guard / blackout / instant close) at 4081.825 after 5s: -$1.82 (-0.09R).</t>
  </si>
  <si>
    <t xml:space="preserve">BUY STOP at 4106.40 filled at 4107.245 ($0.85 worse). SL $1.50 away = $20 risk. Closed by the EA itself (account guard / blackout / instant close) at 4107.585 after 2s: +$4.42 (+0.23R).</t>
  </si>
  <si>
    <t xml:space="preserve">BUY STOP at 4267.72 filled at 4267.745 ($0.02 worse). SL $1.50 away = $20 risk. Closed by the EA itself (account guard / blackout / instant close) at 4267.735 after 1s: -$0.13 (-0.01R).</t>
  </si>
  <si>
    <t xml:space="preserve">BUY STOP at 4303.75 filled at 4303.925 ($0.18 worse). SL $1.50 away = $20 risk. Closed by the EA itself (account guard / blackout / instant close) at 4309.295 after 1s: +$69.81 (+3.58R).</t>
  </si>
  <si>
    <t xml:space="preserve">BUY STOP at 4371.69 filled at 4372.385 ($0.70 worse). SL $1.50 away = $20 risk. Closed by the EA itself (account guard / blackout / instant close) at 4375.245 after 1s: +$37.18 (+1.91R).</t>
  </si>
  <si>
    <t xml:space="preserve">BUY STOP at 4394.83 filled at 4394.855 ($0.02 worse). SL $1.50 away = $21 risk. Price went against it; stopped at 4393.145 after 3s: -$23.94 (-1.14R).</t>
  </si>
  <si>
    <t xml:space="preserve">BUY STOP at 4434.97 filled at 4435.045 ($0.07 worse). SL $1.50 away = $20 risk. Price went against it; stopped at 4432.605 after 1s: -$31.72 (-1.63R).</t>
  </si>
  <si>
    <t xml:space="preserve">BUY STOP at 4441.25 filled at 4441.775 ($0.52 worse). SL $1.50 away = $20 risk. Closed by the EA itself (account guard / blackout / instant close) at 4445.497 after 0s: +$48.39 (+2.48R).</t>
  </si>
  <si>
    <t xml:space="preserve">SELL STOP at 4361.50 filled at 4352.755 ($8.74 worse). SL $1.50 away = $20 risk. Closed by the EA itself (account guard / blackout / instant close) at 4361.055 after 1s: -$107.90 (-5.53R).</t>
  </si>
  <si>
    <t xml:space="preserve">SELL STOP at 4343.36 filled at 4342.725 ($0.63 worse). SL $1.50 away = $20 risk. Closed by the EA itself (account guard / blackout / instant close) at 4340.705 after 1s: +$26.26 (+1.35R).</t>
  </si>
  <si>
    <t xml:space="preserve">BUY STOP at 4396.77 filled at 4396.945 ($0.17 worse). SL $1.50 away = $20 risk. Closed by the EA itself (account guard / blackout / instant close) at 4396.935 after 0s: -$0.13 (-0.01R).</t>
  </si>
  <si>
    <t xml:space="preserve">BUY STOP at 4428.68 filled at 4428.805 ($0.12 worse). SL $1.50 away = $20 risk. Closed by the EA itself (account guard / blackout / instant close) at 4429.435 after 1s: +$8.19 (+0.42R).</t>
  </si>
  <si>
    <t xml:space="preserve">SELL STOP at 4366.86 filled at 4366.855 ($0.01 worse). SL $1.50 away = $20 risk. Closed by the EA itself (account guard / blackout / instant close) at 4366.185 after 2s: +$8.71 (+0.45R).</t>
  </si>
  <si>
    <t xml:space="preserve">SELL STOP at 4329.30 filled at 4328.545 ($0.76 worse). SL $1.50 away = $20 risk. Closed by the EA itself (account guard / blackout / instant close) at 4328.605 after 27s: -$0.78 (-0.04R).</t>
  </si>
  <si>
    <t xml:space="preserve">BUY STOP at 4435.90 filled at 4435.965 ($0.07 worse). SL $1.50 away = $20 risk. Price went against it; stopped at 4433.965 after 0s: -$26.00 (-1.33R).</t>
  </si>
  <si>
    <t xml:space="preserve">BUY STOP at 4524.14 filled at 4524.285 ($0.14 worse). SL $1.50 away = $20 risk. Price went against it; stopped at 4521.735 after 0s: -$33.15 (-1.70R).</t>
  </si>
  <si>
    <t xml:space="preserve">BUY STOP at 4540.80 filled at 4540.855 ($0.05 worse). SL $1.50 away = $20 risk. Closed by the EA itself (account guard / blackout / instant close) at 4543.035 after 2s: +$28.34 (+1.45R).</t>
  </si>
  <si>
    <t xml:space="preserve">BUY STOP at 4631.94 filled at 4632.965 ($1.03 worse). SL $1.50 away = $20 risk. Closed by the EA itself (account guard / blackout / instant close) at 4633.795 after 1s: +$10.79 (+0.55R).</t>
  </si>
  <si>
    <t xml:space="preserve">BUY STOP at 4680.65 filled at 4681.295 ($0.65 worse). SL $1.50 away = $20 risk. Closed by the EA itself (account guard / blackout / instant close) at 4681.515 after 0s: +$2.86 (+0.15R).</t>
  </si>
  <si>
    <t xml:space="preserve">SELL STOP at 4604.81 filled at 4603.565 ($1.25 worse). SL $1.50 away = $20 risk. Closed by the EA itself (account guard / blackout / instant close) at 4602.075 after 0s: +$19.37 (+0.99R).</t>
  </si>
  <si>
    <t xml:space="preserve">SELL STOP at 4582.79 filled at 4582.645 ($0.14 worse). SL $1.50 away = $20 risk. Closed by the EA itself (account guard / blackout / instant close) at 4580.895 after 0s: +$22.75 (+1.17R).</t>
  </si>
  <si>
    <t xml:space="preserve">SELL STOP at 4564.23 filled at 4563.745 ($0.48 worse). SL $1.50 away = $20 risk. Closed by the EA itself (account guard / blackout / instant close) at 4561.255 after 1s: +$32.37 (+1.66R).</t>
  </si>
  <si>
    <t xml:space="preserve">Test settings and what they mean</t>
  </si>
  <si>
    <t xml:space="preserve">Expert</t>
  </si>
  <si>
    <t xml:space="preserve">Xauusd pdh pdl london v5 42</t>
  </si>
  <si>
    <t xml:space="preserve">Symbol</t>
  </si>
  <si>
    <t xml:space="preserve">XAUUSD.m</t>
  </si>
  <si>
    <t xml:space="preserve">Period</t>
  </si>
  <si>
    <t xml:space="preserve">M5 (2025.04.01 - 2026.08.30)</t>
  </si>
  <si>
    <t xml:space="preserve">Initial deposit</t>
  </si>
  <si>
    <t xml:space="preserve">Leverage</t>
  </si>
  <si>
    <t xml:space="preserve">1:100</t>
  </si>
  <si>
    <t xml:space="preserve">History quality</t>
  </si>
  <si>
    <t xml:space="preserve">100% real ticks</t>
  </si>
  <si>
    <t xml:space="preserve">Input</t>
  </si>
  <si>
    <t xml:space="preserve">Meaning</t>
  </si>
  <si>
    <t xml:space="preserve">1. Strategy</t>
  </si>
  <si>
    <t xml:space="preserve">InpEnablePDH</t>
  </si>
  <si>
    <t xml:space="preserve">true</t>
  </si>
  <si>
    <t xml:space="preserve">Previous-day high/low module.</t>
  </si>
  <si>
    <t xml:space="preserve">InpEnableLondon</t>
  </si>
  <si>
    <t xml:space="preserve">false</t>
  </si>
  <si>
    <t xml:space="preserve">London-range module.</t>
  </si>
  <si>
    <t xml:space="preserve">InpEnable4H</t>
  </si>
  <si>
    <t xml:space="preserve">4H high/low module.</t>
  </si>
  <si>
    <t xml:space="preserve">InpDirection</t>
  </si>
  <si>
    <t xml:space="preserve">0</t>
  </si>
  <si>
    <t xml:space="preserve">2. Entry Confirmation (optional, per module)</t>
  </si>
  <si>
    <t xml:space="preserve">InpConfirmPDH</t>
  </si>
  <si>
    <t xml:space="preserve">InpConfirmLondon</t>
  </si>
  <si>
    <t xml:space="preserve">InpConfirm4H</t>
  </si>
  <si>
    <t xml:space="preserve">InpConfirmMinutes</t>
  </si>
  <si>
    <t xml:space="preserve">15</t>
  </si>
  <si>
    <t xml:space="preserve">InpConfirmOneTradePerSet</t>
  </si>
  <si>
    <t xml:space="preserve">3. Risk</t>
  </si>
  <si>
    <t xml:space="preserve">InpAutoLot</t>
  </si>
  <si>
    <t xml:space="preserve">InpRiskPct</t>
  </si>
  <si>
    <t xml:space="preserve">1</t>
  </si>
  <si>
    <t xml:space="preserve">Risk % of balance per trade.</t>
  </si>
  <si>
    <t xml:space="preserve">InpFixedLot</t>
  </si>
  <si>
    <t xml:space="preserve">0.5</t>
  </si>
  <si>
    <t xml:space="preserve">InpMaxRiskOverPct</t>
  </si>
  <si>
    <t xml:space="preserve">4. Stop Loss / Take Profit</t>
  </si>
  <si>
    <t xml:space="preserve">InpSL_Pts</t>
  </si>
  <si>
    <t xml:space="preserve">150</t>
  </si>
  <si>
    <t xml:space="preserve">Stop loss. Measured from the orders in this test: $1.50 of gold price.</t>
  </si>
  <si>
    <t xml:space="preserve">InpUseTP</t>
  </si>
  <si>
    <t xml:space="preserve">false = no take profit; exits come only from SL / breakeven / trailing.</t>
  </si>
  <si>
    <t xml:space="preserve">InpTP_Pts</t>
  </si>
  <si>
    <t xml:space="preserve">500</t>
  </si>
  <si>
    <t xml:space="preserve">5. Breakeven &amp; Trailing</t>
  </si>
  <si>
    <t xml:space="preserve">InpEnableBreakEven</t>
  </si>
  <si>
    <t xml:space="preserve">InpBreakEvenPts</t>
  </si>
  <si>
    <t xml:space="preserve">80</t>
  </si>
  <si>
    <t xml:space="preserve">Profit (points) before the SL moves to entry.</t>
  </si>
  <si>
    <t xml:space="preserve">InpEnableTrailing</t>
  </si>
  <si>
    <t xml:space="preserve">InpTrailActivatePts</t>
  </si>
  <si>
    <t xml:space="preserve">100</t>
  </si>
  <si>
    <t xml:space="preserve">Profit (points) before the trailing stop starts.</t>
  </si>
  <si>
    <t xml:space="preserve">InpTrailDist</t>
  </si>
  <si>
    <t xml:space="preserve">10.0</t>
  </si>
  <si>
    <t xml:space="preserve">Trailing distance in points. 10 points is only a few cents of gold price.</t>
  </si>
  <si>
    <t xml:space="preserve">6. Sessions &amp; Broker Time</t>
  </si>
  <si>
    <t xml:space="preserve">InpLondonOpenUTC</t>
  </si>
  <si>
    <t xml:space="preserve">16</t>
  </si>
  <si>
    <t xml:space="preserve">InpLondonCloseUTC</t>
  </si>
  <si>
    <t xml:space="preserve">17</t>
  </si>
  <si>
    <t xml:space="preserve">InpBrokerTZ</t>
  </si>
  <si>
    <t xml:space="preserve">InpBrokerUTCOffset</t>
  </si>
  <si>
    <t xml:space="preserve">3</t>
  </si>
  <si>
    <t xml:space="preserve">Broker server offset used for the London window.</t>
  </si>
  <si>
    <t xml:space="preserve">InpEnableBlackout</t>
  </si>
  <si>
    <t xml:space="preserve">InpBreakCloseHour</t>
  </si>
  <si>
    <t xml:space="preserve">23</t>
  </si>
  <si>
    <t xml:space="preserve">InpBreakCloseMin</t>
  </si>
  <si>
    <t xml:space="preserve">InpBreakOpenHour</t>
  </si>
  <si>
    <t xml:space="preserve">InpBreakOpenMin</t>
  </si>
  <si>
    <t xml:space="preserve">InpBlackoutBeforeMin</t>
  </si>
  <si>
    <t xml:space="preserve">InpBlackoutAfterMin</t>
  </si>
  <si>
    <t xml:space="preserve">InpBlackoutFlatten</t>
  </si>
  <si>
    <t xml:space="preserve">7. Execution</t>
  </si>
  <si>
    <t xml:space="preserve">InpMaxSpreadPts</t>
  </si>
  <si>
    <t xml:space="preserve">Max spread allowed when placing orders (points).</t>
  </si>
  <si>
    <t xml:space="preserve">InpSymbolAliases</t>
  </si>
  <si>
    <t xml:space="preserve">XAUUSD</t>
  </si>
  <si>
    <t xml:space="preserve">8. DANGER ZONE - Account Protection</t>
  </si>
  <si>
    <t xml:space="preserve">InpEnableRiskGov</t>
  </si>
  <si>
    <t xml:space="preserve">InpDailyLossPct</t>
  </si>
  <si>
    <t xml:space="preserve">2.5</t>
  </si>
  <si>
    <t xml:space="preserve">Daily loss limit of the account guard.</t>
  </si>
  <si>
    <t xml:space="preserve">InpMaxDrawdownPct</t>
  </si>
  <si>
    <t xml:space="preserve">8.5</t>
  </si>
  <si>
    <t xml:space="preserve">Overall drawdown limit of the account guard.</t>
  </si>
  <si>
    <t xml:space="preserve">InpCloseAllOnBreach</t>
  </si>
  <si>
    <t xml:space="preserve">InpGovHaltMode</t>
  </si>
  <si>
    <t xml:space="preserve">0 = permanent halt, 1 = pause N days, 2 = log only.</t>
  </si>
  <si>
    <t xml:space="preserve">InpGovPauseDays</t>
  </si>
  <si>
    <t xml:space="preserve">InpGovResetOnInit</t>
  </si>
  <si>
    <t xml:space="preserve">9. Advanced</t>
  </si>
  <si>
    <t xml:space="preserve">InpMagicBase</t>
  </si>
  <si>
    <t xml:space="preserve">100000</t>
  </si>
  <si>
    <t xml:space="preserve">InpEnableSpreadBuffer</t>
  </si>
  <si>
    <t xml:space="preserve">InpSpreadBufferMult</t>
  </si>
  <si>
    <t xml:space="preserve">1.5</t>
  </si>
  <si>
    <t xml:space="preserve">InpSimSpreadTester</t>
  </si>
  <si>
    <t xml:space="preserve">InpSimSpreadPts</t>
  </si>
  <si>
    <t xml:space="preserve">30.0</t>
  </si>
  <si>
    <t xml:space="preserve">10. Notifications &amp; Debug</t>
  </si>
  <si>
    <t xml:space="preserve">InpEnablePush</t>
  </si>
  <si>
    <t xml:space="preserve">InpEnableVisuals</t>
  </si>
  <si>
    <t xml:space="preserve">InpDebug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</si>
</sst>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-$&quot;#,##0.00;\-"/>
    <numFmt numFmtId="166" formatCode="0.0%;[RED]\-0.0%;\-"/>
    <numFmt numFmtId="167" formatCode="0"/>
    <numFmt numFmtId="168" formatCode="0.00"/>
    <numFmt numFmtId="169" formatCode="0.00\R;[RED]\-0.00\R;&quot;0R&quot;"/>
    <numFmt numFmtId="170" formatCode="\$#,##0"/>
    <numFmt numFmtId="171" formatCode="yyyy\-mm\-dd\ hh:mm:ss"/>
    <numFmt numFmtId="172" formatCode="0.000"/>
    <numFmt numFmtId="173" formatCode="0.00;[RED]\-0.0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after each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Trades!Z1</c:f>
              <c:strCache>
                <c:ptCount val="1"/>
                <c:pt idx="0">
                  <c:v>Balance after</c:v>
                </c:pt>
              </c:strCache>
            </c:strRef>
          </c:tx>
          <c:spPr>
            <a:solidFill>
              <a:srgbClr val="2a78d6"/>
            </a:solidFill>
            <a:ln w="201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Trades!$Z$2:$Z$310</c:f>
              <c:numCache>
                <c:formatCode>\$#,##0.00;[RED]"-$"#,##0.00;\-</c:formatCode>
                <c:ptCount val="309"/>
                <c:pt idx="0">
                  <c:v>5026.73</c:v>
                </c:pt>
                <c:pt idx="1">
                  <c:v>5018.91</c:v>
                </c:pt>
                <c:pt idx="2">
                  <c:v>4941.49</c:v>
                </c:pt>
                <c:pt idx="3">
                  <c:v>4844.4</c:v>
                </c:pt>
                <c:pt idx="4">
                  <c:v>4847.6</c:v>
                </c:pt>
                <c:pt idx="5">
                  <c:v>4846.96</c:v>
                </c:pt>
                <c:pt idx="6">
                  <c:v>4783.92</c:v>
                </c:pt>
                <c:pt idx="7">
                  <c:v>4731.22</c:v>
                </c:pt>
                <c:pt idx="8">
                  <c:v>4744.24</c:v>
                </c:pt>
                <c:pt idx="9">
                  <c:v>4683.48</c:v>
                </c:pt>
                <c:pt idx="10">
                  <c:v>4627.06</c:v>
                </c:pt>
                <c:pt idx="11">
                  <c:v>4580.25</c:v>
                </c:pt>
                <c:pt idx="12">
                  <c:v>4581.45</c:v>
                </c:pt>
                <c:pt idx="13">
                  <c:v>4532.22</c:v>
                </c:pt>
                <c:pt idx="14">
                  <c:v>4537.32</c:v>
                </c:pt>
                <c:pt idx="15">
                  <c:v>4547.52</c:v>
                </c:pt>
                <c:pt idx="16">
                  <c:v>4545.42</c:v>
                </c:pt>
                <c:pt idx="17">
                  <c:v>4479.12</c:v>
                </c:pt>
                <c:pt idx="18">
                  <c:v>4419.67</c:v>
                </c:pt>
                <c:pt idx="19">
                  <c:v>4415.61</c:v>
                </c:pt>
                <c:pt idx="20">
                  <c:v>4411.55</c:v>
                </c:pt>
                <c:pt idx="21">
                  <c:v>4413.41</c:v>
                </c:pt>
                <c:pt idx="22">
                  <c:v>4434.87</c:v>
                </c:pt>
                <c:pt idx="23">
                  <c:v>4390.79</c:v>
                </c:pt>
                <c:pt idx="24">
                  <c:v>4369.04</c:v>
                </c:pt>
                <c:pt idx="25">
                  <c:v>4370.78</c:v>
                </c:pt>
                <c:pt idx="26">
                  <c:v>4448.3</c:v>
                </c:pt>
                <c:pt idx="27">
                  <c:v>4425.8</c:v>
                </c:pt>
                <c:pt idx="28">
                  <c:v>4434.38</c:v>
                </c:pt>
                <c:pt idx="29">
                  <c:v>4448.39</c:v>
                </c:pt>
                <c:pt idx="30">
                  <c:v>4404.77</c:v>
                </c:pt>
                <c:pt idx="31">
                  <c:v>4348.1</c:v>
                </c:pt>
                <c:pt idx="32">
                  <c:v>4303.5</c:v>
                </c:pt>
                <c:pt idx="33">
                  <c:v>4308.06</c:v>
                </c:pt>
                <c:pt idx="34">
                  <c:v>4263.37</c:v>
                </c:pt>
                <c:pt idx="35">
                  <c:v>4219.8</c:v>
                </c:pt>
                <c:pt idx="36">
                  <c:v>4198.88</c:v>
                </c:pt>
                <c:pt idx="37">
                  <c:v>4151.01</c:v>
                </c:pt>
                <c:pt idx="38">
                  <c:v>4146.42</c:v>
                </c:pt>
                <c:pt idx="39">
                  <c:v>4097.01</c:v>
                </c:pt>
                <c:pt idx="40">
                  <c:v>4093.58</c:v>
                </c:pt>
                <c:pt idx="41">
                  <c:v>4096.09</c:v>
                </c:pt>
                <c:pt idx="42">
                  <c:v>4094.01</c:v>
                </c:pt>
                <c:pt idx="43">
                  <c:v>4091.85</c:v>
                </c:pt>
                <c:pt idx="44">
                  <c:v>4096.25</c:v>
                </c:pt>
                <c:pt idx="45">
                  <c:v>4037.28</c:v>
                </c:pt>
                <c:pt idx="46">
                  <c:v>3994.98</c:v>
                </c:pt>
                <c:pt idx="47">
                  <c:v>3952.34</c:v>
                </c:pt>
                <c:pt idx="48">
                  <c:v>3906.06</c:v>
                </c:pt>
                <c:pt idx="49">
                  <c:v>3905.88</c:v>
                </c:pt>
                <c:pt idx="50">
                  <c:v>3861.24</c:v>
                </c:pt>
                <c:pt idx="51">
                  <c:v>3878.32</c:v>
                </c:pt>
                <c:pt idx="52">
                  <c:v>3878.32</c:v>
                </c:pt>
                <c:pt idx="53">
                  <c:v>3892.42</c:v>
                </c:pt>
                <c:pt idx="54">
                  <c:v>3853.24</c:v>
                </c:pt>
                <c:pt idx="55">
                  <c:v>3815.99</c:v>
                </c:pt>
                <c:pt idx="56">
                  <c:v>3825.32</c:v>
                </c:pt>
                <c:pt idx="57">
                  <c:v>3837.15</c:v>
                </c:pt>
                <c:pt idx="58">
                  <c:v>3850.48</c:v>
                </c:pt>
                <c:pt idx="59">
                  <c:v>3809.3</c:v>
                </c:pt>
                <c:pt idx="60">
                  <c:v>3768.12</c:v>
                </c:pt>
                <c:pt idx="61">
                  <c:v>3764.87</c:v>
                </c:pt>
                <c:pt idx="62">
                  <c:v>3722.12</c:v>
                </c:pt>
                <c:pt idx="63">
                  <c:v>3721.45</c:v>
                </c:pt>
                <c:pt idx="64">
                  <c:v>3728.72</c:v>
                </c:pt>
                <c:pt idx="65">
                  <c:v>3692.55</c:v>
                </c:pt>
                <c:pt idx="66">
                  <c:v>3653.26</c:v>
                </c:pt>
                <c:pt idx="67">
                  <c:v>3605.74</c:v>
                </c:pt>
                <c:pt idx="68">
                  <c:v>3613.66</c:v>
                </c:pt>
                <c:pt idx="69">
                  <c:v>3570.08</c:v>
                </c:pt>
                <c:pt idx="70">
                  <c:v>3570.08</c:v>
                </c:pt>
                <c:pt idx="71">
                  <c:v>3487.81</c:v>
                </c:pt>
                <c:pt idx="72">
                  <c:v>3484.98</c:v>
                </c:pt>
                <c:pt idx="73">
                  <c:v>3505.52</c:v>
                </c:pt>
                <c:pt idx="74">
                  <c:v>3466.72</c:v>
                </c:pt>
                <c:pt idx="75">
                  <c:v>3464.72</c:v>
                </c:pt>
                <c:pt idx="76">
                  <c:v>3461.2</c:v>
                </c:pt>
                <c:pt idx="77">
                  <c:v>3460.97</c:v>
                </c:pt>
                <c:pt idx="78">
                  <c:v>3503.36</c:v>
                </c:pt>
                <c:pt idx="79">
                  <c:v>3466.79</c:v>
                </c:pt>
                <c:pt idx="80">
                  <c:v>3477.14</c:v>
                </c:pt>
                <c:pt idx="81">
                  <c:v>3438.57</c:v>
                </c:pt>
                <c:pt idx="82">
                  <c:v>3404.03</c:v>
                </c:pt>
                <c:pt idx="83">
                  <c:v>3405</c:v>
                </c:pt>
                <c:pt idx="84">
                  <c:v>3366.79</c:v>
                </c:pt>
                <c:pt idx="85">
                  <c:v>3388.64</c:v>
                </c:pt>
                <c:pt idx="86">
                  <c:v>3355.2</c:v>
                </c:pt>
                <c:pt idx="87">
                  <c:v>3316.92</c:v>
                </c:pt>
                <c:pt idx="88">
                  <c:v>3322.42</c:v>
                </c:pt>
                <c:pt idx="89">
                  <c:v>3346.25</c:v>
                </c:pt>
                <c:pt idx="90">
                  <c:v>3303.42</c:v>
                </c:pt>
                <c:pt idx="91">
                  <c:v>3263.6</c:v>
                </c:pt>
                <c:pt idx="92">
                  <c:v>3267.8</c:v>
                </c:pt>
                <c:pt idx="93">
                  <c:v>3158.81</c:v>
                </c:pt>
                <c:pt idx="94">
                  <c:v>3163.22</c:v>
                </c:pt>
                <c:pt idx="95">
                  <c:v>3127.52</c:v>
                </c:pt>
                <c:pt idx="96">
                  <c:v>3131.58</c:v>
                </c:pt>
                <c:pt idx="97">
                  <c:v>3144</c:v>
                </c:pt>
                <c:pt idx="98">
                  <c:v>3142.86</c:v>
                </c:pt>
                <c:pt idx="99">
                  <c:v>3153.52</c:v>
                </c:pt>
                <c:pt idx="100">
                  <c:v>3153.32</c:v>
                </c:pt>
                <c:pt idx="101">
                  <c:v>3120.41</c:v>
                </c:pt>
                <c:pt idx="102">
                  <c:v>3089.47</c:v>
                </c:pt>
                <c:pt idx="103">
                  <c:v>3108.59</c:v>
                </c:pt>
                <c:pt idx="104">
                  <c:v>3064.99</c:v>
                </c:pt>
                <c:pt idx="105">
                  <c:v>3029.59</c:v>
                </c:pt>
                <c:pt idx="106">
                  <c:v>3024.05</c:v>
                </c:pt>
                <c:pt idx="107">
                  <c:v>3035.83</c:v>
                </c:pt>
                <c:pt idx="108">
                  <c:v>3047.03</c:v>
                </c:pt>
                <c:pt idx="109">
                  <c:v>3016.69</c:v>
                </c:pt>
                <c:pt idx="110">
                  <c:v>3037.09</c:v>
                </c:pt>
                <c:pt idx="111">
                  <c:v>3035.69</c:v>
                </c:pt>
                <c:pt idx="112">
                  <c:v>3003.55</c:v>
                </c:pt>
                <c:pt idx="113">
                  <c:v>3011.15</c:v>
                </c:pt>
                <c:pt idx="114">
                  <c:v>3003.87</c:v>
                </c:pt>
                <c:pt idx="115">
                  <c:v>2968.75</c:v>
                </c:pt>
                <c:pt idx="116">
                  <c:v>2937.08</c:v>
                </c:pt>
                <c:pt idx="117">
                  <c:v>2898.95</c:v>
                </c:pt>
                <c:pt idx="118">
                  <c:v>2883.43</c:v>
                </c:pt>
                <c:pt idx="119">
                  <c:v>2846.57</c:v>
                </c:pt>
                <c:pt idx="120">
                  <c:v>2817.64</c:v>
                </c:pt>
                <c:pt idx="121">
                  <c:v>2816.27</c:v>
                </c:pt>
                <c:pt idx="122">
                  <c:v>2848.85</c:v>
                </c:pt>
                <c:pt idx="123">
                  <c:v>2809.43</c:v>
                </c:pt>
                <c:pt idx="124">
                  <c:v>2804.93</c:v>
                </c:pt>
                <c:pt idx="125">
                  <c:v>2804.5</c:v>
                </c:pt>
                <c:pt idx="126">
                  <c:v>2771.92</c:v>
                </c:pt>
                <c:pt idx="127">
                  <c:v>2732.68</c:v>
                </c:pt>
                <c:pt idx="128">
                  <c:v>2684.49</c:v>
                </c:pt>
                <c:pt idx="129">
                  <c:v>2729.2</c:v>
                </c:pt>
                <c:pt idx="130">
                  <c:v>2702.02</c:v>
                </c:pt>
                <c:pt idx="131">
                  <c:v>2694.69</c:v>
                </c:pt>
                <c:pt idx="132">
                  <c:v>2720.07</c:v>
                </c:pt>
                <c:pt idx="133">
                  <c:v>2737.35</c:v>
                </c:pt>
                <c:pt idx="134">
                  <c:v>2734.83</c:v>
                </c:pt>
                <c:pt idx="135">
                  <c:v>2770.88</c:v>
                </c:pt>
                <c:pt idx="136">
                  <c:v>2734.95</c:v>
                </c:pt>
                <c:pt idx="137">
                  <c:v>2704.35</c:v>
                </c:pt>
                <c:pt idx="138">
                  <c:v>2753.36</c:v>
                </c:pt>
                <c:pt idx="139">
                  <c:v>2766.73</c:v>
                </c:pt>
                <c:pt idx="140">
                  <c:v>2765.11</c:v>
                </c:pt>
                <c:pt idx="141">
                  <c:v>2734.56</c:v>
                </c:pt>
                <c:pt idx="142">
                  <c:v>2759.22</c:v>
                </c:pt>
                <c:pt idx="143">
                  <c:v>2789.51</c:v>
                </c:pt>
                <c:pt idx="144">
                  <c:v>2759.99</c:v>
                </c:pt>
                <c:pt idx="145">
                  <c:v>2773.85</c:v>
                </c:pt>
                <c:pt idx="146">
                  <c:v>2703.83</c:v>
                </c:pt>
                <c:pt idx="147">
                  <c:v>2732.63</c:v>
                </c:pt>
                <c:pt idx="148">
                  <c:v>2697.76</c:v>
                </c:pt>
                <c:pt idx="149">
                  <c:v>2697.42</c:v>
                </c:pt>
                <c:pt idx="150">
                  <c:v>2705.75</c:v>
                </c:pt>
                <c:pt idx="151">
                  <c:v>2706.29</c:v>
                </c:pt>
                <c:pt idx="152">
                  <c:v>2703.23</c:v>
                </c:pt>
                <c:pt idx="153">
                  <c:v>2733.29</c:v>
                </c:pt>
                <c:pt idx="154">
                  <c:v>2721.59</c:v>
                </c:pt>
                <c:pt idx="155">
                  <c:v>2717.86</c:v>
                </c:pt>
                <c:pt idx="156">
                  <c:v>2722.36</c:v>
                </c:pt>
                <c:pt idx="157">
                  <c:v>2739.28</c:v>
                </c:pt>
                <c:pt idx="158">
                  <c:v>2759.62</c:v>
                </c:pt>
                <c:pt idx="159">
                  <c:v>2727.4</c:v>
                </c:pt>
                <c:pt idx="160">
                  <c:v>2726.5</c:v>
                </c:pt>
                <c:pt idx="161">
                  <c:v>2728.89</c:v>
                </c:pt>
                <c:pt idx="162">
                  <c:v>2691.76</c:v>
                </c:pt>
                <c:pt idx="163">
                  <c:v>2622.84</c:v>
                </c:pt>
                <c:pt idx="164">
                  <c:v>2593.02</c:v>
                </c:pt>
                <c:pt idx="165">
                  <c:v>2563.1</c:v>
                </c:pt>
                <c:pt idx="166">
                  <c:v>2536.58</c:v>
                </c:pt>
                <c:pt idx="167">
                  <c:v>2510.87</c:v>
                </c:pt>
                <c:pt idx="168">
                  <c:v>2475.88</c:v>
                </c:pt>
                <c:pt idx="169">
                  <c:v>2481.16</c:v>
                </c:pt>
                <c:pt idx="170">
                  <c:v>2454.92</c:v>
                </c:pt>
                <c:pt idx="171">
                  <c:v>2476.28</c:v>
                </c:pt>
                <c:pt idx="172">
                  <c:v>2472.49</c:v>
                </c:pt>
                <c:pt idx="173">
                  <c:v>2429.34</c:v>
                </c:pt>
                <c:pt idx="174">
                  <c:v>2441.76</c:v>
                </c:pt>
                <c:pt idx="175">
                  <c:v>2439.52</c:v>
                </c:pt>
                <c:pt idx="176">
                  <c:v>2406.93</c:v>
                </c:pt>
                <c:pt idx="177">
                  <c:v>2407.09</c:v>
                </c:pt>
                <c:pt idx="178">
                  <c:v>2405.33</c:v>
                </c:pt>
                <c:pt idx="179">
                  <c:v>2341.91</c:v>
                </c:pt>
                <c:pt idx="180">
                  <c:v>2772.01</c:v>
                </c:pt>
                <c:pt idx="181">
                  <c:v>2643.31</c:v>
                </c:pt>
                <c:pt idx="182">
                  <c:v>2589.47</c:v>
                </c:pt>
                <c:pt idx="183">
                  <c:v>2551.39</c:v>
                </c:pt>
                <c:pt idx="184">
                  <c:v>2316.62</c:v>
                </c:pt>
                <c:pt idx="185">
                  <c:v>2291.72</c:v>
                </c:pt>
                <c:pt idx="186">
                  <c:v>2232.81</c:v>
                </c:pt>
                <c:pt idx="187">
                  <c:v>2188.75</c:v>
                </c:pt>
                <c:pt idx="188">
                  <c:v>2272.75</c:v>
                </c:pt>
                <c:pt idx="189">
                  <c:v>2247.74</c:v>
                </c:pt>
                <c:pt idx="190">
                  <c:v>2221.28</c:v>
                </c:pt>
                <c:pt idx="191">
                  <c:v>2221</c:v>
                </c:pt>
                <c:pt idx="192">
                  <c:v>2209.02</c:v>
                </c:pt>
                <c:pt idx="193">
                  <c:v>2206.54</c:v>
                </c:pt>
                <c:pt idx="194">
                  <c:v>2067.52</c:v>
                </c:pt>
                <c:pt idx="195">
                  <c:v>1914.77</c:v>
                </c:pt>
                <c:pt idx="196">
                  <c:v>2095.41</c:v>
                </c:pt>
                <c:pt idx="197">
                  <c:v>2100.87</c:v>
                </c:pt>
                <c:pt idx="198">
                  <c:v>2125.51</c:v>
                </c:pt>
                <c:pt idx="199">
                  <c:v>2143.43</c:v>
                </c:pt>
                <c:pt idx="200">
                  <c:v>2157.85</c:v>
                </c:pt>
                <c:pt idx="201">
                  <c:v>2172.31</c:v>
                </c:pt>
                <c:pt idx="202">
                  <c:v>2304.65</c:v>
                </c:pt>
                <c:pt idx="203">
                  <c:v>2314.61</c:v>
                </c:pt>
                <c:pt idx="204">
                  <c:v>2314.01</c:v>
                </c:pt>
                <c:pt idx="205">
                  <c:v>2315.36</c:v>
                </c:pt>
                <c:pt idx="206">
                  <c:v>2287.62</c:v>
                </c:pt>
                <c:pt idx="207">
                  <c:v>2321.97</c:v>
                </c:pt>
                <c:pt idx="208">
                  <c:v>2334.77</c:v>
                </c:pt>
                <c:pt idx="209">
                  <c:v>2378.72</c:v>
                </c:pt>
                <c:pt idx="210">
                  <c:v>2424.62</c:v>
                </c:pt>
                <c:pt idx="211">
                  <c:v>2433.26</c:v>
                </c:pt>
                <c:pt idx="212">
                  <c:v>2435.71</c:v>
                </c:pt>
                <c:pt idx="213">
                  <c:v>2432.33</c:v>
                </c:pt>
                <c:pt idx="214">
                  <c:v>2399.05</c:v>
                </c:pt>
                <c:pt idx="215">
                  <c:v>2398.79</c:v>
                </c:pt>
                <c:pt idx="216">
                  <c:v>2360.54</c:v>
                </c:pt>
                <c:pt idx="217">
                  <c:v>2289.74</c:v>
                </c:pt>
                <c:pt idx="218">
                  <c:v>2266.34</c:v>
                </c:pt>
                <c:pt idx="219">
                  <c:v>2263.49</c:v>
                </c:pt>
                <c:pt idx="220">
                  <c:v>2217.59</c:v>
                </c:pt>
                <c:pt idx="221">
                  <c:v>2211.43</c:v>
                </c:pt>
                <c:pt idx="222">
                  <c:v>2189.31</c:v>
                </c:pt>
                <c:pt idx="223">
                  <c:v>2211.29</c:v>
                </c:pt>
                <c:pt idx="224">
                  <c:v>2243.21</c:v>
                </c:pt>
                <c:pt idx="225">
                  <c:v>2283.67</c:v>
                </c:pt>
                <c:pt idx="226">
                  <c:v>2278.42</c:v>
                </c:pt>
                <c:pt idx="227">
                  <c:v>2234.51</c:v>
                </c:pt>
                <c:pt idx="228">
                  <c:v>2247.81</c:v>
                </c:pt>
                <c:pt idx="229">
                  <c:v>2248.97</c:v>
                </c:pt>
                <c:pt idx="230">
                  <c:v>2226.01</c:v>
                </c:pt>
                <c:pt idx="231">
                  <c:v>2224.65</c:v>
                </c:pt>
                <c:pt idx="232">
                  <c:v>2189.37</c:v>
                </c:pt>
                <c:pt idx="233">
                  <c:v>2149.75</c:v>
                </c:pt>
                <c:pt idx="234">
                  <c:v>2110.69</c:v>
                </c:pt>
                <c:pt idx="235">
                  <c:v>2093.89</c:v>
                </c:pt>
                <c:pt idx="236">
                  <c:v>2116.64</c:v>
                </c:pt>
                <c:pt idx="237">
                  <c:v>2136.27</c:v>
                </c:pt>
                <c:pt idx="238">
                  <c:v>2135.99</c:v>
                </c:pt>
                <c:pt idx="239">
                  <c:v>2135.43</c:v>
                </c:pt>
                <c:pt idx="240">
                  <c:v>2111.63</c:v>
                </c:pt>
                <c:pt idx="241">
                  <c:v>2109.25</c:v>
                </c:pt>
                <c:pt idx="242">
                  <c:v>2132.91</c:v>
                </c:pt>
                <c:pt idx="243">
                  <c:v>2109.99</c:v>
                </c:pt>
                <c:pt idx="244">
                  <c:v>2114.61</c:v>
                </c:pt>
                <c:pt idx="245">
                  <c:v>2144.47</c:v>
                </c:pt>
                <c:pt idx="246">
                  <c:v>2111.75</c:v>
                </c:pt>
                <c:pt idx="247">
                  <c:v>2126.87</c:v>
                </c:pt>
                <c:pt idx="248">
                  <c:v>2134.71</c:v>
                </c:pt>
                <c:pt idx="249">
                  <c:v>2136.53</c:v>
                </c:pt>
                <c:pt idx="250">
                  <c:v>2109.09</c:v>
                </c:pt>
                <c:pt idx="251">
                  <c:v>2075.7</c:v>
                </c:pt>
                <c:pt idx="252">
                  <c:v>2051.8</c:v>
                </c:pt>
                <c:pt idx="253">
                  <c:v>2075.59</c:v>
                </c:pt>
                <c:pt idx="254">
                  <c:v>2054.27</c:v>
                </c:pt>
                <c:pt idx="255">
                  <c:v>2072.73</c:v>
                </c:pt>
                <c:pt idx="256">
                  <c:v>2076.11</c:v>
                </c:pt>
                <c:pt idx="257">
                  <c:v>2107.83</c:v>
                </c:pt>
                <c:pt idx="258">
                  <c:v>2067.41</c:v>
                </c:pt>
                <c:pt idx="259">
                  <c:v>2091.98</c:v>
                </c:pt>
                <c:pt idx="260">
                  <c:v>2101.47</c:v>
                </c:pt>
                <c:pt idx="261">
                  <c:v>2116.17</c:v>
                </c:pt>
                <c:pt idx="262">
                  <c:v>2116.03</c:v>
                </c:pt>
                <c:pt idx="263">
                  <c:v>2130.45</c:v>
                </c:pt>
                <c:pt idx="264">
                  <c:v>2156.77</c:v>
                </c:pt>
                <c:pt idx="265">
                  <c:v>2138.43</c:v>
                </c:pt>
                <c:pt idx="266">
                  <c:v>2166.99</c:v>
                </c:pt>
                <c:pt idx="267">
                  <c:v>2237.69</c:v>
                </c:pt>
                <c:pt idx="268">
                  <c:v>2243.99</c:v>
                </c:pt>
                <c:pt idx="269">
                  <c:v>2262.75</c:v>
                </c:pt>
                <c:pt idx="270">
                  <c:v>2262.3</c:v>
                </c:pt>
                <c:pt idx="271">
                  <c:v>2280.9</c:v>
                </c:pt>
                <c:pt idx="272">
                  <c:v>2275.95</c:v>
                </c:pt>
                <c:pt idx="273">
                  <c:v>2082.3</c:v>
                </c:pt>
                <c:pt idx="274">
                  <c:v>2086.2</c:v>
                </c:pt>
                <c:pt idx="275">
                  <c:v>2042.52</c:v>
                </c:pt>
                <c:pt idx="276">
                  <c:v>2086.59</c:v>
                </c:pt>
                <c:pt idx="277">
                  <c:v>2115.97</c:v>
                </c:pt>
                <c:pt idx="278">
                  <c:v>2141.31</c:v>
                </c:pt>
                <c:pt idx="279">
                  <c:v>2116.67</c:v>
                </c:pt>
                <c:pt idx="280">
                  <c:v>2087.69</c:v>
                </c:pt>
                <c:pt idx="281">
                  <c:v>2090.94</c:v>
                </c:pt>
                <c:pt idx="282">
                  <c:v>2060.26</c:v>
                </c:pt>
                <c:pt idx="283">
                  <c:v>1999.16</c:v>
                </c:pt>
                <c:pt idx="284">
                  <c:v>2010.86</c:v>
                </c:pt>
                <c:pt idx="285">
                  <c:v>2009.56</c:v>
                </c:pt>
                <c:pt idx="286">
                  <c:v>2008.91</c:v>
                </c:pt>
                <c:pt idx="287">
                  <c:v>2007.09</c:v>
                </c:pt>
                <c:pt idx="288">
                  <c:v>2011.51</c:v>
                </c:pt>
                <c:pt idx="289">
                  <c:v>2011.38</c:v>
                </c:pt>
                <c:pt idx="290">
                  <c:v>2081.19</c:v>
                </c:pt>
                <c:pt idx="291">
                  <c:v>2118.37</c:v>
                </c:pt>
                <c:pt idx="292">
                  <c:v>2094.43</c:v>
                </c:pt>
                <c:pt idx="293">
                  <c:v>2062.71</c:v>
                </c:pt>
                <c:pt idx="294">
                  <c:v>2111.1</c:v>
                </c:pt>
                <c:pt idx="295">
                  <c:v>2003.2</c:v>
                </c:pt>
                <c:pt idx="296">
                  <c:v>2029.46</c:v>
                </c:pt>
                <c:pt idx="297">
                  <c:v>2029.33</c:v>
                </c:pt>
                <c:pt idx="298">
                  <c:v>2037.52</c:v>
                </c:pt>
                <c:pt idx="299">
                  <c:v>2046.23</c:v>
                </c:pt>
                <c:pt idx="300">
                  <c:v>2045.45</c:v>
                </c:pt>
                <c:pt idx="301">
                  <c:v>2019.45</c:v>
                </c:pt>
                <c:pt idx="302">
                  <c:v>1986.3</c:v>
                </c:pt>
                <c:pt idx="303">
                  <c:v>2014.64</c:v>
                </c:pt>
                <c:pt idx="304">
                  <c:v>2025.43</c:v>
                </c:pt>
                <c:pt idx="305">
                  <c:v>2028.29</c:v>
                </c:pt>
                <c:pt idx="306">
                  <c:v>2047.66</c:v>
                </c:pt>
                <c:pt idx="307">
                  <c:v>2070.41</c:v>
                </c:pt>
                <c:pt idx="308">
                  <c:v>2102.78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729029"/>
        <c:axId val="374224"/>
      </c:lineChart>
      <c:catAx>
        <c:axId val="77729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224"/>
        <c:crosses val="autoZero"/>
        <c:auto val="1"/>
        <c:lblAlgn val="ctr"/>
        <c:lblOffset val="100"/>
        <c:noMultiLvlLbl val="0"/>
      </c:catAx>
      <c:valAx>
        <c:axId val="374224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29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month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Monthly!H1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Monthly!$A$2:$A$18</c:f>
              <c:strCache>
                <c:ptCount val="17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  <c:pt idx="13">
                  <c:v>2026-05</c:v>
                </c:pt>
                <c:pt idx="14">
                  <c:v>2026-06</c:v>
                </c:pt>
                <c:pt idx="15">
                  <c:v>2026-07</c:v>
                </c:pt>
                <c:pt idx="16">
                  <c:v>2026-08</c:v>
                </c:pt>
              </c:strCache>
            </c:strRef>
          </c:cat>
          <c:val>
            <c:numRef>
              <c:f>Monthly!$H$2:$H$18</c:f>
              <c:numCache>
                <c:formatCode>\$#,##0.00;[RED]"-$"#,##0.00;\-</c:formatCode>
                <c:ptCount val="17"/>
                <c:pt idx="0">
                  <c:v>-418.55</c:v>
                </c:pt>
                <c:pt idx="1">
                  <c:v>-147.07</c:v>
                </c:pt>
                <c:pt idx="2">
                  <c:v>-397.1</c:v>
                </c:pt>
                <c:pt idx="3">
                  <c:v>-384.02</c:v>
                </c:pt>
                <c:pt idx="4">
                  <c:v>-330.84</c:v>
                </c:pt>
                <c:pt idx="5">
                  <c:v>-285.33</c:v>
                </c:pt>
                <c:pt idx="6">
                  <c:v>-304.41</c:v>
                </c:pt>
                <c:pt idx="7">
                  <c:v>27.31</c:v>
                </c:pt>
                <c:pt idx="8">
                  <c:v>-137.15</c:v>
                </c:pt>
                <c:pt idx="9">
                  <c:v>149.17</c:v>
                </c:pt>
                <c:pt idx="10">
                  <c:v>-565.47</c:v>
                </c:pt>
                <c:pt idx="11">
                  <c:v>218.08</c:v>
                </c:pt>
                <c:pt idx="12">
                  <c:v>-181.41</c:v>
                </c:pt>
                <c:pt idx="13">
                  <c:v>-128.6</c:v>
                </c:pt>
                <c:pt idx="14">
                  <c:v>15.84</c:v>
                </c:pt>
                <c:pt idx="15">
                  <c:v>-120.89</c:v>
                </c:pt>
                <c:pt idx="16">
                  <c:v>93.22</c:v>
                </c:pt>
              </c:numCache>
            </c:numRef>
          </c:val>
        </c:ser>
        <c:gapWidth val="150"/>
        <c:overlap val="0"/>
        <c:axId val="92583152"/>
        <c:axId val="36781569"/>
      </c:barChart>
      <c:catAx>
        <c:axId val="9258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81569"/>
        <c:crosses val="autoZero"/>
        <c:auto val="1"/>
        <c:lblAlgn val="ctr"/>
        <c:lblOffset val="100"/>
        <c:noMultiLvlLbl val="0"/>
      </c:catAx>
      <c:valAx>
        <c:axId val="36781569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831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160560</xdr:rowOff>
    </xdr:from>
    <xdr:to>
      <xdr:col>17</xdr:col>
      <xdr:colOff>292320</xdr:colOff>
      <xdr:row>23</xdr:row>
      <xdr:rowOff>161640</xdr:rowOff>
    </xdr:to>
    <xdr:graphicFrame>
      <xdr:nvGraphicFramePr>
        <xdr:cNvPr id="0" name="Chart 1"/>
        <xdr:cNvGraphicFramePr/>
      </xdr:nvGraphicFramePr>
      <xdr:xfrm>
        <a:off x="14360400" y="1333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96480</xdr:colOff>
      <xdr:row>36</xdr:row>
      <xdr:rowOff>22320</xdr:rowOff>
    </xdr:to>
    <xdr:graphicFrame>
      <xdr:nvGraphicFramePr>
        <xdr:cNvPr id="1" name="Chart 1"/>
        <xdr:cNvGraphicFramePr/>
      </xdr:nvGraphicFramePr>
      <xdr:xfrm>
        <a:off x="0" y="42102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deList" displayName="TradeList" ref="A1:AD310" headerRowCount="1" totalsRowCount="0" totalsRowShown="0">
  <autoFilter ref="A1:AD310"/>
  <tableColumns count="30">
    <tableColumn id="1" name="#"/>
    <tableColumn id="2" name="Month"/>
    <tableColumn id="3" name="Entry time (server)"/>
    <tableColumn id="4" name="Weekday"/>
    <tableColumn id="5" name="Entry hour"/>
    <tableColumn id="6" name="Side"/>
    <tableColumn id="7" name="Setup"/>
    <tableColumn id="8" name="Lots"/>
    <tableColumn id="9" name="Order price (planned entry)"/>
    <tableColumn id="10" name="Filled entry"/>
    <tableColumn id="11" name="Entry slippage $"/>
    <tableColumn id="12" name="Initial SL"/>
    <tableColumn id="13" name="SL distance $"/>
    <tableColumn id="14" name="Planned risk $"/>
    <tableColumn id="15" name="Exit time"/>
    <tableColumn id="16" name="Hold (sec)"/>
    <tableColumn id="17" name="Hold bucket"/>
    <tableColumn id="18" name="Stop level hit"/>
    <tableColumn id="19" name="Exit price"/>
    <tableColumn id="20" name="Exit reason"/>
    <tableColumn id="21" name="Exit slippage $"/>
    <tableColumn id="22" name="Price move $"/>
    <tableColumn id="23" name="Profit $"/>
    <tableColumn id="24" name="R multiple"/>
    <tableColumn id="25" name="Result"/>
    <tableColumn id="26" name="Balance after"/>
    <tableColumn id="27" name="Peak balance"/>
    <tableColumn id="28" name="Drawdown $"/>
    <tableColumn id="29" name="Drawdown %"/>
    <tableColumn id="30" name="What happe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26.8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  <row r="15" customFormat="false" ht="15" hidden="false" customHeight="false" outlineLevel="0" collapsed="false">
      <c r="A15" s="3" t="s">
        <v>23</v>
      </c>
      <c r="B15" s="4" t="s">
        <v>24</v>
      </c>
    </row>
    <row r="16" customFormat="false" ht="15" hidden="false" customHeight="false" outlineLevel="0" collapsed="false">
      <c r="A16" s="3" t="s">
        <v>25</v>
      </c>
      <c r="B16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2"/>
      <c r="B1" s="1" t="s">
        <v>27</v>
      </c>
      <c r="C1" s="2"/>
      <c r="D1" s="2"/>
      <c r="E1" s="2"/>
    </row>
    <row r="2" customFormat="false" ht="15" hidden="false" customHeight="false" outlineLevel="0" collapsed="false">
      <c r="A2" s="2"/>
      <c r="B2" s="2" t="s">
        <v>28</v>
      </c>
      <c r="C2" s="2"/>
      <c r="D2" s="2"/>
      <c r="E2" s="2"/>
    </row>
    <row r="3" customFormat="false" ht="15" hidden="false" customHeight="false" outlineLevel="0" collapsed="false">
      <c r="A3" s="2"/>
      <c r="B3" s="5" t="s">
        <v>29</v>
      </c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2"/>
      <c r="B5" s="2" t="s">
        <v>30</v>
      </c>
      <c r="C5" s="6" t="n">
        <v>5000</v>
      </c>
      <c r="D5" s="2"/>
      <c r="E5" s="2" t="s">
        <v>31</v>
      </c>
    </row>
    <row r="6" customFormat="false" ht="15" hidden="false" customHeight="false" outlineLevel="0" collapsed="false">
      <c r="A6" s="2"/>
      <c r="B6" s="2" t="s">
        <v>32</v>
      </c>
      <c r="C6" s="7" t="n">
        <v>100</v>
      </c>
      <c r="D6" s="2"/>
      <c r="E6" s="2" t="s">
        <v>33</v>
      </c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8" t="s">
        <v>34</v>
      </c>
      <c r="C8" s="8" t="s">
        <v>35</v>
      </c>
      <c r="D8" s="8" t="s">
        <v>36</v>
      </c>
      <c r="E8" s="8" t="s">
        <v>37</v>
      </c>
    </row>
    <row r="9" customFormat="false" ht="15" hidden="false" customHeight="false" outlineLevel="0" collapsed="false">
      <c r="A9" s="2"/>
      <c r="B9" s="9" t="s">
        <v>38</v>
      </c>
      <c r="C9" s="10"/>
      <c r="D9" s="10"/>
      <c r="E9" s="10"/>
    </row>
    <row r="10" customFormat="false" ht="15" hidden="false" customHeight="false" outlineLevel="0" collapsed="false">
      <c r="A10" s="2"/>
      <c r="B10" s="11" t="s">
        <v>39</v>
      </c>
      <c r="C10" s="12" t="n">
        <f aca="false">SUM(Trades!$W$2:$W$310)</f>
        <v>-2897.22</v>
      </c>
      <c r="D10" s="13" t="str">
        <f aca="false">IF(C10&gt;0,"Profitable","Losing")</f>
        <v>Losing</v>
      </c>
      <c r="E10" s="14" t="s">
        <v>40</v>
      </c>
    </row>
    <row r="11" customFormat="false" ht="15" hidden="false" customHeight="false" outlineLevel="0" collapsed="false">
      <c r="A11" s="2"/>
      <c r="B11" s="11" t="s">
        <v>41</v>
      </c>
      <c r="C11" s="12" t="n">
        <f aca="false">C5+C10</f>
        <v>2102.78</v>
      </c>
      <c r="D11" s="15"/>
      <c r="E11" s="14" t="s">
        <v>42</v>
      </c>
    </row>
    <row r="12" customFormat="false" ht="15" hidden="false" customHeight="false" outlineLevel="0" collapsed="false">
      <c r="A12" s="2"/>
      <c r="B12" s="11" t="s">
        <v>43</v>
      </c>
      <c r="C12" s="16" t="n">
        <f aca="false">IFERROR(C10/C5,0)</f>
        <v>-0.579444</v>
      </c>
      <c r="D12" s="15"/>
      <c r="E12" s="14" t="s">
        <v>44</v>
      </c>
    </row>
    <row r="13" customFormat="false" ht="15" hidden="false" customHeight="false" outlineLevel="0" collapsed="false">
      <c r="A13" s="2"/>
      <c r="B13" s="11" t="s">
        <v>45</v>
      </c>
      <c r="C13" s="12" t="n">
        <f aca="false">MAX(Trades!$AB$2:$AB$310)</f>
        <v>3111.96</v>
      </c>
      <c r="D13" s="15"/>
      <c r="E13" s="14" t="s">
        <v>46</v>
      </c>
    </row>
    <row r="14" customFormat="false" ht="15" hidden="false" customHeight="false" outlineLevel="0" collapsed="false">
      <c r="A14" s="2"/>
      <c r="B14" s="11" t="s">
        <v>47</v>
      </c>
      <c r="C14" s="16" t="n">
        <f aca="false">MAX(Trades!$AC$2:$AC$310)</f>
        <v>0.61908238556676</v>
      </c>
      <c r="D14" s="13" t="str">
        <f aca="false">IF(C14&lt;=0.08,"OK for prop","Too deep")</f>
        <v>Too deep</v>
      </c>
      <c r="E14" s="14" t="s">
        <v>48</v>
      </c>
    </row>
    <row r="15" customFormat="false" ht="15" hidden="false" customHeight="false" outlineLevel="0" collapsed="false">
      <c r="A15" s="2"/>
      <c r="B15" s="9" t="s">
        <v>49</v>
      </c>
      <c r="C15" s="10"/>
      <c r="D15" s="10"/>
      <c r="E15" s="10"/>
    </row>
    <row r="16" customFormat="false" ht="15" hidden="false" customHeight="false" outlineLevel="0" collapsed="false">
      <c r="A16" s="2"/>
      <c r="B16" s="11" t="s">
        <v>50</v>
      </c>
      <c r="C16" s="17" t="n">
        <f aca="false">COUNT(Trades!$W$2:$W$310)</f>
        <v>309</v>
      </c>
      <c r="D16" s="15"/>
      <c r="E16" s="14" t="s">
        <v>51</v>
      </c>
    </row>
    <row r="17" customFormat="false" ht="15" hidden="false" customHeight="false" outlineLevel="0" collapsed="false">
      <c r="A17" s="2"/>
      <c r="B17" s="11" t="s">
        <v>52</v>
      </c>
      <c r="C17" s="17" t="n">
        <f aca="false">COUNTIF(Trades!$Y$2:$Y$310,"Win")</f>
        <v>124</v>
      </c>
      <c r="D17" s="15"/>
      <c r="E17" s="14"/>
    </row>
    <row r="18" customFormat="false" ht="15" hidden="false" customHeight="false" outlineLevel="0" collapsed="false">
      <c r="A18" s="2"/>
      <c r="B18" s="11" t="s">
        <v>53</v>
      </c>
      <c r="C18" s="17" t="n">
        <f aca="false">COUNTIF(Trades!$Y$2:$Y$310,"Loss")</f>
        <v>183</v>
      </c>
      <c r="D18" s="15"/>
      <c r="E18" s="14"/>
    </row>
    <row r="19" customFormat="false" ht="15" hidden="false" customHeight="false" outlineLevel="0" collapsed="false">
      <c r="A19" s="2"/>
      <c r="B19" s="11" t="s">
        <v>54</v>
      </c>
      <c r="C19" s="16" t="n">
        <f aca="false">IFERROR(C17/C16,0)</f>
        <v>0.401294498381877</v>
      </c>
      <c r="D19" s="13" t="str">
        <f aca="false">IF(C19&gt;=C23,"Above break-even","Below break-even")</f>
        <v>Below break-even</v>
      </c>
      <c r="E19" s="14" t="s">
        <v>55</v>
      </c>
    </row>
    <row r="20" customFormat="false" ht="15" hidden="false" customHeight="false" outlineLevel="0" collapsed="false">
      <c r="A20" s="2"/>
      <c r="B20" s="11" t="s">
        <v>56</v>
      </c>
      <c r="C20" s="12" t="n">
        <f aca="false">IFERROR(AVERAGEIF(Trades!$W$2:$W$310,"&gt;0"),0)</f>
        <v>24.1199193548387</v>
      </c>
      <c r="D20" s="15"/>
      <c r="E20" s="14" t="s">
        <v>57</v>
      </c>
    </row>
    <row r="21" customFormat="false" ht="15" hidden="false" customHeight="false" outlineLevel="0" collapsed="false">
      <c r="A21" s="2"/>
      <c r="B21" s="11" t="s">
        <v>58</v>
      </c>
      <c r="C21" s="12" t="n">
        <f aca="false">IFERROR(AVERAGEIF(Trades!$W$2:$W$310,"&lt;0"),0)</f>
        <v>-32.1753551912568</v>
      </c>
      <c r="D21" s="15"/>
      <c r="E21" s="14" t="s">
        <v>59</v>
      </c>
    </row>
    <row r="22" customFormat="false" ht="15" hidden="false" customHeight="false" outlineLevel="0" collapsed="false">
      <c r="A22" s="2"/>
      <c r="B22" s="11" t="s">
        <v>60</v>
      </c>
      <c r="C22" s="18" t="n">
        <f aca="false">IFERROR(C20/-C21,0)</f>
        <v>0.749639567658695</v>
      </c>
      <c r="D22" s="15"/>
      <c r="E22" s="14" t="s">
        <v>61</v>
      </c>
    </row>
    <row r="23" customFormat="false" ht="15" hidden="false" customHeight="false" outlineLevel="0" collapsed="false">
      <c r="A23" s="2"/>
      <c r="B23" s="11" t="s">
        <v>62</v>
      </c>
      <c r="C23" s="16" t="n">
        <f aca="false">IFERROR(-C21/(C20-C21),0)</f>
        <v>0.571546287866686</v>
      </c>
      <c r="D23" s="13" t="str">
        <f aca="false">IF(C23&lt;C19,"Achieved","Not achieved")</f>
        <v>Not achieved</v>
      </c>
      <c r="E23" s="14" t="s">
        <v>63</v>
      </c>
    </row>
    <row r="24" customFormat="false" ht="15" hidden="false" customHeight="false" outlineLevel="0" collapsed="false">
      <c r="A24" s="2"/>
      <c r="B24" s="11" t="s">
        <v>64</v>
      </c>
      <c r="C24" s="18" t="n">
        <f aca="false">IFERROR(SUMIF(Trades!$W$2:$W$310,"&gt;0")/-SUMIF(Trades!$W$2:$W$310,"&lt;0"),0)</f>
        <v>0.507952493932667</v>
      </c>
      <c r="D24" s="13" t="str">
        <f aca="false">IF(C24&gt;=1.3,"Good",IF(C24&gt;=1,"Weak","Losing"))</f>
        <v>Losing</v>
      </c>
      <c r="E24" s="14" t="s">
        <v>65</v>
      </c>
    </row>
    <row r="25" customFormat="false" ht="15" hidden="false" customHeight="false" outlineLevel="0" collapsed="false">
      <c r="A25" s="2"/>
      <c r="B25" s="11" t="s">
        <v>66</v>
      </c>
      <c r="C25" s="12" t="n">
        <f aca="false">IFERROR(C10/C16,0)</f>
        <v>-9.37611650485437</v>
      </c>
      <c r="D25" s="15"/>
      <c r="E25" s="14" t="s">
        <v>67</v>
      </c>
    </row>
    <row r="26" customFormat="false" ht="15" hidden="false" customHeight="false" outlineLevel="0" collapsed="false">
      <c r="A26" s="2"/>
      <c r="B26" s="9" t="s">
        <v>68</v>
      </c>
      <c r="C26" s="10"/>
      <c r="D26" s="10"/>
      <c r="E26" s="10"/>
    </row>
    <row r="27" customFormat="false" ht="15" hidden="false" customHeight="false" outlineLevel="0" collapsed="false">
      <c r="A27" s="2"/>
      <c r="B27" s="11" t="s">
        <v>69</v>
      </c>
      <c r="C27" s="12" t="n">
        <f aca="false">AVERAGE(Trades!$N$2:$N$310)</f>
        <v>28.4417475728155</v>
      </c>
      <c r="D27" s="15"/>
      <c r="E27" s="14" t="s">
        <v>70</v>
      </c>
    </row>
    <row r="28" customFormat="false" ht="15" hidden="false" customHeight="false" outlineLevel="0" collapsed="false">
      <c r="A28" s="2"/>
      <c r="B28" s="11" t="s">
        <v>71</v>
      </c>
      <c r="C28" s="12" t="n">
        <f aca="false">AVERAGE(Trades!$M$2:$M$310)</f>
        <v>1.5</v>
      </c>
      <c r="D28" s="15"/>
      <c r="E28" s="14" t="s">
        <v>72</v>
      </c>
    </row>
    <row r="29" customFormat="false" ht="15" hidden="false" customHeight="false" outlineLevel="0" collapsed="false">
      <c r="A29" s="2"/>
      <c r="B29" s="11" t="s">
        <v>73</v>
      </c>
      <c r="C29" s="12" t="n">
        <f aca="false">AVERAGE(Trades!$K$2:$K$310)</f>
        <v>0.579430420711991</v>
      </c>
      <c r="D29" s="15"/>
      <c r="E29" s="14" t="s">
        <v>74</v>
      </c>
    </row>
    <row r="30" customFormat="false" ht="15" hidden="false" customHeight="false" outlineLevel="0" collapsed="false">
      <c r="A30" s="2"/>
      <c r="B30" s="11" t="s">
        <v>75</v>
      </c>
      <c r="C30" s="16" t="n">
        <f aca="false">IFERROR(C29/C28,0)</f>
        <v>0.386286947141328</v>
      </c>
      <c r="D30" s="13" t="str">
        <f aca="false">IF(C30&gt;0.2,"Too high","OK")</f>
        <v>Too high</v>
      </c>
      <c r="E30" s="14" t="s">
        <v>76</v>
      </c>
    </row>
    <row r="31" customFormat="false" ht="15" hidden="false" customHeight="false" outlineLevel="0" collapsed="false">
      <c r="A31" s="2"/>
      <c r="B31" s="11" t="s">
        <v>77</v>
      </c>
      <c r="C31" s="19" t="n">
        <f aca="false">IFERROR(AVERAGEIF(Trades!$Y$2:$Y$310,"Loss",Trades!$X$2:$X$310),0)</f>
        <v>-1.15680240973425</v>
      </c>
      <c r="D31" s="13" t="str">
        <f aca="false">IF(C31&lt;-1.05,"Losses overshoot","OK")</f>
        <v>Losses overshoot</v>
      </c>
      <c r="E31" s="14" t="s">
        <v>78</v>
      </c>
    </row>
    <row r="32" customFormat="false" ht="15" hidden="false" customHeight="false" outlineLevel="0" collapsed="false">
      <c r="A32" s="2"/>
      <c r="B32" s="11" t="s">
        <v>79</v>
      </c>
      <c r="C32" s="17" t="n">
        <f aca="false">COUNTIF(Trades!$X$2:$X$310,"&lt;-1.05")</f>
        <v>105</v>
      </c>
      <c r="D32" s="15"/>
      <c r="E32" s="14" t="s">
        <v>80</v>
      </c>
    </row>
    <row r="33" customFormat="false" ht="15" hidden="false" customHeight="false" outlineLevel="0" collapsed="false">
      <c r="A33" s="2"/>
      <c r="B33" s="11" t="s">
        <v>81</v>
      </c>
      <c r="C33" s="19" t="n">
        <f aca="false">IFERROR(AVERAGEIF(Trades!$Y$2:$Y$310,"Win",Trades!$X$2:$X$310),0)</f>
        <v>1.04275370679072</v>
      </c>
      <c r="D33" s="15"/>
      <c r="E33" s="14" t="s">
        <v>82</v>
      </c>
    </row>
    <row r="34" customFormat="false" ht="15" hidden="false" customHeight="false" outlineLevel="0" collapsed="false">
      <c r="A34" s="2"/>
      <c r="B34" s="9" t="s">
        <v>83</v>
      </c>
      <c r="C34" s="10"/>
      <c r="D34" s="10"/>
      <c r="E34" s="10"/>
    </row>
    <row r="35" customFormat="false" ht="15" hidden="false" customHeight="false" outlineLevel="0" collapsed="false">
      <c r="A35" s="2"/>
      <c r="B35" s="11" t="s">
        <v>84</v>
      </c>
      <c r="C35" s="17" t="n">
        <f aca="false">MEDIAN(Trades!$P$2:$P$310)</f>
        <v>2</v>
      </c>
      <c r="D35" s="13" t="str">
        <f aca="false">IF(C35&lt;60,"Too short","OK")</f>
        <v>Too short</v>
      </c>
      <c r="E35" s="14" t="s">
        <v>85</v>
      </c>
    </row>
    <row r="36" customFormat="false" ht="15" hidden="false" customHeight="false" outlineLevel="0" collapsed="false">
      <c r="A36" s="2"/>
      <c r="B36" s="11" t="s">
        <v>86</v>
      </c>
      <c r="C36" s="17" t="n">
        <f aca="false">COUNTIF(Trades!$P$2:$P$310,"&lt;10")</f>
        <v>219</v>
      </c>
      <c r="D36" s="15"/>
      <c r="E36" s="14" t="s">
        <v>87</v>
      </c>
    </row>
    <row r="37" customFormat="false" ht="15" hidden="false" customHeight="false" outlineLevel="0" collapsed="false">
      <c r="A37" s="2"/>
      <c r="B37" s="11" t="s">
        <v>88</v>
      </c>
      <c r="C37" s="17" t="n">
        <f aca="false">COUNTIF(Trades!$P$2:$P$310,"&lt;60")</f>
        <v>287</v>
      </c>
      <c r="D37" s="15"/>
      <c r="E37" s="14"/>
    </row>
    <row r="38" customFormat="false" ht="15" hidden="false" customHeight="false" outlineLevel="0" collapsed="false">
      <c r="A38" s="2"/>
      <c r="B38" s="9" t="s">
        <v>89</v>
      </c>
      <c r="C38" s="10"/>
      <c r="D38" s="10"/>
      <c r="E38" s="10"/>
    </row>
    <row r="39" customFormat="false" ht="15" hidden="false" customHeight="false" outlineLevel="0" collapsed="false">
      <c r="A39" s="2"/>
      <c r="B39" s="11" t="s">
        <v>90</v>
      </c>
      <c r="C39" s="17" t="n">
        <f aca="false">COUNTIF(Trades!$T$2:$T$310,"Initial stop loss")</f>
        <v>108</v>
      </c>
      <c r="D39" s="15"/>
      <c r="E39" s="14" t="s">
        <v>91</v>
      </c>
    </row>
    <row r="40" customFormat="false" ht="15" hidden="false" customHeight="false" outlineLevel="0" collapsed="false">
      <c r="A40" s="2"/>
      <c r="B40" s="11" t="s">
        <v>92</v>
      </c>
      <c r="C40" s="12" t="n">
        <f aca="false">SUMIF(Trades!$T$2:$T$310,"Initial stop loss",Trades!$W$2:$W$310)</f>
        <v>-4672.1</v>
      </c>
      <c r="D40" s="15"/>
      <c r="E40" s="14"/>
    </row>
    <row r="41" customFormat="false" ht="15" hidden="false" customHeight="false" outlineLevel="0" collapsed="false">
      <c r="A41" s="2"/>
      <c r="B41" s="11" t="s">
        <v>93</v>
      </c>
      <c r="C41" s="17" t="n">
        <f aca="false">COUNTIF(Trades!$T$2:$T$310,"Breakeven/trailing stop")</f>
        <v>182</v>
      </c>
      <c r="D41" s="15"/>
      <c r="E41" s="14" t="s">
        <v>94</v>
      </c>
    </row>
    <row r="42" customFormat="false" ht="15" hidden="false" customHeight="false" outlineLevel="0" collapsed="false">
      <c r="A42" s="2"/>
      <c r="B42" s="11" t="s">
        <v>95</v>
      </c>
      <c r="C42" s="12" t="n">
        <f aca="false">SUMIF(Trades!$T$2:$T$310,"Breakeven/trailing stop",Trades!$W$2:$W$310)</f>
        <v>2725.55</v>
      </c>
      <c r="D42" s="15"/>
      <c r="E42" s="14"/>
    </row>
    <row r="43" customFormat="false" ht="15" hidden="false" customHeight="false" outlineLevel="0" collapsed="false">
      <c r="A43" s="2"/>
      <c r="B43" s="11" t="s">
        <v>96</v>
      </c>
      <c r="C43" s="17" t="n">
        <f aca="false">COUNTIF(Trades!$T$2:$T$310,"Closed by EA (no SL)")</f>
        <v>18</v>
      </c>
      <c r="D43" s="15"/>
      <c r="E43" s="14" t="s">
        <v>97</v>
      </c>
    </row>
    <row r="44" customFormat="false" ht="15" hidden="false" customHeight="false" outlineLevel="0" collapsed="false">
      <c r="A44" s="2"/>
      <c r="B44" s="11" t="s">
        <v>98</v>
      </c>
      <c r="C44" s="12" t="n">
        <f aca="false">SUMIF(Trades!$T$2:$T$310,"Closed by EA (no SL)",Trades!$W$2:$W$310)</f>
        <v>-943.39</v>
      </c>
      <c r="D44" s="15"/>
      <c r="E44" s="14"/>
    </row>
    <row r="45" customFormat="false" ht="15" hidden="false" customHeight="false" outlineLevel="0" collapsed="false">
      <c r="A45" s="2"/>
      <c r="B45" s="2"/>
      <c r="C45" s="2"/>
      <c r="D45" s="2"/>
      <c r="E45" s="2"/>
    </row>
    <row r="46" customFormat="false" ht="17.35" hidden="false" customHeight="false" outlineLevel="0" collapsed="false">
      <c r="A46" s="2"/>
      <c r="B46" s="1" t="s">
        <v>99</v>
      </c>
      <c r="C46" s="2"/>
      <c r="D46" s="2"/>
      <c r="E46" s="2"/>
    </row>
    <row r="47" customFormat="false" ht="31.5" hidden="false" customHeight="true" outlineLevel="0" collapsed="false">
      <c r="A47" s="2"/>
      <c r="B47" s="20" t="s">
        <v>100</v>
      </c>
      <c r="C47" s="20"/>
      <c r="D47" s="20"/>
      <c r="E47" s="20"/>
    </row>
    <row r="48" customFormat="false" ht="31.5" hidden="false" customHeight="true" outlineLevel="0" collapsed="false">
      <c r="A48" s="2"/>
      <c r="B48" s="20" t="s">
        <v>101</v>
      </c>
      <c r="C48" s="20"/>
      <c r="D48" s="20"/>
      <c r="E48" s="20"/>
    </row>
    <row r="49" customFormat="false" ht="31.5" hidden="false" customHeight="true" outlineLevel="0" collapsed="false">
      <c r="A49" s="2"/>
      <c r="B49" s="20" t="s">
        <v>102</v>
      </c>
      <c r="C49" s="20"/>
      <c r="D49" s="20"/>
      <c r="E49" s="20"/>
    </row>
    <row r="50" customFormat="false" ht="31.5" hidden="false" customHeight="true" outlineLevel="0" collapsed="false">
      <c r="A50" s="2"/>
      <c r="B50" s="20" t="s">
        <v>103</v>
      </c>
      <c r="C50" s="20"/>
      <c r="D50" s="20"/>
      <c r="E50" s="20"/>
    </row>
    <row r="51" customFormat="false" ht="31.5" hidden="false" customHeight="true" outlineLevel="0" collapsed="false">
      <c r="A51" s="2"/>
      <c r="B51" s="20" t="s">
        <v>104</v>
      </c>
      <c r="C51" s="20"/>
      <c r="D51" s="20"/>
      <c r="E51" s="20"/>
    </row>
    <row r="52" customFormat="false" ht="31.5" hidden="false" customHeight="true" outlineLevel="0" collapsed="false">
      <c r="A52" s="2"/>
      <c r="B52" s="20" t="s">
        <v>105</v>
      </c>
      <c r="C52" s="20"/>
      <c r="D52" s="20"/>
      <c r="E52" s="20"/>
    </row>
  </sheetData>
  <mergeCells count="6">
    <mergeCell ref="B47:E47"/>
    <mergeCell ref="B48:E48"/>
    <mergeCell ref="B49:E49"/>
    <mergeCell ref="B50:E50"/>
    <mergeCell ref="B51:E51"/>
    <mergeCell ref="B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1"/>
    <col collapsed="false" customWidth="true" hidden="false" outlineLevel="0" max="9" min="9" style="0" width="8"/>
    <col collapsed="false" customWidth="true" hidden="false" outlineLevel="0" max="13" min="10" style="0" width="10"/>
    <col collapsed="false" customWidth="true" hidden="false" outlineLevel="0" max="14" min="14" style="0" width="8"/>
    <col collapsed="false" customWidth="true" hidden="false" outlineLevel="0" max="16" min="15" style="0" width="12"/>
    <col collapsed="false" customWidth="true" hidden="false" outlineLevel="0" max="17" min="17" style="0" width="9"/>
    <col collapsed="false" customWidth="true" hidden="false" outlineLevel="0" max="18" min="18" style="0" width="34"/>
  </cols>
  <sheetData>
    <row r="1" customFormat="false" ht="31.5" hidden="false" customHeight="true" outlineLevel="0" collapsed="false">
      <c r="A1" s="21" t="s">
        <v>106</v>
      </c>
      <c r="B1" s="21" t="s">
        <v>7</v>
      </c>
      <c r="C1" s="21" t="s">
        <v>107</v>
      </c>
      <c r="D1" s="21" t="s">
        <v>108</v>
      </c>
      <c r="E1" s="21" t="s">
        <v>54</v>
      </c>
      <c r="F1" s="21" t="s">
        <v>109</v>
      </c>
      <c r="G1" s="21" t="s">
        <v>110</v>
      </c>
      <c r="H1" s="21" t="s">
        <v>39</v>
      </c>
      <c r="I1" s="21" t="s">
        <v>64</v>
      </c>
      <c r="J1" s="21" t="s">
        <v>56</v>
      </c>
      <c r="K1" s="21" t="s">
        <v>58</v>
      </c>
      <c r="L1" s="21" t="s">
        <v>111</v>
      </c>
      <c r="M1" s="21" t="s">
        <v>112</v>
      </c>
      <c r="N1" s="21" t="s">
        <v>113</v>
      </c>
      <c r="O1" s="21" t="s">
        <v>114</v>
      </c>
      <c r="P1" s="21" t="s">
        <v>115</v>
      </c>
      <c r="Q1" s="21" t="s">
        <v>116</v>
      </c>
      <c r="R1" s="21" t="s">
        <v>117</v>
      </c>
    </row>
    <row r="2" customFormat="false" ht="15" hidden="false" customHeight="false" outlineLevel="0" collapsed="false">
      <c r="A2" s="22" t="s">
        <v>118</v>
      </c>
      <c r="B2" s="22" t="n">
        <f aca="false">COUNTIFS(Trades!$B$2:$B$310,$A2)</f>
        <v>13</v>
      </c>
      <c r="C2" s="22" t="n">
        <f aca="false">COUNTIFS(Trades!$B$2:$B$310,$A2,Trades!$Y$2:$Y$310,"Win")</f>
        <v>4</v>
      </c>
      <c r="D2" s="22" t="n">
        <f aca="false">COUNTIFS(Trades!$B$2:$B$310,$A2,Trades!$Y$2:$Y$310,"Loss")</f>
        <v>9</v>
      </c>
      <c r="E2" s="23" t="n">
        <f aca="false">IFERROR(C2/B2,0)</f>
        <v>0.307692307692308</v>
      </c>
      <c r="F2" s="24" t="n">
        <f aca="false">SUMIFS(Trades!$W$2:$W$310,Trades!$B$2:$B$310,$A2,Trades!$W$2:$W$310,"&gt;0")</f>
        <v>44.15</v>
      </c>
      <c r="G2" s="24" t="n">
        <f aca="false">SUMIFS(Trades!$W$2:$W$310,Trades!$B$2:$B$310,$A2,Trades!$W$2:$W$310,"&lt;0")</f>
        <v>-462.7</v>
      </c>
      <c r="H2" s="24" t="n">
        <f aca="false">F2+G2</f>
        <v>-418.55</v>
      </c>
      <c r="I2" s="25" t="n">
        <f aca="false">IFERROR(F2/-G2,"no losses")</f>
        <v>0.0954181975362006</v>
      </c>
      <c r="J2" s="24" t="n">
        <f aca="false">IFERROR(F2/C2,0)</f>
        <v>11.0375</v>
      </c>
      <c r="K2" s="24" t="n">
        <f aca="false">IFERROR(G2/D2,0)</f>
        <v>-51.4111111111111</v>
      </c>
      <c r="L2" s="24" t="n">
        <f aca="false">_xlfn.MAXIFS(Trades!$W$2:$W$310,Trades!$B$2:$B$310,$A2)</f>
        <v>26.73</v>
      </c>
      <c r="M2" s="24" t="n">
        <f aca="false">_xlfn.MINIFS(Trades!$W$2:$W$310,Trades!$B$2:$B$310,$A2)</f>
        <v>-97.09</v>
      </c>
      <c r="N2" s="26" t="n">
        <f aca="false">IFERROR(AVERAGEIFS(Trades!$X$2:$X$310,Trades!$B$2:$B$310,$A2),0)</f>
        <v>-0.678312451437451</v>
      </c>
      <c r="O2" s="24" t="n">
        <f aca="false">Summary!$C$5</f>
        <v>5000</v>
      </c>
      <c r="P2" s="24" t="n">
        <f aca="false">O2+H2</f>
        <v>4581.45</v>
      </c>
      <c r="Q2" s="23" t="n">
        <f aca="false">IFERROR(H2/O2,0)</f>
        <v>-0.08371</v>
      </c>
      <c r="R2" s="22" t="str">
        <f aca="false">IF(H2&gt;0,"Up month",IF(H2&lt;0,"Down month","Flat"))&amp;" | "&amp;B2&amp;" trades, "&amp;TEXT(E2,"0%")&amp;" won"</f>
        <v>Down month | 13 trades, 31% won</v>
      </c>
    </row>
    <row r="3" customFormat="false" ht="15" hidden="false" customHeight="false" outlineLevel="0" collapsed="false">
      <c r="A3" s="22" t="s">
        <v>119</v>
      </c>
      <c r="B3" s="22" t="n">
        <f aca="false">COUNTIFS(Trades!$B$2:$B$310,$A3)</f>
        <v>16</v>
      </c>
      <c r="C3" s="22" t="n">
        <f aca="false">COUNTIFS(Trades!$B$2:$B$310,$A3,Trades!$Y$2:$Y$310,"Win")</f>
        <v>7</v>
      </c>
      <c r="D3" s="22" t="n">
        <f aca="false">COUNTIFS(Trades!$B$2:$B$310,$A3,Trades!$Y$2:$Y$310,"Loss")</f>
        <v>9</v>
      </c>
      <c r="E3" s="23" t="n">
        <f aca="false">IFERROR(C3/B3,0)</f>
        <v>0.4375</v>
      </c>
      <c r="F3" s="24" t="n">
        <f aca="false">SUMIFS(Trades!$W$2:$W$310,Trades!$B$2:$B$310,$A3,Trades!$W$2:$W$310,"&gt;0")</f>
        <v>126.46</v>
      </c>
      <c r="G3" s="24" t="n">
        <f aca="false">SUMIFS(Trades!$W$2:$W$310,Trades!$B$2:$B$310,$A3,Trades!$W$2:$W$310,"&lt;0")</f>
        <v>-273.53</v>
      </c>
      <c r="H3" s="24" t="n">
        <f aca="false">F3+G3</f>
        <v>-147.07</v>
      </c>
      <c r="I3" s="25" t="n">
        <f aca="false">IFERROR(F3/-G3,"no losses")</f>
        <v>0.46232588747121</v>
      </c>
      <c r="J3" s="24" t="n">
        <f aca="false">IFERROR(F3/C3,0)</f>
        <v>18.0657142857143</v>
      </c>
      <c r="K3" s="24" t="n">
        <f aca="false">IFERROR(G3/D3,0)</f>
        <v>-30.3922222222222</v>
      </c>
      <c r="L3" s="24" t="n">
        <f aca="false">_xlfn.MAXIFS(Trades!$W$2:$W$310,Trades!$B$2:$B$310,$A3)</f>
        <v>77.52</v>
      </c>
      <c r="M3" s="24" t="n">
        <f aca="false">_xlfn.MINIFS(Trades!$W$2:$W$310,Trades!$B$2:$B$310,$A3)</f>
        <v>-66.3</v>
      </c>
      <c r="N3" s="26" t="n">
        <f aca="false">IFERROR(AVERAGEIFS(Trades!$X$2:$X$310,Trades!$B$2:$B$310,$A3),0)</f>
        <v>-0.206406609195402</v>
      </c>
      <c r="O3" s="24" t="n">
        <f aca="false">P2</f>
        <v>4581.45</v>
      </c>
      <c r="P3" s="24" t="n">
        <f aca="false">O3+H3</f>
        <v>4434.38</v>
      </c>
      <c r="Q3" s="23" t="n">
        <f aca="false">IFERROR(H3/O3,0)</f>
        <v>-0.0321011906710758</v>
      </c>
      <c r="R3" s="22" t="str">
        <f aca="false">IF(H3&gt;0,"Up month",IF(H3&lt;0,"Down month","Flat"))&amp;" | "&amp;B3&amp;" trades, "&amp;TEXT(E3,"0%")&amp;" won"</f>
        <v>Down month | 16 trades, 44% won</v>
      </c>
    </row>
    <row r="4" customFormat="false" ht="15" hidden="false" customHeight="false" outlineLevel="0" collapsed="false">
      <c r="A4" s="22" t="s">
        <v>120</v>
      </c>
      <c r="B4" s="22" t="n">
        <f aca="false">COUNTIFS(Trades!$B$2:$B$310,$A4)</f>
        <v>17</v>
      </c>
      <c r="C4" s="22" t="n">
        <f aca="false">COUNTIFS(Trades!$B$2:$B$310,$A4,Trades!$Y$2:$Y$310,"Win")</f>
        <v>4</v>
      </c>
      <c r="D4" s="22" t="n">
        <f aca="false">COUNTIFS(Trades!$B$2:$B$310,$A4,Trades!$Y$2:$Y$310,"Loss")</f>
        <v>13</v>
      </c>
      <c r="E4" s="23" t="n">
        <f aca="false">IFERROR(C4/B4,0)</f>
        <v>0.235294117647059</v>
      </c>
      <c r="F4" s="24" t="n">
        <f aca="false">SUMIFS(Trades!$W$2:$W$310,Trades!$B$2:$B$310,$A4,Trades!$W$2:$W$310,"&gt;0")</f>
        <v>25.48</v>
      </c>
      <c r="G4" s="24" t="n">
        <f aca="false">SUMIFS(Trades!$W$2:$W$310,Trades!$B$2:$B$310,$A4,Trades!$W$2:$W$310,"&lt;0")</f>
        <v>-422.58</v>
      </c>
      <c r="H4" s="24" t="n">
        <f aca="false">F4+G4</f>
        <v>-397.1</v>
      </c>
      <c r="I4" s="25" t="n">
        <f aca="false">IFERROR(F4/-G4,"no losses")</f>
        <v>0.060296275261489</v>
      </c>
      <c r="J4" s="24" t="n">
        <f aca="false">IFERROR(F4/C4,0)</f>
        <v>6.37</v>
      </c>
      <c r="K4" s="24" t="n">
        <f aca="false">IFERROR(G4/D4,0)</f>
        <v>-32.5061538461538</v>
      </c>
      <c r="L4" s="24" t="n">
        <f aca="false">_xlfn.MAXIFS(Trades!$W$2:$W$310,Trades!$B$2:$B$310,$A4)</f>
        <v>14.01</v>
      </c>
      <c r="M4" s="24" t="n">
        <f aca="false">_xlfn.MINIFS(Trades!$W$2:$W$310,Trades!$B$2:$B$310,$A4)</f>
        <v>-58.97</v>
      </c>
      <c r="N4" s="26" t="n">
        <f aca="false">IFERROR(AVERAGEIFS(Trades!$X$2:$X$310,Trades!$B$2:$B$310,$A4),0)</f>
        <v>-0.560378169147608</v>
      </c>
      <c r="O4" s="24" t="n">
        <f aca="false">P3</f>
        <v>4434.38</v>
      </c>
      <c r="P4" s="24" t="n">
        <f aca="false">O4+H4</f>
        <v>4037.28</v>
      </c>
      <c r="Q4" s="23" t="n">
        <f aca="false">IFERROR(H4/O4,0)</f>
        <v>-0.0895502866240602</v>
      </c>
      <c r="R4" s="22" t="str">
        <f aca="false">IF(H4&gt;0,"Up month",IF(H4&lt;0,"Down month","Flat"))&amp;" | "&amp;B4&amp;" trades, "&amp;TEXT(E4,"0%")&amp;" won"</f>
        <v>Down month | 17 trades, 24% won</v>
      </c>
    </row>
    <row r="5" customFormat="false" ht="15" hidden="false" customHeight="false" outlineLevel="0" collapsed="false">
      <c r="A5" s="22" t="s">
        <v>121</v>
      </c>
      <c r="B5" s="22" t="n">
        <f aca="false">COUNTIFS(Trades!$B$2:$B$310,$A5)</f>
        <v>21</v>
      </c>
      <c r="C5" s="22" t="n">
        <f aca="false">COUNTIFS(Trades!$B$2:$B$310,$A5,Trades!$Y$2:$Y$310,"Win")</f>
        <v>6</v>
      </c>
      <c r="D5" s="22" t="n">
        <f aca="false">COUNTIFS(Trades!$B$2:$B$310,$A5,Trades!$Y$2:$Y$310,"Loss")</f>
        <v>14</v>
      </c>
      <c r="E5" s="23" t="n">
        <f aca="false">IFERROR(C5/B5,0)</f>
        <v>0.285714285714286</v>
      </c>
      <c r="F5" s="24" t="n">
        <f aca="false">SUMIFS(Trades!$W$2:$W$310,Trades!$B$2:$B$310,$A5,Trades!$W$2:$W$310,"&gt;0")</f>
        <v>72.94</v>
      </c>
      <c r="G5" s="24" t="n">
        <f aca="false">SUMIFS(Trades!$W$2:$W$310,Trades!$B$2:$B$310,$A5,Trades!$W$2:$W$310,"&lt;0")</f>
        <v>-456.96</v>
      </c>
      <c r="H5" s="24" t="n">
        <f aca="false">F5+G5</f>
        <v>-384.02</v>
      </c>
      <c r="I5" s="25" t="n">
        <f aca="false">IFERROR(F5/-G5,"no losses")</f>
        <v>0.159620098039216</v>
      </c>
      <c r="J5" s="24" t="n">
        <f aca="false">IFERROR(F5/C5,0)</f>
        <v>12.1566666666667</v>
      </c>
      <c r="K5" s="24" t="n">
        <f aca="false">IFERROR(G5/D5,0)</f>
        <v>-32.64</v>
      </c>
      <c r="L5" s="24" t="n">
        <f aca="false">_xlfn.MAXIFS(Trades!$W$2:$W$310,Trades!$B$2:$B$310,$A5)</f>
        <v>17.08</v>
      </c>
      <c r="M5" s="24" t="n">
        <f aca="false">_xlfn.MINIFS(Trades!$W$2:$W$310,Trades!$B$2:$B$310,$A5)</f>
        <v>-46.28</v>
      </c>
      <c r="N5" s="26" t="n">
        <f aca="false">IFERROR(AVERAGEIFS(Trades!$X$2:$X$310,Trades!$B$2:$B$310,$A5),0)</f>
        <v>-0.482690028490028</v>
      </c>
      <c r="O5" s="24" t="n">
        <f aca="false">P4</f>
        <v>4037.28</v>
      </c>
      <c r="P5" s="24" t="n">
        <f aca="false">O5+H5</f>
        <v>3653.26</v>
      </c>
      <c r="Q5" s="23" t="n">
        <f aca="false">IFERROR(H5/O5,0)</f>
        <v>-0.095118495620814</v>
      </c>
      <c r="R5" s="22" t="str">
        <f aca="false">IF(H5&gt;0,"Up month",IF(H5&lt;0,"Down month","Flat"))&amp;" | "&amp;B5&amp;" trades, "&amp;TEXT(E5,"0%")&amp;" won"</f>
        <v>Down month | 21 trades, 29% won</v>
      </c>
    </row>
    <row r="6" customFormat="false" ht="15" hidden="false" customHeight="false" outlineLevel="0" collapsed="false">
      <c r="A6" s="22" t="s">
        <v>122</v>
      </c>
      <c r="B6" s="22" t="n">
        <f aca="false">COUNTIFS(Trades!$B$2:$B$310,$A6)</f>
        <v>22</v>
      </c>
      <c r="C6" s="22" t="n">
        <f aca="false">COUNTIFS(Trades!$B$2:$B$310,$A6,Trades!$Y$2:$Y$310,"Win")</f>
        <v>7</v>
      </c>
      <c r="D6" s="22" t="n">
        <f aca="false">COUNTIFS(Trades!$B$2:$B$310,$A6,Trades!$Y$2:$Y$310,"Loss")</f>
        <v>14</v>
      </c>
      <c r="E6" s="23" t="n">
        <f aca="false">IFERROR(C6/B6,0)</f>
        <v>0.318181818181818</v>
      </c>
      <c r="F6" s="24" t="n">
        <f aca="false">SUMIFS(Trades!$W$2:$W$310,Trades!$B$2:$B$310,$A6,Trades!$W$2:$W$310,"&gt;0")</f>
        <v>109.52</v>
      </c>
      <c r="G6" s="24" t="n">
        <f aca="false">SUMIFS(Trades!$W$2:$W$310,Trades!$B$2:$B$310,$A6,Trades!$W$2:$W$310,"&lt;0")</f>
        <v>-440.36</v>
      </c>
      <c r="H6" s="24" t="n">
        <f aca="false">F6+G6</f>
        <v>-330.84</v>
      </c>
      <c r="I6" s="25" t="n">
        <f aca="false">IFERROR(F6/-G6,"no losses")</f>
        <v>0.248705604505405</v>
      </c>
      <c r="J6" s="24" t="n">
        <f aca="false">IFERROR(F6/C6,0)</f>
        <v>15.6457142857143</v>
      </c>
      <c r="K6" s="24" t="n">
        <f aca="false">IFERROR(G6/D6,0)</f>
        <v>-31.4542857142857</v>
      </c>
      <c r="L6" s="24" t="n">
        <f aca="false">_xlfn.MAXIFS(Trades!$W$2:$W$310,Trades!$B$2:$B$310,$A6)</f>
        <v>42.39</v>
      </c>
      <c r="M6" s="24" t="n">
        <f aca="false">_xlfn.MINIFS(Trades!$W$2:$W$310,Trades!$B$2:$B$310,$A6)</f>
        <v>-82.27</v>
      </c>
      <c r="N6" s="26" t="n">
        <f aca="false">IFERROR(AVERAGEIFS(Trades!$X$2:$X$310,Trades!$B$2:$B$310,$A6),0)</f>
        <v>-0.43827893560107</v>
      </c>
      <c r="O6" s="24" t="n">
        <f aca="false">P5</f>
        <v>3653.26</v>
      </c>
      <c r="P6" s="24" t="n">
        <f aca="false">O6+H6</f>
        <v>3322.42</v>
      </c>
      <c r="Q6" s="23" t="n">
        <f aca="false">IFERROR(H6/O6,0)</f>
        <v>-0.0905602119750579</v>
      </c>
      <c r="R6" s="22" t="str">
        <f aca="false">IF(H6&gt;0,"Up month",IF(H6&lt;0,"Down month","Flat"))&amp;" | "&amp;B6&amp;" trades, "&amp;TEXT(E6,"0%")&amp;" won"</f>
        <v>Down month | 22 trades, 32% won</v>
      </c>
    </row>
    <row r="7" customFormat="false" ht="15" hidden="false" customHeight="false" outlineLevel="0" collapsed="false">
      <c r="A7" s="22" t="s">
        <v>123</v>
      </c>
      <c r="B7" s="22" t="n">
        <f aca="false">COUNTIFS(Trades!$B$2:$B$310,$A7)</f>
        <v>22</v>
      </c>
      <c r="C7" s="22" t="n">
        <f aca="false">COUNTIFS(Trades!$B$2:$B$310,$A7,Trades!$Y$2:$Y$310,"Win")</f>
        <v>10</v>
      </c>
      <c r="D7" s="22" t="n">
        <f aca="false">COUNTIFS(Trades!$B$2:$B$310,$A7,Trades!$Y$2:$Y$310,"Loss")</f>
        <v>12</v>
      </c>
      <c r="E7" s="23" t="n">
        <f aca="false">IFERROR(C7/B7,0)</f>
        <v>0.454545454545455</v>
      </c>
      <c r="F7" s="24" t="n">
        <f aca="false">SUMIFS(Trades!$W$2:$W$310,Trades!$B$2:$B$310,$A7,Trades!$W$2:$W$310,"&gt;0")</f>
        <v>122.08</v>
      </c>
      <c r="G7" s="24" t="n">
        <f aca="false">SUMIFS(Trades!$W$2:$W$310,Trades!$B$2:$B$310,$A7,Trades!$W$2:$W$310,"&lt;0")</f>
        <v>-407.41</v>
      </c>
      <c r="H7" s="24" t="n">
        <f aca="false">F7+G7</f>
        <v>-285.33</v>
      </c>
      <c r="I7" s="25" t="n">
        <f aca="false">IFERROR(F7/-G7,"no losses")</f>
        <v>0.299649002233622</v>
      </c>
      <c r="J7" s="24" t="n">
        <f aca="false">IFERROR(F7/C7,0)</f>
        <v>12.208</v>
      </c>
      <c r="K7" s="24" t="n">
        <f aca="false">IFERROR(G7/D7,0)</f>
        <v>-33.9508333333333</v>
      </c>
      <c r="L7" s="24" t="n">
        <f aca="false">_xlfn.MAXIFS(Trades!$W$2:$W$310,Trades!$B$2:$B$310,$A7)</f>
        <v>23.83</v>
      </c>
      <c r="M7" s="24" t="n">
        <f aca="false">_xlfn.MINIFS(Trades!$W$2:$W$310,Trades!$B$2:$B$310,$A7)</f>
        <v>-108.99</v>
      </c>
      <c r="N7" s="26" t="n">
        <f aca="false">IFERROR(AVERAGEIFS(Trades!$X$2:$X$310,Trades!$B$2:$B$310,$A7),0)</f>
        <v>-0.412023612750886</v>
      </c>
      <c r="O7" s="24" t="n">
        <f aca="false">P6</f>
        <v>3322.42</v>
      </c>
      <c r="P7" s="24" t="n">
        <f aca="false">O7+H7</f>
        <v>3037.09</v>
      </c>
      <c r="Q7" s="23" t="n">
        <f aca="false">IFERROR(H7/O7,0)</f>
        <v>-0.0858801716820871</v>
      </c>
      <c r="R7" s="22" t="str">
        <f aca="false">IF(H7&gt;0,"Up month",IF(H7&lt;0,"Down month","Flat"))&amp;" | "&amp;B7&amp;" trades, "&amp;TEXT(E7,"0%")&amp;" won"</f>
        <v>Down month | 22 trades, 45% won</v>
      </c>
    </row>
    <row r="8" customFormat="false" ht="15" hidden="false" customHeight="false" outlineLevel="0" collapsed="false">
      <c r="A8" s="22" t="s">
        <v>124</v>
      </c>
      <c r="B8" s="22" t="n">
        <f aca="false">COUNTIFS(Trades!$B$2:$B$310,$A8)</f>
        <v>17</v>
      </c>
      <c r="C8" s="22" t="n">
        <f aca="false">COUNTIFS(Trades!$B$2:$B$310,$A8,Trades!$Y$2:$Y$310,"Win")</f>
        <v>2</v>
      </c>
      <c r="D8" s="22" t="n">
        <f aca="false">COUNTIFS(Trades!$B$2:$B$310,$A8,Trades!$Y$2:$Y$310,"Loss")</f>
        <v>15</v>
      </c>
      <c r="E8" s="23" t="n">
        <f aca="false">IFERROR(C8/B8,0)</f>
        <v>0.117647058823529</v>
      </c>
      <c r="F8" s="24" t="n">
        <f aca="false">SUMIFS(Trades!$W$2:$W$310,Trades!$B$2:$B$310,$A8,Trades!$W$2:$W$310,"&gt;0")</f>
        <v>40.18</v>
      </c>
      <c r="G8" s="24" t="n">
        <f aca="false">SUMIFS(Trades!$W$2:$W$310,Trades!$B$2:$B$310,$A8,Trades!$W$2:$W$310,"&lt;0")</f>
        <v>-344.59</v>
      </c>
      <c r="H8" s="24" t="n">
        <f aca="false">F8+G8</f>
        <v>-304.41</v>
      </c>
      <c r="I8" s="25" t="n">
        <f aca="false">IFERROR(F8/-G8,"no losses")</f>
        <v>0.116602339011579</v>
      </c>
      <c r="J8" s="24" t="n">
        <f aca="false">IFERROR(F8/C8,0)</f>
        <v>20.09</v>
      </c>
      <c r="K8" s="24" t="n">
        <f aca="false">IFERROR(G8/D8,0)</f>
        <v>-22.9726666666667</v>
      </c>
      <c r="L8" s="24" t="n">
        <f aca="false">_xlfn.MAXIFS(Trades!$W$2:$W$310,Trades!$B$2:$B$310,$A8)</f>
        <v>32.58</v>
      </c>
      <c r="M8" s="24" t="n">
        <f aca="false">_xlfn.MINIFS(Trades!$W$2:$W$310,Trades!$B$2:$B$310,$A8)</f>
        <v>-39.42</v>
      </c>
      <c r="N8" s="26" t="n">
        <f aca="false">IFERROR(AVERAGEIFS(Trades!$X$2:$X$310,Trades!$B$2:$B$310,$A8),0)</f>
        <v>-0.634303864235753</v>
      </c>
      <c r="O8" s="24" t="n">
        <f aca="false">P7</f>
        <v>3037.09</v>
      </c>
      <c r="P8" s="24" t="n">
        <f aca="false">O8+H8</f>
        <v>2732.68</v>
      </c>
      <c r="Q8" s="23" t="n">
        <f aca="false">IFERROR(H8/O8,0)</f>
        <v>-0.100230813048016</v>
      </c>
      <c r="R8" s="22" t="str">
        <f aca="false">IF(H8&gt;0,"Up month",IF(H8&lt;0,"Down month","Flat"))&amp;" | "&amp;B8&amp;" trades, "&amp;TEXT(E8,"0%")&amp;" won"</f>
        <v>Down month | 17 trades, 12% won</v>
      </c>
    </row>
    <row r="9" customFormat="false" ht="15" hidden="false" customHeight="false" outlineLevel="0" collapsed="false">
      <c r="A9" s="22" t="s">
        <v>125</v>
      </c>
      <c r="B9" s="22" t="n">
        <f aca="false">COUNTIFS(Trades!$B$2:$B$310,$A9)</f>
        <v>17</v>
      </c>
      <c r="C9" s="22" t="n">
        <f aca="false">COUNTIFS(Trades!$B$2:$B$310,$A9,Trades!$Y$2:$Y$310,"Win")</f>
        <v>8</v>
      </c>
      <c r="D9" s="22" t="n">
        <f aca="false">COUNTIFS(Trades!$B$2:$B$310,$A9,Trades!$Y$2:$Y$310,"Loss")</f>
        <v>9</v>
      </c>
      <c r="E9" s="23" t="n">
        <f aca="false">IFERROR(C9/B9,0)</f>
        <v>0.470588235294118</v>
      </c>
      <c r="F9" s="24" t="n">
        <f aca="false">SUMIFS(Trades!$W$2:$W$310,Trades!$B$2:$B$310,$A9,Trades!$W$2:$W$310,"&gt;0")</f>
        <v>240.75</v>
      </c>
      <c r="G9" s="24" t="n">
        <f aca="false">SUMIFS(Trades!$W$2:$W$310,Trades!$B$2:$B$310,$A9,Trades!$W$2:$W$310,"&lt;0")</f>
        <v>-213.44</v>
      </c>
      <c r="H9" s="24" t="n">
        <f aca="false">F9+G9</f>
        <v>27.31</v>
      </c>
      <c r="I9" s="25" t="n">
        <f aca="false">IFERROR(F9/-G9,"no losses")</f>
        <v>1.12795164917541</v>
      </c>
      <c r="J9" s="24" t="n">
        <f aca="false">IFERROR(F9/C9,0)</f>
        <v>30.09375</v>
      </c>
      <c r="K9" s="24" t="n">
        <f aca="false">IFERROR(G9/D9,0)</f>
        <v>-23.7155555555556</v>
      </c>
      <c r="L9" s="24" t="n">
        <f aca="false">_xlfn.MAXIFS(Trades!$W$2:$W$310,Trades!$B$2:$B$310,$A9)</f>
        <v>49.01</v>
      </c>
      <c r="M9" s="24" t="n">
        <f aca="false">_xlfn.MINIFS(Trades!$W$2:$W$310,Trades!$B$2:$B$310,$A9)</f>
        <v>-48.19</v>
      </c>
      <c r="N9" s="26" t="n">
        <f aca="false">IFERROR(AVERAGEIFS(Trades!$X$2:$X$310,Trades!$B$2:$B$310,$A9),0)</f>
        <v>0.068481353325644</v>
      </c>
      <c r="O9" s="24" t="n">
        <f aca="false">P8</f>
        <v>2732.68</v>
      </c>
      <c r="P9" s="24" t="n">
        <f aca="false">O9+H9</f>
        <v>2759.99</v>
      </c>
      <c r="Q9" s="23" t="n">
        <f aca="false">IFERROR(H9/O9,0)</f>
        <v>0.00999385218905982</v>
      </c>
      <c r="R9" s="22" t="str">
        <f aca="false">IF(H9&gt;0,"Up month",IF(H9&lt;0,"Down month","Flat"))&amp;" | "&amp;B9&amp;" trades, "&amp;TEXT(E9,"0%")&amp;" won"</f>
        <v>Up month | 17 trades, 47% won</v>
      </c>
    </row>
    <row r="10" customFormat="false" ht="15" hidden="false" customHeight="false" outlineLevel="0" collapsed="false">
      <c r="A10" s="22" t="s">
        <v>126</v>
      </c>
      <c r="B10" s="22" t="n">
        <f aca="false">COUNTIFS(Trades!$B$2:$B$310,$A10)</f>
        <v>19</v>
      </c>
      <c r="C10" s="22" t="n">
        <f aca="false">COUNTIFS(Trades!$B$2:$B$310,$A10,Trades!$Y$2:$Y$310,"Win")</f>
        <v>9</v>
      </c>
      <c r="D10" s="22" t="n">
        <f aca="false">COUNTIFS(Trades!$B$2:$B$310,$A10,Trades!$Y$2:$Y$310,"Loss")</f>
        <v>10</v>
      </c>
      <c r="E10" s="23" t="n">
        <f aca="false">IFERROR(C10/B10,0)</f>
        <v>0.473684210526316</v>
      </c>
      <c r="F10" s="24" t="n">
        <f aca="false">SUMIFS(Trades!$W$2:$W$310,Trades!$B$2:$B$310,$A10,Trades!$W$2:$W$310,"&gt;0")</f>
        <v>125.74</v>
      </c>
      <c r="G10" s="24" t="n">
        <f aca="false">SUMIFS(Trades!$W$2:$W$310,Trades!$B$2:$B$310,$A10,Trades!$W$2:$W$310,"&lt;0")</f>
        <v>-262.89</v>
      </c>
      <c r="H10" s="24" t="n">
        <f aca="false">F10+G10</f>
        <v>-137.15</v>
      </c>
      <c r="I10" s="25" t="n">
        <f aca="false">IFERROR(F10/-G10,"no losses")</f>
        <v>0.478298908288638</v>
      </c>
      <c r="J10" s="24" t="n">
        <f aca="false">IFERROR(F10/C10,0)</f>
        <v>13.9711111111111</v>
      </c>
      <c r="K10" s="24" t="n">
        <f aca="false">IFERROR(G10/D10,0)</f>
        <v>-26.289</v>
      </c>
      <c r="L10" s="24" t="n">
        <f aca="false">_xlfn.MAXIFS(Trades!$W$2:$W$310,Trades!$B$2:$B$310,$A10)</f>
        <v>30.06</v>
      </c>
      <c r="M10" s="24" t="n">
        <f aca="false">_xlfn.MINIFS(Trades!$W$2:$W$310,Trades!$B$2:$B$310,$A10)</f>
        <v>-70.02</v>
      </c>
      <c r="N10" s="26" t="n">
        <f aca="false">IFERROR(AVERAGEIFS(Trades!$X$2:$X$310,Trades!$B$2:$B$310,$A10),0)</f>
        <v>-0.274335511982571</v>
      </c>
      <c r="O10" s="24" t="n">
        <f aca="false">P9</f>
        <v>2759.99</v>
      </c>
      <c r="P10" s="24" t="n">
        <f aca="false">O10+H10</f>
        <v>2622.84</v>
      </c>
      <c r="Q10" s="23" t="n">
        <f aca="false">IFERROR(H10/O10,0)</f>
        <v>-0.0496922090297429</v>
      </c>
      <c r="R10" s="22" t="str">
        <f aca="false">IF(H10&gt;0,"Up month",IF(H10&lt;0,"Down month","Flat"))&amp;" | "&amp;B10&amp;" trades, "&amp;TEXT(E10,"0%")&amp;" won"</f>
        <v>Down month | 19 trades, 47% won</v>
      </c>
    </row>
    <row r="11" customFormat="false" ht="15" hidden="false" customHeight="false" outlineLevel="0" collapsed="false">
      <c r="A11" s="22" t="s">
        <v>127</v>
      </c>
      <c r="B11" s="22" t="n">
        <f aca="false">COUNTIFS(Trades!$B$2:$B$310,$A11)</f>
        <v>17</v>
      </c>
      <c r="C11" s="22" t="n">
        <f aca="false">COUNTIFS(Trades!$B$2:$B$310,$A11,Trades!$Y$2:$Y$310,"Win")</f>
        <v>5</v>
      </c>
      <c r="D11" s="22" t="n">
        <f aca="false">COUNTIFS(Trades!$B$2:$B$310,$A11,Trades!$Y$2:$Y$310,"Loss")</f>
        <v>12</v>
      </c>
      <c r="E11" s="23" t="n">
        <f aca="false">IFERROR(C11/B11,0)</f>
        <v>0.294117647058824</v>
      </c>
      <c r="F11" s="24" t="n">
        <f aca="false">SUMIFS(Trades!$W$2:$W$310,Trades!$B$2:$B$310,$A11,Trades!$W$2:$W$310,"&gt;0")</f>
        <v>469.32</v>
      </c>
      <c r="G11" s="24" t="n">
        <f aca="false">SUMIFS(Trades!$W$2:$W$310,Trades!$B$2:$B$310,$A11,Trades!$W$2:$W$310,"&lt;0")</f>
        <v>-320.15</v>
      </c>
      <c r="H11" s="24" t="n">
        <f aca="false">F11+G11</f>
        <v>149.17</v>
      </c>
      <c r="I11" s="25" t="n">
        <f aca="false">IFERROR(F11/-G11,"no losses")</f>
        <v>1.46593784163673</v>
      </c>
      <c r="J11" s="24" t="n">
        <f aca="false">IFERROR(F11/C11,0)</f>
        <v>93.864</v>
      </c>
      <c r="K11" s="24" t="n">
        <f aca="false">IFERROR(G11/D11,0)</f>
        <v>-26.6791666666667</v>
      </c>
      <c r="L11" s="24" t="n">
        <f aca="false">_xlfn.MAXIFS(Trades!$W$2:$W$310,Trades!$B$2:$B$310,$A11)</f>
        <v>430.1</v>
      </c>
      <c r="M11" s="24" t="n">
        <f aca="false">_xlfn.MINIFS(Trades!$W$2:$W$310,Trades!$B$2:$B$310,$A11)</f>
        <v>-63.42</v>
      </c>
      <c r="N11" s="26" t="n">
        <f aca="false">IFERROR(AVERAGEIFS(Trades!$X$2:$X$310,Trades!$B$2:$B$310,$A11),0)</f>
        <v>0.448327085736256</v>
      </c>
      <c r="O11" s="24" t="n">
        <f aca="false">P10</f>
        <v>2622.84</v>
      </c>
      <c r="P11" s="24" t="n">
        <f aca="false">O11+H11</f>
        <v>2772.01</v>
      </c>
      <c r="Q11" s="23" t="n">
        <f aca="false">IFERROR(H11/O11,0)</f>
        <v>0.0568734654039133</v>
      </c>
      <c r="R11" s="22" t="str">
        <f aca="false">IF(H11&gt;0,"Up month",IF(H11&lt;0,"Down month","Flat"))&amp;" | "&amp;B11&amp;" trades, "&amp;TEXT(E11,"0%")&amp;" won"</f>
        <v>Up month | 17 trades, 29% won</v>
      </c>
    </row>
    <row r="12" customFormat="false" ht="15" hidden="false" customHeight="false" outlineLevel="0" collapsed="false">
      <c r="A12" s="22" t="s">
        <v>128</v>
      </c>
      <c r="B12" s="22" t="n">
        <f aca="false">COUNTIFS(Trades!$B$2:$B$310,$A12)</f>
        <v>13</v>
      </c>
      <c r="C12" s="22" t="n">
        <f aca="false">COUNTIFS(Trades!$B$2:$B$310,$A12,Trades!$Y$2:$Y$310,"Win")</f>
        <v>1</v>
      </c>
      <c r="D12" s="22" t="n">
        <f aca="false">COUNTIFS(Trades!$B$2:$B$310,$A12,Trades!$Y$2:$Y$310,"Loss")</f>
        <v>12</v>
      </c>
      <c r="E12" s="23" t="n">
        <f aca="false">IFERROR(C12/B12,0)</f>
        <v>0.0769230769230769</v>
      </c>
      <c r="F12" s="24" t="n">
        <f aca="false">SUMIFS(Trades!$W$2:$W$310,Trades!$B$2:$B$310,$A12,Trades!$W$2:$W$310,"&gt;0")</f>
        <v>84</v>
      </c>
      <c r="G12" s="24" t="n">
        <f aca="false">SUMIFS(Trades!$W$2:$W$310,Trades!$B$2:$B$310,$A12,Trades!$W$2:$W$310,"&lt;0")</f>
        <v>-649.47</v>
      </c>
      <c r="H12" s="24" t="n">
        <f aca="false">F12+G12</f>
        <v>-565.47</v>
      </c>
      <c r="I12" s="25" t="n">
        <f aca="false">IFERROR(F12/-G12,"no losses")</f>
        <v>0.129336228001293</v>
      </c>
      <c r="J12" s="24" t="n">
        <f aca="false">IFERROR(F12/C12,0)</f>
        <v>84</v>
      </c>
      <c r="K12" s="24" t="n">
        <f aca="false">IFERROR(G12/D12,0)</f>
        <v>-54.1225</v>
      </c>
      <c r="L12" s="24" t="n">
        <f aca="false">_xlfn.MAXIFS(Trades!$W$2:$W$310,Trades!$B$2:$B$310,$A12)</f>
        <v>84</v>
      </c>
      <c r="M12" s="24" t="n">
        <f aca="false">_xlfn.MINIFS(Trades!$W$2:$W$310,Trades!$B$2:$B$310,$A12)</f>
        <v>-234.77</v>
      </c>
      <c r="N12" s="26" t="n">
        <f aca="false">IFERROR(AVERAGEIFS(Trades!$X$2:$X$310,Trades!$B$2:$B$310,$A12),0)</f>
        <v>-1.72880643539467</v>
      </c>
      <c r="O12" s="24" t="n">
        <f aca="false">P11</f>
        <v>2772.01</v>
      </c>
      <c r="P12" s="24" t="n">
        <f aca="false">O12+H12</f>
        <v>2206.54</v>
      </c>
      <c r="Q12" s="23" t="n">
        <f aca="false">IFERROR(H12/O12,0)</f>
        <v>-0.203992770588851</v>
      </c>
      <c r="R12" s="22" t="str">
        <f aca="false">IF(H12&gt;0,"Up month",IF(H12&lt;0,"Down month","Flat"))&amp;" | "&amp;B12&amp;" trades, "&amp;TEXT(E12,"0%")&amp;" won"</f>
        <v>Down month | 13 trades, 8% won</v>
      </c>
    </row>
    <row r="13" customFormat="false" ht="15" hidden="false" customHeight="false" outlineLevel="0" collapsed="false">
      <c r="A13" s="22" t="s">
        <v>129</v>
      </c>
      <c r="B13" s="22" t="n">
        <f aca="false">COUNTIFS(Trades!$B$2:$B$310,$A13)</f>
        <v>17</v>
      </c>
      <c r="C13" s="22" t="n">
        <f aca="false">COUNTIFS(Trades!$B$2:$B$310,$A13,Trades!$Y$2:$Y$310,"Win")</f>
        <v>13</v>
      </c>
      <c r="D13" s="22" t="n">
        <f aca="false">COUNTIFS(Trades!$B$2:$B$310,$A13,Trades!$Y$2:$Y$310,"Loss")</f>
        <v>4</v>
      </c>
      <c r="E13" s="23" t="n">
        <f aca="false">IFERROR(C13/B13,0)</f>
        <v>0.764705882352941</v>
      </c>
      <c r="F13" s="24" t="n">
        <f aca="false">SUMIFS(Trades!$W$2:$W$310,Trades!$B$2:$B$310,$A13,Trades!$W$2:$W$310,"&gt;0")</f>
        <v>538.19</v>
      </c>
      <c r="G13" s="24" t="n">
        <f aca="false">SUMIFS(Trades!$W$2:$W$310,Trades!$B$2:$B$310,$A13,Trades!$W$2:$W$310,"&lt;0")</f>
        <v>-320.11</v>
      </c>
      <c r="H13" s="24" t="n">
        <f aca="false">F13+G13</f>
        <v>218.08</v>
      </c>
      <c r="I13" s="25" t="n">
        <f aca="false">IFERROR(F13/-G13,"no losses")</f>
        <v>1.68126581487614</v>
      </c>
      <c r="J13" s="24" t="n">
        <f aca="false">IFERROR(F13/C13,0)</f>
        <v>41.3992307692308</v>
      </c>
      <c r="K13" s="24" t="n">
        <f aca="false">IFERROR(G13/D13,0)</f>
        <v>-80.0275</v>
      </c>
      <c r="L13" s="24" t="n">
        <f aca="false">_xlfn.MAXIFS(Trades!$W$2:$W$310,Trades!$B$2:$B$310,$A13)</f>
        <v>180.64</v>
      </c>
      <c r="M13" s="24" t="n">
        <f aca="false">_xlfn.MINIFS(Trades!$W$2:$W$310,Trades!$B$2:$B$310,$A13)</f>
        <v>-152.75</v>
      </c>
      <c r="N13" s="26" t="n">
        <f aca="false">IFERROR(AVERAGEIFS(Trades!$X$2:$X$310,Trades!$B$2:$B$310,$A13),0)</f>
        <v>0.641060690943044</v>
      </c>
      <c r="O13" s="24" t="n">
        <f aca="false">P12</f>
        <v>2206.54</v>
      </c>
      <c r="P13" s="24" t="n">
        <f aca="false">O13+H13</f>
        <v>2424.62</v>
      </c>
      <c r="Q13" s="23" t="n">
        <f aca="false">IFERROR(H13/O13,0)</f>
        <v>0.0988334677821385</v>
      </c>
      <c r="R13" s="22" t="str">
        <f aca="false">IF(H13&gt;0,"Up month",IF(H13&lt;0,"Down month","Flat"))&amp;" | "&amp;B13&amp;" trades, "&amp;TEXT(E13,"0%")&amp;" won"</f>
        <v>Up month | 17 trades, 76% won</v>
      </c>
    </row>
    <row r="14" customFormat="false" ht="15" hidden="false" customHeight="false" outlineLevel="0" collapsed="false">
      <c r="A14" s="22" t="s">
        <v>130</v>
      </c>
      <c r="B14" s="22" t="n">
        <f aca="false">COUNTIFS(Trades!$B$2:$B$310,$A14)</f>
        <v>14</v>
      </c>
      <c r="C14" s="22" t="n">
        <f aca="false">COUNTIFS(Trades!$B$2:$B$310,$A14,Trades!$Y$2:$Y$310,"Win")</f>
        <v>4</v>
      </c>
      <c r="D14" s="22" t="n">
        <f aca="false">COUNTIFS(Trades!$B$2:$B$310,$A14,Trades!$Y$2:$Y$310,"Loss")</f>
        <v>10</v>
      </c>
      <c r="E14" s="23" t="n">
        <f aca="false">IFERROR(C14/B14,0)</f>
        <v>0.285714285714286</v>
      </c>
      <c r="F14" s="24" t="n">
        <f aca="false">SUMIFS(Trades!$W$2:$W$310,Trades!$B$2:$B$310,$A14,Trades!$W$2:$W$310,"&gt;0")</f>
        <v>64.99</v>
      </c>
      <c r="G14" s="24" t="n">
        <f aca="false">SUMIFS(Trades!$W$2:$W$310,Trades!$B$2:$B$310,$A14,Trades!$W$2:$W$310,"&lt;0")</f>
        <v>-246.4</v>
      </c>
      <c r="H14" s="24" t="n">
        <f aca="false">F14+G14</f>
        <v>-181.41</v>
      </c>
      <c r="I14" s="25" t="n">
        <f aca="false">IFERROR(F14/-G14,"no losses")</f>
        <v>0.263758116883117</v>
      </c>
      <c r="J14" s="24" t="n">
        <f aca="false">IFERROR(F14/C14,0)</f>
        <v>16.2475</v>
      </c>
      <c r="K14" s="24" t="n">
        <f aca="false">IFERROR(G14/D14,0)</f>
        <v>-24.64</v>
      </c>
      <c r="L14" s="24" t="n">
        <f aca="false">_xlfn.MAXIFS(Trades!$W$2:$W$310,Trades!$B$2:$B$310,$A14)</f>
        <v>31.92</v>
      </c>
      <c r="M14" s="24" t="n">
        <f aca="false">_xlfn.MINIFS(Trades!$W$2:$W$310,Trades!$B$2:$B$310,$A14)</f>
        <v>-70.8</v>
      </c>
      <c r="N14" s="26" t="n">
        <f aca="false">IFERROR(AVERAGEIFS(Trades!$X$2:$X$310,Trades!$B$2:$B$310,$A14),0)</f>
        <v>-0.565021825396826</v>
      </c>
      <c r="O14" s="24" t="n">
        <f aca="false">P13</f>
        <v>2424.62</v>
      </c>
      <c r="P14" s="24" t="n">
        <f aca="false">O14+H14</f>
        <v>2243.21</v>
      </c>
      <c r="Q14" s="23" t="n">
        <f aca="false">IFERROR(H14/O14,0)</f>
        <v>-0.0748199717893938</v>
      </c>
      <c r="R14" s="22" t="str">
        <f aca="false">IF(H14&gt;0,"Up month",IF(H14&lt;0,"Down month","Flat"))&amp;" | "&amp;B14&amp;" trades, "&amp;TEXT(E14,"0%")&amp;" won"</f>
        <v>Down month | 14 trades, 29% won</v>
      </c>
    </row>
    <row r="15" customFormat="false" ht="15" hidden="false" customHeight="false" outlineLevel="0" collapsed="false">
      <c r="A15" s="22" t="s">
        <v>131</v>
      </c>
      <c r="B15" s="22" t="n">
        <f aca="false">COUNTIFS(Trades!$B$2:$B$310,$A15)</f>
        <v>20</v>
      </c>
      <c r="C15" s="22" t="n">
        <f aca="false">COUNTIFS(Trades!$B$2:$B$310,$A15,Trades!$Y$2:$Y$310,"Win")</f>
        <v>7</v>
      </c>
      <c r="D15" s="22" t="n">
        <f aca="false">COUNTIFS(Trades!$B$2:$B$310,$A15,Trades!$Y$2:$Y$310,"Loss")</f>
        <v>13</v>
      </c>
      <c r="E15" s="23" t="n">
        <f aca="false">IFERROR(C15/B15,0)</f>
        <v>0.35</v>
      </c>
      <c r="F15" s="24" t="n">
        <f aca="false">SUMIFS(Trades!$W$2:$W$310,Trades!$B$2:$B$310,$A15,Trades!$W$2:$W$310,"&gt;0")</f>
        <v>125.58</v>
      </c>
      <c r="G15" s="24" t="n">
        <f aca="false">SUMIFS(Trades!$W$2:$W$310,Trades!$B$2:$B$310,$A15,Trades!$W$2:$W$310,"&lt;0")</f>
        <v>-254.18</v>
      </c>
      <c r="H15" s="24" t="n">
        <f aca="false">F15+G15</f>
        <v>-128.6</v>
      </c>
      <c r="I15" s="25" t="n">
        <f aca="false">IFERROR(F15/-G15,"no losses")</f>
        <v>0.494059328035251</v>
      </c>
      <c r="J15" s="24" t="n">
        <f aca="false">IFERROR(F15/C15,0)</f>
        <v>17.94</v>
      </c>
      <c r="K15" s="24" t="n">
        <f aca="false">IFERROR(G15/D15,0)</f>
        <v>-19.5523076923077</v>
      </c>
      <c r="L15" s="24" t="n">
        <f aca="false">_xlfn.MAXIFS(Trades!$W$2:$W$310,Trades!$B$2:$B$310,$A15)</f>
        <v>40.46</v>
      </c>
      <c r="M15" s="24" t="n">
        <f aca="false">_xlfn.MINIFS(Trades!$W$2:$W$310,Trades!$B$2:$B$310,$A15)</f>
        <v>-43.91</v>
      </c>
      <c r="N15" s="26" t="n">
        <f aca="false">IFERROR(AVERAGEIFS(Trades!$X$2:$X$310,Trades!$B$2:$B$310,$A15),0)</f>
        <v>-0.290625396825397</v>
      </c>
      <c r="O15" s="24" t="n">
        <f aca="false">P14</f>
        <v>2243.21</v>
      </c>
      <c r="P15" s="24" t="n">
        <f aca="false">O15+H15</f>
        <v>2114.61</v>
      </c>
      <c r="Q15" s="23" t="n">
        <f aca="false">IFERROR(H15/O15,0)</f>
        <v>-0.0573285604111965</v>
      </c>
      <c r="R15" s="22" t="str">
        <f aca="false">IF(H15&gt;0,"Up month",IF(H15&lt;0,"Down month","Flat"))&amp;" | "&amp;B15&amp;" trades, "&amp;TEXT(E15,"0%")&amp;" won"</f>
        <v>Down month | 20 trades, 35% won</v>
      </c>
    </row>
    <row r="16" customFormat="false" ht="15" hidden="false" customHeight="false" outlineLevel="0" collapsed="false">
      <c r="A16" s="22" t="s">
        <v>132</v>
      </c>
      <c r="B16" s="22" t="n">
        <f aca="false">COUNTIFS(Trades!$B$2:$B$310,$A16)</f>
        <v>19</v>
      </c>
      <c r="C16" s="22" t="n">
        <f aca="false">COUNTIFS(Trades!$B$2:$B$310,$A16,Trades!$Y$2:$Y$310,"Win")</f>
        <v>12</v>
      </c>
      <c r="D16" s="22" t="n">
        <f aca="false">COUNTIFS(Trades!$B$2:$B$310,$A16,Trades!$Y$2:$Y$310,"Loss")</f>
        <v>7</v>
      </c>
      <c r="E16" s="23" t="n">
        <f aca="false">IFERROR(C16/B16,0)</f>
        <v>0.631578947368421</v>
      </c>
      <c r="F16" s="24" t="n">
        <f aca="false">SUMIFS(Trades!$W$2:$W$310,Trades!$B$2:$B$310,$A16,Trades!$W$2:$W$310,"&gt;0")</f>
        <v>195.17</v>
      </c>
      <c r="G16" s="24" t="n">
        <f aca="false">SUMIFS(Trades!$W$2:$W$310,Trades!$B$2:$B$310,$A16,Trades!$W$2:$W$310,"&lt;0")</f>
        <v>-179.33</v>
      </c>
      <c r="H16" s="24" t="n">
        <f aca="false">F16+G16</f>
        <v>15.84</v>
      </c>
      <c r="I16" s="25" t="n">
        <f aca="false">IFERROR(F16/-G16,"no losses")</f>
        <v>1.08832877934534</v>
      </c>
      <c r="J16" s="24" t="n">
        <f aca="false">IFERROR(F16/C16,0)</f>
        <v>16.2641666666667</v>
      </c>
      <c r="K16" s="24" t="n">
        <f aca="false">IFERROR(G16/D16,0)</f>
        <v>-25.6185714285714</v>
      </c>
      <c r="L16" s="24" t="n">
        <f aca="false">_xlfn.MAXIFS(Trades!$W$2:$W$310,Trades!$B$2:$B$310,$A16)</f>
        <v>31.72</v>
      </c>
      <c r="M16" s="24" t="n">
        <f aca="false">_xlfn.MINIFS(Trades!$W$2:$W$310,Trades!$B$2:$B$310,$A16)</f>
        <v>-40.42</v>
      </c>
      <c r="N16" s="26" t="n">
        <f aca="false">IFERROR(AVERAGEIFS(Trades!$X$2:$X$310,Trades!$B$2:$B$310,$A16),0)</f>
        <v>0.0570676691729324</v>
      </c>
      <c r="O16" s="24" t="n">
        <f aca="false">P15</f>
        <v>2114.61</v>
      </c>
      <c r="P16" s="24" t="n">
        <f aca="false">O16+H16</f>
        <v>2130.45</v>
      </c>
      <c r="Q16" s="23" t="n">
        <f aca="false">IFERROR(H16/O16,0)</f>
        <v>0.0074907429738817</v>
      </c>
      <c r="R16" s="22" t="str">
        <f aca="false">IF(H16&gt;0,"Up month",IF(H16&lt;0,"Down month","Flat"))&amp;" | "&amp;B16&amp;" trades, "&amp;TEXT(E16,"0%")&amp;" won"</f>
        <v>Up month | 19 trades, 63% won</v>
      </c>
    </row>
    <row r="17" customFormat="false" ht="15" hidden="false" customHeight="false" outlineLevel="0" collapsed="false">
      <c r="A17" s="22" t="s">
        <v>133</v>
      </c>
      <c r="B17" s="22" t="n">
        <f aca="false">COUNTIFS(Trades!$B$2:$B$310,$A17)</f>
        <v>22</v>
      </c>
      <c r="C17" s="22" t="n">
        <f aca="false">COUNTIFS(Trades!$B$2:$B$310,$A17,Trades!$Y$2:$Y$310,"Win")</f>
        <v>12</v>
      </c>
      <c r="D17" s="22" t="n">
        <f aca="false">COUNTIFS(Trades!$B$2:$B$310,$A17,Trades!$Y$2:$Y$310,"Loss")</f>
        <v>10</v>
      </c>
      <c r="E17" s="23" t="n">
        <f aca="false">IFERROR(C17/B17,0)</f>
        <v>0.545454545454545</v>
      </c>
      <c r="F17" s="24" t="n">
        <f aca="false">SUMIFS(Trades!$W$2:$W$310,Trades!$B$2:$B$310,$A17,Trades!$W$2:$W$310,"&gt;0")</f>
        <v>286.88</v>
      </c>
      <c r="G17" s="24" t="n">
        <f aca="false">SUMIFS(Trades!$W$2:$W$310,Trades!$B$2:$B$310,$A17,Trades!$W$2:$W$310,"&lt;0")</f>
        <v>-407.77</v>
      </c>
      <c r="H17" s="24" t="n">
        <f aca="false">F17+G17</f>
        <v>-120.89</v>
      </c>
      <c r="I17" s="25" t="n">
        <f aca="false">IFERROR(F17/-G17,"no losses")</f>
        <v>0.703533854869166</v>
      </c>
      <c r="J17" s="24" t="n">
        <f aca="false">IFERROR(F17/C17,0)</f>
        <v>23.9066666666667</v>
      </c>
      <c r="K17" s="24" t="n">
        <f aca="false">IFERROR(G17/D17,0)</f>
        <v>-40.777</v>
      </c>
      <c r="L17" s="24" t="n">
        <f aca="false">_xlfn.MAXIFS(Trades!$W$2:$W$310,Trades!$B$2:$B$310,$A17)</f>
        <v>70.7</v>
      </c>
      <c r="M17" s="24" t="n">
        <f aca="false">_xlfn.MINIFS(Trades!$W$2:$W$310,Trades!$B$2:$B$310,$A17)</f>
        <v>-193.65</v>
      </c>
      <c r="N17" s="26" t="n">
        <f aca="false">IFERROR(AVERAGEIFS(Trades!$X$2:$X$310,Trades!$B$2:$B$310,$A17),0)</f>
        <v>-0.243030303030303</v>
      </c>
      <c r="O17" s="24" t="n">
        <f aca="false">P16</f>
        <v>2130.45</v>
      </c>
      <c r="P17" s="24" t="n">
        <f aca="false">O17+H17</f>
        <v>2009.56</v>
      </c>
      <c r="Q17" s="23" t="n">
        <f aca="false">IFERROR(H17/O17,0)</f>
        <v>-0.0567438804008543</v>
      </c>
      <c r="R17" s="22" t="str">
        <f aca="false">IF(H17&gt;0,"Up month",IF(H17&lt;0,"Down month","Flat"))&amp;" | "&amp;B17&amp;" trades, "&amp;TEXT(E17,"0%")&amp;" won"</f>
        <v>Down month | 22 trades, 55% won</v>
      </c>
    </row>
    <row r="18" customFormat="false" ht="15" hidden="false" customHeight="false" outlineLevel="0" collapsed="false">
      <c r="A18" s="22" t="s">
        <v>134</v>
      </c>
      <c r="B18" s="22" t="n">
        <f aca="false">COUNTIFS(Trades!$B$2:$B$310,$A18)</f>
        <v>23</v>
      </c>
      <c r="C18" s="22" t="n">
        <f aca="false">COUNTIFS(Trades!$B$2:$B$310,$A18,Trades!$Y$2:$Y$310,"Win")</f>
        <v>13</v>
      </c>
      <c r="D18" s="22" t="n">
        <f aca="false">COUNTIFS(Trades!$B$2:$B$310,$A18,Trades!$Y$2:$Y$310,"Loss")</f>
        <v>10</v>
      </c>
      <c r="E18" s="23" t="n">
        <f aca="false">IFERROR(C18/B18,0)</f>
        <v>0.565217391304348</v>
      </c>
      <c r="F18" s="24" t="n">
        <f aca="false">SUMIFS(Trades!$W$2:$W$310,Trades!$B$2:$B$310,$A18,Trades!$W$2:$W$310,"&gt;0")</f>
        <v>319.44</v>
      </c>
      <c r="G18" s="24" t="n">
        <f aca="false">SUMIFS(Trades!$W$2:$W$310,Trades!$B$2:$B$310,$A18,Trades!$W$2:$W$310,"&lt;0")</f>
        <v>-226.22</v>
      </c>
      <c r="H18" s="24" t="n">
        <f aca="false">F18+G18</f>
        <v>93.22</v>
      </c>
      <c r="I18" s="25" t="n">
        <f aca="false">IFERROR(F18/-G18,"no losses")</f>
        <v>1.41207673945717</v>
      </c>
      <c r="J18" s="24" t="n">
        <f aca="false">IFERROR(F18/C18,0)</f>
        <v>24.5723076923077</v>
      </c>
      <c r="K18" s="24" t="n">
        <f aca="false">IFERROR(G18/D18,0)</f>
        <v>-22.622</v>
      </c>
      <c r="L18" s="24" t="n">
        <f aca="false">_xlfn.MAXIFS(Trades!$W$2:$W$310,Trades!$B$2:$B$310,$A18)</f>
        <v>69.81</v>
      </c>
      <c r="M18" s="24" t="n">
        <f aca="false">_xlfn.MINIFS(Trades!$W$2:$W$310,Trades!$B$2:$B$310,$A18)</f>
        <v>-107.9</v>
      </c>
      <c r="N18" s="26" t="n">
        <f aca="false">IFERROR(AVERAGEIFS(Trades!$X$2:$X$310,Trades!$B$2:$B$310,$A18),0)</f>
        <v>0.211661092530658</v>
      </c>
      <c r="O18" s="24" t="n">
        <f aca="false">P17</f>
        <v>2009.56</v>
      </c>
      <c r="P18" s="24" t="n">
        <f aca="false">O18+H18</f>
        <v>2102.78</v>
      </c>
      <c r="Q18" s="23" t="n">
        <f aca="false">IFERROR(H18/O18,0)</f>
        <v>0.0463882640976134</v>
      </c>
      <c r="R18" s="22" t="str">
        <f aca="false">IF(H18&gt;0,"Up month",IF(H18&lt;0,"Down month","Flat"))&amp;" | "&amp;B18&amp;" trades, "&amp;TEXT(E18,"0%")&amp;" won"</f>
        <v>Up month | 23 trades, 57% won</v>
      </c>
    </row>
    <row r="19" customFormat="false" ht="15" hidden="false" customHeight="false" outlineLevel="0" collapsed="false">
      <c r="A19" s="27" t="s">
        <v>135</v>
      </c>
      <c r="B19" s="27" t="n">
        <f aca="false">SUM(B2:B18)</f>
        <v>309</v>
      </c>
      <c r="C19" s="27" t="n">
        <f aca="false">SUM(C2:C18)</f>
        <v>124</v>
      </c>
      <c r="D19" s="27" t="n">
        <f aca="false">SUM(D2:D18)</f>
        <v>183</v>
      </c>
      <c r="E19" s="28" t="n">
        <f aca="false">IFERROR(C19/B19,0)</f>
        <v>0.401294498381877</v>
      </c>
      <c r="F19" s="29" t="n">
        <f aca="false">SUM(F2:F18)</f>
        <v>2990.87</v>
      </c>
      <c r="G19" s="29" t="n">
        <f aca="false">SUM(G2:G18)</f>
        <v>-5888.09</v>
      </c>
      <c r="H19" s="29" t="n">
        <f aca="false">SUM(H2:H18)</f>
        <v>-2897.22</v>
      </c>
      <c r="I19" s="30" t="n">
        <f aca="false">IFERROR(F19/-G19,0)</f>
        <v>0.507952493932667</v>
      </c>
      <c r="J19" s="31"/>
      <c r="K19" s="31"/>
      <c r="L19" s="31"/>
      <c r="M19" s="31"/>
      <c r="N19" s="31"/>
      <c r="O19" s="31"/>
      <c r="P19" s="32" t="n">
        <f aca="false">P18</f>
        <v>2102.78</v>
      </c>
      <c r="Q19" s="28" t="n">
        <f aca="false">IFERROR(H19/O2,0)</f>
        <v>-0.579444</v>
      </c>
      <c r="R19" s="31" t="str">
        <f aca="false">COUNTIF(H2:H18,"&gt;0")&amp;" up months / "&amp;COUNTIF(H2:H18,"&lt;0")&amp;" down months"</f>
        <v>5 up months / 12 down months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false" outlineLevel="0" collapsed="false">
      <c r="A21" s="5" t="s">
        <v>136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137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138</v>
      </c>
      <c r="B3" s="2"/>
      <c r="C3" s="2"/>
      <c r="D3" s="2"/>
      <c r="E3" s="2"/>
      <c r="F3" s="2"/>
      <c r="G3" s="33" t="s">
        <v>139</v>
      </c>
    </row>
    <row r="4" customFormat="false" ht="15" hidden="false" customHeight="false" outlineLevel="0" collapsed="false">
      <c r="A4" s="8" t="s">
        <v>140</v>
      </c>
      <c r="B4" s="8" t="s">
        <v>7</v>
      </c>
      <c r="C4" s="8" t="s">
        <v>54</v>
      </c>
      <c r="D4" s="8" t="s">
        <v>39</v>
      </c>
      <c r="E4" s="8" t="s">
        <v>141</v>
      </c>
      <c r="F4" s="8" t="s">
        <v>113</v>
      </c>
      <c r="G4" s="2"/>
    </row>
    <row r="5" customFormat="false" ht="15" hidden="false" customHeight="false" outlineLevel="0" collapsed="false">
      <c r="A5" s="22" t="s">
        <v>142</v>
      </c>
      <c r="B5" s="2" t="n">
        <f aca="false">COUNTIFS(Trades!$F$2:$F$310,$A5)</f>
        <v>156</v>
      </c>
      <c r="C5" s="34" t="n">
        <f aca="false">IFERROR(COUNTIFS(Trades!$F$2:$F$310,$A5,Trades!$Y$2:$Y$310,"Win")/B5,0)</f>
        <v>0.429487179487179</v>
      </c>
      <c r="D5" s="35" t="n">
        <f aca="false">SUMIFS(Trades!$W$2:$W$310,Trades!$F$2:$F$310,$A5)</f>
        <v>-1190.06</v>
      </c>
      <c r="E5" s="35" t="n">
        <f aca="false">IFERROR(D5/B5,0)</f>
        <v>-7.62858974358974</v>
      </c>
      <c r="F5" s="36" t="n">
        <f aca="false">IFERROR(AVERAGEIFS(Trades!$X$2:$X$310,Trades!$F$2:$F$310,$A5),0)</f>
        <v>-0.204985602826236</v>
      </c>
      <c r="G5" s="2"/>
    </row>
    <row r="6" customFormat="false" ht="15" hidden="false" customHeight="false" outlineLevel="0" collapsed="false">
      <c r="A6" s="22" t="s">
        <v>143</v>
      </c>
      <c r="B6" s="2" t="n">
        <f aca="false">COUNTIFS(Trades!$F$2:$F$310,$A6)</f>
        <v>153</v>
      </c>
      <c r="C6" s="34" t="n">
        <f aca="false">IFERROR(COUNTIFS(Trades!$F$2:$F$310,$A6,Trades!$Y$2:$Y$310,"Win")/B6,0)</f>
        <v>0.372549019607843</v>
      </c>
      <c r="D6" s="35" t="n">
        <f aca="false">SUMIFS(Trades!$W$2:$W$310,Trades!$F$2:$F$310,$A6)</f>
        <v>-1707.16</v>
      </c>
      <c r="E6" s="35" t="n">
        <f aca="false">IFERROR(D6/B6,0)</f>
        <v>-11.157908496732</v>
      </c>
      <c r="F6" s="36" t="n">
        <f aca="false">IFERROR(AVERAGEIFS(Trades!$X$2:$X$310,Trades!$F$2:$F$310,$A6),0)</f>
        <v>-0.329513903911282</v>
      </c>
      <c r="G6" s="2"/>
    </row>
    <row r="7" customFormat="false" ht="15" hidden="false" customHeight="false" outlineLevel="0" collapsed="false">
      <c r="A7" s="27" t="s">
        <v>144</v>
      </c>
      <c r="B7" s="27" t="n">
        <f aca="false">SUM(B5:B6)</f>
        <v>309</v>
      </c>
      <c r="C7" s="31"/>
      <c r="D7" s="32" t="n">
        <f aca="false">SUM(D5:D6)</f>
        <v>-2897.22</v>
      </c>
      <c r="E7" s="31"/>
      <c r="F7" s="31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26.85" hidden="false" customHeight="false" outlineLevel="0" collapsed="false">
      <c r="A9" s="3" t="s">
        <v>145</v>
      </c>
      <c r="B9" s="2"/>
      <c r="C9" s="2"/>
      <c r="D9" s="2"/>
      <c r="E9" s="2"/>
      <c r="F9" s="2"/>
      <c r="G9" s="33" t="s">
        <v>146</v>
      </c>
    </row>
    <row r="10" customFormat="false" ht="15" hidden="false" customHeight="false" outlineLevel="0" collapsed="false">
      <c r="A10" s="8" t="s">
        <v>147</v>
      </c>
      <c r="B10" s="8" t="s">
        <v>7</v>
      </c>
      <c r="C10" s="8" t="s">
        <v>54</v>
      </c>
      <c r="D10" s="8" t="s">
        <v>39</v>
      </c>
      <c r="E10" s="8" t="s">
        <v>141</v>
      </c>
      <c r="F10" s="8" t="s">
        <v>113</v>
      </c>
      <c r="G10" s="2"/>
    </row>
    <row r="11" customFormat="false" ht="15" hidden="false" customHeight="false" outlineLevel="0" collapsed="false">
      <c r="A11" s="22" t="s">
        <v>148</v>
      </c>
      <c r="B11" s="2" t="n">
        <f aca="false">COUNTIFS(Trades!$T$2:$T$310,$A11)</f>
        <v>108</v>
      </c>
      <c r="C11" s="34" t="n">
        <f aca="false">IFERROR(COUNTIFS(Trades!$T$2:$T$310,$A11,Trades!$Y$2:$Y$310,"Win")/B11,0)</f>
        <v>0</v>
      </c>
      <c r="D11" s="35" t="n">
        <f aca="false">SUMIFS(Trades!$W$2:$W$310,Trades!$T$2:$T$310,$A11)</f>
        <v>-4672.1</v>
      </c>
      <c r="E11" s="35" t="n">
        <f aca="false">IFERROR(D11/B11,0)</f>
        <v>-43.2601851851852</v>
      </c>
      <c r="F11" s="36" t="n">
        <f aca="false">IFERROR(AVERAGEIFS(Trades!$X$2:$X$310,Trades!$T$2:$T$310,$A11),0)</f>
        <v>-1.52322422756844</v>
      </c>
      <c r="G11" s="2"/>
    </row>
    <row r="12" customFormat="false" ht="15" hidden="false" customHeight="false" outlineLevel="0" collapsed="false">
      <c r="A12" s="22" t="s">
        <v>149</v>
      </c>
      <c r="B12" s="2" t="n">
        <f aca="false">COUNTIFS(Trades!$T$2:$T$310,$A12)</f>
        <v>182</v>
      </c>
      <c r="C12" s="34" t="n">
        <f aca="false">IFERROR(COUNTIFS(Trades!$T$2:$T$310,$A12,Trades!$Y$2:$Y$310,"Win")/B12,0)</f>
        <v>0.67032967032967</v>
      </c>
      <c r="D12" s="35" t="n">
        <f aca="false">SUMIFS(Trades!$W$2:$W$310,Trades!$T$2:$T$310,$A12)</f>
        <v>2725.55</v>
      </c>
      <c r="E12" s="35" t="n">
        <f aca="false">IFERROR(D12/B12,0)</f>
        <v>14.9755494505495</v>
      </c>
      <c r="F12" s="36" t="n">
        <f aca="false">IFERROR(AVERAGEIFS(Trades!$X$2:$X$310,Trades!$T$2:$T$310,$A12),0)</f>
        <v>0.661694130488776</v>
      </c>
      <c r="G12" s="2"/>
    </row>
    <row r="13" customFormat="false" ht="15" hidden="false" customHeight="false" outlineLevel="0" collapsed="false">
      <c r="A13" s="22" t="s">
        <v>150</v>
      </c>
      <c r="B13" s="2" t="n">
        <f aca="false">COUNTIFS(Trades!$T$2:$T$310,$A13)</f>
        <v>1</v>
      </c>
      <c r="C13" s="34" t="n">
        <f aca="false">IFERROR(COUNTIFS(Trades!$T$2:$T$310,$A13,Trades!$Y$2:$Y$310,"Win")/B13,0)</f>
        <v>0</v>
      </c>
      <c r="D13" s="35" t="n">
        <f aca="false">SUMIFS(Trades!$W$2:$W$310,Trades!$T$2:$T$310,$A13)</f>
        <v>-7.28</v>
      </c>
      <c r="E13" s="35" t="n">
        <f aca="false">IFERROR(D13/B13,0)</f>
        <v>-7.28</v>
      </c>
      <c r="F13" s="36" t="n">
        <f aca="false">IFERROR(AVERAGEIFS(Trades!$X$2:$X$310,Trades!$T$2:$T$310,$A13),0)</f>
        <v>-0.242666666666667</v>
      </c>
      <c r="G13" s="2"/>
    </row>
    <row r="14" customFormat="false" ht="15" hidden="false" customHeight="false" outlineLevel="0" collapsed="false">
      <c r="A14" s="22" t="s">
        <v>151</v>
      </c>
      <c r="B14" s="2" t="n">
        <f aca="false">COUNTIFS(Trades!$T$2:$T$310,$A14)</f>
        <v>18</v>
      </c>
      <c r="C14" s="34" t="n">
        <f aca="false">IFERROR(COUNTIFS(Trades!$T$2:$T$310,$A14,Trades!$Y$2:$Y$310,"Win")/B14,0)</f>
        <v>0.111111111111111</v>
      </c>
      <c r="D14" s="35" t="n">
        <f aca="false">SUMIFS(Trades!$W$2:$W$310,Trades!$T$2:$T$310,$A14)</f>
        <v>-943.39</v>
      </c>
      <c r="E14" s="35" t="n">
        <f aca="false">IFERROR(D14/B14,0)</f>
        <v>-52.4105555555556</v>
      </c>
      <c r="F14" s="36" t="n">
        <f aca="false">IFERROR(AVERAGEIFS(Trades!$X$2:$X$310,Trades!$T$2:$T$310,$A14),0)</f>
        <v>-2.11504610245658</v>
      </c>
      <c r="G14" s="2"/>
    </row>
    <row r="15" customFormat="false" ht="15" hidden="false" customHeight="false" outlineLevel="0" collapsed="false">
      <c r="A15" s="27" t="s">
        <v>144</v>
      </c>
      <c r="B15" s="27" t="n">
        <f aca="false">SUM(B11:B14)</f>
        <v>309</v>
      </c>
      <c r="C15" s="31"/>
      <c r="D15" s="32" t="n">
        <f aca="false">SUM(D11:D14)</f>
        <v>-2897.22</v>
      </c>
      <c r="E15" s="31"/>
      <c r="F15" s="31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26.85" hidden="false" customHeight="false" outlineLevel="0" collapsed="false">
      <c r="A17" s="3" t="s">
        <v>152</v>
      </c>
      <c r="B17" s="2"/>
      <c r="C17" s="2"/>
      <c r="D17" s="2"/>
      <c r="E17" s="2"/>
      <c r="F17" s="2"/>
      <c r="G17" s="33" t="s">
        <v>153</v>
      </c>
    </row>
    <row r="18" customFormat="false" ht="15" hidden="false" customHeight="false" outlineLevel="0" collapsed="false">
      <c r="A18" s="8" t="s">
        <v>154</v>
      </c>
      <c r="B18" s="8" t="s">
        <v>7</v>
      </c>
      <c r="C18" s="8" t="s">
        <v>54</v>
      </c>
      <c r="D18" s="8" t="s">
        <v>39</v>
      </c>
      <c r="E18" s="8" t="s">
        <v>141</v>
      </c>
      <c r="F18" s="8" t="s">
        <v>113</v>
      </c>
      <c r="G18" s="2"/>
    </row>
    <row r="19" customFormat="false" ht="15" hidden="false" customHeight="false" outlineLevel="0" collapsed="false">
      <c r="A19" s="22" t="s">
        <v>155</v>
      </c>
      <c r="B19" s="2" t="n">
        <f aca="false">COUNTIFS(Trades!$Q$2:$Q$310,$A19)</f>
        <v>219</v>
      </c>
      <c r="C19" s="34" t="n">
        <f aca="false">IFERROR(COUNTIFS(Trades!$Q$2:$Q$310,$A19,Trades!$Y$2:$Y$310,"Win")/B19,0)</f>
        <v>0.470319634703196</v>
      </c>
      <c r="D19" s="35" t="n">
        <f aca="false">SUMIFS(Trades!$W$2:$W$310,Trades!$Q$2:$Q$310,$A19)</f>
        <v>-1778.36</v>
      </c>
      <c r="E19" s="35" t="n">
        <f aca="false">IFERROR(D19/B19,0)</f>
        <v>-8.12036529680365</v>
      </c>
      <c r="F19" s="36" t="n">
        <f aca="false">IFERROR(AVERAGEIFS(Trades!$X$2:$X$310,Trades!$Q$2:$Q$310,$A19),0)</f>
        <v>-0.247419532926628</v>
      </c>
      <c r="G19" s="2"/>
    </row>
    <row r="20" customFormat="false" ht="15" hidden="false" customHeight="false" outlineLevel="0" collapsed="false">
      <c r="A20" s="22" t="s">
        <v>156</v>
      </c>
      <c r="B20" s="2" t="n">
        <f aca="false">COUNTIFS(Trades!$Q$2:$Q$310,$A20)</f>
        <v>68</v>
      </c>
      <c r="C20" s="34" t="n">
        <f aca="false">IFERROR(COUNTIFS(Trades!$Q$2:$Q$310,$A20,Trades!$Y$2:$Y$310,"Win")/B20,0)</f>
        <v>0.235294117647059</v>
      </c>
      <c r="D20" s="35" t="n">
        <f aca="false">SUMIFS(Trades!$W$2:$W$310,Trades!$Q$2:$Q$310,$A20)</f>
        <v>-752.31</v>
      </c>
      <c r="E20" s="35" t="n">
        <f aca="false">IFERROR(D20/B20,0)</f>
        <v>-11.0633823529412</v>
      </c>
      <c r="F20" s="36" t="n">
        <f aca="false">IFERROR(AVERAGEIFS(Trades!$X$2:$X$310,Trades!$Q$2:$Q$310,$A20),0)</f>
        <v>-0.251982551057333</v>
      </c>
      <c r="G20" s="2"/>
    </row>
    <row r="21" customFormat="false" ht="15" hidden="false" customHeight="false" outlineLevel="0" collapsed="false">
      <c r="A21" s="22" t="s">
        <v>157</v>
      </c>
      <c r="B21" s="2" t="n">
        <f aca="false">COUNTIFS(Trades!$Q$2:$Q$310,$A21)</f>
        <v>20</v>
      </c>
      <c r="C21" s="34" t="n">
        <f aca="false">IFERROR(COUNTIFS(Trades!$Q$2:$Q$310,$A21,Trades!$Y$2:$Y$310,"Win")/B21,0)</f>
        <v>0.15</v>
      </c>
      <c r="D21" s="35" t="n">
        <f aca="false">SUMIFS(Trades!$W$2:$W$310,Trades!$Q$2:$Q$310,$A21)</f>
        <v>-435.67</v>
      </c>
      <c r="E21" s="35" t="n">
        <f aca="false">IFERROR(D21/B21,0)</f>
        <v>-21.7835</v>
      </c>
      <c r="F21" s="36" t="n">
        <f aca="false">IFERROR(AVERAGEIFS(Trades!$X$2:$X$310,Trades!$Q$2:$Q$310,$A21),0)</f>
        <v>-0.642119290433131</v>
      </c>
      <c r="G21" s="2"/>
    </row>
    <row r="22" customFormat="false" ht="15" hidden="false" customHeight="false" outlineLevel="0" collapsed="false">
      <c r="A22" s="22" t="s">
        <v>158</v>
      </c>
      <c r="B22" s="2" t="n">
        <f aca="false">COUNTIFS(Trades!$Q$2:$Q$310,$A22)</f>
        <v>2</v>
      </c>
      <c r="C22" s="34" t="n">
        <f aca="false">IFERROR(COUNTIFS(Trades!$Q$2:$Q$310,$A22,Trades!$Y$2:$Y$310,"Win")/B22,0)</f>
        <v>1</v>
      </c>
      <c r="D22" s="35" t="n">
        <f aca="false">SUMIFS(Trades!$W$2:$W$310,Trades!$Q$2:$Q$310,$A22)</f>
        <v>69.12</v>
      </c>
      <c r="E22" s="35" t="n">
        <f aca="false">IFERROR(D22/B22,0)</f>
        <v>34.56</v>
      </c>
      <c r="F22" s="36" t="n">
        <f aca="false">IFERROR(AVERAGEIFS(Trades!$X$2:$X$310,Trades!$Q$2:$Q$310,$A22),0)</f>
        <v>0.884347826086957</v>
      </c>
      <c r="G22" s="2"/>
    </row>
    <row r="23" customFormat="false" ht="15" hidden="false" customHeight="false" outlineLevel="0" collapsed="false">
      <c r="A23" s="27" t="s">
        <v>144</v>
      </c>
      <c r="B23" s="27" t="n">
        <f aca="false">SUM(B19:B22)</f>
        <v>309</v>
      </c>
      <c r="C23" s="31"/>
      <c r="D23" s="32" t="n">
        <f aca="false">SUM(D19:D22)</f>
        <v>-2897.22</v>
      </c>
      <c r="E23" s="31"/>
      <c r="F23" s="31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3" t="s">
        <v>159</v>
      </c>
      <c r="B25" s="2"/>
      <c r="C25" s="2"/>
      <c r="D25" s="2"/>
      <c r="E25" s="2"/>
      <c r="F25" s="2"/>
      <c r="G25" s="33" t="s">
        <v>160</v>
      </c>
    </row>
    <row r="26" customFormat="false" ht="15" hidden="false" customHeight="false" outlineLevel="0" collapsed="false">
      <c r="A26" s="8" t="s">
        <v>161</v>
      </c>
      <c r="B26" s="8" t="s">
        <v>7</v>
      </c>
      <c r="C26" s="8" t="s">
        <v>54</v>
      </c>
      <c r="D26" s="8" t="s">
        <v>39</v>
      </c>
      <c r="E26" s="8" t="s">
        <v>141</v>
      </c>
      <c r="F26" s="8" t="s">
        <v>113</v>
      </c>
      <c r="G26" s="2"/>
    </row>
    <row r="27" customFormat="false" ht="15" hidden="false" customHeight="false" outlineLevel="0" collapsed="false">
      <c r="A27" s="22" t="s">
        <v>162</v>
      </c>
      <c r="B27" s="2" t="n">
        <f aca="false">COUNTIFS(Trades!$D$2:$D$310,$A27)</f>
        <v>51</v>
      </c>
      <c r="C27" s="34" t="n">
        <f aca="false">IFERROR(COUNTIFS(Trades!$D$2:$D$310,$A27,Trades!$Y$2:$Y$310,"Win")/B27,0)</f>
        <v>0.470588235294118</v>
      </c>
      <c r="D27" s="35" t="n">
        <f aca="false">SUMIFS(Trades!$W$2:$W$310,Trades!$D$2:$D$310,$A27)</f>
        <v>-202.72</v>
      </c>
      <c r="E27" s="35" t="n">
        <f aca="false">IFERROR(D27/B27,0)</f>
        <v>-3.97490196078431</v>
      </c>
      <c r="F27" s="36" t="n">
        <f aca="false">IFERROR(AVERAGEIFS(Trades!$X$2:$X$310,Trades!$D$2:$D$310,$A27),0)</f>
        <v>0.0524826251141849</v>
      </c>
      <c r="G27" s="2"/>
    </row>
    <row r="28" customFormat="false" ht="15" hidden="false" customHeight="false" outlineLevel="0" collapsed="false">
      <c r="A28" s="22" t="s">
        <v>163</v>
      </c>
      <c r="B28" s="2" t="n">
        <f aca="false">COUNTIFS(Trades!$D$2:$D$310,$A28)</f>
        <v>65</v>
      </c>
      <c r="C28" s="34" t="n">
        <f aca="false">IFERROR(COUNTIFS(Trades!$D$2:$D$310,$A28,Trades!$Y$2:$Y$310,"Win")/B28,0)</f>
        <v>0.461538461538462</v>
      </c>
      <c r="D28" s="35" t="n">
        <f aca="false">SUMIFS(Trades!$W$2:$W$310,Trades!$D$2:$D$310,$A28)</f>
        <v>-603.25</v>
      </c>
      <c r="E28" s="35" t="n">
        <f aca="false">IFERROR(D28/B28,0)</f>
        <v>-9.28076923076923</v>
      </c>
      <c r="F28" s="36" t="n">
        <f aca="false">IFERROR(AVERAGEIFS(Trades!$X$2:$X$310,Trades!$D$2:$D$310,$A28),0)</f>
        <v>-0.353569817915</v>
      </c>
      <c r="G28" s="2"/>
    </row>
    <row r="29" customFormat="false" ht="15" hidden="false" customHeight="false" outlineLevel="0" collapsed="false">
      <c r="A29" s="22" t="s">
        <v>164</v>
      </c>
      <c r="B29" s="2" t="n">
        <f aca="false">COUNTIFS(Trades!$D$2:$D$310,$A29)</f>
        <v>66</v>
      </c>
      <c r="C29" s="34" t="n">
        <f aca="false">IFERROR(COUNTIFS(Trades!$D$2:$D$310,$A29,Trades!$Y$2:$Y$310,"Win")/B29,0)</f>
        <v>0.424242424242424</v>
      </c>
      <c r="D29" s="35" t="n">
        <f aca="false">SUMIFS(Trades!$W$2:$W$310,Trades!$D$2:$D$310,$A29)</f>
        <v>-406.54</v>
      </c>
      <c r="E29" s="35" t="n">
        <f aca="false">IFERROR(D29/B29,0)</f>
        <v>-6.15969696969697</v>
      </c>
      <c r="F29" s="36" t="n">
        <f aca="false">IFERROR(AVERAGEIFS(Trades!$X$2:$X$310,Trades!$D$2:$D$310,$A29),0)</f>
        <v>-0.167986927205639</v>
      </c>
      <c r="G29" s="2"/>
    </row>
    <row r="30" customFormat="false" ht="15" hidden="false" customHeight="false" outlineLevel="0" collapsed="false">
      <c r="A30" s="22" t="s">
        <v>165</v>
      </c>
      <c r="B30" s="2" t="n">
        <f aca="false">COUNTIFS(Trades!$D$2:$D$310,$A30)</f>
        <v>68</v>
      </c>
      <c r="C30" s="34" t="n">
        <f aca="false">IFERROR(COUNTIFS(Trades!$D$2:$D$310,$A30,Trades!$Y$2:$Y$310,"Win")/B30,0)</f>
        <v>0.294117647058824</v>
      </c>
      <c r="D30" s="35" t="n">
        <f aca="false">SUMIFS(Trades!$W$2:$W$310,Trades!$D$2:$D$310,$A30)</f>
        <v>-1345.72</v>
      </c>
      <c r="E30" s="35" t="n">
        <f aca="false">IFERROR(D30/B30,0)</f>
        <v>-19.79</v>
      </c>
      <c r="F30" s="36" t="n">
        <f aca="false">IFERROR(AVERAGEIFS(Trades!$X$2:$X$310,Trades!$D$2:$D$310,$A30),0)</f>
        <v>-0.708900462429033</v>
      </c>
      <c r="G30" s="2"/>
    </row>
    <row r="31" customFormat="false" ht="15" hidden="false" customHeight="false" outlineLevel="0" collapsed="false">
      <c r="A31" s="22" t="s">
        <v>166</v>
      </c>
      <c r="B31" s="2" t="n">
        <f aca="false">COUNTIFS(Trades!$D$2:$D$310,$A31)</f>
        <v>59</v>
      </c>
      <c r="C31" s="34" t="n">
        <f aca="false">IFERROR(COUNTIFS(Trades!$D$2:$D$310,$A31,Trades!$Y$2:$Y$310,"Win")/B31,0)</f>
        <v>0.372881355932203</v>
      </c>
      <c r="D31" s="35" t="n">
        <f aca="false">SUMIFS(Trades!$W$2:$W$310,Trades!$D$2:$D$310,$A31)</f>
        <v>-338.99</v>
      </c>
      <c r="E31" s="35" t="n">
        <f aca="false">IFERROR(D31/B31,0)</f>
        <v>-5.74559322033898</v>
      </c>
      <c r="F31" s="36" t="n">
        <f aca="false">IFERROR(AVERAGEIFS(Trades!$X$2:$X$310,Trades!$D$2:$D$310,$A31),0)</f>
        <v>-0.0473828544901853</v>
      </c>
      <c r="G31" s="2"/>
    </row>
    <row r="32" customFormat="false" ht="15" hidden="false" customHeight="false" outlineLevel="0" collapsed="false">
      <c r="A32" s="27" t="s">
        <v>144</v>
      </c>
      <c r="B32" s="27" t="n">
        <f aca="false">SUM(B27:B31)</f>
        <v>309</v>
      </c>
      <c r="C32" s="31"/>
      <c r="D32" s="32" t="n">
        <f aca="false">SUM(D27:D31)</f>
        <v>-2897.22</v>
      </c>
      <c r="E32" s="31"/>
      <c r="F32" s="31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26.85" hidden="false" customHeight="false" outlineLevel="0" collapsed="false">
      <c r="A34" s="3" t="s">
        <v>167</v>
      </c>
      <c r="B34" s="2"/>
      <c r="C34" s="2"/>
      <c r="D34" s="2"/>
      <c r="E34" s="2"/>
      <c r="F34" s="2"/>
      <c r="G34" s="33" t="s">
        <v>168</v>
      </c>
    </row>
    <row r="35" customFormat="false" ht="15" hidden="false" customHeight="false" outlineLevel="0" collapsed="false">
      <c r="A35" s="8" t="s">
        <v>169</v>
      </c>
      <c r="B35" s="8" t="s">
        <v>7</v>
      </c>
      <c r="C35" s="8" t="s">
        <v>54</v>
      </c>
      <c r="D35" s="8" t="s">
        <v>39</v>
      </c>
      <c r="E35" s="8" t="s">
        <v>141</v>
      </c>
      <c r="F35" s="8" t="s">
        <v>113</v>
      </c>
      <c r="G35" s="2"/>
    </row>
    <row r="36" customFormat="false" ht="15" hidden="false" customHeight="false" outlineLevel="0" collapsed="false">
      <c r="A36" s="22" t="n">
        <v>0</v>
      </c>
      <c r="B36" s="2" t="n">
        <f aca="false">COUNTIFS(Trades!$E$2:$E$310,$A36)</f>
        <v>0</v>
      </c>
      <c r="C36" s="34" t="n">
        <f aca="false">IFERROR(COUNTIFS(Trades!$E$2:$E$310,$A36,Trades!$Y$2:$Y$310,"Win")/B36,0)</f>
        <v>0</v>
      </c>
      <c r="D36" s="35" t="n">
        <f aca="false">SUMIFS(Trades!$W$2:$W$310,Trades!$E$2:$E$310,$A36)</f>
        <v>0</v>
      </c>
      <c r="E36" s="35" t="n">
        <f aca="false">IFERROR(D36/B36,0)</f>
        <v>0</v>
      </c>
      <c r="F36" s="36" t="n">
        <f aca="false">IFERROR(AVERAGEIFS(Trades!$X$2:$X$310,Trades!$E$2:$E$310,$A36),0)</f>
        <v>0</v>
      </c>
      <c r="G36" s="2"/>
    </row>
    <row r="37" customFormat="false" ht="15" hidden="false" customHeight="false" outlineLevel="0" collapsed="false">
      <c r="A37" s="22" t="n">
        <v>1</v>
      </c>
      <c r="B37" s="2" t="n">
        <f aca="false">COUNTIFS(Trades!$E$2:$E$310,$A37)</f>
        <v>32</v>
      </c>
      <c r="C37" s="34" t="n">
        <f aca="false">IFERROR(COUNTIFS(Trades!$E$2:$E$310,$A37,Trades!$Y$2:$Y$310,"Win")/B37,0)</f>
        <v>0.375</v>
      </c>
      <c r="D37" s="35" t="n">
        <f aca="false">SUMIFS(Trades!$W$2:$W$310,Trades!$E$2:$E$310,$A37)</f>
        <v>-488.86</v>
      </c>
      <c r="E37" s="35" t="n">
        <f aca="false">IFERROR(D37/B37,0)</f>
        <v>-15.276875</v>
      </c>
      <c r="F37" s="36" t="n">
        <f aca="false">IFERROR(AVERAGEIFS(Trades!$X$2:$X$310,Trades!$E$2:$E$310,$A37),0)</f>
        <v>-0.388963580979625</v>
      </c>
      <c r="G37" s="2"/>
    </row>
    <row r="38" customFormat="false" ht="15" hidden="false" customHeight="false" outlineLevel="0" collapsed="false">
      <c r="A38" s="22" t="n">
        <v>2</v>
      </c>
      <c r="B38" s="2" t="n">
        <f aca="false">COUNTIFS(Trades!$E$2:$E$310,$A38)</f>
        <v>33</v>
      </c>
      <c r="C38" s="34" t="n">
        <f aca="false">IFERROR(COUNTIFS(Trades!$E$2:$E$310,$A38,Trades!$Y$2:$Y$310,"Win")/B38,0)</f>
        <v>0.363636363636364</v>
      </c>
      <c r="D38" s="35" t="n">
        <f aca="false">SUMIFS(Trades!$W$2:$W$310,Trades!$E$2:$E$310,$A38)</f>
        <v>-139.71</v>
      </c>
      <c r="E38" s="35" t="n">
        <f aca="false">IFERROR(D38/B38,0)</f>
        <v>-4.23363636363636</v>
      </c>
      <c r="F38" s="36" t="n">
        <f aca="false">IFERROR(AVERAGEIFS(Trades!$X$2:$X$310,Trades!$E$2:$E$310,$A38),0)</f>
        <v>-0.0160193362506394</v>
      </c>
      <c r="G38" s="2"/>
    </row>
    <row r="39" customFormat="false" ht="15" hidden="false" customHeight="false" outlineLevel="0" collapsed="false">
      <c r="A39" s="22" t="n">
        <v>3</v>
      </c>
      <c r="B39" s="2" t="n">
        <f aca="false">COUNTIFS(Trades!$E$2:$E$310,$A39)</f>
        <v>42</v>
      </c>
      <c r="C39" s="34" t="n">
        <f aca="false">IFERROR(COUNTIFS(Trades!$E$2:$E$310,$A39,Trades!$Y$2:$Y$310,"Win")/B39,0)</f>
        <v>0.380952380952381</v>
      </c>
      <c r="D39" s="35" t="n">
        <f aca="false">SUMIFS(Trades!$W$2:$W$310,Trades!$E$2:$E$310,$A39)</f>
        <v>-577.51</v>
      </c>
      <c r="E39" s="35" t="n">
        <f aca="false">IFERROR(D39/B39,0)</f>
        <v>-13.7502380952381</v>
      </c>
      <c r="F39" s="36" t="n">
        <f aca="false">IFERROR(AVERAGEIFS(Trades!$X$2:$X$310,Trades!$E$2:$E$310,$A39),0)</f>
        <v>-0.38771325336132</v>
      </c>
      <c r="G39" s="2"/>
    </row>
    <row r="40" customFormat="false" ht="15" hidden="false" customHeight="false" outlineLevel="0" collapsed="false">
      <c r="A40" s="22" t="n">
        <v>4</v>
      </c>
      <c r="B40" s="2" t="n">
        <f aca="false">COUNTIFS(Trades!$E$2:$E$310,$A40)</f>
        <v>27</v>
      </c>
      <c r="C40" s="34" t="n">
        <f aca="false">IFERROR(COUNTIFS(Trades!$E$2:$E$310,$A40,Trades!$Y$2:$Y$310,"Win")/B40,0)</f>
        <v>0.407407407407407</v>
      </c>
      <c r="D40" s="35" t="n">
        <f aca="false">SUMIFS(Trades!$W$2:$W$310,Trades!$E$2:$E$310,$A40)</f>
        <v>-460.99</v>
      </c>
      <c r="E40" s="35" t="n">
        <f aca="false">IFERROR(D40/B40,0)</f>
        <v>-17.0737037037037</v>
      </c>
      <c r="F40" s="36" t="n">
        <f aca="false">IFERROR(AVERAGEIFS(Trades!$X$2:$X$310,Trades!$E$2:$E$310,$A40),0)</f>
        <v>-0.60067541537381</v>
      </c>
      <c r="G40" s="2"/>
    </row>
    <row r="41" customFormat="false" ht="15" hidden="false" customHeight="false" outlineLevel="0" collapsed="false">
      <c r="A41" s="22" t="n">
        <v>5</v>
      </c>
      <c r="B41" s="2" t="n">
        <f aca="false">COUNTIFS(Trades!$E$2:$E$310,$A41)</f>
        <v>18</v>
      </c>
      <c r="C41" s="34" t="n">
        <f aca="false">IFERROR(COUNTIFS(Trades!$E$2:$E$310,$A41,Trades!$Y$2:$Y$310,"Win")/B41,0)</f>
        <v>0.277777777777778</v>
      </c>
      <c r="D41" s="35" t="n">
        <f aca="false">SUMIFS(Trades!$W$2:$W$310,Trades!$E$2:$E$310,$A41)</f>
        <v>-230.29</v>
      </c>
      <c r="E41" s="35" t="n">
        <f aca="false">IFERROR(D41/B41,0)</f>
        <v>-12.7938888888889</v>
      </c>
      <c r="F41" s="36" t="n">
        <f aca="false">IFERROR(AVERAGEIFS(Trades!$X$2:$X$310,Trades!$E$2:$E$310,$A41),0)</f>
        <v>-0.336905290384593</v>
      </c>
      <c r="G41" s="2"/>
    </row>
    <row r="42" customFormat="false" ht="15" hidden="false" customHeight="false" outlineLevel="0" collapsed="false">
      <c r="A42" s="22" t="n">
        <v>6</v>
      </c>
      <c r="B42" s="2" t="n">
        <f aca="false">COUNTIFS(Trades!$E$2:$E$310,$A42)</f>
        <v>8</v>
      </c>
      <c r="C42" s="34" t="n">
        <f aca="false">IFERROR(COUNTIFS(Trades!$E$2:$E$310,$A42,Trades!$Y$2:$Y$310,"Win")/B42,0)</f>
        <v>0.625</v>
      </c>
      <c r="D42" s="35" t="n">
        <f aca="false">SUMIFS(Trades!$W$2:$W$310,Trades!$E$2:$E$310,$A42)</f>
        <v>-11.54</v>
      </c>
      <c r="E42" s="35" t="n">
        <f aca="false">IFERROR(D42/B42,0)</f>
        <v>-1.4425</v>
      </c>
      <c r="F42" s="36" t="n">
        <f aca="false">IFERROR(AVERAGEIFS(Trades!$X$2:$X$310,Trades!$E$2:$E$310,$A42),0)</f>
        <v>0.00111928410794602</v>
      </c>
      <c r="G42" s="2"/>
    </row>
    <row r="43" customFormat="false" ht="15" hidden="false" customHeight="false" outlineLevel="0" collapsed="false">
      <c r="A43" s="22" t="n">
        <v>7</v>
      </c>
      <c r="B43" s="2" t="n">
        <f aca="false">COUNTIFS(Trades!$E$2:$E$310,$A43)</f>
        <v>10</v>
      </c>
      <c r="C43" s="34" t="n">
        <f aca="false">IFERROR(COUNTIFS(Trades!$E$2:$E$310,$A43,Trades!$Y$2:$Y$310,"Win")/B43,0)</f>
        <v>0.4</v>
      </c>
      <c r="D43" s="35" t="n">
        <f aca="false">SUMIFS(Trades!$W$2:$W$310,Trades!$E$2:$E$310,$A43)</f>
        <v>-48.71</v>
      </c>
      <c r="E43" s="35" t="n">
        <f aca="false">IFERROR(D43/B43,0)</f>
        <v>-4.871</v>
      </c>
      <c r="F43" s="36" t="n">
        <f aca="false">IFERROR(AVERAGEIFS(Trades!$X$2:$X$310,Trades!$E$2:$E$310,$A43),0)</f>
        <v>-0.234949774354186</v>
      </c>
      <c r="G43" s="2"/>
    </row>
    <row r="44" customFormat="false" ht="15" hidden="false" customHeight="false" outlineLevel="0" collapsed="false">
      <c r="A44" s="22" t="n">
        <v>8</v>
      </c>
      <c r="B44" s="2" t="n">
        <f aca="false">COUNTIFS(Trades!$E$2:$E$310,$A44)</f>
        <v>12</v>
      </c>
      <c r="C44" s="34" t="n">
        <f aca="false">IFERROR(COUNTIFS(Trades!$E$2:$E$310,$A44,Trades!$Y$2:$Y$310,"Win")/B44,0)</f>
        <v>0.416666666666667</v>
      </c>
      <c r="D44" s="35" t="n">
        <f aca="false">SUMIFS(Trades!$W$2:$W$310,Trades!$E$2:$E$310,$A44)</f>
        <v>-40.77</v>
      </c>
      <c r="E44" s="35" t="n">
        <f aca="false">IFERROR(D44/B44,0)</f>
        <v>-3.3975</v>
      </c>
      <c r="F44" s="36" t="n">
        <f aca="false">IFERROR(AVERAGEIFS(Trades!$X$2:$X$310,Trades!$E$2:$E$310,$A44),0)</f>
        <v>-0.142647329276538</v>
      </c>
      <c r="G44" s="2"/>
    </row>
    <row r="45" customFormat="false" ht="15" hidden="false" customHeight="false" outlineLevel="0" collapsed="false">
      <c r="A45" s="22" t="n">
        <v>9</v>
      </c>
      <c r="B45" s="2" t="n">
        <f aca="false">COUNTIFS(Trades!$E$2:$E$310,$A45)</f>
        <v>6</v>
      </c>
      <c r="C45" s="34" t="n">
        <f aca="false">IFERROR(COUNTIFS(Trades!$E$2:$E$310,$A45,Trades!$Y$2:$Y$310,"Win")/B45,0)</f>
        <v>0.333333333333333</v>
      </c>
      <c r="D45" s="35" t="n">
        <f aca="false">SUMIFS(Trades!$W$2:$W$310,Trades!$E$2:$E$310,$A45)</f>
        <v>-11.01</v>
      </c>
      <c r="E45" s="35" t="n">
        <f aca="false">IFERROR(D45/B45,0)</f>
        <v>-1.835</v>
      </c>
      <c r="F45" s="36" t="n">
        <f aca="false">IFERROR(AVERAGEIFS(Trades!$X$2:$X$310,Trades!$E$2:$E$310,$A45),0)</f>
        <v>0.0258641975308642</v>
      </c>
      <c r="G45" s="2"/>
    </row>
    <row r="46" customFormat="false" ht="15" hidden="false" customHeight="false" outlineLevel="0" collapsed="false">
      <c r="A46" s="22" t="n">
        <v>10</v>
      </c>
      <c r="B46" s="2" t="n">
        <f aca="false">COUNTIFS(Trades!$E$2:$E$310,$A46)</f>
        <v>4</v>
      </c>
      <c r="C46" s="34" t="n">
        <f aca="false">IFERROR(COUNTIFS(Trades!$E$2:$E$310,$A46,Trades!$Y$2:$Y$310,"Win")/B46,0)</f>
        <v>0.5</v>
      </c>
      <c r="D46" s="35" t="n">
        <f aca="false">SUMIFS(Trades!$W$2:$W$310,Trades!$E$2:$E$310,$A46)</f>
        <v>352.14</v>
      </c>
      <c r="E46" s="35" t="n">
        <f aca="false">IFERROR(D46/B46,0)</f>
        <v>88.035</v>
      </c>
      <c r="F46" s="36" t="n">
        <f aca="false">IFERROR(AVERAGEIFS(Trades!$X$2:$X$310,Trades!$E$2:$E$310,$A46),0)</f>
        <v>4.2733842305038</v>
      </c>
      <c r="G46" s="2"/>
    </row>
    <row r="47" customFormat="false" ht="15" hidden="false" customHeight="false" outlineLevel="0" collapsed="false">
      <c r="A47" s="22" t="n">
        <v>11</v>
      </c>
      <c r="B47" s="2" t="n">
        <f aca="false">COUNTIFS(Trades!$E$2:$E$310,$A47)</f>
        <v>9</v>
      </c>
      <c r="C47" s="34" t="n">
        <f aca="false">IFERROR(COUNTIFS(Trades!$E$2:$E$310,$A47,Trades!$Y$2:$Y$310,"Win")/B47,0)</f>
        <v>0.444444444444444</v>
      </c>
      <c r="D47" s="35" t="n">
        <f aca="false">SUMIFS(Trades!$W$2:$W$310,Trades!$E$2:$E$310,$A47)</f>
        <v>-65.44</v>
      </c>
      <c r="E47" s="35" t="n">
        <f aca="false">IFERROR(D47/B47,0)</f>
        <v>-7.27111111111111</v>
      </c>
      <c r="F47" s="36" t="n">
        <f aca="false">IFERROR(AVERAGEIFS(Trades!$X$2:$X$310,Trades!$E$2:$E$310,$A47),0)</f>
        <v>-0.260811862587225</v>
      </c>
      <c r="G47" s="2"/>
    </row>
    <row r="48" customFormat="false" ht="15" hidden="false" customHeight="false" outlineLevel="0" collapsed="false">
      <c r="A48" s="22" t="n">
        <v>12</v>
      </c>
      <c r="B48" s="2" t="n">
        <f aca="false">COUNTIFS(Trades!$E$2:$E$310,$A48)</f>
        <v>7</v>
      </c>
      <c r="C48" s="34" t="n">
        <f aca="false">IFERROR(COUNTIFS(Trades!$E$2:$E$310,$A48,Trades!$Y$2:$Y$310,"Win")/B48,0)</f>
        <v>0.571428571428571</v>
      </c>
      <c r="D48" s="35" t="n">
        <f aca="false">SUMIFS(Trades!$W$2:$W$310,Trades!$E$2:$E$310,$A48)</f>
        <v>-22.65</v>
      </c>
      <c r="E48" s="35" t="n">
        <f aca="false">IFERROR(D48/B48,0)</f>
        <v>-3.23571428571429</v>
      </c>
      <c r="F48" s="36" t="n">
        <f aca="false">IFERROR(AVERAGEIFS(Trades!$X$2:$X$310,Trades!$E$2:$E$310,$A48),0)</f>
        <v>-0.126965079365079</v>
      </c>
      <c r="G48" s="2"/>
    </row>
    <row r="49" customFormat="false" ht="15" hidden="false" customHeight="false" outlineLevel="0" collapsed="false">
      <c r="A49" s="22" t="n">
        <v>13</v>
      </c>
      <c r="B49" s="2" t="n">
        <f aca="false">COUNTIFS(Trades!$E$2:$E$310,$A49)</f>
        <v>4</v>
      </c>
      <c r="C49" s="34" t="n">
        <f aca="false">IFERROR(COUNTIFS(Trades!$E$2:$E$310,$A49,Trades!$Y$2:$Y$310,"Win")/B49,0)</f>
        <v>0.5</v>
      </c>
      <c r="D49" s="35" t="n">
        <f aca="false">SUMIFS(Trades!$W$2:$W$310,Trades!$E$2:$E$310,$A49)</f>
        <v>155.32</v>
      </c>
      <c r="E49" s="35" t="n">
        <f aca="false">IFERROR(D49/B49,0)</f>
        <v>38.83</v>
      </c>
      <c r="F49" s="36" t="n">
        <f aca="false">IFERROR(AVERAGEIFS(Trades!$X$2:$X$310,Trades!$E$2:$E$310,$A49),0)</f>
        <v>1.8114442039442</v>
      </c>
      <c r="G49" s="2"/>
    </row>
    <row r="50" customFormat="false" ht="15" hidden="false" customHeight="false" outlineLevel="0" collapsed="false">
      <c r="A50" s="22" t="n">
        <v>14</v>
      </c>
      <c r="B50" s="2" t="n">
        <f aca="false">COUNTIFS(Trades!$E$2:$E$310,$A50)</f>
        <v>10</v>
      </c>
      <c r="C50" s="34" t="n">
        <f aca="false">IFERROR(COUNTIFS(Trades!$E$2:$E$310,$A50,Trades!$Y$2:$Y$310,"Win")/B50,0)</f>
        <v>0.6</v>
      </c>
      <c r="D50" s="35" t="n">
        <f aca="false">SUMIFS(Trades!$W$2:$W$310,Trades!$E$2:$E$310,$A50)</f>
        <v>-5.63</v>
      </c>
      <c r="E50" s="35" t="n">
        <f aca="false">IFERROR(D50/B50,0)</f>
        <v>-0.563</v>
      </c>
      <c r="F50" s="36" t="n">
        <f aca="false">IFERROR(AVERAGEIFS(Trades!$X$2:$X$310,Trades!$E$2:$E$310,$A50),0)</f>
        <v>0.0571314699792961</v>
      </c>
      <c r="G50" s="2"/>
    </row>
    <row r="51" customFormat="false" ht="15" hidden="false" customHeight="false" outlineLevel="0" collapsed="false">
      <c r="A51" s="22" t="n">
        <v>15</v>
      </c>
      <c r="B51" s="2" t="n">
        <f aca="false">COUNTIFS(Trades!$E$2:$E$310,$A51)</f>
        <v>20</v>
      </c>
      <c r="C51" s="34" t="n">
        <f aca="false">IFERROR(COUNTIFS(Trades!$E$2:$E$310,$A51,Trades!$Y$2:$Y$310,"Win")/B51,0)</f>
        <v>0.25</v>
      </c>
      <c r="D51" s="35" t="n">
        <f aca="false">SUMIFS(Trades!$W$2:$W$310,Trades!$E$2:$E$310,$A51)</f>
        <v>-706.71</v>
      </c>
      <c r="E51" s="35" t="n">
        <f aca="false">IFERROR(D51/B51,0)</f>
        <v>-35.3355</v>
      </c>
      <c r="F51" s="36" t="n">
        <f aca="false">IFERROR(AVERAGEIFS(Trades!$X$2:$X$310,Trades!$E$2:$E$310,$A51),0)</f>
        <v>-1.48946284966644</v>
      </c>
      <c r="G51" s="2"/>
    </row>
    <row r="52" customFormat="false" ht="15" hidden="false" customHeight="false" outlineLevel="0" collapsed="false">
      <c r="A52" s="22" t="n">
        <v>16</v>
      </c>
      <c r="B52" s="2" t="n">
        <f aca="false">COUNTIFS(Trades!$E$2:$E$310,$A52)</f>
        <v>19</v>
      </c>
      <c r="C52" s="34" t="n">
        <f aca="false">IFERROR(COUNTIFS(Trades!$E$2:$E$310,$A52,Trades!$Y$2:$Y$310,"Win")/B52,0)</f>
        <v>0.526315789473684</v>
      </c>
      <c r="D52" s="35" t="n">
        <f aca="false">SUMIFS(Trades!$W$2:$W$310,Trades!$E$2:$E$310,$A52)</f>
        <v>30.29</v>
      </c>
      <c r="E52" s="35" t="n">
        <f aca="false">IFERROR(D52/B52,0)</f>
        <v>1.59421052631579</v>
      </c>
      <c r="F52" s="36" t="n">
        <f aca="false">IFERROR(AVERAGEIFS(Trades!$X$2:$X$310,Trades!$E$2:$E$310,$A52),0)</f>
        <v>0.0880371762740184</v>
      </c>
      <c r="G52" s="2"/>
    </row>
    <row r="53" customFormat="false" ht="15" hidden="false" customHeight="false" outlineLevel="0" collapsed="false">
      <c r="A53" s="22" t="n">
        <v>17</v>
      </c>
      <c r="B53" s="2" t="n">
        <f aca="false">COUNTIFS(Trades!$E$2:$E$310,$A53)</f>
        <v>21</v>
      </c>
      <c r="C53" s="34" t="n">
        <f aca="false">IFERROR(COUNTIFS(Trades!$E$2:$E$310,$A53,Trades!$Y$2:$Y$310,"Win")/B53,0)</f>
        <v>0.428571428571429</v>
      </c>
      <c r="D53" s="35" t="n">
        <f aca="false">SUMIFS(Trades!$W$2:$W$310,Trades!$E$2:$E$310,$A53)</f>
        <v>-328.11</v>
      </c>
      <c r="E53" s="35" t="n">
        <f aca="false">IFERROR(D53/B53,0)</f>
        <v>-15.6242857142857</v>
      </c>
      <c r="F53" s="36" t="n">
        <f aca="false">IFERROR(AVERAGEIFS(Trades!$X$2:$X$310,Trades!$E$2:$E$310,$A53),0)</f>
        <v>-0.464214018521161</v>
      </c>
      <c r="G53" s="2"/>
    </row>
    <row r="54" customFormat="false" ht="15" hidden="false" customHeight="false" outlineLevel="0" collapsed="false">
      <c r="A54" s="22" t="n">
        <v>18</v>
      </c>
      <c r="B54" s="2" t="n">
        <f aca="false">COUNTIFS(Trades!$E$2:$E$310,$A54)</f>
        <v>10</v>
      </c>
      <c r="C54" s="34" t="n">
        <f aca="false">IFERROR(COUNTIFS(Trades!$E$2:$E$310,$A54,Trades!$Y$2:$Y$310,"Win")/B54,0)</f>
        <v>0.2</v>
      </c>
      <c r="D54" s="35" t="n">
        <f aca="false">SUMIFS(Trades!$W$2:$W$310,Trades!$E$2:$E$310,$A54)</f>
        <v>-209.81</v>
      </c>
      <c r="E54" s="35" t="n">
        <f aca="false">IFERROR(D54/B54,0)</f>
        <v>-20.981</v>
      </c>
      <c r="F54" s="36" t="n">
        <f aca="false">IFERROR(AVERAGEIFS(Trades!$X$2:$X$310,Trades!$E$2:$E$310,$A54),0)</f>
        <v>-0.745487502280606</v>
      </c>
      <c r="G54" s="2"/>
    </row>
    <row r="55" customFormat="false" ht="15" hidden="false" customHeight="false" outlineLevel="0" collapsed="false">
      <c r="A55" s="22" t="n">
        <v>19</v>
      </c>
      <c r="B55" s="2" t="n">
        <f aca="false">COUNTIFS(Trades!$E$2:$E$310,$A55)</f>
        <v>6</v>
      </c>
      <c r="C55" s="34" t="n">
        <f aca="false">IFERROR(COUNTIFS(Trades!$E$2:$E$310,$A55,Trades!$Y$2:$Y$310,"Win")/B55,0)</f>
        <v>0.5</v>
      </c>
      <c r="D55" s="35" t="n">
        <f aca="false">SUMIFS(Trades!$W$2:$W$310,Trades!$E$2:$E$310,$A55)</f>
        <v>-15.43</v>
      </c>
      <c r="E55" s="35" t="n">
        <f aca="false">IFERROR(D55/B55,0)</f>
        <v>-2.57166666666667</v>
      </c>
      <c r="F55" s="36" t="n">
        <f aca="false">IFERROR(AVERAGEIFS(Trades!$X$2:$X$310,Trades!$E$2:$E$310,$A55),0)</f>
        <v>-0.0565394484775156</v>
      </c>
      <c r="G55" s="2"/>
    </row>
    <row r="56" customFormat="false" ht="15" hidden="false" customHeight="false" outlineLevel="0" collapsed="false">
      <c r="A56" s="22" t="n">
        <v>20</v>
      </c>
      <c r="B56" s="2" t="n">
        <f aca="false">COUNTIFS(Trades!$E$2:$E$310,$A56)</f>
        <v>2</v>
      </c>
      <c r="C56" s="34" t="n">
        <f aca="false">IFERROR(COUNTIFS(Trades!$E$2:$E$310,$A56,Trades!$Y$2:$Y$310,"Win")/B56,0)</f>
        <v>0</v>
      </c>
      <c r="D56" s="35" t="n">
        <f aca="false">SUMIFS(Trades!$W$2:$W$310,Trades!$E$2:$E$310,$A56)</f>
        <v>-59.48</v>
      </c>
      <c r="E56" s="35" t="n">
        <f aca="false">IFERROR(D56/B56,0)</f>
        <v>-29.74</v>
      </c>
      <c r="F56" s="36" t="n">
        <f aca="false">IFERROR(AVERAGEIFS(Trades!$X$2:$X$310,Trades!$E$2:$E$310,$A56),0)</f>
        <v>-1.10148148148148</v>
      </c>
      <c r="G56" s="2"/>
    </row>
    <row r="57" customFormat="false" ht="15" hidden="false" customHeight="false" outlineLevel="0" collapsed="false">
      <c r="A57" s="22" t="n">
        <v>21</v>
      </c>
      <c r="B57" s="2" t="n">
        <f aca="false">COUNTIFS(Trades!$E$2:$E$310,$A57)</f>
        <v>6</v>
      </c>
      <c r="C57" s="34" t="n">
        <f aca="false">IFERROR(COUNTIFS(Trades!$E$2:$E$310,$A57,Trades!$Y$2:$Y$310,"Win")/B57,0)</f>
        <v>0.5</v>
      </c>
      <c r="D57" s="35" t="n">
        <f aca="false">SUMIFS(Trades!$W$2:$W$310,Trades!$E$2:$E$310,$A57)</f>
        <v>-37.95</v>
      </c>
      <c r="E57" s="35" t="n">
        <f aca="false">IFERROR(D57/B57,0)</f>
        <v>-6.325</v>
      </c>
      <c r="F57" s="36" t="n">
        <f aca="false">IFERROR(AVERAGEIFS(Trades!$X$2:$X$310,Trades!$E$2:$E$310,$A57),0)</f>
        <v>-0.295567901234568</v>
      </c>
      <c r="G57" s="2"/>
    </row>
    <row r="58" customFormat="false" ht="15" hidden="false" customHeight="false" outlineLevel="0" collapsed="false">
      <c r="A58" s="22" t="n">
        <v>22</v>
      </c>
      <c r="B58" s="2" t="n">
        <f aca="false">COUNTIFS(Trades!$E$2:$E$310,$A58)</f>
        <v>3</v>
      </c>
      <c r="C58" s="34" t="n">
        <f aca="false">IFERROR(COUNTIFS(Trades!$E$2:$E$310,$A58,Trades!$Y$2:$Y$310,"Win")/B58,0)</f>
        <v>0.666666666666667</v>
      </c>
      <c r="D58" s="35" t="n">
        <f aca="false">SUMIFS(Trades!$W$2:$W$310,Trades!$E$2:$E$310,$A58)</f>
        <v>25.63</v>
      </c>
      <c r="E58" s="35" t="n">
        <f aca="false">IFERROR(D58/B58,0)</f>
        <v>8.54333333333333</v>
      </c>
      <c r="F58" s="36" t="n">
        <f aca="false">IFERROR(AVERAGEIFS(Trades!$X$2:$X$310,Trades!$E$2:$E$310,$A58),0)</f>
        <v>0.335555555555556</v>
      </c>
      <c r="G58" s="2"/>
    </row>
    <row r="59" customFormat="false" ht="15" hidden="false" customHeight="false" outlineLevel="0" collapsed="false">
      <c r="A59" s="22" t="n">
        <v>23</v>
      </c>
      <c r="B59" s="2" t="n">
        <f aca="false">COUNTIFS(Trades!$E$2:$E$310,$A59)</f>
        <v>0</v>
      </c>
      <c r="C59" s="34" t="n">
        <f aca="false">IFERROR(COUNTIFS(Trades!$E$2:$E$310,$A59,Trades!$Y$2:$Y$310,"Win")/B59,0)</f>
        <v>0</v>
      </c>
      <c r="D59" s="35" t="n">
        <f aca="false">SUMIFS(Trades!$W$2:$W$310,Trades!$E$2:$E$310,$A59)</f>
        <v>0</v>
      </c>
      <c r="E59" s="35" t="n">
        <f aca="false">IFERROR(D59/B59,0)</f>
        <v>0</v>
      </c>
      <c r="F59" s="36" t="n">
        <f aca="false">IFERROR(AVERAGEIFS(Trades!$X$2:$X$310,Trades!$E$2:$E$310,$A59),0)</f>
        <v>0</v>
      </c>
      <c r="G59" s="2"/>
    </row>
    <row r="60" customFormat="false" ht="15" hidden="false" customHeight="false" outlineLevel="0" collapsed="false">
      <c r="A60" s="27" t="s">
        <v>144</v>
      </c>
      <c r="B60" s="27" t="n">
        <f aca="false">SUM(B36:B59)</f>
        <v>309</v>
      </c>
      <c r="C60" s="31"/>
      <c r="D60" s="32" t="n">
        <f aca="false">SUM(D36:D59)</f>
        <v>-2897.22</v>
      </c>
      <c r="E60" s="31"/>
      <c r="F60" s="31"/>
      <c r="G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9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22"/>
    <col collapsed="false" customWidth="true" hidden="false" outlineLevel="0" max="22" min="21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7"/>
    <col collapsed="false" customWidth="true" hidden="false" outlineLevel="0" max="27" min="26" style="0" width="11"/>
    <col collapsed="false" customWidth="true" hidden="false" outlineLevel="0" max="28" min="28" style="0" width="10"/>
    <col collapsed="false" customWidth="true" hidden="false" outlineLevel="0" max="29" min="29" style="0" width="9"/>
    <col collapsed="false" customWidth="true" hidden="false" outlineLevel="0" max="30" min="30" style="0" width="70"/>
  </cols>
  <sheetData>
    <row r="1" customFormat="false" ht="45" hidden="false" customHeight="true" outlineLevel="0" collapsed="false">
      <c r="A1" s="21" t="s">
        <v>170</v>
      </c>
      <c r="B1" s="21" t="s">
        <v>106</v>
      </c>
      <c r="C1" s="21" t="s">
        <v>171</v>
      </c>
      <c r="D1" s="21" t="s">
        <v>172</v>
      </c>
      <c r="E1" s="21" t="s">
        <v>173</v>
      </c>
      <c r="F1" s="21" t="s">
        <v>174</v>
      </c>
      <c r="G1" s="21" t="s">
        <v>175</v>
      </c>
      <c r="H1" s="21" t="s">
        <v>176</v>
      </c>
      <c r="I1" s="21" t="s">
        <v>177</v>
      </c>
      <c r="J1" s="21" t="s">
        <v>178</v>
      </c>
      <c r="K1" s="21" t="s">
        <v>15</v>
      </c>
      <c r="L1" s="21" t="s">
        <v>179</v>
      </c>
      <c r="M1" s="21" t="s">
        <v>180</v>
      </c>
      <c r="N1" s="21" t="s">
        <v>13</v>
      </c>
      <c r="O1" s="21" t="s">
        <v>181</v>
      </c>
      <c r="P1" s="21" t="s">
        <v>182</v>
      </c>
      <c r="Q1" s="21" t="s">
        <v>183</v>
      </c>
      <c r="R1" s="21" t="s">
        <v>184</v>
      </c>
      <c r="S1" s="21" t="s">
        <v>185</v>
      </c>
      <c r="T1" s="21" t="s">
        <v>17</v>
      </c>
      <c r="U1" s="21" t="s">
        <v>186</v>
      </c>
      <c r="V1" s="21" t="s">
        <v>187</v>
      </c>
      <c r="W1" s="21" t="s">
        <v>188</v>
      </c>
      <c r="X1" s="21" t="s">
        <v>11</v>
      </c>
      <c r="Y1" s="21" t="s">
        <v>189</v>
      </c>
      <c r="Z1" s="21" t="s">
        <v>190</v>
      </c>
      <c r="AA1" s="21" t="s">
        <v>191</v>
      </c>
      <c r="AB1" s="21" t="s">
        <v>192</v>
      </c>
      <c r="AC1" s="21" t="s">
        <v>193</v>
      </c>
      <c r="AD1" s="21" t="s">
        <v>194</v>
      </c>
    </row>
    <row r="2" customFormat="false" ht="15" hidden="false" customHeight="false" outlineLevel="0" collapsed="false">
      <c r="A2" s="22" t="n">
        <v>1</v>
      </c>
      <c r="B2" s="22" t="s">
        <v>118</v>
      </c>
      <c r="C2" s="37" t="n">
        <v>45748.1597222222</v>
      </c>
      <c r="D2" s="22" t="s">
        <v>163</v>
      </c>
      <c r="E2" s="22" t="n">
        <v>3</v>
      </c>
      <c r="F2" s="22" t="s">
        <v>142</v>
      </c>
      <c r="G2" s="22" t="s">
        <v>195</v>
      </c>
      <c r="H2" s="22" t="n">
        <v>0.33</v>
      </c>
      <c r="I2" s="38" t="n">
        <v>3127.83</v>
      </c>
      <c r="J2" s="38" t="n">
        <v>3128.105</v>
      </c>
      <c r="K2" s="39" t="n">
        <f aca="false">IF(F2="BUY",J2-I2,I2-J2)</f>
        <v>0.275000000000091</v>
      </c>
      <c r="L2" s="38" t="n">
        <v>3126.33</v>
      </c>
      <c r="M2" s="39" t="n">
        <f aca="false">ABS(I2-L2)</f>
        <v>1.5</v>
      </c>
      <c r="N2" s="24" t="n">
        <f aca="false">M2*H2*Summary!$C$6</f>
        <v>49.5</v>
      </c>
      <c r="O2" s="37" t="n">
        <v>45748.1675694444</v>
      </c>
      <c r="P2" s="22" t="n">
        <f aca="false">ROUND((O2-C2)*86400,0)</f>
        <v>678</v>
      </c>
      <c r="Q2" s="22" t="str">
        <f aca="false">IF(P2&lt;10,"a) &lt;10s",IF(P2&lt;60,"b) 10-60s",IF(P2&lt;600,"c) 1-10min","d) &gt;10min")))</f>
        <v>d) &gt;10min</v>
      </c>
      <c r="R2" s="38" t="n">
        <v>3128.95</v>
      </c>
      <c r="S2" s="38" t="n">
        <v>3128.915</v>
      </c>
      <c r="T2" s="22" t="s">
        <v>149</v>
      </c>
      <c r="U2" s="39" t="n">
        <f aca="false">IF(R2="","",IF(F2="BUY",R2-S2,S2-R2))</f>
        <v>0.0349999999998545</v>
      </c>
      <c r="V2" s="39" t="n">
        <f aca="false">IF(F2="BUY",S2-J2,J2-S2)</f>
        <v>0.809999999999945</v>
      </c>
      <c r="W2" s="6" t="n">
        <v>26.73</v>
      </c>
      <c r="X2" s="26" t="n">
        <f aca="false">IFERROR(W2/N2,0)</f>
        <v>0.54</v>
      </c>
      <c r="Y2" s="22" t="str">
        <f aca="false">IF(W2&gt;0,"Win",IF(W2&lt;0,"Loss","Flat"))</f>
        <v>Win</v>
      </c>
      <c r="Z2" s="24" t="n">
        <f aca="false">Summary!$C$5+SUM(W$2:W2)</f>
        <v>5026.73</v>
      </c>
      <c r="AA2" s="24" t="n">
        <f aca="false">MAX(Summary!$C$5,Z2)</f>
        <v>5026.73</v>
      </c>
      <c r="AB2" s="24" t="n">
        <f aca="false">AA2-Z2</f>
        <v>0</v>
      </c>
      <c r="AC2" s="23" t="n">
        <f aca="false">IFERROR(AB2/AA2,0)</f>
        <v>0</v>
      </c>
      <c r="AD2" s="22" t="s">
        <v>196</v>
      </c>
    </row>
    <row r="3" customFormat="false" ht="15" hidden="false" customHeight="false" outlineLevel="0" collapsed="false">
      <c r="A3" s="22" t="n">
        <v>2</v>
      </c>
      <c r="B3" s="22" t="s">
        <v>118</v>
      </c>
      <c r="C3" s="37" t="n">
        <v>45750.563275463</v>
      </c>
      <c r="D3" s="22" t="s">
        <v>165</v>
      </c>
      <c r="E3" s="22" t="n">
        <v>13</v>
      </c>
      <c r="F3" s="22" t="s">
        <v>143</v>
      </c>
      <c r="G3" s="22" t="s">
        <v>197</v>
      </c>
      <c r="H3" s="22" t="n">
        <v>0.33</v>
      </c>
      <c r="I3" s="38" t="n">
        <v>3104.18</v>
      </c>
      <c r="J3" s="38" t="n">
        <v>3104.125</v>
      </c>
      <c r="K3" s="39" t="n">
        <f aca="false">IF(F3="BUY",J3-I3,I3-J3)</f>
        <v>0.0549999999998363</v>
      </c>
      <c r="L3" s="38" t="n">
        <v>3105.68</v>
      </c>
      <c r="M3" s="39" t="n">
        <f aca="false">ABS(I3-L3)</f>
        <v>1.5</v>
      </c>
      <c r="N3" s="24" t="n">
        <f aca="false">M3*H3*Summary!$C$6</f>
        <v>49.5</v>
      </c>
      <c r="O3" s="37" t="n">
        <v>45750.563599537</v>
      </c>
      <c r="P3" s="22" t="n">
        <f aca="false">ROUND((O3-C3)*86400,0)</f>
        <v>28</v>
      </c>
      <c r="Q3" s="22" t="str">
        <f aca="false">IF(P3&lt;10,"a) &lt;10s",IF(P3&lt;60,"b) 10-60s",IF(P3&lt;600,"c) 1-10min","d) &gt;10min")))</f>
        <v>b) 10-60s</v>
      </c>
      <c r="R3" s="38" t="n">
        <v>3104.13</v>
      </c>
      <c r="S3" s="38" t="n">
        <v>3104.362</v>
      </c>
      <c r="T3" s="22" t="s">
        <v>149</v>
      </c>
      <c r="U3" s="39" t="n">
        <f aca="false">IF(R3="","",IF(F3="BUY",R3-S3,S3-R3))</f>
        <v>0.231999999999971</v>
      </c>
      <c r="V3" s="39" t="n">
        <f aca="false">IF(F3="BUY",S3-J3,J3-S3)</f>
        <v>-0.23700000000008</v>
      </c>
      <c r="W3" s="6" t="n">
        <v>-7.82</v>
      </c>
      <c r="X3" s="26" t="n">
        <f aca="false">IFERROR(W3/N3,0)</f>
        <v>-0.157979797979798</v>
      </c>
      <c r="Y3" s="22" t="str">
        <f aca="false">IF(W3&gt;0,"Win",IF(W3&lt;0,"Loss","Flat"))</f>
        <v>Loss</v>
      </c>
      <c r="Z3" s="24" t="n">
        <f aca="false">Summary!$C$5+SUM(W$2:W3)</f>
        <v>5018.91</v>
      </c>
      <c r="AA3" s="24" t="n">
        <f aca="false">MAX(AA2,Z3)</f>
        <v>5026.73</v>
      </c>
      <c r="AB3" s="24" t="n">
        <f aca="false">AA3-Z3</f>
        <v>7.81999999999971</v>
      </c>
      <c r="AC3" s="23" t="n">
        <f aca="false">IFERROR(AB3/AA3,0)</f>
        <v>0.00155568331698733</v>
      </c>
      <c r="AD3" s="22" t="s">
        <v>198</v>
      </c>
    </row>
    <row r="4" customFormat="false" ht="15" hidden="false" customHeight="false" outlineLevel="0" collapsed="false">
      <c r="A4" s="22" t="n">
        <v>3</v>
      </c>
      <c r="B4" s="22" t="s">
        <v>118</v>
      </c>
      <c r="C4" s="37" t="n">
        <v>45751.7097916667</v>
      </c>
      <c r="D4" s="22" t="s">
        <v>166</v>
      </c>
      <c r="E4" s="22" t="n">
        <v>17</v>
      </c>
      <c r="F4" s="22" t="s">
        <v>143</v>
      </c>
      <c r="G4" s="22" t="s">
        <v>197</v>
      </c>
      <c r="H4" s="22" t="n">
        <v>0.33</v>
      </c>
      <c r="I4" s="38" t="n">
        <v>3053.94</v>
      </c>
      <c r="J4" s="38" t="n">
        <v>3053.459</v>
      </c>
      <c r="K4" s="39" t="n">
        <f aca="false">IF(F4="BUY",J4-I4,I4-J4)</f>
        <v>0.481000000000222</v>
      </c>
      <c r="L4" s="38" t="n">
        <v>3055.44</v>
      </c>
      <c r="M4" s="39" t="n">
        <f aca="false">ABS(I4-L4)</f>
        <v>1.5</v>
      </c>
      <c r="N4" s="24" t="n">
        <f aca="false">M4*H4*Summary!$C$6</f>
        <v>49.5</v>
      </c>
      <c r="O4" s="37" t="n">
        <v>45751.7099189815</v>
      </c>
      <c r="P4" s="22" t="n">
        <f aca="false">ROUND((O4-C4)*86400,0)</f>
        <v>11</v>
      </c>
      <c r="Q4" s="22" t="str">
        <f aca="false">IF(P4&lt;10,"a) &lt;10s",IF(P4&lt;60,"b) 10-60s",IF(P4&lt;600,"c) 1-10min","d) &gt;10min")))</f>
        <v>b) 10-60s</v>
      </c>
      <c r="R4" s="38" t="n">
        <v>3055.44</v>
      </c>
      <c r="S4" s="38" t="n">
        <v>3055.805</v>
      </c>
      <c r="T4" s="22" t="s">
        <v>148</v>
      </c>
      <c r="U4" s="39" t="n">
        <f aca="false">IF(R4="","",IF(F4="BUY",R4-S4,S4-R4))</f>
        <v>0.364999999999782</v>
      </c>
      <c r="V4" s="39" t="n">
        <f aca="false">IF(F4="BUY",S4-J4,J4-S4)</f>
        <v>-2.346</v>
      </c>
      <c r="W4" s="6" t="n">
        <v>-77.42</v>
      </c>
      <c r="X4" s="26" t="n">
        <f aca="false">IFERROR(W4/N4,0)</f>
        <v>-1.5640404040404</v>
      </c>
      <c r="Y4" s="22" t="str">
        <f aca="false">IF(W4&gt;0,"Win",IF(W4&lt;0,"Loss","Flat"))</f>
        <v>Loss</v>
      </c>
      <c r="Z4" s="24" t="n">
        <f aca="false">Summary!$C$5+SUM(W$2:W4)</f>
        <v>4941.49</v>
      </c>
      <c r="AA4" s="24" t="n">
        <f aca="false">MAX(AA3,Z4)</f>
        <v>5026.73</v>
      </c>
      <c r="AB4" s="24" t="n">
        <f aca="false">AA4-Z4</f>
        <v>85.2399999999998</v>
      </c>
      <c r="AC4" s="23" t="n">
        <f aca="false">IFERROR(AB4/AA4,0)</f>
        <v>0.0169573460281336</v>
      </c>
      <c r="AD4" s="22" t="s">
        <v>199</v>
      </c>
    </row>
    <row r="5" customFormat="false" ht="15" hidden="false" customHeight="false" outlineLevel="0" collapsed="false">
      <c r="A5" s="22" t="n">
        <v>4</v>
      </c>
      <c r="B5" s="22" t="s">
        <v>118</v>
      </c>
      <c r="C5" s="37" t="n">
        <v>45754.0563888889</v>
      </c>
      <c r="D5" s="22" t="s">
        <v>162</v>
      </c>
      <c r="E5" s="22" t="n">
        <v>1</v>
      </c>
      <c r="F5" s="22" t="s">
        <v>143</v>
      </c>
      <c r="G5" s="22" t="s">
        <v>197</v>
      </c>
      <c r="H5" s="22" t="n">
        <v>0.32</v>
      </c>
      <c r="I5" s="38" t="n">
        <v>3015.34</v>
      </c>
      <c r="J5" s="38" t="n">
        <v>3014.668</v>
      </c>
      <c r="K5" s="39" t="n">
        <f aca="false">IF(F5="BUY",J5-I5,I5-J5)</f>
        <v>0.672000000000026</v>
      </c>
      <c r="L5" s="38" t="n">
        <v>3016.84</v>
      </c>
      <c r="M5" s="39" t="n">
        <f aca="false">ABS(I5-L5)</f>
        <v>1.5</v>
      </c>
      <c r="N5" s="24" t="n">
        <f aca="false">M5*H5*Summary!$C$6</f>
        <v>48</v>
      </c>
      <c r="O5" s="37" t="n">
        <v>45754.0564236111</v>
      </c>
      <c r="P5" s="22" t="n">
        <f aca="false">ROUND((O5-C5)*86400,0)</f>
        <v>3</v>
      </c>
      <c r="Q5" s="22" t="str">
        <f aca="false">IF(P5&lt;10,"a) &lt;10s",IF(P5&lt;60,"b) 10-60s",IF(P5&lt;600,"c) 1-10min","d) &gt;10min")))</f>
        <v>a) &lt;10s</v>
      </c>
      <c r="R5" s="38" t="n">
        <v>3016.84</v>
      </c>
      <c r="S5" s="38" t="n">
        <v>3017.702</v>
      </c>
      <c r="T5" s="22" t="s">
        <v>148</v>
      </c>
      <c r="U5" s="39" t="n">
        <f aca="false">IF(R5="","",IF(F5="BUY",R5-S5,S5-R5))</f>
        <v>0.86200000000008</v>
      </c>
      <c r="V5" s="39" t="n">
        <f aca="false">IF(F5="BUY",S5-J5,J5-S5)</f>
        <v>-3.03400000000011</v>
      </c>
      <c r="W5" s="6" t="n">
        <v>-97.09</v>
      </c>
      <c r="X5" s="26" t="n">
        <f aca="false">IFERROR(W5/N5,0)</f>
        <v>-2.02270833333333</v>
      </c>
      <c r="Y5" s="22" t="str">
        <f aca="false">IF(W5&gt;0,"Win",IF(W5&lt;0,"Loss","Flat"))</f>
        <v>Loss</v>
      </c>
      <c r="Z5" s="24" t="n">
        <f aca="false">Summary!$C$5+SUM(W$2:W5)</f>
        <v>4844.4</v>
      </c>
      <c r="AA5" s="24" t="n">
        <f aca="false">MAX(AA4,Z5)</f>
        <v>5026.73</v>
      </c>
      <c r="AB5" s="24" t="n">
        <f aca="false">AA5-Z5</f>
        <v>182.33</v>
      </c>
      <c r="AC5" s="23" t="n">
        <f aca="false">IFERROR(AB5/AA5,0)</f>
        <v>0.0362720894100141</v>
      </c>
      <c r="AD5" s="22" t="s">
        <v>200</v>
      </c>
    </row>
    <row r="6" customFormat="false" ht="15" hidden="false" customHeight="false" outlineLevel="0" collapsed="false">
      <c r="A6" s="22" t="n">
        <v>5</v>
      </c>
      <c r="B6" s="22" t="s">
        <v>118</v>
      </c>
      <c r="C6" s="37" t="n">
        <v>45756.1081365741</v>
      </c>
      <c r="D6" s="22" t="s">
        <v>164</v>
      </c>
      <c r="E6" s="22" t="n">
        <v>2</v>
      </c>
      <c r="F6" s="22" t="s">
        <v>143</v>
      </c>
      <c r="G6" s="22" t="s">
        <v>197</v>
      </c>
      <c r="H6" s="22" t="n">
        <v>0.32</v>
      </c>
      <c r="I6" s="38" t="n">
        <v>2974.57</v>
      </c>
      <c r="J6" s="38" t="n">
        <v>2974.155</v>
      </c>
      <c r="K6" s="39" t="n">
        <f aca="false">IF(F6="BUY",J6-I6,I6-J6)</f>
        <v>0.414999999999964</v>
      </c>
      <c r="L6" s="38" t="n">
        <v>2976.07</v>
      </c>
      <c r="M6" s="39" t="n">
        <f aca="false">ABS(I6-L6)</f>
        <v>1.5</v>
      </c>
      <c r="N6" s="24" t="n">
        <f aca="false">M6*H6*Summary!$C$6</f>
        <v>48</v>
      </c>
      <c r="O6" s="37" t="n">
        <v>45756.1082407407</v>
      </c>
      <c r="P6" s="22" t="n">
        <f aca="false">ROUND((O6-C6)*86400,0)</f>
        <v>9</v>
      </c>
      <c r="Q6" s="22" t="str">
        <f aca="false">IF(P6&lt;10,"a) &lt;10s",IF(P6&lt;60,"b) 10-60s",IF(P6&lt;600,"c) 1-10min","d) &gt;10min")))</f>
        <v>a) &lt;10s</v>
      </c>
      <c r="R6" s="38" t="n">
        <v>2974.03</v>
      </c>
      <c r="S6" s="38" t="n">
        <v>2974.055</v>
      </c>
      <c r="T6" s="22" t="s">
        <v>149</v>
      </c>
      <c r="U6" s="39" t="n">
        <f aca="false">IF(R6="","",IF(F6="BUY",R6-S6,S6-R6))</f>
        <v>0.0249999999996362</v>
      </c>
      <c r="V6" s="39" t="n">
        <f aca="false">IF(F6="BUY",S6-J6,J6-S6)</f>
        <v>0.100000000000364</v>
      </c>
      <c r="W6" s="6" t="n">
        <v>3.2</v>
      </c>
      <c r="X6" s="26" t="n">
        <f aca="false">IFERROR(W6/N6,0)</f>
        <v>0.0666666666666667</v>
      </c>
      <c r="Y6" s="22" t="str">
        <f aca="false">IF(W6&gt;0,"Win",IF(W6&lt;0,"Loss","Flat"))</f>
        <v>Win</v>
      </c>
      <c r="Z6" s="24" t="n">
        <f aca="false">Summary!$C$5+SUM(W$2:W6)</f>
        <v>4847.6</v>
      </c>
      <c r="AA6" s="24" t="n">
        <f aca="false">MAX(AA5,Z6)</f>
        <v>5026.73</v>
      </c>
      <c r="AB6" s="24" t="n">
        <f aca="false">AA6-Z6</f>
        <v>179.129999999999</v>
      </c>
      <c r="AC6" s="23" t="n">
        <f aca="false">IFERROR(AB6/AA6,0)</f>
        <v>0.0356354926562595</v>
      </c>
      <c r="AD6" s="22" t="s">
        <v>201</v>
      </c>
    </row>
    <row r="7" customFormat="false" ht="15" hidden="false" customHeight="false" outlineLevel="0" collapsed="false">
      <c r="A7" s="22" t="n">
        <v>6</v>
      </c>
      <c r="B7" s="22" t="s">
        <v>118</v>
      </c>
      <c r="C7" s="37" t="n">
        <v>45756.3805208333</v>
      </c>
      <c r="D7" s="22" t="s">
        <v>164</v>
      </c>
      <c r="E7" s="22" t="n">
        <v>9</v>
      </c>
      <c r="F7" s="22" t="s">
        <v>142</v>
      </c>
      <c r="G7" s="22" t="s">
        <v>195</v>
      </c>
      <c r="H7" s="22" t="n">
        <v>0.32</v>
      </c>
      <c r="I7" s="38" t="n">
        <v>3022.49</v>
      </c>
      <c r="J7" s="38" t="n">
        <v>3022.625</v>
      </c>
      <c r="K7" s="39" t="n">
        <f aca="false">IF(F7="BUY",J7-I7,I7-J7)</f>
        <v>0.135000000000218</v>
      </c>
      <c r="L7" s="38" t="n">
        <v>3020.99</v>
      </c>
      <c r="M7" s="39" t="n">
        <f aca="false">ABS(I7-L7)</f>
        <v>1.5</v>
      </c>
      <c r="N7" s="24" t="n">
        <f aca="false">M7*H7*Summary!$C$6</f>
        <v>48</v>
      </c>
      <c r="O7" s="37" t="n">
        <v>45756.3805324074</v>
      </c>
      <c r="P7" s="22" t="n">
        <f aca="false">ROUND((O7-C7)*86400,0)</f>
        <v>1</v>
      </c>
      <c r="Q7" s="22" t="str">
        <f aca="false">IF(P7&lt;10,"a) &lt;10s",IF(P7&lt;60,"b) 10-60s",IF(P7&lt;600,"c) 1-10min","d) &gt;10min")))</f>
        <v>a) &lt;10s</v>
      </c>
      <c r="R7" s="38" t="n">
        <v>3022.63</v>
      </c>
      <c r="S7" s="38" t="n">
        <v>3022.605</v>
      </c>
      <c r="T7" s="22" t="s">
        <v>149</v>
      </c>
      <c r="U7" s="39" t="n">
        <f aca="false">IF(R7="","",IF(F7="BUY",R7-S7,S7-R7))</f>
        <v>0.025000000000091</v>
      </c>
      <c r="V7" s="39" t="n">
        <f aca="false">IF(F7="BUY",S7-J7,J7-S7)</f>
        <v>-0.0199999999999818</v>
      </c>
      <c r="W7" s="6" t="n">
        <v>-0.64</v>
      </c>
      <c r="X7" s="26" t="n">
        <f aca="false">IFERROR(W7/N7,0)</f>
        <v>-0.0133333333333333</v>
      </c>
      <c r="Y7" s="22" t="str">
        <f aca="false">IF(W7&gt;0,"Win",IF(W7&lt;0,"Loss","Flat"))</f>
        <v>Loss</v>
      </c>
      <c r="Z7" s="24" t="n">
        <f aca="false">Summary!$C$5+SUM(W$2:W7)</f>
        <v>4846.96</v>
      </c>
      <c r="AA7" s="24" t="n">
        <f aca="false">MAX(AA6,Z7)</f>
        <v>5026.73</v>
      </c>
      <c r="AB7" s="24" t="n">
        <f aca="false">AA7-Z7</f>
        <v>179.77</v>
      </c>
      <c r="AC7" s="23" t="n">
        <f aca="false">IFERROR(AB7/AA7,0)</f>
        <v>0.0357628120070104</v>
      </c>
      <c r="AD7" s="22" t="s">
        <v>202</v>
      </c>
    </row>
    <row r="8" customFormat="false" ht="15" hidden="false" customHeight="false" outlineLevel="0" collapsed="false">
      <c r="A8" s="22" t="n">
        <v>7</v>
      </c>
      <c r="B8" s="22" t="s">
        <v>118</v>
      </c>
      <c r="C8" s="37" t="n">
        <v>45757.147337963</v>
      </c>
      <c r="D8" s="22" t="s">
        <v>165</v>
      </c>
      <c r="E8" s="22" t="n">
        <v>3</v>
      </c>
      <c r="F8" s="22" t="s">
        <v>142</v>
      </c>
      <c r="G8" s="22" t="s">
        <v>195</v>
      </c>
      <c r="H8" s="22" t="n">
        <v>0.32</v>
      </c>
      <c r="I8" s="38" t="n">
        <v>3099.47</v>
      </c>
      <c r="J8" s="38" t="n">
        <v>3099.765</v>
      </c>
      <c r="K8" s="39" t="n">
        <f aca="false">IF(F8="BUY",J8-I8,I8-J8)</f>
        <v>0.295000000000073</v>
      </c>
      <c r="L8" s="38" t="n">
        <v>3097.97</v>
      </c>
      <c r="M8" s="39" t="n">
        <f aca="false">ABS(I8-L8)</f>
        <v>1.5</v>
      </c>
      <c r="N8" s="24" t="n">
        <f aca="false">M8*H8*Summary!$C$6</f>
        <v>48</v>
      </c>
      <c r="O8" s="37" t="n">
        <v>45757.1475925926</v>
      </c>
      <c r="P8" s="22" t="n">
        <f aca="false">ROUND((O8-C8)*86400,0)</f>
        <v>22</v>
      </c>
      <c r="Q8" s="22" t="str">
        <f aca="false">IF(P8&lt;10,"a) &lt;10s",IF(P8&lt;60,"b) 10-60s",IF(P8&lt;600,"c) 1-10min","d) &gt;10min")))</f>
        <v>b) 10-60s</v>
      </c>
      <c r="R8" s="38" t="n">
        <v>3097.97</v>
      </c>
      <c r="S8" s="38" t="n">
        <v>3097.795</v>
      </c>
      <c r="T8" s="22" t="s">
        <v>148</v>
      </c>
      <c r="U8" s="39" t="n">
        <f aca="false">IF(R8="","",IF(F8="BUY",R8-S8,S8-R8))</f>
        <v>0.174999999999727</v>
      </c>
      <c r="V8" s="39" t="n">
        <f aca="false">IF(F8="BUY",S8-J8,J8-S8)</f>
        <v>-1.9699999999998</v>
      </c>
      <c r="W8" s="6" t="n">
        <v>-63.04</v>
      </c>
      <c r="X8" s="26" t="n">
        <f aca="false">IFERROR(W8/N8,0)</f>
        <v>-1.31333333333333</v>
      </c>
      <c r="Y8" s="22" t="str">
        <f aca="false">IF(W8&gt;0,"Win",IF(W8&lt;0,"Loss","Flat"))</f>
        <v>Loss</v>
      </c>
      <c r="Z8" s="24" t="n">
        <f aca="false">Summary!$C$5+SUM(W$2:W8)</f>
        <v>4783.92</v>
      </c>
      <c r="AA8" s="24" t="n">
        <f aca="false">MAX(AA7,Z8)</f>
        <v>5026.73</v>
      </c>
      <c r="AB8" s="24" t="n">
        <f aca="false">AA8-Z8</f>
        <v>242.81</v>
      </c>
      <c r="AC8" s="23" t="n">
        <f aca="false">IFERROR(AB8/AA8,0)</f>
        <v>0.0483037680559727</v>
      </c>
      <c r="AD8" s="22" t="s">
        <v>203</v>
      </c>
    </row>
    <row r="9" customFormat="false" ht="15" hidden="false" customHeight="false" outlineLevel="0" collapsed="false">
      <c r="A9" s="22" t="n">
        <v>8</v>
      </c>
      <c r="B9" s="22" t="s">
        <v>118</v>
      </c>
      <c r="C9" s="37" t="n">
        <v>45761.2119791667</v>
      </c>
      <c r="D9" s="22" t="s">
        <v>162</v>
      </c>
      <c r="E9" s="22" t="n">
        <v>5</v>
      </c>
      <c r="F9" s="22" t="s">
        <v>142</v>
      </c>
      <c r="G9" s="22" t="s">
        <v>195</v>
      </c>
      <c r="H9" s="22" t="n">
        <v>0.31</v>
      </c>
      <c r="I9" s="38" t="n">
        <v>3245.03</v>
      </c>
      <c r="J9" s="38" t="n">
        <v>3245.065</v>
      </c>
      <c r="K9" s="39" t="n">
        <f aca="false">IF(F9="BUY",J9-I9,I9-J9)</f>
        <v>0.0349999999998545</v>
      </c>
      <c r="L9" s="38" t="n">
        <v>3243.53</v>
      </c>
      <c r="M9" s="39" t="n">
        <f aca="false">ABS(I9-L9)</f>
        <v>1.5</v>
      </c>
      <c r="N9" s="24" t="n">
        <f aca="false">M9*H9*Summary!$C$6</f>
        <v>46.5</v>
      </c>
      <c r="O9" s="37" t="n">
        <v>45761.212037037</v>
      </c>
      <c r="P9" s="22" t="n">
        <f aca="false">ROUND((O9-C9)*86400,0)</f>
        <v>5</v>
      </c>
      <c r="Q9" s="22" t="str">
        <f aca="false">IF(P9&lt;10,"a) &lt;10s",IF(P9&lt;60,"b) 10-60s",IF(P9&lt;600,"c) 1-10min","d) &gt;10min")))</f>
        <v>a) &lt;10s</v>
      </c>
      <c r="R9" s="38" t="n">
        <v>3243.53</v>
      </c>
      <c r="S9" s="38" t="n">
        <v>3243.365</v>
      </c>
      <c r="T9" s="22" t="s">
        <v>148</v>
      </c>
      <c r="U9" s="39" t="n">
        <f aca="false">IF(R9="","",IF(F9="BUY",R9-S9,S9-R9))</f>
        <v>0.165000000000418</v>
      </c>
      <c r="V9" s="39" t="n">
        <f aca="false">IF(F9="BUY",S9-J9,J9-S9)</f>
        <v>-1.70000000000027</v>
      </c>
      <c r="W9" s="6" t="n">
        <v>-52.7</v>
      </c>
      <c r="X9" s="26" t="n">
        <f aca="false">IFERROR(W9/N9,0)</f>
        <v>-1.13333333333333</v>
      </c>
      <c r="Y9" s="22" t="str">
        <f aca="false">IF(W9&gt;0,"Win",IF(W9&lt;0,"Loss","Flat"))</f>
        <v>Loss</v>
      </c>
      <c r="Z9" s="24" t="n">
        <f aca="false">Summary!$C$5+SUM(W$2:W9)</f>
        <v>4731.22</v>
      </c>
      <c r="AA9" s="24" t="n">
        <f aca="false">MAX(AA8,Z9)</f>
        <v>5026.73</v>
      </c>
      <c r="AB9" s="24" t="n">
        <f aca="false">AA9-Z9</f>
        <v>295.509999999999</v>
      </c>
      <c r="AC9" s="23" t="n">
        <f aca="false">IFERROR(AB9/AA9,0)</f>
        <v>0.0587877208443659</v>
      </c>
      <c r="AD9" s="22" t="s">
        <v>204</v>
      </c>
    </row>
    <row r="10" customFormat="false" ht="15" hidden="false" customHeight="false" outlineLevel="0" collapsed="false">
      <c r="A10" s="22" t="n">
        <v>9</v>
      </c>
      <c r="B10" s="22" t="s">
        <v>118</v>
      </c>
      <c r="C10" s="37" t="n">
        <v>45763.0594791667</v>
      </c>
      <c r="D10" s="22" t="s">
        <v>164</v>
      </c>
      <c r="E10" s="22" t="n">
        <v>1</v>
      </c>
      <c r="F10" s="22" t="s">
        <v>142</v>
      </c>
      <c r="G10" s="22" t="s">
        <v>195</v>
      </c>
      <c r="H10" s="22" t="n">
        <v>0.31</v>
      </c>
      <c r="I10" s="38" t="n">
        <v>3233.43</v>
      </c>
      <c r="J10" s="38" t="n">
        <v>3233.435</v>
      </c>
      <c r="K10" s="39" t="n">
        <f aca="false">IF(F10="BUY",J10-I10,I10-J10)</f>
        <v>0.00500000000010914</v>
      </c>
      <c r="L10" s="38" t="n">
        <v>3231.93</v>
      </c>
      <c r="M10" s="39" t="n">
        <f aca="false">ABS(I10-L10)</f>
        <v>1.5</v>
      </c>
      <c r="N10" s="24" t="n">
        <f aca="false">M10*H10*Summary!$C$6</f>
        <v>46.5</v>
      </c>
      <c r="O10" s="37" t="n">
        <v>45763.0618634259</v>
      </c>
      <c r="P10" s="22" t="n">
        <f aca="false">ROUND((O10-C10)*86400,0)</f>
        <v>206</v>
      </c>
      <c r="Q10" s="22" t="str">
        <f aca="false">IF(P10&lt;10,"a) &lt;10s",IF(P10&lt;60,"b) 10-60s",IF(P10&lt;600,"c) 1-10min","d) &gt;10min")))</f>
        <v>c) 1-10min</v>
      </c>
      <c r="R10" s="38" t="n">
        <v>3233.87</v>
      </c>
      <c r="S10" s="38" t="n">
        <v>3233.855</v>
      </c>
      <c r="T10" s="22" t="s">
        <v>149</v>
      </c>
      <c r="U10" s="39" t="n">
        <f aca="false">IF(R10="","",IF(F10="BUY",R10-S10,S10-R10))</f>
        <v>0.0149999999998727</v>
      </c>
      <c r="V10" s="39" t="n">
        <f aca="false">IF(F10="BUY",S10-J10,J10-S10)</f>
        <v>0.420000000000073</v>
      </c>
      <c r="W10" s="6" t="n">
        <v>13.02</v>
      </c>
      <c r="X10" s="26" t="n">
        <f aca="false">IFERROR(W10/N10,0)</f>
        <v>0.28</v>
      </c>
      <c r="Y10" s="22" t="str">
        <f aca="false">IF(W10&gt;0,"Win",IF(W10&lt;0,"Loss","Flat"))</f>
        <v>Win</v>
      </c>
      <c r="Z10" s="24" t="n">
        <f aca="false">Summary!$C$5+SUM(W$2:W10)</f>
        <v>4744.24</v>
      </c>
      <c r="AA10" s="24" t="n">
        <f aca="false">MAX(AA9,Z10)</f>
        <v>5026.73</v>
      </c>
      <c r="AB10" s="24" t="n">
        <f aca="false">AA10-Z10</f>
        <v>282.49</v>
      </c>
      <c r="AC10" s="23" t="n">
        <f aca="false">IFERROR(AB10/AA10,0)</f>
        <v>0.0561975678025276</v>
      </c>
      <c r="AD10" s="22" t="s">
        <v>205</v>
      </c>
    </row>
    <row r="11" customFormat="false" ht="15" hidden="false" customHeight="false" outlineLevel="0" collapsed="false">
      <c r="A11" s="22" t="n">
        <v>10</v>
      </c>
      <c r="B11" s="22" t="s">
        <v>118</v>
      </c>
      <c r="C11" s="37" t="n">
        <v>45768.1459837963</v>
      </c>
      <c r="D11" s="22" t="s">
        <v>162</v>
      </c>
      <c r="E11" s="22" t="n">
        <v>3</v>
      </c>
      <c r="F11" s="22" t="s">
        <v>142</v>
      </c>
      <c r="G11" s="22" t="s">
        <v>195</v>
      </c>
      <c r="H11" s="22" t="n">
        <v>0.31</v>
      </c>
      <c r="I11" s="38" t="n">
        <v>3357.46</v>
      </c>
      <c r="J11" s="38" t="n">
        <v>3357.905</v>
      </c>
      <c r="K11" s="39" t="n">
        <f aca="false">IF(F11="BUY",J11-I11,I11-J11)</f>
        <v>0.445000000000164</v>
      </c>
      <c r="L11" s="38" t="n">
        <v>3355.96</v>
      </c>
      <c r="M11" s="39" t="n">
        <f aca="false">ABS(I11-L11)</f>
        <v>1.5</v>
      </c>
      <c r="N11" s="24" t="n">
        <f aca="false">M11*H11*Summary!$C$6</f>
        <v>46.5</v>
      </c>
      <c r="O11" s="37" t="n">
        <v>45768.1462731482</v>
      </c>
      <c r="P11" s="22" t="n">
        <f aca="false">ROUND((O11-C11)*86400,0)</f>
        <v>25</v>
      </c>
      <c r="Q11" s="22" t="str">
        <f aca="false">IF(P11&lt;10,"a) &lt;10s",IF(P11&lt;60,"b) 10-60s",IF(P11&lt;600,"c) 1-10min","d) &gt;10min")))</f>
        <v>b) 10-60s</v>
      </c>
      <c r="R11" s="38" t="n">
        <v>3355.96</v>
      </c>
      <c r="S11" s="38" t="n">
        <v>3355.945</v>
      </c>
      <c r="T11" s="22" t="s">
        <v>148</v>
      </c>
      <c r="U11" s="39" t="n">
        <f aca="false">IF(R11="","",IF(F11="BUY",R11-S11,S11-R11))</f>
        <v>0.0149999999998727</v>
      </c>
      <c r="V11" s="39" t="n">
        <f aca="false">IF(F11="BUY",S11-J11,J11-S11)</f>
        <v>-1.96000000000004</v>
      </c>
      <c r="W11" s="6" t="n">
        <v>-60.76</v>
      </c>
      <c r="X11" s="26" t="n">
        <f aca="false">IFERROR(W11/N11,0)</f>
        <v>-1.30666666666667</v>
      </c>
      <c r="Y11" s="22" t="str">
        <f aca="false">IF(W11&gt;0,"Win",IF(W11&lt;0,"Loss","Flat"))</f>
        <v>Loss</v>
      </c>
      <c r="Z11" s="24" t="n">
        <f aca="false">Summary!$C$5+SUM(W$2:W11)</f>
        <v>4683.48</v>
      </c>
      <c r="AA11" s="24" t="n">
        <f aca="false">MAX(AA10,Z11)</f>
        <v>5026.73</v>
      </c>
      <c r="AB11" s="24" t="n">
        <f aca="false">AA11-Z11</f>
        <v>343.25</v>
      </c>
      <c r="AC11" s="23" t="n">
        <f aca="false">IFERROR(AB11/AA11,0)</f>
        <v>0.0682849486644399</v>
      </c>
      <c r="AD11" s="22" t="s">
        <v>206</v>
      </c>
    </row>
    <row r="12" customFormat="false" ht="15" hidden="false" customHeight="false" outlineLevel="0" collapsed="false">
      <c r="A12" s="22" t="n">
        <v>11</v>
      </c>
      <c r="B12" s="22" t="s">
        <v>118</v>
      </c>
      <c r="C12" s="37" t="n">
        <v>45772.0625347222</v>
      </c>
      <c r="D12" s="22" t="s">
        <v>166</v>
      </c>
      <c r="E12" s="22" t="n">
        <v>1</v>
      </c>
      <c r="F12" s="22" t="s">
        <v>142</v>
      </c>
      <c r="G12" s="22" t="s">
        <v>195</v>
      </c>
      <c r="H12" s="22" t="n">
        <v>0.31</v>
      </c>
      <c r="I12" s="38" t="n">
        <v>3367.02</v>
      </c>
      <c r="J12" s="38" t="n">
        <v>3367.165</v>
      </c>
      <c r="K12" s="39" t="n">
        <f aca="false">IF(F12="BUY",J12-I12,I12-J12)</f>
        <v>0.144999999999982</v>
      </c>
      <c r="L12" s="38" t="n">
        <v>3365.52</v>
      </c>
      <c r="M12" s="39" t="n">
        <f aca="false">ABS(I12-L12)</f>
        <v>1.5</v>
      </c>
      <c r="N12" s="24" t="n">
        <f aca="false">M12*H12*Summary!$C$6</f>
        <v>46.5</v>
      </c>
      <c r="O12" s="37" t="n">
        <v>45772.0625347222</v>
      </c>
      <c r="P12" s="22" t="n">
        <f aca="false">ROUND((O12-C12)*86400,0)</f>
        <v>0</v>
      </c>
      <c r="Q12" s="22" t="str">
        <f aca="false">IF(P12&lt;10,"a) &lt;10s",IF(P12&lt;60,"b) 10-60s",IF(P12&lt;600,"c) 1-10min","d) &gt;10min")))</f>
        <v>a) &lt;10s</v>
      </c>
      <c r="R12" s="38" t="n">
        <v>3365.52</v>
      </c>
      <c r="S12" s="38" t="n">
        <v>3365.345</v>
      </c>
      <c r="T12" s="22" t="s">
        <v>148</v>
      </c>
      <c r="U12" s="39" t="n">
        <f aca="false">IF(R12="","",IF(F12="BUY",R12-S12,S12-R12))</f>
        <v>0.175000000000182</v>
      </c>
      <c r="V12" s="39" t="n">
        <f aca="false">IF(F12="BUY",S12-J12,J12-S12)</f>
        <v>-1.82000000000016</v>
      </c>
      <c r="W12" s="6" t="n">
        <v>-56.42</v>
      </c>
      <c r="X12" s="26" t="n">
        <f aca="false">IFERROR(W12/N12,0)</f>
        <v>-1.21333333333333</v>
      </c>
      <c r="Y12" s="22" t="str">
        <f aca="false">IF(W12&gt;0,"Win",IF(W12&lt;0,"Loss","Flat"))</f>
        <v>Loss</v>
      </c>
      <c r="Z12" s="24" t="n">
        <f aca="false">Summary!$C$5+SUM(W$2:W12)</f>
        <v>4627.06</v>
      </c>
      <c r="AA12" s="24" t="n">
        <f aca="false">MAX(AA11,Z12)</f>
        <v>5026.73</v>
      </c>
      <c r="AB12" s="24" t="n">
        <f aca="false">AA12-Z12</f>
        <v>399.669999999999</v>
      </c>
      <c r="AC12" s="23" t="n">
        <f aca="false">IFERROR(AB12/AA12,0)</f>
        <v>0.0795089451790725</v>
      </c>
      <c r="AD12" s="22" t="s">
        <v>207</v>
      </c>
    </row>
    <row r="13" customFormat="false" ht="15" hidden="false" customHeight="false" outlineLevel="0" collapsed="false">
      <c r="A13" s="22" t="n">
        <v>12</v>
      </c>
      <c r="B13" s="22" t="s">
        <v>118</v>
      </c>
      <c r="C13" s="37" t="n">
        <v>45772.3714467593</v>
      </c>
      <c r="D13" s="22" t="s">
        <v>166</v>
      </c>
      <c r="E13" s="22" t="n">
        <v>8</v>
      </c>
      <c r="F13" s="22" t="s">
        <v>143</v>
      </c>
      <c r="G13" s="22" t="s">
        <v>197</v>
      </c>
      <c r="H13" s="22" t="n">
        <v>0.31</v>
      </c>
      <c r="I13" s="38" t="n">
        <v>3288.04</v>
      </c>
      <c r="J13" s="38" t="n">
        <v>3287.525</v>
      </c>
      <c r="K13" s="39" t="n">
        <f aca="false">IF(F13="BUY",J13-I13,I13-J13)</f>
        <v>0.514999999999873</v>
      </c>
      <c r="L13" s="38" t="n">
        <v>3289.54</v>
      </c>
      <c r="M13" s="39" t="n">
        <f aca="false">ABS(I13-L13)</f>
        <v>1.5</v>
      </c>
      <c r="N13" s="24" t="n">
        <f aca="false">M13*H13*Summary!$C$6</f>
        <v>46.5</v>
      </c>
      <c r="O13" s="37" t="n">
        <v>45772.3714467593</v>
      </c>
      <c r="P13" s="22" t="n">
        <f aca="false">ROUND((O13-C13)*86400,0)</f>
        <v>0</v>
      </c>
      <c r="Q13" s="22" t="str">
        <f aca="false">IF(P13&lt;10,"a) &lt;10s",IF(P13&lt;60,"b) 10-60s",IF(P13&lt;600,"c) 1-10min","d) &gt;10min")))</f>
        <v>a) &lt;10s</v>
      </c>
      <c r="R13" s="38"/>
      <c r="S13" s="38" t="n">
        <v>3289.035</v>
      </c>
      <c r="T13" s="22" t="s">
        <v>151</v>
      </c>
      <c r="U13" s="39" t="str">
        <f aca="false">IF(R13="","",IF(F13="BUY",R13-S13,S13-R13))</f>
        <v/>
      </c>
      <c r="V13" s="39" t="n">
        <f aca="false">IF(F13="BUY",S13-J13,J13-S13)</f>
        <v>-1.50999999999976</v>
      </c>
      <c r="W13" s="6" t="n">
        <v>-46.81</v>
      </c>
      <c r="X13" s="26" t="n">
        <f aca="false">IFERROR(W13/N13,0)</f>
        <v>-1.00666666666667</v>
      </c>
      <c r="Y13" s="22" t="str">
        <f aca="false">IF(W13&gt;0,"Win",IF(W13&lt;0,"Loss","Flat"))</f>
        <v>Loss</v>
      </c>
      <c r="Z13" s="24" t="n">
        <f aca="false">Summary!$C$5+SUM(W$2:W13)</f>
        <v>4580.25</v>
      </c>
      <c r="AA13" s="24" t="n">
        <f aca="false">MAX(AA12,Z13)</f>
        <v>5026.73</v>
      </c>
      <c r="AB13" s="24" t="n">
        <f aca="false">AA13-Z13</f>
        <v>446.48</v>
      </c>
      <c r="AC13" s="23" t="n">
        <f aca="false">IFERROR(AB13/AA13,0)</f>
        <v>0.0888211620675866</v>
      </c>
      <c r="AD13" s="22" t="s">
        <v>208</v>
      </c>
    </row>
    <row r="14" customFormat="false" ht="15" hidden="false" customHeight="false" outlineLevel="0" collapsed="false">
      <c r="A14" s="22" t="n">
        <v>13</v>
      </c>
      <c r="B14" s="22" t="s">
        <v>118</v>
      </c>
      <c r="C14" s="37" t="n">
        <v>45777.4659606482</v>
      </c>
      <c r="D14" s="22" t="s">
        <v>164</v>
      </c>
      <c r="E14" s="22" t="n">
        <v>11</v>
      </c>
      <c r="F14" s="22" t="s">
        <v>143</v>
      </c>
      <c r="G14" s="22" t="s">
        <v>197</v>
      </c>
      <c r="H14" s="22" t="n">
        <v>0.3</v>
      </c>
      <c r="I14" s="38" t="n">
        <v>3299.33</v>
      </c>
      <c r="J14" s="38" t="n">
        <v>3298.915</v>
      </c>
      <c r="K14" s="39" t="n">
        <f aca="false">IF(F14="BUY",J14-I14,I14-J14)</f>
        <v>0.414999999999964</v>
      </c>
      <c r="L14" s="38" t="n">
        <v>3300.83</v>
      </c>
      <c r="M14" s="39" t="n">
        <f aca="false">ABS(I14-L14)</f>
        <v>1.5</v>
      </c>
      <c r="N14" s="24" t="n">
        <f aca="false">M14*H14*Summary!$C$6</f>
        <v>45</v>
      </c>
      <c r="O14" s="37" t="n">
        <v>45777.4659837963</v>
      </c>
      <c r="P14" s="22" t="n">
        <f aca="false">ROUND((O14-C14)*86400,0)</f>
        <v>2</v>
      </c>
      <c r="Q14" s="22" t="str">
        <f aca="false">IF(P14&lt;10,"a) &lt;10s",IF(P14&lt;60,"b) 10-60s",IF(P14&lt;600,"c) 1-10min","d) &gt;10min")))</f>
        <v>a) &lt;10s</v>
      </c>
      <c r="R14" s="38" t="n">
        <v>3298.77</v>
      </c>
      <c r="S14" s="38" t="n">
        <v>3298.875</v>
      </c>
      <c r="T14" s="22" t="s">
        <v>149</v>
      </c>
      <c r="U14" s="39" t="n">
        <f aca="false">IF(R14="","",IF(F14="BUY",R14-S14,S14-R14))</f>
        <v>0.105000000000018</v>
      </c>
      <c r="V14" s="39" t="n">
        <f aca="false">IF(F14="BUY",S14-J14,J14-S14)</f>
        <v>0.0399999999999636</v>
      </c>
      <c r="W14" s="6" t="n">
        <v>1.2</v>
      </c>
      <c r="X14" s="26" t="n">
        <f aca="false">IFERROR(W14/N14,0)</f>
        <v>0.0266666666666667</v>
      </c>
      <c r="Y14" s="22" t="str">
        <f aca="false">IF(W14&gt;0,"Win",IF(W14&lt;0,"Loss","Flat"))</f>
        <v>Win</v>
      </c>
      <c r="Z14" s="24" t="n">
        <f aca="false">Summary!$C$5+SUM(W$2:W14)</f>
        <v>4581.45</v>
      </c>
      <c r="AA14" s="24" t="n">
        <f aca="false">MAX(AA13,Z14)</f>
        <v>5026.73</v>
      </c>
      <c r="AB14" s="24" t="n">
        <f aca="false">AA14-Z14</f>
        <v>445.28</v>
      </c>
      <c r="AC14" s="23" t="n">
        <f aca="false">IFERROR(AB14/AA14,0)</f>
        <v>0.0885824382849287</v>
      </c>
      <c r="AD14" s="22" t="s">
        <v>209</v>
      </c>
    </row>
    <row r="15" customFormat="false" ht="15" hidden="false" customHeight="false" outlineLevel="0" collapsed="false">
      <c r="A15" s="22" t="n">
        <v>14</v>
      </c>
      <c r="B15" s="22" t="s">
        <v>119</v>
      </c>
      <c r="C15" s="37" t="n">
        <v>45778.138912037</v>
      </c>
      <c r="D15" s="22" t="s">
        <v>165</v>
      </c>
      <c r="E15" s="22" t="n">
        <v>3</v>
      </c>
      <c r="F15" s="22" t="s">
        <v>143</v>
      </c>
      <c r="G15" s="22" t="s">
        <v>197</v>
      </c>
      <c r="H15" s="22" t="n">
        <v>0.3</v>
      </c>
      <c r="I15" s="38" t="n">
        <v>3266.88</v>
      </c>
      <c r="J15" s="38" t="n">
        <v>3264.124</v>
      </c>
      <c r="K15" s="39" t="n">
        <f aca="false">IF(F15="BUY",J15-I15,I15-J15)</f>
        <v>2.75600000000031</v>
      </c>
      <c r="L15" s="38" t="n">
        <v>3268.38</v>
      </c>
      <c r="M15" s="39" t="n">
        <f aca="false">ABS(I15-L15)</f>
        <v>1.5</v>
      </c>
      <c r="N15" s="24" t="n">
        <f aca="false">M15*H15*Summary!$C$6</f>
        <v>45</v>
      </c>
      <c r="O15" s="37" t="n">
        <v>45778.1389236111</v>
      </c>
      <c r="P15" s="22" t="n">
        <f aca="false">ROUND((O15-C15)*86400,0)</f>
        <v>1</v>
      </c>
      <c r="Q15" s="22" t="str">
        <f aca="false">IF(P15&lt;10,"a) &lt;10s",IF(P15&lt;60,"b) 10-60s",IF(P15&lt;600,"c) 1-10min","d) &gt;10min")))</f>
        <v>a) &lt;10s</v>
      </c>
      <c r="R15" s="38" t="n">
        <v>3265.71</v>
      </c>
      <c r="S15" s="38" t="n">
        <v>3265.765</v>
      </c>
      <c r="T15" s="22" t="s">
        <v>149</v>
      </c>
      <c r="U15" s="39" t="n">
        <f aca="false">IF(R15="","",IF(F15="BUY",R15-S15,S15-R15))</f>
        <v>0.0549999999998363</v>
      </c>
      <c r="V15" s="39" t="n">
        <f aca="false">IF(F15="BUY",S15-J15,J15-S15)</f>
        <v>-1.64100000000008</v>
      </c>
      <c r="W15" s="6" t="n">
        <v>-49.23</v>
      </c>
      <c r="X15" s="26" t="n">
        <f aca="false">IFERROR(W15/N15,0)</f>
        <v>-1.094</v>
      </c>
      <c r="Y15" s="22" t="str">
        <f aca="false">IF(W15&gt;0,"Win",IF(W15&lt;0,"Loss","Flat"))</f>
        <v>Loss</v>
      </c>
      <c r="Z15" s="24" t="n">
        <f aca="false">Summary!$C$5+SUM(W$2:W15)</f>
        <v>4532.22</v>
      </c>
      <c r="AA15" s="24" t="n">
        <f aca="false">MAX(AA14,Z15)</f>
        <v>5026.73</v>
      </c>
      <c r="AB15" s="24" t="n">
        <f aca="false">AA15-Z15</f>
        <v>494.509999999999</v>
      </c>
      <c r="AC15" s="23" t="n">
        <f aca="false">IFERROR(AB15/AA15,0)</f>
        <v>0.0983760814684694</v>
      </c>
      <c r="AD15" s="22" t="s">
        <v>210</v>
      </c>
    </row>
    <row r="16" customFormat="false" ht="15" hidden="false" customHeight="false" outlineLevel="0" collapsed="false">
      <c r="A16" s="22" t="n">
        <v>15</v>
      </c>
      <c r="B16" s="22" t="s">
        <v>119</v>
      </c>
      <c r="C16" s="37" t="n">
        <v>45782.1887268519</v>
      </c>
      <c r="D16" s="22" t="s">
        <v>162</v>
      </c>
      <c r="E16" s="22" t="n">
        <v>4</v>
      </c>
      <c r="F16" s="22" t="s">
        <v>142</v>
      </c>
      <c r="G16" s="22" t="s">
        <v>195</v>
      </c>
      <c r="H16" s="22" t="n">
        <v>0.3</v>
      </c>
      <c r="I16" s="38" t="n">
        <v>3268.81</v>
      </c>
      <c r="J16" s="38" t="n">
        <v>3268.995</v>
      </c>
      <c r="K16" s="39" t="n">
        <f aca="false">IF(F16="BUY",J16-I16,I16-J16)</f>
        <v>0.184999999999945</v>
      </c>
      <c r="L16" s="38" t="n">
        <v>3267.31</v>
      </c>
      <c r="M16" s="39" t="n">
        <f aca="false">ABS(I16-L16)</f>
        <v>1.5</v>
      </c>
      <c r="N16" s="24" t="n">
        <f aca="false">M16*H16*Summary!$C$6</f>
        <v>45</v>
      </c>
      <c r="O16" s="37" t="n">
        <v>45782.18875</v>
      </c>
      <c r="P16" s="22" t="n">
        <f aca="false">ROUND((O16-C16)*86400,0)</f>
        <v>2</v>
      </c>
      <c r="Q16" s="22" t="str">
        <f aca="false">IF(P16&lt;10,"a) &lt;10s",IF(P16&lt;60,"b) 10-60s",IF(P16&lt;600,"c) 1-10min","d) &gt;10min")))</f>
        <v>a) &lt;10s</v>
      </c>
      <c r="R16" s="38" t="n">
        <v>3269.99</v>
      </c>
      <c r="S16" s="38" t="n">
        <v>3269.165</v>
      </c>
      <c r="T16" s="22" t="s">
        <v>149</v>
      </c>
      <c r="U16" s="39" t="n">
        <f aca="false">IF(R16="","",IF(F16="BUY",R16-S16,S16-R16))</f>
        <v>0.824999999999818</v>
      </c>
      <c r="V16" s="39" t="n">
        <f aca="false">IF(F16="BUY",S16-J16,J16-S16)</f>
        <v>0.170000000000073</v>
      </c>
      <c r="W16" s="6" t="n">
        <v>5.1</v>
      </c>
      <c r="X16" s="26" t="n">
        <f aca="false">IFERROR(W16/N16,0)</f>
        <v>0.113333333333333</v>
      </c>
      <c r="Y16" s="22" t="str">
        <f aca="false">IF(W16&gt;0,"Win",IF(W16&lt;0,"Loss","Flat"))</f>
        <v>Win</v>
      </c>
      <c r="Z16" s="24" t="n">
        <f aca="false">Summary!$C$5+SUM(W$2:W16)</f>
        <v>4537.32</v>
      </c>
      <c r="AA16" s="24" t="n">
        <f aca="false">MAX(AA15,Z16)</f>
        <v>5026.73</v>
      </c>
      <c r="AB16" s="24" t="n">
        <f aca="false">AA16-Z16</f>
        <v>489.41</v>
      </c>
      <c r="AC16" s="23" t="n">
        <f aca="false">IFERROR(AB16/AA16,0)</f>
        <v>0.0973615053921734</v>
      </c>
      <c r="AD16" s="22" t="s">
        <v>211</v>
      </c>
    </row>
    <row r="17" customFormat="false" ht="15" hidden="false" customHeight="false" outlineLevel="0" collapsed="false">
      <c r="A17" s="22" t="n">
        <v>16</v>
      </c>
      <c r="B17" s="22" t="s">
        <v>119</v>
      </c>
      <c r="C17" s="37" t="n">
        <v>45783.1673958333</v>
      </c>
      <c r="D17" s="22" t="s">
        <v>163</v>
      </c>
      <c r="E17" s="22" t="n">
        <v>4</v>
      </c>
      <c r="F17" s="22" t="s">
        <v>142</v>
      </c>
      <c r="G17" s="22" t="s">
        <v>195</v>
      </c>
      <c r="H17" s="22" t="n">
        <v>0.3</v>
      </c>
      <c r="I17" s="38" t="n">
        <v>3337.4</v>
      </c>
      <c r="J17" s="38" t="n">
        <v>3337.555</v>
      </c>
      <c r="K17" s="39" t="n">
        <f aca="false">IF(F17="BUY",J17-I17,I17-J17)</f>
        <v>0.154999999999745</v>
      </c>
      <c r="L17" s="38" t="n">
        <v>3335.9</v>
      </c>
      <c r="M17" s="39" t="n">
        <f aca="false">ABS(I17-L17)</f>
        <v>1.5</v>
      </c>
      <c r="N17" s="24" t="n">
        <f aca="false">M17*H17*Summary!$C$6</f>
        <v>45</v>
      </c>
      <c r="O17" s="37" t="n">
        <v>45783.1674884259</v>
      </c>
      <c r="P17" s="22" t="n">
        <f aca="false">ROUND((O17-C17)*86400,0)</f>
        <v>8</v>
      </c>
      <c r="Q17" s="22" t="str">
        <f aca="false">IF(P17&lt;10,"a) &lt;10s",IF(P17&lt;60,"b) 10-60s",IF(P17&lt;600,"c) 1-10min","d) &gt;10min")))</f>
        <v>a) &lt;10s</v>
      </c>
      <c r="R17" s="38" t="n">
        <v>3338.03</v>
      </c>
      <c r="S17" s="38" t="n">
        <v>3337.895</v>
      </c>
      <c r="T17" s="22" t="s">
        <v>149</v>
      </c>
      <c r="U17" s="39" t="n">
        <f aca="false">IF(R17="","",IF(F17="BUY",R17-S17,S17-R17))</f>
        <v>0.135000000000218</v>
      </c>
      <c r="V17" s="39" t="n">
        <f aca="false">IF(F17="BUY",S17-J17,J17-S17)</f>
        <v>0.340000000000146</v>
      </c>
      <c r="W17" s="6" t="n">
        <v>10.2</v>
      </c>
      <c r="X17" s="26" t="n">
        <f aca="false">IFERROR(W17/N17,0)</f>
        <v>0.226666666666667</v>
      </c>
      <c r="Y17" s="22" t="str">
        <f aca="false">IF(W17&gt;0,"Win",IF(W17&lt;0,"Loss","Flat"))</f>
        <v>Win</v>
      </c>
      <c r="Z17" s="24" t="n">
        <f aca="false">Summary!$C$5+SUM(W$2:W17)</f>
        <v>4547.52</v>
      </c>
      <c r="AA17" s="24" t="n">
        <f aca="false">MAX(AA16,Z17)</f>
        <v>5026.73</v>
      </c>
      <c r="AB17" s="24" t="n">
        <f aca="false">AA17-Z17</f>
        <v>479.209999999999</v>
      </c>
      <c r="AC17" s="23" t="n">
        <f aca="false">IFERROR(AB17/AA17,0)</f>
        <v>0.095332353239581</v>
      </c>
      <c r="AD17" s="22" t="s">
        <v>212</v>
      </c>
    </row>
    <row r="18" customFormat="false" ht="15" hidden="false" customHeight="false" outlineLevel="0" collapsed="false">
      <c r="A18" s="22" t="n">
        <v>17</v>
      </c>
      <c r="B18" s="22" t="s">
        <v>119</v>
      </c>
      <c r="C18" s="37" t="n">
        <v>45785.3712731482</v>
      </c>
      <c r="D18" s="22" t="s">
        <v>165</v>
      </c>
      <c r="E18" s="22" t="n">
        <v>8</v>
      </c>
      <c r="F18" s="22" t="s">
        <v>143</v>
      </c>
      <c r="G18" s="22" t="s">
        <v>197</v>
      </c>
      <c r="H18" s="22" t="n">
        <v>0.3</v>
      </c>
      <c r="I18" s="38" t="n">
        <v>3359.74</v>
      </c>
      <c r="J18" s="38" t="n">
        <v>3359.655</v>
      </c>
      <c r="K18" s="39" t="n">
        <f aca="false">IF(F18="BUY",J18-I18,I18-J18)</f>
        <v>0.0849999999995816</v>
      </c>
      <c r="L18" s="38" t="n">
        <v>3361.24</v>
      </c>
      <c r="M18" s="39" t="n">
        <f aca="false">ABS(I18-L18)</f>
        <v>1.5</v>
      </c>
      <c r="N18" s="24" t="n">
        <f aca="false">M18*H18*Summary!$C$6</f>
        <v>45</v>
      </c>
      <c r="O18" s="37" t="n">
        <v>45785.3713773148</v>
      </c>
      <c r="P18" s="22" t="n">
        <f aca="false">ROUND((O18-C18)*86400,0)</f>
        <v>9</v>
      </c>
      <c r="Q18" s="22" t="str">
        <f aca="false">IF(P18&lt;10,"a) &lt;10s",IF(P18&lt;60,"b) 10-60s",IF(P18&lt;600,"c) 1-10min","d) &gt;10min")))</f>
        <v>a) &lt;10s</v>
      </c>
      <c r="R18" s="38" t="n">
        <v>3359.66</v>
      </c>
      <c r="S18" s="38" t="n">
        <v>3359.725</v>
      </c>
      <c r="T18" s="22" t="s">
        <v>149</v>
      </c>
      <c r="U18" s="39" t="n">
        <f aca="false">IF(R18="","",IF(F18="BUY",R18-S18,S18-R18))</f>
        <v>0.0650000000000546</v>
      </c>
      <c r="V18" s="39" t="n">
        <f aca="false">IF(F18="BUY",S18-J18,J18-S18)</f>
        <v>-0.069999999999709</v>
      </c>
      <c r="W18" s="6" t="n">
        <v>-2.1</v>
      </c>
      <c r="X18" s="26" t="n">
        <f aca="false">IFERROR(W18/N18,0)</f>
        <v>-0.0466666666666667</v>
      </c>
      <c r="Y18" s="22" t="str">
        <f aca="false">IF(W18&gt;0,"Win",IF(W18&lt;0,"Loss","Flat"))</f>
        <v>Loss</v>
      </c>
      <c r="Z18" s="24" t="n">
        <f aca="false">Summary!$C$5+SUM(W$2:W18)</f>
        <v>4545.42</v>
      </c>
      <c r="AA18" s="24" t="n">
        <f aca="false">MAX(AA17,Z18)</f>
        <v>5026.73</v>
      </c>
      <c r="AB18" s="24" t="n">
        <f aca="false">AA18-Z18</f>
        <v>481.31</v>
      </c>
      <c r="AC18" s="23" t="n">
        <f aca="false">IFERROR(AB18/AA18,0)</f>
        <v>0.0957501198592324</v>
      </c>
      <c r="AD18" s="22" t="s">
        <v>213</v>
      </c>
    </row>
    <row r="19" customFormat="false" ht="15" hidden="false" customHeight="false" outlineLevel="0" collapsed="false">
      <c r="A19" s="22" t="n">
        <v>18</v>
      </c>
      <c r="B19" s="22" t="s">
        <v>119</v>
      </c>
      <c r="C19" s="37" t="n">
        <v>45786.1924768519</v>
      </c>
      <c r="D19" s="22" t="s">
        <v>166</v>
      </c>
      <c r="E19" s="22" t="n">
        <v>4</v>
      </c>
      <c r="F19" s="22" t="s">
        <v>143</v>
      </c>
      <c r="G19" s="22" t="s">
        <v>197</v>
      </c>
      <c r="H19" s="22" t="n">
        <v>0.3</v>
      </c>
      <c r="I19" s="38" t="n">
        <v>3288.45</v>
      </c>
      <c r="J19" s="38" t="n">
        <v>3287.905</v>
      </c>
      <c r="K19" s="39" t="n">
        <f aca="false">IF(F19="BUY",J19-I19,I19-J19)</f>
        <v>0.544999999999618</v>
      </c>
      <c r="L19" s="38" t="n">
        <v>3289.95</v>
      </c>
      <c r="M19" s="39" t="n">
        <f aca="false">ABS(I19-L19)</f>
        <v>1.5</v>
      </c>
      <c r="N19" s="24" t="n">
        <f aca="false">M19*H19*Summary!$C$6</f>
        <v>45</v>
      </c>
      <c r="O19" s="37" t="n">
        <v>45786.1927199074</v>
      </c>
      <c r="P19" s="22" t="n">
        <f aca="false">ROUND((O19-C19)*86400,0)</f>
        <v>21</v>
      </c>
      <c r="Q19" s="22" t="str">
        <f aca="false">IF(P19&lt;10,"a) &lt;10s",IF(P19&lt;60,"b) 10-60s",IF(P19&lt;600,"c) 1-10min","d) &gt;10min")))</f>
        <v>b) 10-60s</v>
      </c>
      <c r="R19" s="38" t="n">
        <v>3289.95</v>
      </c>
      <c r="S19" s="38" t="n">
        <v>3290.115</v>
      </c>
      <c r="T19" s="22" t="s">
        <v>148</v>
      </c>
      <c r="U19" s="39" t="n">
        <f aca="false">IF(R19="","",IF(F19="BUY",R19-S19,S19-R19))</f>
        <v>0.164999999999964</v>
      </c>
      <c r="V19" s="39" t="n">
        <f aca="false">IF(F19="BUY",S19-J19,J19-S19)</f>
        <v>-2.20999999999958</v>
      </c>
      <c r="W19" s="6" t="n">
        <v>-66.3</v>
      </c>
      <c r="X19" s="26" t="n">
        <f aca="false">IFERROR(W19/N19,0)</f>
        <v>-1.47333333333333</v>
      </c>
      <c r="Y19" s="22" t="str">
        <f aca="false">IF(W19&gt;0,"Win",IF(W19&lt;0,"Loss","Flat"))</f>
        <v>Loss</v>
      </c>
      <c r="Z19" s="24" t="n">
        <f aca="false">Summary!$C$5+SUM(W$2:W19)</f>
        <v>4479.12</v>
      </c>
      <c r="AA19" s="24" t="n">
        <f aca="false">MAX(AA18,Z19)</f>
        <v>5026.73</v>
      </c>
      <c r="AB19" s="24" t="n">
        <f aca="false">AA19-Z19</f>
        <v>547.61</v>
      </c>
      <c r="AC19" s="23" t="n">
        <f aca="false">IFERROR(AB19/AA19,0)</f>
        <v>0.108939608851082</v>
      </c>
      <c r="AD19" s="22" t="s">
        <v>214</v>
      </c>
    </row>
    <row r="20" customFormat="false" ht="15" hidden="false" customHeight="false" outlineLevel="0" collapsed="false">
      <c r="A20" s="22" t="n">
        <v>19</v>
      </c>
      <c r="B20" s="22" t="s">
        <v>119</v>
      </c>
      <c r="C20" s="37" t="n">
        <v>45789.0550694445</v>
      </c>
      <c r="D20" s="22" t="s">
        <v>162</v>
      </c>
      <c r="E20" s="22" t="n">
        <v>1</v>
      </c>
      <c r="F20" s="22" t="s">
        <v>143</v>
      </c>
      <c r="G20" s="22" t="s">
        <v>197</v>
      </c>
      <c r="H20" s="22" t="n">
        <v>0.29</v>
      </c>
      <c r="I20" s="38" t="n">
        <v>3274.3</v>
      </c>
      <c r="J20" s="38" t="n">
        <v>3273.875</v>
      </c>
      <c r="K20" s="39" t="n">
        <f aca="false">IF(F20="BUY",J20-I20,I20-J20)</f>
        <v>0.425000000000182</v>
      </c>
      <c r="L20" s="38" t="n">
        <v>3275.8</v>
      </c>
      <c r="M20" s="39" t="n">
        <f aca="false">ABS(I20-L20)</f>
        <v>1.5</v>
      </c>
      <c r="N20" s="24" t="n">
        <f aca="false">M20*H20*Summary!$C$6</f>
        <v>43.5</v>
      </c>
      <c r="O20" s="37" t="n">
        <v>45789.0550925926</v>
      </c>
      <c r="P20" s="22" t="n">
        <f aca="false">ROUND((O20-C20)*86400,0)</f>
        <v>2</v>
      </c>
      <c r="Q20" s="22" t="str">
        <f aca="false">IF(P20&lt;10,"a) &lt;10s",IF(P20&lt;60,"b) 10-60s",IF(P20&lt;600,"c) 1-10min","d) &gt;10min")))</f>
        <v>a) &lt;10s</v>
      </c>
      <c r="R20" s="38" t="n">
        <v>3275.8</v>
      </c>
      <c r="S20" s="38" t="n">
        <v>3275.925</v>
      </c>
      <c r="T20" s="22" t="s">
        <v>148</v>
      </c>
      <c r="U20" s="39" t="n">
        <f aca="false">IF(R20="","",IF(F20="BUY",R20-S20,S20-R20))</f>
        <v>0.125</v>
      </c>
      <c r="V20" s="39" t="n">
        <f aca="false">IF(F20="BUY",S20-J20,J20-S20)</f>
        <v>-2.05000000000018</v>
      </c>
      <c r="W20" s="6" t="n">
        <v>-59.45</v>
      </c>
      <c r="X20" s="26" t="n">
        <f aca="false">IFERROR(W20/N20,0)</f>
        <v>-1.36666666666667</v>
      </c>
      <c r="Y20" s="22" t="str">
        <f aca="false">IF(W20&gt;0,"Win",IF(W20&lt;0,"Loss","Flat"))</f>
        <v>Loss</v>
      </c>
      <c r="Z20" s="24" t="n">
        <f aca="false">Summary!$C$5+SUM(W$2:W20)</f>
        <v>4419.67</v>
      </c>
      <c r="AA20" s="24" t="n">
        <f aca="false">MAX(AA19,Z20)</f>
        <v>5026.73</v>
      </c>
      <c r="AB20" s="24" t="n">
        <f aca="false">AA20-Z20</f>
        <v>607.06</v>
      </c>
      <c r="AC20" s="23" t="n">
        <f aca="false">IFERROR(AB20/AA20,0)</f>
        <v>0.120766382916926</v>
      </c>
      <c r="AD20" s="22" t="s">
        <v>215</v>
      </c>
    </row>
    <row r="21" customFormat="false" ht="15" hidden="false" customHeight="false" outlineLevel="0" collapsed="false">
      <c r="A21" s="22" t="n">
        <v>20</v>
      </c>
      <c r="B21" s="22" t="s">
        <v>119</v>
      </c>
      <c r="C21" s="37" t="n">
        <v>45791.6341782407</v>
      </c>
      <c r="D21" s="22" t="s">
        <v>164</v>
      </c>
      <c r="E21" s="22" t="n">
        <v>15</v>
      </c>
      <c r="F21" s="22" t="s">
        <v>143</v>
      </c>
      <c r="G21" s="22" t="s">
        <v>197</v>
      </c>
      <c r="H21" s="22" t="n">
        <v>0.29</v>
      </c>
      <c r="I21" s="38" t="n">
        <v>3215.54</v>
      </c>
      <c r="J21" s="38" t="n">
        <v>3215.525</v>
      </c>
      <c r="K21" s="39" t="n">
        <f aca="false">IF(F21="BUY",J21-I21,I21-J21)</f>
        <v>0.0149999999998727</v>
      </c>
      <c r="L21" s="38" t="n">
        <v>3217.04</v>
      </c>
      <c r="M21" s="39" t="n">
        <f aca="false">ABS(I21-L21)</f>
        <v>1.5</v>
      </c>
      <c r="N21" s="24" t="n">
        <f aca="false">M21*H21*Summary!$C$6</f>
        <v>43.5</v>
      </c>
      <c r="O21" s="37" t="n">
        <v>45791.634224537</v>
      </c>
      <c r="P21" s="22" t="n">
        <f aca="false">ROUND((O21-C21)*86400,0)</f>
        <v>4</v>
      </c>
      <c r="Q21" s="22" t="str">
        <f aca="false">IF(P21&lt;10,"a) &lt;10s",IF(P21&lt;60,"b) 10-60s",IF(P21&lt;600,"c) 1-10min","d) &gt;10min")))</f>
        <v>a) &lt;10s</v>
      </c>
      <c r="R21" s="38" t="n">
        <v>3215.53</v>
      </c>
      <c r="S21" s="38" t="n">
        <v>3215.665</v>
      </c>
      <c r="T21" s="22" t="s">
        <v>149</v>
      </c>
      <c r="U21" s="39" t="n">
        <f aca="false">IF(R21="","",IF(F21="BUY",R21-S21,S21-R21))</f>
        <v>0.134999999999764</v>
      </c>
      <c r="V21" s="39" t="n">
        <f aca="false">IF(F21="BUY",S21-J21,J21-S21)</f>
        <v>-0.139999999999873</v>
      </c>
      <c r="W21" s="6" t="n">
        <v>-4.06</v>
      </c>
      <c r="X21" s="26" t="n">
        <f aca="false">IFERROR(W21/N21,0)</f>
        <v>-0.0933333333333333</v>
      </c>
      <c r="Y21" s="22" t="str">
        <f aca="false">IF(W21&gt;0,"Win",IF(W21&lt;0,"Loss","Flat"))</f>
        <v>Loss</v>
      </c>
      <c r="Z21" s="24" t="n">
        <f aca="false">Summary!$C$5+SUM(W$2:W21)</f>
        <v>4415.61</v>
      </c>
      <c r="AA21" s="24" t="n">
        <f aca="false">MAX(AA20,Z21)</f>
        <v>5026.73</v>
      </c>
      <c r="AB21" s="24" t="n">
        <f aca="false">AA21-Z21</f>
        <v>611.12</v>
      </c>
      <c r="AC21" s="23" t="n">
        <f aca="false">IFERROR(AB21/AA21,0)</f>
        <v>0.121574065048252</v>
      </c>
      <c r="AD21" s="22" t="s">
        <v>216</v>
      </c>
    </row>
    <row r="22" customFormat="false" ht="15" hidden="false" customHeight="false" outlineLevel="0" collapsed="false">
      <c r="A22" s="22" t="n">
        <v>21</v>
      </c>
      <c r="B22" s="22" t="s">
        <v>119</v>
      </c>
      <c r="C22" s="37" t="n">
        <v>45792.2253472222</v>
      </c>
      <c r="D22" s="22" t="s">
        <v>165</v>
      </c>
      <c r="E22" s="22" t="n">
        <v>5</v>
      </c>
      <c r="F22" s="22" t="s">
        <v>143</v>
      </c>
      <c r="G22" s="22" t="s">
        <v>197</v>
      </c>
      <c r="H22" s="22" t="n">
        <v>0.29</v>
      </c>
      <c r="I22" s="38" t="n">
        <v>3167.55</v>
      </c>
      <c r="J22" s="38" t="n">
        <v>3166.985</v>
      </c>
      <c r="K22" s="39" t="n">
        <f aca="false">IF(F22="BUY",J22-I22,I22-J22)</f>
        <v>0.565000000000055</v>
      </c>
      <c r="L22" s="38" t="n">
        <v>3169.05</v>
      </c>
      <c r="M22" s="39" t="n">
        <f aca="false">ABS(I22-L22)</f>
        <v>1.5</v>
      </c>
      <c r="N22" s="24" t="n">
        <f aca="false">M22*H22*Summary!$C$6</f>
        <v>43.5</v>
      </c>
      <c r="O22" s="37" t="n">
        <v>45792.2255324074</v>
      </c>
      <c r="P22" s="22" t="n">
        <f aca="false">ROUND((O22-C22)*86400,0)</f>
        <v>16</v>
      </c>
      <c r="Q22" s="22" t="str">
        <f aca="false">IF(P22&lt;10,"a) &lt;10s",IF(P22&lt;60,"b) 10-60s",IF(P22&lt;600,"c) 1-10min","d) &gt;10min")))</f>
        <v>b) 10-60s</v>
      </c>
      <c r="R22" s="38" t="n">
        <v>3167.09</v>
      </c>
      <c r="S22" s="38" t="n">
        <v>3167.125</v>
      </c>
      <c r="T22" s="22" t="s">
        <v>149</v>
      </c>
      <c r="U22" s="39" t="n">
        <f aca="false">IF(R22="","",IF(F22="BUY",R22-S22,S22-R22))</f>
        <v>0.0349999999998545</v>
      </c>
      <c r="V22" s="39" t="n">
        <f aca="false">IF(F22="BUY",S22-J22,J22-S22)</f>
        <v>-0.139999999999873</v>
      </c>
      <c r="W22" s="6" t="n">
        <v>-4.06</v>
      </c>
      <c r="X22" s="26" t="n">
        <f aca="false">IFERROR(W22/N22,0)</f>
        <v>-0.0933333333333333</v>
      </c>
      <c r="Y22" s="22" t="str">
        <f aca="false">IF(W22&gt;0,"Win",IF(W22&lt;0,"Loss","Flat"))</f>
        <v>Loss</v>
      </c>
      <c r="Z22" s="24" t="n">
        <f aca="false">Summary!$C$5+SUM(W$2:W22)</f>
        <v>4411.55</v>
      </c>
      <c r="AA22" s="24" t="n">
        <f aca="false">MAX(AA21,Z22)</f>
        <v>5026.73</v>
      </c>
      <c r="AB22" s="24" t="n">
        <f aca="false">AA22-Z22</f>
        <v>615.179999999999</v>
      </c>
      <c r="AC22" s="23" t="n">
        <f aca="false">IFERROR(AB22/AA22,0)</f>
        <v>0.122381747179578</v>
      </c>
      <c r="AD22" s="22" t="s">
        <v>217</v>
      </c>
    </row>
    <row r="23" customFormat="false" ht="15" hidden="false" customHeight="false" outlineLevel="0" collapsed="false">
      <c r="A23" s="22" t="n">
        <v>22</v>
      </c>
      <c r="B23" s="22" t="s">
        <v>119</v>
      </c>
      <c r="C23" s="37" t="n">
        <v>45797.2500115741</v>
      </c>
      <c r="D23" s="22" t="s">
        <v>163</v>
      </c>
      <c r="E23" s="22" t="n">
        <v>6</v>
      </c>
      <c r="F23" s="22" t="s">
        <v>143</v>
      </c>
      <c r="G23" s="22" t="s">
        <v>197</v>
      </c>
      <c r="H23" s="22" t="n">
        <v>0.29</v>
      </c>
      <c r="I23" s="38" t="n">
        <v>3205.79</v>
      </c>
      <c r="J23" s="38" t="n">
        <v>3205.769</v>
      </c>
      <c r="K23" s="39" t="n">
        <f aca="false">IF(F23="BUY",J23-I23,I23-J23)</f>
        <v>0.0210000000001855</v>
      </c>
      <c r="L23" s="38" t="n">
        <v>3207.29</v>
      </c>
      <c r="M23" s="39" t="n">
        <f aca="false">ABS(I23-L23)</f>
        <v>1.5</v>
      </c>
      <c r="N23" s="24" t="n">
        <f aca="false">M23*H23*Summary!$C$6</f>
        <v>43.5</v>
      </c>
      <c r="O23" s="37" t="n">
        <v>45797.2500231482</v>
      </c>
      <c r="P23" s="22" t="n">
        <f aca="false">ROUND((O23-C23)*86400,0)</f>
        <v>1</v>
      </c>
      <c r="Q23" s="22" t="str">
        <f aca="false">IF(P23&lt;10,"a) &lt;10s",IF(P23&lt;60,"b) 10-60s",IF(P23&lt;600,"c) 1-10min","d) &gt;10min")))</f>
        <v>a) &lt;10s</v>
      </c>
      <c r="R23" s="38" t="n">
        <v>3205.69</v>
      </c>
      <c r="S23" s="38" t="n">
        <v>3205.705</v>
      </c>
      <c r="T23" s="22" t="s">
        <v>149</v>
      </c>
      <c r="U23" s="39" t="n">
        <f aca="false">IF(R23="","",IF(F23="BUY",R23-S23,S23-R23))</f>
        <v>0.0149999999998727</v>
      </c>
      <c r="V23" s="39" t="n">
        <f aca="false">IF(F23="BUY",S23-J23,J23-S23)</f>
        <v>0.0639999999998508</v>
      </c>
      <c r="W23" s="6" t="n">
        <v>1.86</v>
      </c>
      <c r="X23" s="26" t="n">
        <f aca="false">IFERROR(W23/N23,0)</f>
        <v>0.0427586206896552</v>
      </c>
      <c r="Y23" s="22" t="str">
        <f aca="false">IF(W23&gt;0,"Win",IF(W23&lt;0,"Loss","Flat"))</f>
        <v>Win</v>
      </c>
      <c r="Z23" s="24" t="n">
        <f aca="false">Summary!$C$5+SUM(W$2:W23)</f>
        <v>4413.41</v>
      </c>
      <c r="AA23" s="24" t="n">
        <f aca="false">MAX(AA22,Z23)</f>
        <v>5026.73</v>
      </c>
      <c r="AB23" s="24" t="n">
        <f aca="false">AA23-Z23</f>
        <v>613.32</v>
      </c>
      <c r="AC23" s="23" t="n">
        <f aca="false">IFERROR(AB23/AA23,0)</f>
        <v>0.122011725316458</v>
      </c>
      <c r="AD23" s="22" t="s">
        <v>218</v>
      </c>
    </row>
    <row r="24" customFormat="false" ht="15" hidden="false" customHeight="false" outlineLevel="0" collapsed="false">
      <c r="A24" s="22" t="n">
        <v>23</v>
      </c>
      <c r="B24" s="22" t="s">
        <v>119</v>
      </c>
      <c r="C24" s="37" t="n">
        <v>45797.6497916667</v>
      </c>
      <c r="D24" s="22" t="s">
        <v>163</v>
      </c>
      <c r="E24" s="22" t="n">
        <v>15</v>
      </c>
      <c r="F24" s="22" t="s">
        <v>142</v>
      </c>
      <c r="G24" s="22" t="s">
        <v>195</v>
      </c>
      <c r="H24" s="22" t="n">
        <v>0.29</v>
      </c>
      <c r="I24" s="38" t="n">
        <v>3249.51</v>
      </c>
      <c r="J24" s="38" t="n">
        <v>3249.635</v>
      </c>
      <c r="K24" s="39" t="n">
        <f aca="false">IF(F24="BUY",J24-I24,I24-J24)</f>
        <v>0.125</v>
      </c>
      <c r="L24" s="38" t="n">
        <v>3248.01</v>
      </c>
      <c r="M24" s="39" t="n">
        <f aca="false">ABS(I24-L24)</f>
        <v>1.5</v>
      </c>
      <c r="N24" s="24" t="n">
        <f aca="false">M24*H24*Summary!$C$6</f>
        <v>43.5</v>
      </c>
      <c r="O24" s="37" t="n">
        <v>45797.6498148148</v>
      </c>
      <c r="P24" s="22" t="n">
        <f aca="false">ROUND((O24-C24)*86400,0)</f>
        <v>2</v>
      </c>
      <c r="Q24" s="22" t="str">
        <f aca="false">IF(P24&lt;10,"a) &lt;10s",IF(P24&lt;60,"b) 10-60s",IF(P24&lt;600,"c) 1-10min","d) &gt;10min")))</f>
        <v>a) &lt;10s</v>
      </c>
      <c r="R24" s="38" t="n">
        <v>3250.43</v>
      </c>
      <c r="S24" s="38" t="n">
        <v>3250.375</v>
      </c>
      <c r="T24" s="22" t="s">
        <v>149</v>
      </c>
      <c r="U24" s="39" t="n">
        <f aca="false">IF(R24="","",IF(F24="BUY",R24-S24,S24-R24))</f>
        <v>0.0549999999998363</v>
      </c>
      <c r="V24" s="39" t="n">
        <f aca="false">IF(F24="BUY",S24-J24,J24-S24)</f>
        <v>0.739999999999782</v>
      </c>
      <c r="W24" s="6" t="n">
        <v>21.46</v>
      </c>
      <c r="X24" s="26" t="n">
        <f aca="false">IFERROR(W24/N24,0)</f>
        <v>0.493333333333333</v>
      </c>
      <c r="Y24" s="22" t="str">
        <f aca="false">IF(W24&gt;0,"Win",IF(W24&lt;0,"Loss","Flat"))</f>
        <v>Win</v>
      </c>
      <c r="Z24" s="24" t="n">
        <f aca="false">Summary!$C$5+SUM(W$2:W24)</f>
        <v>4434.87</v>
      </c>
      <c r="AA24" s="24" t="n">
        <f aca="false">MAX(AA23,Z24)</f>
        <v>5026.73</v>
      </c>
      <c r="AB24" s="24" t="n">
        <f aca="false">AA24-Z24</f>
        <v>591.86</v>
      </c>
      <c r="AC24" s="23" t="n">
        <f aca="false">IFERROR(AB24/AA24,0)</f>
        <v>0.117742548336593</v>
      </c>
      <c r="AD24" s="22" t="s">
        <v>219</v>
      </c>
    </row>
    <row r="25" customFormat="false" ht="15" hidden="false" customHeight="false" outlineLevel="0" collapsed="false">
      <c r="A25" s="22" t="n">
        <v>24</v>
      </c>
      <c r="B25" s="22" t="s">
        <v>119</v>
      </c>
      <c r="C25" s="37" t="n">
        <v>45799.1301273148</v>
      </c>
      <c r="D25" s="22" t="s">
        <v>165</v>
      </c>
      <c r="E25" s="22" t="n">
        <v>3</v>
      </c>
      <c r="F25" s="22" t="s">
        <v>142</v>
      </c>
      <c r="G25" s="22" t="s">
        <v>195</v>
      </c>
      <c r="H25" s="22" t="n">
        <v>0.29</v>
      </c>
      <c r="I25" s="38" t="n">
        <v>3324.75</v>
      </c>
      <c r="J25" s="38" t="n">
        <v>3324.765</v>
      </c>
      <c r="K25" s="39" t="n">
        <f aca="false">IF(F25="BUY",J25-I25,I25-J25)</f>
        <v>0.0149999999998727</v>
      </c>
      <c r="L25" s="38" t="n">
        <v>3323.25</v>
      </c>
      <c r="M25" s="39" t="n">
        <f aca="false">ABS(I25-L25)</f>
        <v>1.5</v>
      </c>
      <c r="N25" s="24" t="n">
        <f aca="false">M25*H25*Summary!$C$6</f>
        <v>43.5</v>
      </c>
      <c r="O25" s="37" t="n">
        <v>45799.1303125</v>
      </c>
      <c r="P25" s="22" t="n">
        <f aca="false">ROUND((O25-C25)*86400,0)</f>
        <v>16</v>
      </c>
      <c r="Q25" s="22" t="str">
        <f aca="false">IF(P25&lt;10,"a) &lt;10s",IF(P25&lt;60,"b) 10-60s",IF(P25&lt;600,"c) 1-10min","d) &gt;10min")))</f>
        <v>b) 10-60s</v>
      </c>
      <c r="R25" s="38" t="n">
        <v>3323.25</v>
      </c>
      <c r="S25" s="38" t="n">
        <v>3323.245</v>
      </c>
      <c r="T25" s="22" t="s">
        <v>148</v>
      </c>
      <c r="U25" s="39" t="n">
        <f aca="false">IF(R25="","",IF(F25="BUY",R25-S25,S25-R25))</f>
        <v>0.00500000000010914</v>
      </c>
      <c r="V25" s="39" t="n">
        <f aca="false">IF(F25="BUY",S25-J25,J25-S25)</f>
        <v>-1.51999999999998</v>
      </c>
      <c r="W25" s="6" t="n">
        <v>-44.08</v>
      </c>
      <c r="X25" s="26" t="n">
        <f aca="false">IFERROR(W25/N25,0)</f>
        <v>-1.01333333333333</v>
      </c>
      <c r="Y25" s="22" t="str">
        <f aca="false">IF(W25&gt;0,"Win",IF(W25&lt;0,"Loss","Flat"))</f>
        <v>Loss</v>
      </c>
      <c r="Z25" s="24" t="n">
        <f aca="false">Summary!$C$5+SUM(W$2:W25)</f>
        <v>4390.79</v>
      </c>
      <c r="AA25" s="24" t="n">
        <f aca="false">MAX(AA24,Z25)</f>
        <v>5026.73</v>
      </c>
      <c r="AB25" s="24" t="n">
        <f aca="false">AA25-Z25</f>
        <v>635.94</v>
      </c>
      <c r="AC25" s="23" t="n">
        <f aca="false">IFERROR(AB25/AA25,0)</f>
        <v>0.12651166861956</v>
      </c>
      <c r="AD25" s="22" t="s">
        <v>220</v>
      </c>
    </row>
    <row r="26" customFormat="false" ht="15" hidden="false" customHeight="false" outlineLevel="0" collapsed="false">
      <c r="A26" s="22" t="n">
        <v>25</v>
      </c>
      <c r="B26" s="22" t="s">
        <v>119</v>
      </c>
      <c r="C26" s="37" t="n">
        <v>45799.5833680556</v>
      </c>
      <c r="D26" s="22" t="s">
        <v>165</v>
      </c>
      <c r="E26" s="22" t="n">
        <v>14</v>
      </c>
      <c r="F26" s="22" t="s">
        <v>143</v>
      </c>
      <c r="G26" s="22" t="s">
        <v>197</v>
      </c>
      <c r="H26" s="22" t="n">
        <v>0.29</v>
      </c>
      <c r="I26" s="38" t="n">
        <v>3285.11</v>
      </c>
      <c r="J26" s="38" t="n">
        <v>3284.555</v>
      </c>
      <c r="K26" s="39" t="n">
        <f aca="false">IF(F26="BUY",J26-I26,I26-J26)</f>
        <v>0.555000000000291</v>
      </c>
      <c r="L26" s="38" t="n">
        <v>3286.61</v>
      </c>
      <c r="M26" s="39" t="n">
        <f aca="false">ABS(I26-L26)</f>
        <v>1.5</v>
      </c>
      <c r="N26" s="24" t="n">
        <f aca="false">M26*H26*Summary!$C$6</f>
        <v>43.5</v>
      </c>
      <c r="O26" s="37" t="n">
        <v>45799.5833680556</v>
      </c>
      <c r="P26" s="22" t="n">
        <f aca="false">ROUND((O26-C26)*86400,0)</f>
        <v>0</v>
      </c>
      <c r="Q26" s="22" t="str">
        <f aca="false">IF(P26&lt;10,"a) &lt;10s",IF(P26&lt;60,"b) 10-60s",IF(P26&lt;600,"c) 1-10min","d) &gt;10min")))</f>
        <v>a) &lt;10s</v>
      </c>
      <c r="R26" s="38"/>
      <c r="S26" s="38" t="n">
        <v>3285.305</v>
      </c>
      <c r="T26" s="22" t="s">
        <v>151</v>
      </c>
      <c r="U26" s="39" t="str">
        <f aca="false">IF(R26="","",IF(F26="BUY",R26-S26,S26-R26))</f>
        <v/>
      </c>
      <c r="V26" s="39" t="n">
        <f aca="false">IF(F26="BUY",S26-J26,J26-S26)</f>
        <v>-0.75</v>
      </c>
      <c r="W26" s="6" t="n">
        <v>-21.75</v>
      </c>
      <c r="X26" s="26" t="n">
        <f aca="false">IFERROR(W26/N26,0)</f>
        <v>-0.5</v>
      </c>
      <c r="Y26" s="22" t="str">
        <f aca="false">IF(W26&gt;0,"Win",IF(W26&lt;0,"Loss","Flat"))</f>
        <v>Loss</v>
      </c>
      <c r="Z26" s="24" t="n">
        <f aca="false">Summary!$C$5+SUM(W$2:W26)</f>
        <v>4369.04</v>
      </c>
      <c r="AA26" s="24" t="n">
        <f aca="false">MAX(AA25,Z26)</f>
        <v>5026.73</v>
      </c>
      <c r="AB26" s="24" t="n">
        <f aca="false">AA26-Z26</f>
        <v>657.69</v>
      </c>
      <c r="AC26" s="23" t="n">
        <f aca="false">IFERROR(AB26/AA26,0)</f>
        <v>0.130838537180234</v>
      </c>
      <c r="AD26" s="22" t="s">
        <v>221</v>
      </c>
    </row>
    <row r="27" customFormat="false" ht="15" hidden="false" customHeight="false" outlineLevel="0" collapsed="false">
      <c r="A27" s="22" t="n">
        <v>26</v>
      </c>
      <c r="B27" s="22" t="s">
        <v>119</v>
      </c>
      <c r="C27" s="37" t="n">
        <v>45800.6178587963</v>
      </c>
      <c r="D27" s="22" t="s">
        <v>166</v>
      </c>
      <c r="E27" s="22" t="n">
        <v>14</v>
      </c>
      <c r="F27" s="22" t="s">
        <v>142</v>
      </c>
      <c r="G27" s="22" t="s">
        <v>195</v>
      </c>
      <c r="H27" s="22" t="n">
        <v>0.29</v>
      </c>
      <c r="I27" s="38" t="n">
        <v>3345.2</v>
      </c>
      <c r="J27" s="38" t="n">
        <v>3345.485</v>
      </c>
      <c r="K27" s="39" t="n">
        <f aca="false">IF(F27="BUY",J27-I27,I27-J27)</f>
        <v>0.285000000000309</v>
      </c>
      <c r="L27" s="38" t="n">
        <v>3343.7</v>
      </c>
      <c r="M27" s="39" t="n">
        <f aca="false">ABS(I27-L27)</f>
        <v>1.5</v>
      </c>
      <c r="N27" s="24" t="n">
        <f aca="false">M27*H27*Summary!$C$6</f>
        <v>43.5</v>
      </c>
      <c r="O27" s="37" t="n">
        <v>45800.6178819445</v>
      </c>
      <c r="P27" s="22" t="n">
        <f aca="false">ROUND((O27-C27)*86400,0)</f>
        <v>2</v>
      </c>
      <c r="Q27" s="22" t="str">
        <f aca="false">IF(P27&lt;10,"a) &lt;10s",IF(P27&lt;60,"b) 10-60s",IF(P27&lt;600,"c) 1-10min","d) &gt;10min")))</f>
        <v>a) &lt;10s</v>
      </c>
      <c r="R27" s="38" t="n">
        <v>3346.39</v>
      </c>
      <c r="S27" s="38" t="n">
        <v>3345.545</v>
      </c>
      <c r="T27" s="22" t="s">
        <v>149</v>
      </c>
      <c r="U27" s="39" t="n">
        <f aca="false">IF(R27="","",IF(F27="BUY",R27-S27,S27-R27))</f>
        <v>0.8449999999998</v>
      </c>
      <c r="V27" s="39" t="n">
        <f aca="false">IF(F27="BUY",S27-J27,J27-S27)</f>
        <v>0.0599999999999454</v>
      </c>
      <c r="W27" s="6" t="n">
        <v>1.74</v>
      </c>
      <c r="X27" s="26" t="n">
        <f aca="false">IFERROR(W27/N27,0)</f>
        <v>0.04</v>
      </c>
      <c r="Y27" s="22" t="str">
        <f aca="false">IF(W27&gt;0,"Win",IF(W27&lt;0,"Loss","Flat"))</f>
        <v>Win</v>
      </c>
      <c r="Z27" s="24" t="n">
        <f aca="false">Summary!$C$5+SUM(W$2:W27)</f>
        <v>4370.78</v>
      </c>
      <c r="AA27" s="24" t="n">
        <f aca="false">MAX(AA26,Z27)</f>
        <v>5026.73</v>
      </c>
      <c r="AB27" s="24" t="n">
        <f aca="false">AA27-Z27</f>
        <v>655.95</v>
      </c>
      <c r="AC27" s="23" t="n">
        <f aca="false">IFERROR(AB27/AA27,0)</f>
        <v>0.13049238769538</v>
      </c>
      <c r="AD27" s="22" t="s">
        <v>222</v>
      </c>
    </row>
    <row r="28" customFormat="false" ht="15" hidden="false" customHeight="false" outlineLevel="0" collapsed="false">
      <c r="A28" s="22" t="n">
        <v>27</v>
      </c>
      <c r="B28" s="22" t="s">
        <v>119</v>
      </c>
      <c r="C28" s="37" t="n">
        <v>45804.3651388889</v>
      </c>
      <c r="D28" s="22" t="s">
        <v>163</v>
      </c>
      <c r="E28" s="22" t="n">
        <v>8</v>
      </c>
      <c r="F28" s="22" t="s">
        <v>143</v>
      </c>
      <c r="G28" s="22" t="s">
        <v>197</v>
      </c>
      <c r="H28" s="22" t="n">
        <v>0.29</v>
      </c>
      <c r="I28" s="38" t="n">
        <v>3323.3</v>
      </c>
      <c r="J28" s="38" t="n">
        <v>3323.275</v>
      </c>
      <c r="K28" s="39" t="n">
        <f aca="false">IF(F28="BUY",J28-I28,I28-J28)</f>
        <v>0.025000000000091</v>
      </c>
      <c r="L28" s="38" t="n">
        <v>3324.8</v>
      </c>
      <c r="M28" s="39" t="n">
        <f aca="false">ABS(I28-L28)</f>
        <v>1.5</v>
      </c>
      <c r="N28" s="24" t="n">
        <f aca="false">M28*H28*Summary!$C$6</f>
        <v>43.5</v>
      </c>
      <c r="O28" s="37" t="n">
        <v>45804.3654166667</v>
      </c>
      <c r="P28" s="22" t="n">
        <f aca="false">ROUND((O28-C28)*86400,0)</f>
        <v>24</v>
      </c>
      <c r="Q28" s="22" t="str">
        <f aca="false">IF(P28&lt;10,"a) &lt;10s",IF(P28&lt;60,"b) 10-60s",IF(P28&lt;600,"c) 1-10min","d) &gt;10min")))</f>
        <v>b) 10-60s</v>
      </c>
      <c r="R28" s="38" t="n">
        <v>3320.24</v>
      </c>
      <c r="S28" s="38" t="n">
        <v>3320.602</v>
      </c>
      <c r="T28" s="22" t="s">
        <v>149</v>
      </c>
      <c r="U28" s="39" t="n">
        <f aca="false">IF(R28="","",IF(F28="BUY",R28-S28,S28-R28))</f>
        <v>0.36200000000008</v>
      </c>
      <c r="V28" s="39" t="n">
        <f aca="false">IF(F28="BUY",S28-J28,J28-S28)</f>
        <v>2.67300000000023</v>
      </c>
      <c r="W28" s="6" t="n">
        <v>77.52</v>
      </c>
      <c r="X28" s="26" t="n">
        <f aca="false">IFERROR(W28/N28,0)</f>
        <v>1.78206896551724</v>
      </c>
      <c r="Y28" s="22" t="str">
        <f aca="false">IF(W28&gt;0,"Win",IF(W28&lt;0,"Loss","Flat"))</f>
        <v>Win</v>
      </c>
      <c r="Z28" s="24" t="n">
        <f aca="false">Summary!$C$5+SUM(W$2:W28)</f>
        <v>4448.3</v>
      </c>
      <c r="AA28" s="24" t="n">
        <f aca="false">MAX(AA27,Z28)</f>
        <v>5026.73</v>
      </c>
      <c r="AB28" s="24" t="n">
        <f aca="false">AA28-Z28</f>
        <v>578.429999999999</v>
      </c>
      <c r="AC28" s="23" t="n">
        <f aca="false">IFERROR(AB28/AA28,0)</f>
        <v>0.115070831335679</v>
      </c>
      <c r="AD28" s="22" t="s">
        <v>223</v>
      </c>
    </row>
    <row r="29" customFormat="false" ht="15" hidden="false" customHeight="false" outlineLevel="0" collapsed="false">
      <c r="A29" s="22" t="n">
        <v>28</v>
      </c>
      <c r="B29" s="22" t="s">
        <v>119</v>
      </c>
      <c r="C29" s="37" t="n">
        <v>45806.0902430556</v>
      </c>
      <c r="D29" s="22" t="s">
        <v>165</v>
      </c>
      <c r="E29" s="22" t="n">
        <v>2</v>
      </c>
      <c r="F29" s="22" t="s">
        <v>143</v>
      </c>
      <c r="G29" s="22" t="s">
        <v>197</v>
      </c>
      <c r="H29" s="22" t="n">
        <v>0.29</v>
      </c>
      <c r="I29" s="38" t="n">
        <v>3276.08</v>
      </c>
      <c r="J29" s="38" t="n">
        <v>3275.989</v>
      </c>
      <c r="K29" s="39" t="n">
        <f aca="false">IF(F29="BUY",J29-I29,I29-J29)</f>
        <v>0.0909999999998945</v>
      </c>
      <c r="L29" s="38" t="n">
        <v>3277.58</v>
      </c>
      <c r="M29" s="39" t="n">
        <f aca="false">ABS(I29-L29)</f>
        <v>1.5</v>
      </c>
      <c r="N29" s="24" t="n">
        <f aca="false">M29*H29*Summary!$C$6</f>
        <v>43.5</v>
      </c>
      <c r="O29" s="37" t="n">
        <v>45806.0902546296</v>
      </c>
      <c r="P29" s="22" t="n">
        <f aca="false">ROUND((O29-C29)*86400,0)</f>
        <v>1</v>
      </c>
      <c r="Q29" s="22" t="str">
        <f aca="false">IF(P29&lt;10,"a) &lt;10s",IF(P29&lt;60,"b) 10-60s",IF(P29&lt;600,"c) 1-10min","d) &gt;10min")))</f>
        <v>a) &lt;10s</v>
      </c>
      <c r="R29" s="38" t="n">
        <v>3275.99</v>
      </c>
      <c r="S29" s="38" t="n">
        <v>3276.765</v>
      </c>
      <c r="T29" s="22" t="s">
        <v>149</v>
      </c>
      <c r="U29" s="39" t="n">
        <f aca="false">IF(R29="","",IF(F29="BUY",R29-S29,S29-R29))</f>
        <v>0.775000000000091</v>
      </c>
      <c r="V29" s="39" t="n">
        <f aca="false">IF(F29="BUY",S29-J29,J29-S29)</f>
        <v>-0.77599999999984</v>
      </c>
      <c r="W29" s="6" t="n">
        <v>-22.5</v>
      </c>
      <c r="X29" s="26" t="n">
        <f aca="false">IFERROR(W29/N29,0)</f>
        <v>-0.517241379310345</v>
      </c>
      <c r="Y29" s="22" t="str">
        <f aca="false">IF(W29&gt;0,"Win",IF(W29&lt;0,"Loss","Flat"))</f>
        <v>Loss</v>
      </c>
      <c r="Z29" s="24" t="n">
        <f aca="false">Summary!$C$5+SUM(W$2:W29)</f>
        <v>4425.8</v>
      </c>
      <c r="AA29" s="24" t="n">
        <f aca="false">MAX(AA28,Z29)</f>
        <v>5026.73</v>
      </c>
      <c r="AB29" s="24" t="n">
        <f aca="false">AA29-Z29</f>
        <v>600.929999999999</v>
      </c>
      <c r="AC29" s="23" t="n">
        <f aca="false">IFERROR(AB29/AA29,0)</f>
        <v>0.119546902260515</v>
      </c>
      <c r="AD29" s="22" t="s">
        <v>224</v>
      </c>
    </row>
    <row r="30" customFormat="false" ht="15" hidden="false" customHeight="false" outlineLevel="0" collapsed="false">
      <c r="A30" s="22" t="n">
        <v>29</v>
      </c>
      <c r="B30" s="22" t="s">
        <v>119</v>
      </c>
      <c r="C30" s="37" t="n">
        <v>45806.7949537037</v>
      </c>
      <c r="D30" s="22" t="s">
        <v>165</v>
      </c>
      <c r="E30" s="22" t="n">
        <v>19</v>
      </c>
      <c r="F30" s="22" t="s">
        <v>142</v>
      </c>
      <c r="G30" s="22" t="s">
        <v>195</v>
      </c>
      <c r="H30" s="22" t="n">
        <v>0.29</v>
      </c>
      <c r="I30" s="38" t="n">
        <v>3325.32</v>
      </c>
      <c r="J30" s="38" t="n">
        <v>3325.652</v>
      </c>
      <c r="K30" s="39" t="n">
        <f aca="false">IF(F30="BUY",J30-I30,I30-J30)</f>
        <v>0.33199999999988</v>
      </c>
      <c r="L30" s="38" t="n">
        <v>3323.82</v>
      </c>
      <c r="M30" s="39" t="n">
        <f aca="false">ABS(I30-L30)</f>
        <v>1.5</v>
      </c>
      <c r="N30" s="24" t="n">
        <f aca="false">M30*H30*Summary!$C$6</f>
        <v>43.5</v>
      </c>
      <c r="O30" s="37" t="n">
        <v>45806.7950115741</v>
      </c>
      <c r="P30" s="22" t="n">
        <f aca="false">ROUND((O30-C30)*86400,0)</f>
        <v>5</v>
      </c>
      <c r="Q30" s="22" t="str">
        <f aca="false">IF(P30&lt;10,"a) &lt;10s",IF(P30&lt;60,"b) 10-60s",IF(P30&lt;600,"c) 1-10min","d) &gt;10min")))</f>
        <v>a) &lt;10s</v>
      </c>
      <c r="R30" s="38" t="n">
        <v>3326.05</v>
      </c>
      <c r="S30" s="38" t="n">
        <v>3325.948</v>
      </c>
      <c r="T30" s="22" t="s">
        <v>149</v>
      </c>
      <c r="U30" s="39" t="n">
        <f aca="false">IF(R30="","",IF(F30="BUY",R30-S30,S30-R30))</f>
        <v>0.102000000000317</v>
      </c>
      <c r="V30" s="39" t="n">
        <f aca="false">IF(F30="BUY",S30-J30,J30-S30)</f>
        <v>0.295999999999822</v>
      </c>
      <c r="W30" s="6" t="n">
        <v>8.58</v>
      </c>
      <c r="X30" s="26" t="n">
        <f aca="false">IFERROR(W30/N30,0)</f>
        <v>0.197241379310345</v>
      </c>
      <c r="Y30" s="22" t="str">
        <f aca="false">IF(W30&gt;0,"Win",IF(W30&lt;0,"Loss","Flat"))</f>
        <v>Win</v>
      </c>
      <c r="Z30" s="24" t="n">
        <f aca="false">Summary!$C$5+SUM(W$2:W30)</f>
        <v>4434.38</v>
      </c>
      <c r="AA30" s="24" t="n">
        <f aca="false">MAX(AA29,Z30)</f>
        <v>5026.73</v>
      </c>
      <c r="AB30" s="24" t="n">
        <f aca="false">AA30-Z30</f>
        <v>592.35</v>
      </c>
      <c r="AC30" s="23" t="n">
        <f aca="false">IFERROR(AB30/AA30,0)</f>
        <v>0.117840027214511</v>
      </c>
      <c r="AD30" s="22" t="s">
        <v>225</v>
      </c>
    </row>
    <row r="31" customFormat="false" ht="15" hidden="false" customHeight="false" outlineLevel="0" collapsed="false">
      <c r="A31" s="22" t="n">
        <v>30</v>
      </c>
      <c r="B31" s="22" t="s">
        <v>120</v>
      </c>
      <c r="C31" s="37" t="n">
        <v>45810.3641898148</v>
      </c>
      <c r="D31" s="22" t="s">
        <v>162</v>
      </c>
      <c r="E31" s="22" t="n">
        <v>8</v>
      </c>
      <c r="F31" s="22" t="s">
        <v>142</v>
      </c>
      <c r="G31" s="22" t="s">
        <v>195</v>
      </c>
      <c r="H31" s="22" t="n">
        <v>0.29</v>
      </c>
      <c r="I31" s="38" t="n">
        <v>3322.45</v>
      </c>
      <c r="J31" s="38" t="n">
        <v>3322.515</v>
      </c>
      <c r="K31" s="39" t="n">
        <f aca="false">IF(F31="BUY",J31-I31,I31-J31)</f>
        <v>0.0650000000000546</v>
      </c>
      <c r="L31" s="38" t="n">
        <v>3320.95</v>
      </c>
      <c r="M31" s="39" t="n">
        <f aca="false">ABS(I31-L31)</f>
        <v>1.5</v>
      </c>
      <c r="N31" s="24" t="n">
        <f aca="false">M31*H31*Summary!$C$6</f>
        <v>43.5</v>
      </c>
      <c r="O31" s="37" t="n">
        <v>45810.3642708333</v>
      </c>
      <c r="P31" s="22" t="n">
        <f aca="false">ROUND((O31-C31)*86400,0)</f>
        <v>7</v>
      </c>
      <c r="Q31" s="22" t="str">
        <f aca="false">IF(P31&lt;10,"a) &lt;10s",IF(P31&lt;60,"b) 10-60s",IF(P31&lt;600,"c) 1-10min","d) &gt;10min")))</f>
        <v>a) &lt;10s</v>
      </c>
      <c r="R31" s="38" t="n">
        <v>3323</v>
      </c>
      <c r="S31" s="38" t="n">
        <v>3322.998</v>
      </c>
      <c r="T31" s="22" t="s">
        <v>149</v>
      </c>
      <c r="U31" s="39" t="n">
        <f aca="false">IF(R31="","",IF(F31="BUY",R31-S31,S31-R31))</f>
        <v>0.00199999999995271</v>
      </c>
      <c r="V31" s="39" t="n">
        <f aca="false">IF(F31="BUY",S31-J31,J31-S31)</f>
        <v>0.483000000000175</v>
      </c>
      <c r="W31" s="6" t="n">
        <v>14.01</v>
      </c>
      <c r="X31" s="26" t="n">
        <f aca="false">IFERROR(W31/N31,0)</f>
        <v>0.322068965517241</v>
      </c>
      <c r="Y31" s="22" t="str">
        <f aca="false">IF(W31&gt;0,"Win",IF(W31&lt;0,"Loss","Flat"))</f>
        <v>Win</v>
      </c>
      <c r="Z31" s="24" t="n">
        <f aca="false">Summary!$C$5+SUM(W$2:W31)</f>
        <v>4448.39</v>
      </c>
      <c r="AA31" s="24" t="n">
        <f aca="false">MAX(AA30,Z31)</f>
        <v>5026.73</v>
      </c>
      <c r="AB31" s="24" t="n">
        <f aca="false">AA31-Z31</f>
        <v>578.339999999999</v>
      </c>
      <c r="AC31" s="23" t="n">
        <f aca="false">IFERROR(AB31/AA31,0)</f>
        <v>0.11505292705198</v>
      </c>
      <c r="AD31" s="22" t="s">
        <v>226</v>
      </c>
    </row>
    <row r="32" customFormat="false" ht="15" hidden="false" customHeight="false" outlineLevel="0" collapsed="false">
      <c r="A32" s="22" t="n">
        <v>31</v>
      </c>
      <c r="B32" s="22" t="s">
        <v>120</v>
      </c>
      <c r="C32" s="37" t="n">
        <v>45813.1716782407</v>
      </c>
      <c r="D32" s="22" t="s">
        <v>165</v>
      </c>
      <c r="E32" s="22" t="n">
        <v>4</v>
      </c>
      <c r="F32" s="22" t="s">
        <v>142</v>
      </c>
      <c r="G32" s="22" t="s">
        <v>195</v>
      </c>
      <c r="H32" s="22" t="n">
        <v>0.29</v>
      </c>
      <c r="I32" s="38" t="n">
        <v>3384.5</v>
      </c>
      <c r="J32" s="38" t="n">
        <v>3384.502</v>
      </c>
      <c r="K32" s="39" t="n">
        <f aca="false">IF(F32="BUY",J32-I32,I32-J32)</f>
        <v>0.00199999999995271</v>
      </c>
      <c r="L32" s="38" t="n">
        <v>3383</v>
      </c>
      <c r="M32" s="39" t="n">
        <f aca="false">ABS(I32-L32)</f>
        <v>1.5</v>
      </c>
      <c r="N32" s="24" t="n">
        <f aca="false">M32*H32*Summary!$C$6</f>
        <v>43.5</v>
      </c>
      <c r="O32" s="37" t="n">
        <v>45813.1720717593</v>
      </c>
      <c r="P32" s="22" t="n">
        <f aca="false">ROUND((O32-C32)*86400,0)</f>
        <v>34</v>
      </c>
      <c r="Q32" s="22" t="str">
        <f aca="false">IF(P32&lt;10,"a) &lt;10s",IF(P32&lt;60,"b) 10-60s",IF(P32&lt;600,"c) 1-10min","d) &gt;10min")))</f>
        <v>b) 10-60s</v>
      </c>
      <c r="R32" s="38" t="n">
        <v>3383</v>
      </c>
      <c r="S32" s="38" t="n">
        <v>3382.998</v>
      </c>
      <c r="T32" s="22" t="s">
        <v>148</v>
      </c>
      <c r="U32" s="39" t="n">
        <f aca="false">IF(R32="","",IF(F32="BUY",R32-S32,S32-R32))</f>
        <v>0.00199999999995271</v>
      </c>
      <c r="V32" s="39" t="n">
        <f aca="false">IF(F32="BUY",S32-J32,J32-S32)</f>
        <v>-1.50399999999991</v>
      </c>
      <c r="W32" s="6" t="n">
        <v>-43.62</v>
      </c>
      <c r="X32" s="26" t="n">
        <f aca="false">IFERROR(W32/N32,0)</f>
        <v>-1.00275862068966</v>
      </c>
      <c r="Y32" s="22" t="str">
        <f aca="false">IF(W32&gt;0,"Win",IF(W32&lt;0,"Loss","Flat"))</f>
        <v>Loss</v>
      </c>
      <c r="Z32" s="24" t="n">
        <f aca="false">Summary!$C$5+SUM(W$2:W32)</f>
        <v>4404.77</v>
      </c>
      <c r="AA32" s="24" t="n">
        <f aca="false">MAX(AA31,Z32)</f>
        <v>5026.73</v>
      </c>
      <c r="AB32" s="24" t="n">
        <f aca="false">AA32-Z32</f>
        <v>621.959999999999</v>
      </c>
      <c r="AC32" s="23" t="n">
        <f aca="false">IFERROR(AB32/AA32,0)</f>
        <v>0.123730536551595</v>
      </c>
      <c r="AD32" s="22" t="s">
        <v>227</v>
      </c>
    </row>
    <row r="33" customFormat="false" ht="15" hidden="false" customHeight="false" outlineLevel="0" collapsed="false">
      <c r="A33" s="22" t="n">
        <v>32</v>
      </c>
      <c r="B33" s="22" t="s">
        <v>120</v>
      </c>
      <c r="C33" s="37" t="n">
        <v>45813.7832986111</v>
      </c>
      <c r="D33" s="22" t="s">
        <v>165</v>
      </c>
      <c r="E33" s="22" t="n">
        <v>18</v>
      </c>
      <c r="F33" s="22" t="s">
        <v>143</v>
      </c>
      <c r="G33" s="22" t="s">
        <v>197</v>
      </c>
      <c r="H33" s="22" t="n">
        <v>0.29</v>
      </c>
      <c r="I33" s="38" t="n">
        <v>3343.45</v>
      </c>
      <c r="J33" s="38" t="n">
        <v>3343.058</v>
      </c>
      <c r="K33" s="39" t="n">
        <f aca="false">IF(F33="BUY",J33-I33,I33-J33)</f>
        <v>0.391999999999825</v>
      </c>
      <c r="L33" s="38" t="n">
        <v>3344.95</v>
      </c>
      <c r="M33" s="39" t="n">
        <f aca="false">ABS(I33-L33)</f>
        <v>1.5</v>
      </c>
      <c r="N33" s="24" t="n">
        <f aca="false">M33*H33*Summary!$C$6</f>
        <v>43.5</v>
      </c>
      <c r="O33" s="37" t="n">
        <v>45813.7833680556</v>
      </c>
      <c r="P33" s="22" t="n">
        <f aca="false">ROUND((O33-C33)*86400,0)</f>
        <v>6</v>
      </c>
      <c r="Q33" s="22" t="str">
        <f aca="false">IF(P33&lt;10,"a) &lt;10s",IF(P33&lt;60,"b) 10-60s",IF(P33&lt;600,"c) 1-10min","d) &gt;10min")))</f>
        <v>a) &lt;10s</v>
      </c>
      <c r="R33" s="38" t="n">
        <v>3344.95</v>
      </c>
      <c r="S33" s="38" t="n">
        <v>3345.012</v>
      </c>
      <c r="T33" s="22" t="s">
        <v>148</v>
      </c>
      <c r="U33" s="39" t="n">
        <f aca="false">IF(R33="","",IF(F33="BUY",R33-S33,S33-R33))</f>
        <v>0.0620000000003529</v>
      </c>
      <c r="V33" s="39" t="n">
        <f aca="false">IF(F33="BUY",S33-J33,J33-S33)</f>
        <v>-1.95400000000018</v>
      </c>
      <c r="W33" s="6" t="n">
        <v>-56.67</v>
      </c>
      <c r="X33" s="26" t="n">
        <f aca="false">IFERROR(W33/N33,0)</f>
        <v>-1.30275862068966</v>
      </c>
      <c r="Y33" s="22" t="str">
        <f aca="false">IF(W33&gt;0,"Win",IF(W33&lt;0,"Loss","Flat"))</f>
        <v>Loss</v>
      </c>
      <c r="Z33" s="24" t="n">
        <f aca="false">Summary!$C$5+SUM(W$2:W33)</f>
        <v>4348.1</v>
      </c>
      <c r="AA33" s="24" t="n">
        <f aca="false">MAX(AA32,Z33)</f>
        <v>5026.73</v>
      </c>
      <c r="AB33" s="24" t="n">
        <f aca="false">AA33-Z33</f>
        <v>678.629999999999</v>
      </c>
      <c r="AC33" s="23" t="n">
        <f aca="false">IFERROR(AB33/AA33,0)</f>
        <v>0.135004267187615</v>
      </c>
      <c r="AD33" s="22" t="s">
        <v>228</v>
      </c>
    </row>
    <row r="34" customFormat="false" ht="15" hidden="false" customHeight="false" outlineLevel="0" collapsed="false">
      <c r="A34" s="22" t="n">
        <v>33</v>
      </c>
      <c r="B34" s="22" t="s">
        <v>120</v>
      </c>
      <c r="C34" s="37" t="n">
        <v>45814.7089236111</v>
      </c>
      <c r="D34" s="22" t="s">
        <v>166</v>
      </c>
      <c r="E34" s="22" t="n">
        <v>17</v>
      </c>
      <c r="F34" s="22" t="s">
        <v>143</v>
      </c>
      <c r="G34" s="22" t="s">
        <v>197</v>
      </c>
      <c r="H34" s="22" t="n">
        <v>0.28</v>
      </c>
      <c r="I34" s="38" t="n">
        <v>3339.05</v>
      </c>
      <c r="J34" s="38" t="n">
        <v>3338.959</v>
      </c>
      <c r="K34" s="39" t="n">
        <f aca="false">IF(F34="BUY",J34-I34,I34-J34)</f>
        <v>0.0910000000003493</v>
      </c>
      <c r="L34" s="38" t="n">
        <v>3340.55</v>
      </c>
      <c r="M34" s="39" t="n">
        <f aca="false">ABS(I34-L34)</f>
        <v>1.5</v>
      </c>
      <c r="N34" s="24" t="n">
        <f aca="false">M34*H34*Summary!$C$6</f>
        <v>42</v>
      </c>
      <c r="O34" s="37" t="n">
        <v>45814.7089351852</v>
      </c>
      <c r="P34" s="22" t="n">
        <f aca="false">ROUND((O34-C34)*86400,0)</f>
        <v>1</v>
      </c>
      <c r="Q34" s="22" t="str">
        <f aca="false">IF(P34&lt;10,"a) &lt;10s",IF(P34&lt;60,"b) 10-60s",IF(P34&lt;600,"c) 1-10min","d) &gt;10min")))</f>
        <v>a) &lt;10s</v>
      </c>
      <c r="R34" s="38" t="n">
        <v>3340.55</v>
      </c>
      <c r="S34" s="38" t="n">
        <v>3340.552</v>
      </c>
      <c r="T34" s="22" t="s">
        <v>148</v>
      </c>
      <c r="U34" s="39" t="n">
        <f aca="false">IF(R34="","",IF(F34="BUY",R34-S34,S34-R34))</f>
        <v>0.00199999999995271</v>
      </c>
      <c r="V34" s="39" t="n">
        <f aca="false">IF(F34="BUY",S34-J34,J34-S34)</f>
        <v>-1.5930000000003</v>
      </c>
      <c r="W34" s="6" t="n">
        <v>-44.6</v>
      </c>
      <c r="X34" s="26" t="n">
        <f aca="false">IFERROR(W34/N34,0)</f>
        <v>-1.06190476190476</v>
      </c>
      <c r="Y34" s="22" t="str">
        <f aca="false">IF(W34&gt;0,"Win",IF(W34&lt;0,"Loss","Flat"))</f>
        <v>Loss</v>
      </c>
      <c r="Z34" s="24" t="n">
        <f aca="false">Summary!$C$5+SUM(W$2:W34)</f>
        <v>4303.5</v>
      </c>
      <c r="AA34" s="24" t="n">
        <f aca="false">MAX(AA33,Z34)</f>
        <v>5026.73</v>
      </c>
      <c r="AB34" s="24" t="n">
        <f aca="false">AA34-Z34</f>
        <v>723.23</v>
      </c>
      <c r="AC34" s="23" t="n">
        <f aca="false">IFERROR(AB34/AA34,0)</f>
        <v>0.143876834443067</v>
      </c>
      <c r="AD34" s="22" t="s">
        <v>229</v>
      </c>
    </row>
    <row r="35" customFormat="false" ht="15" hidden="false" customHeight="false" outlineLevel="0" collapsed="false">
      <c r="A35" s="22" t="n">
        <v>34</v>
      </c>
      <c r="B35" s="22" t="s">
        <v>120</v>
      </c>
      <c r="C35" s="37" t="n">
        <v>45817.1376273148</v>
      </c>
      <c r="D35" s="22" t="s">
        <v>162</v>
      </c>
      <c r="E35" s="22" t="n">
        <v>3</v>
      </c>
      <c r="F35" s="22" t="s">
        <v>143</v>
      </c>
      <c r="G35" s="22" t="s">
        <v>197</v>
      </c>
      <c r="H35" s="22" t="n">
        <v>0.28</v>
      </c>
      <c r="I35" s="38" t="n">
        <v>3306.92</v>
      </c>
      <c r="J35" s="38" t="n">
        <v>3306.825</v>
      </c>
      <c r="K35" s="39" t="n">
        <f aca="false">IF(F35="BUY",J35-I35,I35-J35)</f>
        <v>0.0950000000002547</v>
      </c>
      <c r="L35" s="38" t="n">
        <v>3308.42</v>
      </c>
      <c r="M35" s="39" t="n">
        <f aca="false">ABS(I35-L35)</f>
        <v>1.5</v>
      </c>
      <c r="N35" s="24" t="n">
        <f aca="false">M35*H35*Summary!$C$6</f>
        <v>42</v>
      </c>
      <c r="O35" s="37" t="n">
        <v>45817.1376736111</v>
      </c>
      <c r="P35" s="22" t="n">
        <f aca="false">ROUND((O35-C35)*86400,0)</f>
        <v>4</v>
      </c>
      <c r="Q35" s="22" t="str">
        <f aca="false">IF(P35&lt;10,"a) &lt;10s",IF(P35&lt;60,"b) 10-60s",IF(P35&lt;600,"c) 1-10min","d) &gt;10min")))</f>
        <v>a) &lt;10s</v>
      </c>
      <c r="R35" s="38" t="n">
        <v>3306.65</v>
      </c>
      <c r="S35" s="38" t="n">
        <v>3306.662</v>
      </c>
      <c r="T35" s="22" t="s">
        <v>149</v>
      </c>
      <c r="U35" s="39" t="n">
        <f aca="false">IF(R35="","",IF(F35="BUY",R35-S35,S35-R35))</f>
        <v>0.0119999999997162</v>
      </c>
      <c r="V35" s="39" t="n">
        <f aca="false">IF(F35="BUY",S35-J35,J35-S35)</f>
        <v>0.163000000000011</v>
      </c>
      <c r="W35" s="6" t="n">
        <v>4.56</v>
      </c>
      <c r="X35" s="26" t="n">
        <f aca="false">IFERROR(W35/N35,0)</f>
        <v>0.108571428571429</v>
      </c>
      <c r="Y35" s="22" t="str">
        <f aca="false">IF(W35&gt;0,"Win",IF(W35&lt;0,"Loss","Flat"))</f>
        <v>Win</v>
      </c>
      <c r="Z35" s="24" t="n">
        <f aca="false">Summary!$C$5+SUM(W$2:W35)</f>
        <v>4308.06</v>
      </c>
      <c r="AA35" s="24" t="n">
        <f aca="false">MAX(AA34,Z35)</f>
        <v>5026.73</v>
      </c>
      <c r="AB35" s="24" t="n">
        <f aca="false">AA35-Z35</f>
        <v>718.67</v>
      </c>
      <c r="AC35" s="23" t="n">
        <f aca="false">IFERROR(AB35/AA35,0)</f>
        <v>0.142969684068967</v>
      </c>
      <c r="AD35" s="22" t="s">
        <v>230</v>
      </c>
    </row>
    <row r="36" customFormat="false" ht="15" hidden="false" customHeight="false" outlineLevel="0" collapsed="false">
      <c r="A36" s="22" t="n">
        <v>35</v>
      </c>
      <c r="B36" s="22" t="s">
        <v>120</v>
      </c>
      <c r="C36" s="37" t="n">
        <v>45818.5907175926</v>
      </c>
      <c r="D36" s="22" t="s">
        <v>163</v>
      </c>
      <c r="E36" s="22" t="n">
        <v>14</v>
      </c>
      <c r="F36" s="22" t="s">
        <v>142</v>
      </c>
      <c r="G36" s="22" t="s">
        <v>195</v>
      </c>
      <c r="H36" s="22" t="n">
        <v>0.28</v>
      </c>
      <c r="I36" s="38" t="n">
        <v>3338.07</v>
      </c>
      <c r="J36" s="38" t="n">
        <v>3338.155</v>
      </c>
      <c r="K36" s="39" t="n">
        <f aca="false">IF(F36="BUY",J36-I36,I36-J36)</f>
        <v>0.0850000000000364</v>
      </c>
      <c r="L36" s="38" t="n">
        <v>3336.57</v>
      </c>
      <c r="M36" s="39" t="n">
        <f aca="false">ABS(I36-L36)</f>
        <v>1.5</v>
      </c>
      <c r="N36" s="24" t="n">
        <f aca="false">M36*H36*Summary!$C$6</f>
        <v>42</v>
      </c>
      <c r="O36" s="37" t="n">
        <v>45818.5909490741</v>
      </c>
      <c r="P36" s="22" t="n">
        <f aca="false">ROUND((O36-C36)*86400,0)</f>
        <v>20</v>
      </c>
      <c r="Q36" s="22" t="str">
        <f aca="false">IF(P36&lt;10,"a) &lt;10s",IF(P36&lt;60,"b) 10-60s",IF(P36&lt;600,"c) 1-10min","d) &gt;10min")))</f>
        <v>b) 10-60s</v>
      </c>
      <c r="R36" s="38" t="n">
        <v>3336.57</v>
      </c>
      <c r="S36" s="38" t="n">
        <v>3336.559</v>
      </c>
      <c r="T36" s="22" t="s">
        <v>148</v>
      </c>
      <c r="U36" s="39" t="n">
        <f aca="false">IF(R36="","",IF(F36="BUY",R36-S36,S36-R36))</f>
        <v>0.0109999999999673</v>
      </c>
      <c r="V36" s="39" t="n">
        <f aca="false">IF(F36="BUY",S36-J36,J36-S36)</f>
        <v>-1.596</v>
      </c>
      <c r="W36" s="6" t="n">
        <v>-44.69</v>
      </c>
      <c r="X36" s="26" t="n">
        <f aca="false">IFERROR(W36/N36,0)</f>
        <v>-1.06404761904762</v>
      </c>
      <c r="Y36" s="22" t="str">
        <f aca="false">IF(W36&gt;0,"Win",IF(W36&lt;0,"Loss","Flat"))</f>
        <v>Loss</v>
      </c>
      <c r="Z36" s="24" t="n">
        <f aca="false">Summary!$C$5+SUM(W$2:W36)</f>
        <v>4263.37</v>
      </c>
      <c r="AA36" s="24" t="n">
        <f aca="false">MAX(AA35,Z36)</f>
        <v>5026.73</v>
      </c>
      <c r="AB36" s="24" t="n">
        <f aca="false">AA36-Z36</f>
        <v>763.36</v>
      </c>
      <c r="AC36" s="23" t="n">
        <f aca="false">IFERROR(AB36/AA36,0)</f>
        <v>0.151860155608119</v>
      </c>
      <c r="AD36" s="22" t="s">
        <v>231</v>
      </c>
    </row>
    <row r="37" customFormat="false" ht="15" hidden="false" customHeight="false" outlineLevel="0" collapsed="false">
      <c r="A37" s="22" t="n">
        <v>36</v>
      </c>
      <c r="B37" s="22" t="s">
        <v>120</v>
      </c>
      <c r="C37" s="37" t="n">
        <v>45819.4565393519</v>
      </c>
      <c r="D37" s="22" t="s">
        <v>164</v>
      </c>
      <c r="E37" s="22" t="n">
        <v>10</v>
      </c>
      <c r="F37" s="22" t="s">
        <v>142</v>
      </c>
      <c r="G37" s="22" t="s">
        <v>195</v>
      </c>
      <c r="H37" s="22" t="n">
        <v>0.28</v>
      </c>
      <c r="I37" s="38" t="n">
        <v>3348.9</v>
      </c>
      <c r="J37" s="38" t="n">
        <v>3348.941</v>
      </c>
      <c r="K37" s="39" t="n">
        <f aca="false">IF(F37="BUY",J37-I37,I37-J37)</f>
        <v>0.0409999999997126</v>
      </c>
      <c r="L37" s="38" t="n">
        <v>3347.4</v>
      </c>
      <c r="M37" s="39" t="n">
        <f aca="false">ABS(I37-L37)</f>
        <v>1.5</v>
      </c>
      <c r="N37" s="24" t="n">
        <f aca="false">M37*H37*Summary!$C$6</f>
        <v>42</v>
      </c>
      <c r="O37" s="37" t="n">
        <v>45819.4567592593</v>
      </c>
      <c r="P37" s="22" t="n">
        <f aca="false">ROUND((O37-C37)*86400,0)</f>
        <v>19</v>
      </c>
      <c r="Q37" s="22" t="str">
        <f aca="false">IF(P37&lt;10,"a) &lt;10s",IF(P37&lt;60,"b) 10-60s",IF(P37&lt;600,"c) 1-10min","d) &gt;10min")))</f>
        <v>b) 10-60s</v>
      </c>
      <c r="R37" s="38" t="n">
        <v>3347.4</v>
      </c>
      <c r="S37" s="38" t="n">
        <v>3347.385</v>
      </c>
      <c r="T37" s="22" t="s">
        <v>148</v>
      </c>
      <c r="U37" s="39" t="n">
        <f aca="false">IF(R37="","",IF(F37="BUY",R37-S37,S37-R37))</f>
        <v>0.0149999999998727</v>
      </c>
      <c r="V37" s="39" t="n">
        <f aca="false">IF(F37="BUY",S37-J37,J37-S37)</f>
        <v>-1.55599999999959</v>
      </c>
      <c r="W37" s="6" t="n">
        <v>-43.57</v>
      </c>
      <c r="X37" s="26" t="n">
        <f aca="false">IFERROR(W37/N37,0)</f>
        <v>-1.03738095238095</v>
      </c>
      <c r="Y37" s="22" t="str">
        <f aca="false">IF(W37&gt;0,"Win",IF(W37&lt;0,"Loss","Flat"))</f>
        <v>Loss</v>
      </c>
      <c r="Z37" s="24" t="n">
        <f aca="false">Summary!$C$5+SUM(W$2:W37)</f>
        <v>4219.8</v>
      </c>
      <c r="AA37" s="24" t="n">
        <f aca="false">MAX(AA36,Z37)</f>
        <v>5026.73</v>
      </c>
      <c r="AB37" s="24" t="n">
        <f aca="false">AA37-Z37</f>
        <v>806.929999999999</v>
      </c>
      <c r="AC37" s="23" t="n">
        <f aca="false">IFERROR(AB37/AA37,0)</f>
        <v>0.160527818283457</v>
      </c>
      <c r="AD37" s="22" t="s">
        <v>232</v>
      </c>
    </row>
    <row r="38" customFormat="false" ht="15" hidden="false" customHeight="false" outlineLevel="0" collapsed="false">
      <c r="A38" s="22" t="n">
        <v>37</v>
      </c>
      <c r="B38" s="22" t="s">
        <v>120</v>
      </c>
      <c r="C38" s="37" t="n">
        <v>45821.1264930556</v>
      </c>
      <c r="D38" s="22" t="s">
        <v>166</v>
      </c>
      <c r="E38" s="22" t="n">
        <v>3</v>
      </c>
      <c r="F38" s="22" t="s">
        <v>142</v>
      </c>
      <c r="G38" s="22" t="s">
        <v>195</v>
      </c>
      <c r="H38" s="22" t="n">
        <v>0.28</v>
      </c>
      <c r="I38" s="38" t="n">
        <v>3398.75</v>
      </c>
      <c r="J38" s="38" t="n">
        <v>3398.895</v>
      </c>
      <c r="K38" s="39" t="n">
        <f aca="false">IF(F38="BUY",J38-I38,I38-J38)</f>
        <v>0.144999999999982</v>
      </c>
      <c r="L38" s="38" t="n">
        <v>3397.25</v>
      </c>
      <c r="M38" s="39" t="n">
        <f aca="false">ABS(I38-L38)</f>
        <v>1.5</v>
      </c>
      <c r="N38" s="24" t="n">
        <f aca="false">M38*H38*Summary!$C$6</f>
        <v>42</v>
      </c>
      <c r="O38" s="37" t="n">
        <v>45821.1264930556</v>
      </c>
      <c r="P38" s="22" t="n">
        <f aca="false">ROUND((O38-C38)*86400,0)</f>
        <v>0</v>
      </c>
      <c r="Q38" s="22" t="str">
        <f aca="false">IF(P38&lt;10,"a) &lt;10s",IF(P38&lt;60,"b) 10-60s",IF(P38&lt;600,"c) 1-10min","d) &gt;10min")))</f>
        <v>a) &lt;10s</v>
      </c>
      <c r="R38" s="38"/>
      <c r="S38" s="38" t="n">
        <v>3398.148</v>
      </c>
      <c r="T38" s="22" t="s">
        <v>151</v>
      </c>
      <c r="U38" s="39" t="str">
        <f aca="false">IF(R38="","",IF(F38="BUY",R38-S38,S38-R38))</f>
        <v/>
      </c>
      <c r="V38" s="39" t="n">
        <f aca="false">IF(F38="BUY",S38-J38,J38-S38)</f>
        <v>-0.746999999999844</v>
      </c>
      <c r="W38" s="6" t="n">
        <v>-20.92</v>
      </c>
      <c r="X38" s="26" t="n">
        <f aca="false">IFERROR(W38/N38,0)</f>
        <v>-0.498095238095238</v>
      </c>
      <c r="Y38" s="22" t="str">
        <f aca="false">IF(W38&gt;0,"Win",IF(W38&lt;0,"Loss","Flat"))</f>
        <v>Loss</v>
      </c>
      <c r="Z38" s="24" t="n">
        <f aca="false">Summary!$C$5+SUM(W$2:W38)</f>
        <v>4198.88</v>
      </c>
      <c r="AA38" s="24" t="n">
        <f aca="false">MAX(AA37,Z38)</f>
        <v>5026.73</v>
      </c>
      <c r="AB38" s="24" t="n">
        <f aca="false">AA38-Z38</f>
        <v>827.85</v>
      </c>
      <c r="AC38" s="23" t="n">
        <f aca="false">IFERROR(AB38/AA38,0)</f>
        <v>0.164689569561126</v>
      </c>
      <c r="AD38" s="22" t="s">
        <v>233</v>
      </c>
    </row>
    <row r="39" customFormat="false" ht="15" hidden="false" customHeight="false" outlineLevel="0" collapsed="false">
      <c r="A39" s="22" t="n">
        <v>38</v>
      </c>
      <c r="B39" s="22" t="s">
        <v>120</v>
      </c>
      <c r="C39" s="37" t="n">
        <v>45825.2580439815</v>
      </c>
      <c r="D39" s="22" t="s">
        <v>163</v>
      </c>
      <c r="E39" s="22" t="n">
        <v>6</v>
      </c>
      <c r="F39" s="22" t="s">
        <v>143</v>
      </c>
      <c r="G39" s="22" t="s">
        <v>197</v>
      </c>
      <c r="H39" s="22" t="n">
        <v>0.27</v>
      </c>
      <c r="I39" s="38" t="n">
        <v>3382.53</v>
      </c>
      <c r="J39" s="38" t="n">
        <v>3382.329</v>
      </c>
      <c r="K39" s="39" t="n">
        <f aca="false">IF(F39="BUY",J39-I39,I39-J39)</f>
        <v>0.201000000000022</v>
      </c>
      <c r="L39" s="38" t="n">
        <v>3384.03</v>
      </c>
      <c r="M39" s="39" t="n">
        <f aca="false">ABS(I39-L39)</f>
        <v>1.5</v>
      </c>
      <c r="N39" s="24" t="n">
        <f aca="false">M39*H39*Summary!$C$6</f>
        <v>40.5</v>
      </c>
      <c r="O39" s="37" t="n">
        <v>45825.2580555556</v>
      </c>
      <c r="P39" s="22" t="n">
        <f aca="false">ROUND((O39-C39)*86400,0)</f>
        <v>1</v>
      </c>
      <c r="Q39" s="22" t="str">
        <f aca="false">IF(P39&lt;10,"a) &lt;10s",IF(P39&lt;60,"b) 10-60s",IF(P39&lt;600,"c) 1-10min","d) &gt;10min")))</f>
        <v>a) &lt;10s</v>
      </c>
      <c r="R39" s="38" t="n">
        <v>3384.03</v>
      </c>
      <c r="S39" s="38" t="n">
        <v>3384.102</v>
      </c>
      <c r="T39" s="22" t="s">
        <v>148</v>
      </c>
      <c r="U39" s="39" t="n">
        <f aca="false">IF(R39="","",IF(F39="BUY",R39-S39,S39-R39))</f>
        <v>0.0719999999996617</v>
      </c>
      <c r="V39" s="39" t="n">
        <f aca="false">IF(F39="BUY",S39-J39,J39-S39)</f>
        <v>-1.77299999999968</v>
      </c>
      <c r="W39" s="6" t="n">
        <v>-47.87</v>
      </c>
      <c r="X39" s="26" t="n">
        <f aca="false">IFERROR(W39/N39,0)</f>
        <v>-1.18197530864198</v>
      </c>
      <c r="Y39" s="22" t="str">
        <f aca="false">IF(W39&gt;0,"Win",IF(W39&lt;0,"Loss","Flat"))</f>
        <v>Loss</v>
      </c>
      <c r="Z39" s="24" t="n">
        <f aca="false">Summary!$C$5+SUM(W$2:W39)</f>
        <v>4151.01</v>
      </c>
      <c r="AA39" s="24" t="n">
        <f aca="false">MAX(AA38,Z39)</f>
        <v>5026.73</v>
      </c>
      <c r="AB39" s="24" t="n">
        <f aca="false">AA39-Z39</f>
        <v>875.719999999999</v>
      </c>
      <c r="AC39" s="23" t="n">
        <f aca="false">IFERROR(AB39/AA39,0)</f>
        <v>0.174212659124321</v>
      </c>
      <c r="AD39" s="22" t="s">
        <v>234</v>
      </c>
    </row>
    <row r="40" customFormat="false" ht="15" hidden="false" customHeight="false" outlineLevel="0" collapsed="false">
      <c r="A40" s="22" t="n">
        <v>39</v>
      </c>
      <c r="B40" s="22" t="s">
        <v>120</v>
      </c>
      <c r="C40" s="37" t="n">
        <v>45826.9374189815</v>
      </c>
      <c r="D40" s="22" t="s">
        <v>164</v>
      </c>
      <c r="E40" s="22" t="n">
        <v>22</v>
      </c>
      <c r="F40" s="22" t="s">
        <v>143</v>
      </c>
      <c r="G40" s="22" t="s">
        <v>197</v>
      </c>
      <c r="H40" s="22" t="n">
        <v>0.27</v>
      </c>
      <c r="I40" s="38" t="n">
        <v>3365.84</v>
      </c>
      <c r="J40" s="38" t="n">
        <v>3365.515</v>
      </c>
      <c r="K40" s="39" t="n">
        <f aca="false">IF(F40="BUY",J40-I40,I40-J40)</f>
        <v>0.325000000000273</v>
      </c>
      <c r="L40" s="38" t="n">
        <v>3367.34</v>
      </c>
      <c r="M40" s="39" t="n">
        <f aca="false">ABS(I40-L40)</f>
        <v>1.5</v>
      </c>
      <c r="N40" s="24" t="n">
        <f aca="false">M40*H40*Summary!$C$6</f>
        <v>40.5</v>
      </c>
      <c r="O40" s="37" t="n">
        <v>45826.9375115741</v>
      </c>
      <c r="P40" s="22" t="n">
        <f aca="false">ROUND((O40-C40)*86400,0)</f>
        <v>8</v>
      </c>
      <c r="Q40" s="22" t="str">
        <f aca="false">IF(P40&lt;10,"a) &lt;10s",IF(P40&lt;60,"b) 10-60s",IF(P40&lt;600,"c) 1-10min","d) &gt;10min")))</f>
        <v>a) &lt;10s</v>
      </c>
      <c r="R40" s="38" t="n">
        <v>3365.52</v>
      </c>
      <c r="S40" s="38" t="n">
        <v>3365.685</v>
      </c>
      <c r="T40" s="22" t="s">
        <v>149</v>
      </c>
      <c r="U40" s="39" t="n">
        <f aca="false">IF(R40="","",IF(F40="BUY",R40-S40,S40-R40))</f>
        <v>0.164999999999964</v>
      </c>
      <c r="V40" s="39" t="n">
        <f aca="false">IF(F40="BUY",S40-J40,J40-S40)</f>
        <v>-0.170000000000073</v>
      </c>
      <c r="W40" s="6" t="n">
        <v>-4.59</v>
      </c>
      <c r="X40" s="26" t="n">
        <f aca="false">IFERROR(W40/N40,0)</f>
        <v>-0.113333333333333</v>
      </c>
      <c r="Y40" s="22" t="str">
        <f aca="false">IF(W40&gt;0,"Win",IF(W40&lt;0,"Loss","Flat"))</f>
        <v>Loss</v>
      </c>
      <c r="Z40" s="24" t="n">
        <f aca="false">Summary!$C$5+SUM(W$2:W40)</f>
        <v>4146.42</v>
      </c>
      <c r="AA40" s="24" t="n">
        <f aca="false">MAX(AA39,Z40)</f>
        <v>5026.73</v>
      </c>
      <c r="AB40" s="24" t="n">
        <f aca="false">AA40-Z40</f>
        <v>880.31</v>
      </c>
      <c r="AC40" s="23" t="n">
        <f aca="false">IFERROR(AB40/AA40,0)</f>
        <v>0.175125777592988</v>
      </c>
      <c r="AD40" s="22" t="s">
        <v>235</v>
      </c>
    </row>
    <row r="41" customFormat="false" ht="15" hidden="false" customHeight="false" outlineLevel="0" collapsed="false">
      <c r="A41" s="22" t="n">
        <v>40</v>
      </c>
      <c r="B41" s="22" t="s">
        <v>120</v>
      </c>
      <c r="C41" s="37" t="n">
        <v>45827.369525463</v>
      </c>
      <c r="D41" s="22" t="s">
        <v>165</v>
      </c>
      <c r="E41" s="22" t="n">
        <v>8</v>
      </c>
      <c r="F41" s="22" t="s">
        <v>143</v>
      </c>
      <c r="G41" s="22" t="s">
        <v>197</v>
      </c>
      <c r="H41" s="22" t="n">
        <v>0.27</v>
      </c>
      <c r="I41" s="38" t="n">
        <v>3362.36</v>
      </c>
      <c r="J41" s="38" t="n">
        <v>3362.255</v>
      </c>
      <c r="K41" s="39" t="n">
        <f aca="false">IF(F41="BUY",J41-I41,I41-J41)</f>
        <v>0.105000000000018</v>
      </c>
      <c r="L41" s="38" t="n">
        <v>3363.86</v>
      </c>
      <c r="M41" s="39" t="n">
        <f aca="false">ABS(I41-L41)</f>
        <v>1.5</v>
      </c>
      <c r="N41" s="24" t="n">
        <f aca="false">M41*H41*Summary!$C$6</f>
        <v>40.5</v>
      </c>
      <c r="O41" s="37" t="n">
        <v>45827.3696759259</v>
      </c>
      <c r="P41" s="22" t="n">
        <f aca="false">ROUND((O41-C41)*86400,0)</f>
        <v>13</v>
      </c>
      <c r="Q41" s="22" t="str">
        <f aca="false">IF(P41&lt;10,"a) &lt;10s",IF(P41&lt;60,"b) 10-60s",IF(P41&lt;600,"c) 1-10min","d) &gt;10min")))</f>
        <v>b) 10-60s</v>
      </c>
      <c r="R41" s="38" t="n">
        <v>3363.86</v>
      </c>
      <c r="S41" s="38" t="n">
        <v>3364.085</v>
      </c>
      <c r="T41" s="22" t="s">
        <v>148</v>
      </c>
      <c r="U41" s="39" t="n">
        <f aca="false">IF(R41="","",IF(F41="BUY",R41-S41,S41-R41))</f>
        <v>0.224999999999909</v>
      </c>
      <c r="V41" s="39" t="n">
        <f aca="false">IF(F41="BUY",S41-J41,J41-S41)</f>
        <v>-1.82999999999993</v>
      </c>
      <c r="W41" s="6" t="n">
        <v>-49.41</v>
      </c>
      <c r="X41" s="26" t="n">
        <f aca="false">IFERROR(W41/N41,0)</f>
        <v>-1.22</v>
      </c>
      <c r="Y41" s="22" t="str">
        <f aca="false">IF(W41&gt;0,"Win",IF(W41&lt;0,"Loss","Flat"))</f>
        <v>Loss</v>
      </c>
      <c r="Z41" s="24" t="n">
        <f aca="false">Summary!$C$5+SUM(W$2:W41)</f>
        <v>4097.01</v>
      </c>
      <c r="AA41" s="24" t="n">
        <f aca="false">MAX(AA40,Z41)</f>
        <v>5026.73</v>
      </c>
      <c r="AB41" s="24" t="n">
        <f aca="false">AA41-Z41</f>
        <v>929.719999999999</v>
      </c>
      <c r="AC41" s="23" t="n">
        <f aca="false">IFERROR(AB41/AA41,0)</f>
        <v>0.184955229343927</v>
      </c>
      <c r="AD41" s="22" t="s">
        <v>236</v>
      </c>
    </row>
    <row r="42" customFormat="false" ht="15" hidden="false" customHeight="false" outlineLevel="0" collapsed="false">
      <c r="A42" s="22" t="n">
        <v>41</v>
      </c>
      <c r="B42" s="22" t="s">
        <v>120</v>
      </c>
      <c r="C42" s="37" t="n">
        <v>45828.2571527778</v>
      </c>
      <c r="D42" s="22" t="s">
        <v>166</v>
      </c>
      <c r="E42" s="22" t="n">
        <v>6</v>
      </c>
      <c r="F42" s="22" t="s">
        <v>143</v>
      </c>
      <c r="G42" s="22" t="s">
        <v>197</v>
      </c>
      <c r="H42" s="22" t="n">
        <v>0.27</v>
      </c>
      <c r="I42" s="38" t="n">
        <v>3347.27</v>
      </c>
      <c r="J42" s="38" t="n">
        <v>3347.075</v>
      </c>
      <c r="K42" s="39" t="n">
        <f aca="false">IF(F42="BUY",J42-I42,I42-J42)</f>
        <v>0.195000000000164</v>
      </c>
      <c r="L42" s="38" t="n">
        <v>3348.77</v>
      </c>
      <c r="M42" s="39" t="n">
        <f aca="false">ABS(I42-L42)</f>
        <v>1.5</v>
      </c>
      <c r="N42" s="24" t="n">
        <f aca="false">M42*H42*Summary!$C$6</f>
        <v>40.5</v>
      </c>
      <c r="O42" s="37" t="n">
        <v>45828.2571643519</v>
      </c>
      <c r="P42" s="22" t="n">
        <f aca="false">ROUND((O42-C42)*86400,0)</f>
        <v>1</v>
      </c>
      <c r="Q42" s="22" t="str">
        <f aca="false">IF(P42&lt;10,"a) &lt;10s",IF(P42&lt;60,"b) 10-60s",IF(P42&lt;600,"c) 1-10min","d) &gt;10min")))</f>
        <v>a) &lt;10s</v>
      </c>
      <c r="R42" s="38" t="n">
        <v>3347.08</v>
      </c>
      <c r="S42" s="38" t="n">
        <v>3347.202</v>
      </c>
      <c r="T42" s="22" t="s">
        <v>149</v>
      </c>
      <c r="U42" s="39" t="n">
        <f aca="false">IF(R42="","",IF(F42="BUY",R42-S42,S42-R42))</f>
        <v>0.122000000000298</v>
      </c>
      <c r="V42" s="39" t="n">
        <f aca="false">IF(F42="BUY",S42-J42,J42-S42)</f>
        <v>-0.127000000000407</v>
      </c>
      <c r="W42" s="6" t="n">
        <v>-3.43</v>
      </c>
      <c r="X42" s="26" t="n">
        <f aca="false">IFERROR(W42/N42,0)</f>
        <v>-0.0846913580246914</v>
      </c>
      <c r="Y42" s="22" t="str">
        <f aca="false">IF(W42&gt;0,"Win",IF(W42&lt;0,"Loss","Flat"))</f>
        <v>Loss</v>
      </c>
      <c r="Z42" s="24" t="n">
        <f aca="false">Summary!$C$5+SUM(W$2:W42)</f>
        <v>4093.58</v>
      </c>
      <c r="AA42" s="24" t="n">
        <f aca="false">MAX(AA41,Z42)</f>
        <v>5026.73</v>
      </c>
      <c r="AB42" s="24" t="n">
        <f aca="false">AA42-Z42</f>
        <v>933.15</v>
      </c>
      <c r="AC42" s="23" t="n">
        <f aca="false">IFERROR(AB42/AA42,0)</f>
        <v>0.185637581489358</v>
      </c>
      <c r="AD42" s="22" t="s">
        <v>237</v>
      </c>
    </row>
    <row r="43" customFormat="false" ht="15" hidden="false" customHeight="false" outlineLevel="0" collapsed="false">
      <c r="A43" s="22" t="n">
        <v>42</v>
      </c>
      <c r="B43" s="22" t="s">
        <v>120</v>
      </c>
      <c r="C43" s="37" t="n">
        <v>45832.1075462963</v>
      </c>
      <c r="D43" s="22" t="s">
        <v>163</v>
      </c>
      <c r="E43" s="22" t="n">
        <v>2</v>
      </c>
      <c r="F43" s="22" t="s">
        <v>143</v>
      </c>
      <c r="G43" s="22" t="s">
        <v>197</v>
      </c>
      <c r="H43" s="22" t="n">
        <v>0.27</v>
      </c>
      <c r="I43" s="38" t="n">
        <v>3346.68</v>
      </c>
      <c r="J43" s="38" t="n">
        <v>3346.045</v>
      </c>
      <c r="K43" s="39" t="n">
        <f aca="false">IF(F43="BUY",J43-I43,I43-J43)</f>
        <v>0.634999999999764</v>
      </c>
      <c r="L43" s="38" t="n">
        <v>3348.18</v>
      </c>
      <c r="M43" s="39" t="n">
        <f aca="false">ABS(I43-L43)</f>
        <v>1.5</v>
      </c>
      <c r="N43" s="24" t="n">
        <f aca="false">M43*H43*Summary!$C$6</f>
        <v>40.5</v>
      </c>
      <c r="O43" s="37" t="n">
        <v>45832.1075925926</v>
      </c>
      <c r="P43" s="22" t="n">
        <f aca="false">ROUND((O43-C43)*86400,0)</f>
        <v>4</v>
      </c>
      <c r="Q43" s="22" t="str">
        <f aca="false">IF(P43&lt;10,"a) &lt;10s",IF(P43&lt;60,"b) 10-60s",IF(P43&lt;600,"c) 1-10min","d) &gt;10min")))</f>
        <v>a) &lt;10s</v>
      </c>
      <c r="R43" s="38" t="n">
        <v>3345.88</v>
      </c>
      <c r="S43" s="38" t="n">
        <v>3345.952</v>
      </c>
      <c r="T43" s="22" t="s">
        <v>149</v>
      </c>
      <c r="U43" s="39" t="n">
        <f aca="false">IF(R43="","",IF(F43="BUY",R43-S43,S43-R43))</f>
        <v>0.0720000000001164</v>
      </c>
      <c r="V43" s="39" t="n">
        <f aca="false">IF(F43="BUY",S43-J43,J43-S43)</f>
        <v>0.0929999999998472</v>
      </c>
      <c r="W43" s="6" t="n">
        <v>2.51</v>
      </c>
      <c r="X43" s="26" t="n">
        <f aca="false">IFERROR(W43/N43,0)</f>
        <v>0.0619753086419753</v>
      </c>
      <c r="Y43" s="22" t="str">
        <f aca="false">IF(W43&gt;0,"Win",IF(W43&lt;0,"Loss","Flat"))</f>
        <v>Win</v>
      </c>
      <c r="Z43" s="24" t="n">
        <f aca="false">Summary!$C$5+SUM(W$2:W43)</f>
        <v>4096.09</v>
      </c>
      <c r="AA43" s="24" t="n">
        <f aca="false">MAX(AA42,Z43)</f>
        <v>5026.73</v>
      </c>
      <c r="AB43" s="24" t="n">
        <f aca="false">AA43-Z43</f>
        <v>930.639999999999</v>
      </c>
      <c r="AC43" s="23" t="n">
        <f aca="false">IFERROR(AB43/AA43,0)</f>
        <v>0.185138250910632</v>
      </c>
      <c r="AD43" s="22" t="s">
        <v>238</v>
      </c>
    </row>
    <row r="44" customFormat="false" ht="15" hidden="false" customHeight="false" outlineLevel="0" collapsed="false">
      <c r="A44" s="22" t="n">
        <v>43</v>
      </c>
      <c r="B44" s="22" t="s">
        <v>120</v>
      </c>
      <c r="C44" s="37" t="n">
        <v>45834.0896296296</v>
      </c>
      <c r="D44" s="22" t="s">
        <v>165</v>
      </c>
      <c r="E44" s="22" t="n">
        <v>2</v>
      </c>
      <c r="F44" s="22" t="s">
        <v>142</v>
      </c>
      <c r="G44" s="22" t="s">
        <v>195</v>
      </c>
      <c r="H44" s="22" t="n">
        <v>0.27</v>
      </c>
      <c r="I44" s="38" t="n">
        <v>3336.85</v>
      </c>
      <c r="J44" s="38" t="n">
        <v>3336.902</v>
      </c>
      <c r="K44" s="39" t="n">
        <f aca="false">IF(F44="BUY",J44-I44,I44-J44)</f>
        <v>0.0520000000001346</v>
      </c>
      <c r="L44" s="38" t="n">
        <v>3335.35</v>
      </c>
      <c r="M44" s="39" t="n">
        <f aca="false">ABS(I44-L44)</f>
        <v>1.5</v>
      </c>
      <c r="N44" s="24" t="n">
        <f aca="false">M44*H44*Summary!$C$6</f>
        <v>40.5</v>
      </c>
      <c r="O44" s="37" t="n">
        <v>45834.0920486111</v>
      </c>
      <c r="P44" s="22" t="n">
        <f aca="false">ROUND((O44-C44)*86400,0)</f>
        <v>209</v>
      </c>
      <c r="Q44" s="22" t="str">
        <f aca="false">IF(P44&lt;10,"a) &lt;10s",IF(P44&lt;60,"b) 10-60s",IF(P44&lt;600,"c) 1-10min","d) &gt;10min")))</f>
        <v>c) 1-10min</v>
      </c>
      <c r="R44" s="38" t="n">
        <v>3336.9</v>
      </c>
      <c r="S44" s="38" t="n">
        <v>3336.825</v>
      </c>
      <c r="T44" s="22" t="s">
        <v>149</v>
      </c>
      <c r="U44" s="39" t="n">
        <f aca="false">IF(R44="","",IF(F44="BUY",R44-S44,S44-R44))</f>
        <v>0.0750000000002729</v>
      </c>
      <c r="V44" s="39" t="n">
        <f aca="false">IF(F44="BUY",S44-J44,J44-S44)</f>
        <v>-0.0770000000002256</v>
      </c>
      <c r="W44" s="6" t="n">
        <v>-2.08</v>
      </c>
      <c r="X44" s="26" t="n">
        <f aca="false">IFERROR(W44/N44,0)</f>
        <v>-0.051358024691358</v>
      </c>
      <c r="Y44" s="22" t="str">
        <f aca="false">IF(W44&gt;0,"Win",IF(W44&lt;0,"Loss","Flat"))</f>
        <v>Loss</v>
      </c>
      <c r="Z44" s="24" t="n">
        <f aca="false">Summary!$C$5+SUM(W$2:W44)</f>
        <v>4094.01</v>
      </c>
      <c r="AA44" s="24" t="n">
        <f aca="false">MAX(AA43,Z44)</f>
        <v>5026.73</v>
      </c>
      <c r="AB44" s="24" t="n">
        <f aca="false">AA44-Z44</f>
        <v>932.719999999999</v>
      </c>
      <c r="AC44" s="23" t="n">
        <f aca="false">IFERROR(AB44/AA44,0)</f>
        <v>0.185552038800572</v>
      </c>
      <c r="AD44" s="22" t="s">
        <v>239</v>
      </c>
    </row>
    <row r="45" customFormat="false" ht="15" hidden="false" customHeight="false" outlineLevel="0" collapsed="false">
      <c r="A45" s="22" t="n">
        <v>44</v>
      </c>
      <c r="B45" s="22" t="s">
        <v>120</v>
      </c>
      <c r="C45" s="37" t="n">
        <v>45834.6913310185</v>
      </c>
      <c r="D45" s="22" t="s">
        <v>165</v>
      </c>
      <c r="E45" s="22" t="n">
        <v>16</v>
      </c>
      <c r="F45" s="22" t="s">
        <v>143</v>
      </c>
      <c r="G45" s="22" t="s">
        <v>197</v>
      </c>
      <c r="H45" s="22" t="n">
        <v>0.27</v>
      </c>
      <c r="I45" s="38" t="n">
        <v>3311.71</v>
      </c>
      <c r="J45" s="38" t="n">
        <v>3311.325</v>
      </c>
      <c r="K45" s="39" t="n">
        <f aca="false">IF(F45="BUY",J45-I45,I45-J45)</f>
        <v>0.385000000000218</v>
      </c>
      <c r="L45" s="38" t="n">
        <v>3313.21</v>
      </c>
      <c r="M45" s="39" t="n">
        <f aca="false">ABS(I45-L45)</f>
        <v>1.5</v>
      </c>
      <c r="N45" s="24" t="n">
        <f aca="false">M45*H45*Summary!$C$6</f>
        <v>40.5</v>
      </c>
      <c r="O45" s="37" t="n">
        <v>45834.6915509259</v>
      </c>
      <c r="P45" s="22" t="n">
        <f aca="false">ROUND((O45-C45)*86400,0)</f>
        <v>19</v>
      </c>
      <c r="Q45" s="22" t="str">
        <f aca="false">IF(P45&lt;10,"a) &lt;10s",IF(P45&lt;60,"b) 10-60s",IF(P45&lt;600,"c) 1-10min","d) &gt;10min")))</f>
        <v>b) 10-60s</v>
      </c>
      <c r="R45" s="38" t="n">
        <v>3311.33</v>
      </c>
      <c r="S45" s="38" t="n">
        <v>3311.405</v>
      </c>
      <c r="T45" s="22" t="s">
        <v>149</v>
      </c>
      <c r="U45" s="39" t="n">
        <f aca="false">IF(R45="","",IF(F45="BUY",R45-S45,S45-R45))</f>
        <v>0.0750000000002729</v>
      </c>
      <c r="V45" s="39" t="n">
        <f aca="false">IF(F45="BUY",S45-J45,J45-S45)</f>
        <v>-0.080000000000382</v>
      </c>
      <c r="W45" s="6" t="n">
        <v>-2.16</v>
      </c>
      <c r="X45" s="26" t="n">
        <f aca="false">IFERROR(W45/N45,0)</f>
        <v>-0.0533333333333333</v>
      </c>
      <c r="Y45" s="22" t="str">
        <f aca="false">IF(W45&gt;0,"Win",IF(W45&lt;0,"Loss","Flat"))</f>
        <v>Loss</v>
      </c>
      <c r="Z45" s="24" t="n">
        <f aca="false">Summary!$C$5+SUM(W$2:W45)</f>
        <v>4091.85</v>
      </c>
      <c r="AA45" s="24" t="n">
        <f aca="false">MAX(AA44,Z45)</f>
        <v>5026.73</v>
      </c>
      <c r="AB45" s="24" t="n">
        <f aca="false">AA45-Z45</f>
        <v>934.88</v>
      </c>
      <c r="AC45" s="23" t="n">
        <f aca="false">IFERROR(AB45/AA45,0)</f>
        <v>0.185981741609356</v>
      </c>
      <c r="AD45" s="22" t="s">
        <v>240</v>
      </c>
    </row>
    <row r="46" customFormat="false" ht="15" hidden="false" customHeight="false" outlineLevel="0" collapsed="false">
      <c r="A46" s="22" t="n">
        <v>45</v>
      </c>
      <c r="B46" s="22" t="s">
        <v>120</v>
      </c>
      <c r="C46" s="37" t="n">
        <v>45835.2421180556</v>
      </c>
      <c r="D46" s="22" t="s">
        <v>166</v>
      </c>
      <c r="E46" s="22" t="n">
        <v>5</v>
      </c>
      <c r="F46" s="22" t="s">
        <v>143</v>
      </c>
      <c r="G46" s="22" t="s">
        <v>197</v>
      </c>
      <c r="H46" s="22" t="n">
        <v>0.27</v>
      </c>
      <c r="I46" s="38" t="n">
        <v>3309.7</v>
      </c>
      <c r="J46" s="38" t="n">
        <v>3309.655</v>
      </c>
      <c r="K46" s="39" t="n">
        <f aca="false">IF(F46="BUY",J46-I46,I46-J46)</f>
        <v>0.044999999999618</v>
      </c>
      <c r="L46" s="38" t="n">
        <v>3311.2</v>
      </c>
      <c r="M46" s="39" t="n">
        <f aca="false">ABS(I46-L46)</f>
        <v>1.5</v>
      </c>
      <c r="N46" s="24" t="n">
        <f aca="false">M46*H46*Summary!$C$6</f>
        <v>40.5</v>
      </c>
      <c r="O46" s="37" t="n">
        <v>45835.2426851852</v>
      </c>
      <c r="P46" s="22" t="n">
        <f aca="false">ROUND((O46-C46)*86400,0)</f>
        <v>49</v>
      </c>
      <c r="Q46" s="22" t="str">
        <f aca="false">IF(P46&lt;10,"a) &lt;10s",IF(P46&lt;60,"b) 10-60s",IF(P46&lt;600,"c) 1-10min","d) &gt;10min")))</f>
        <v>b) 10-60s</v>
      </c>
      <c r="R46" s="38" t="n">
        <v>3309.4</v>
      </c>
      <c r="S46" s="38" t="n">
        <v>3309.492</v>
      </c>
      <c r="T46" s="22" t="s">
        <v>149</v>
      </c>
      <c r="U46" s="39" t="n">
        <f aca="false">IF(R46="","",IF(F46="BUY",R46-S46,S46-R46))</f>
        <v>0.0920000000000982</v>
      </c>
      <c r="V46" s="39" t="n">
        <f aca="false">IF(F46="BUY",S46-J46,J46-S46)</f>
        <v>0.163000000000011</v>
      </c>
      <c r="W46" s="6" t="n">
        <v>4.4</v>
      </c>
      <c r="X46" s="26" t="n">
        <f aca="false">IFERROR(W46/N46,0)</f>
        <v>0.108641975308642</v>
      </c>
      <c r="Y46" s="22" t="str">
        <f aca="false">IF(W46&gt;0,"Win",IF(W46&lt;0,"Loss","Flat"))</f>
        <v>Win</v>
      </c>
      <c r="Z46" s="24" t="n">
        <f aca="false">Summary!$C$5+SUM(W$2:W46)</f>
        <v>4096.25</v>
      </c>
      <c r="AA46" s="24" t="n">
        <f aca="false">MAX(AA45,Z46)</f>
        <v>5026.73</v>
      </c>
      <c r="AB46" s="24" t="n">
        <f aca="false">AA46-Z46</f>
        <v>930.48</v>
      </c>
      <c r="AC46" s="23" t="n">
        <f aca="false">IFERROR(AB46/AA46,0)</f>
        <v>0.185106421072944</v>
      </c>
      <c r="AD46" s="22" t="s">
        <v>241</v>
      </c>
    </row>
    <row r="47" customFormat="false" ht="15" hidden="false" customHeight="false" outlineLevel="0" collapsed="false">
      <c r="A47" s="22" t="n">
        <v>46</v>
      </c>
      <c r="B47" s="22" t="s">
        <v>120</v>
      </c>
      <c r="C47" s="37" t="n">
        <v>45838.0572916667</v>
      </c>
      <c r="D47" s="22" t="s">
        <v>162</v>
      </c>
      <c r="E47" s="22" t="n">
        <v>1</v>
      </c>
      <c r="F47" s="22" t="s">
        <v>143</v>
      </c>
      <c r="G47" s="22" t="s">
        <v>197</v>
      </c>
      <c r="H47" s="22" t="n">
        <v>0.27</v>
      </c>
      <c r="I47" s="38" t="n">
        <v>3255.49</v>
      </c>
      <c r="J47" s="38" t="n">
        <v>3254.891</v>
      </c>
      <c r="K47" s="39" t="n">
        <f aca="false">IF(F47="BUY",J47-I47,I47-J47)</f>
        <v>0.598999999999705</v>
      </c>
      <c r="L47" s="38" t="n">
        <v>3256.99</v>
      </c>
      <c r="M47" s="39" t="n">
        <f aca="false">ABS(I47-L47)</f>
        <v>1.5</v>
      </c>
      <c r="N47" s="24" t="n">
        <f aca="false">M47*H47*Summary!$C$6</f>
        <v>40.5</v>
      </c>
      <c r="O47" s="37" t="n">
        <v>45838.0573148148</v>
      </c>
      <c r="P47" s="22" t="n">
        <f aca="false">ROUND((O47-C47)*86400,0)</f>
        <v>2</v>
      </c>
      <c r="Q47" s="22" t="str">
        <f aca="false">IF(P47&lt;10,"a) &lt;10s",IF(P47&lt;60,"b) 10-60s",IF(P47&lt;600,"c) 1-10min","d) &gt;10min")))</f>
        <v>a) &lt;10s</v>
      </c>
      <c r="R47" s="38" t="n">
        <v>3256.99</v>
      </c>
      <c r="S47" s="38" t="n">
        <v>3257.075</v>
      </c>
      <c r="T47" s="22" t="s">
        <v>148</v>
      </c>
      <c r="U47" s="39" t="n">
        <f aca="false">IF(R47="","",IF(F47="BUY",R47-S47,S47-R47))</f>
        <v>0.0850000000000364</v>
      </c>
      <c r="V47" s="39" t="n">
        <f aca="false">IF(F47="BUY",S47-J47,J47-S47)</f>
        <v>-2.18399999999974</v>
      </c>
      <c r="W47" s="6" t="n">
        <v>-58.97</v>
      </c>
      <c r="X47" s="26" t="n">
        <f aca="false">IFERROR(W47/N47,0)</f>
        <v>-1.45604938271605</v>
      </c>
      <c r="Y47" s="22" t="str">
        <f aca="false">IF(W47&gt;0,"Win",IF(W47&lt;0,"Loss","Flat"))</f>
        <v>Loss</v>
      </c>
      <c r="Z47" s="24" t="n">
        <f aca="false">Summary!$C$5+SUM(W$2:W47)</f>
        <v>4037.28</v>
      </c>
      <c r="AA47" s="24" t="n">
        <f aca="false">MAX(AA46,Z47)</f>
        <v>5026.73</v>
      </c>
      <c r="AB47" s="24" t="n">
        <f aca="false">AA47-Z47</f>
        <v>989.45</v>
      </c>
      <c r="AC47" s="23" t="n">
        <f aca="false">IFERROR(AB47/AA47,0)</f>
        <v>0.196837705625725</v>
      </c>
      <c r="AD47" s="22" t="s">
        <v>242</v>
      </c>
    </row>
    <row r="48" customFormat="false" ht="15" hidden="false" customHeight="false" outlineLevel="0" collapsed="false">
      <c r="A48" s="22" t="n">
        <v>47</v>
      </c>
      <c r="B48" s="22" t="s">
        <v>121</v>
      </c>
      <c r="C48" s="37" t="n">
        <v>45839.0728472222</v>
      </c>
      <c r="D48" s="22" t="s">
        <v>163</v>
      </c>
      <c r="E48" s="22" t="n">
        <v>1</v>
      </c>
      <c r="F48" s="22" t="s">
        <v>142</v>
      </c>
      <c r="G48" s="22" t="s">
        <v>195</v>
      </c>
      <c r="H48" s="22" t="n">
        <v>0.26</v>
      </c>
      <c r="I48" s="38" t="n">
        <v>3309.35</v>
      </c>
      <c r="J48" s="38" t="n">
        <v>3309.425</v>
      </c>
      <c r="K48" s="39" t="n">
        <f aca="false">IF(F48="BUY",J48-I48,I48-J48)</f>
        <v>0.0750000000002729</v>
      </c>
      <c r="L48" s="38" t="n">
        <v>3307.85</v>
      </c>
      <c r="M48" s="39" t="n">
        <f aca="false">ABS(I48-L48)</f>
        <v>1.5</v>
      </c>
      <c r="N48" s="24" t="n">
        <f aca="false">M48*H48*Summary!$C$6</f>
        <v>39</v>
      </c>
      <c r="O48" s="37" t="n">
        <v>45839.073599537</v>
      </c>
      <c r="P48" s="22" t="n">
        <f aca="false">ROUND((O48-C48)*86400,0)</f>
        <v>65</v>
      </c>
      <c r="Q48" s="22" t="str">
        <f aca="false">IF(P48&lt;10,"a) &lt;10s",IF(P48&lt;60,"b) 10-60s",IF(P48&lt;600,"c) 1-10min","d) &gt;10min")))</f>
        <v>c) 1-10min</v>
      </c>
      <c r="R48" s="38" t="n">
        <v>3307.85</v>
      </c>
      <c r="S48" s="38" t="n">
        <v>3307.798</v>
      </c>
      <c r="T48" s="22" t="s">
        <v>148</v>
      </c>
      <c r="U48" s="39" t="n">
        <f aca="false">IF(R48="","",IF(F48="BUY",R48-S48,S48-R48))</f>
        <v>0.0520000000001346</v>
      </c>
      <c r="V48" s="39" t="n">
        <f aca="false">IF(F48="BUY",S48-J48,J48-S48)</f>
        <v>-1.62700000000041</v>
      </c>
      <c r="W48" s="6" t="n">
        <v>-42.3</v>
      </c>
      <c r="X48" s="26" t="n">
        <f aca="false">IFERROR(W48/N48,0)</f>
        <v>-1.08461538461538</v>
      </c>
      <c r="Y48" s="22" t="str">
        <f aca="false">IF(W48&gt;0,"Win",IF(W48&lt;0,"Loss","Flat"))</f>
        <v>Loss</v>
      </c>
      <c r="Z48" s="24" t="n">
        <f aca="false">Summary!$C$5+SUM(W$2:W48)</f>
        <v>3994.98</v>
      </c>
      <c r="AA48" s="24" t="n">
        <f aca="false">MAX(AA47,Z48)</f>
        <v>5026.73</v>
      </c>
      <c r="AB48" s="24" t="n">
        <f aca="false">AA48-Z48</f>
        <v>1031.75</v>
      </c>
      <c r="AC48" s="23" t="n">
        <f aca="false">IFERROR(AB48/AA48,0)</f>
        <v>0.205252718964416</v>
      </c>
      <c r="AD48" s="22" t="s">
        <v>243</v>
      </c>
    </row>
    <row r="49" customFormat="false" ht="15" hidden="false" customHeight="false" outlineLevel="0" collapsed="false">
      <c r="A49" s="22" t="n">
        <v>48</v>
      </c>
      <c r="B49" s="22" t="s">
        <v>121</v>
      </c>
      <c r="C49" s="37" t="n">
        <v>45841.6493518519</v>
      </c>
      <c r="D49" s="22" t="s">
        <v>165</v>
      </c>
      <c r="E49" s="22" t="n">
        <v>15</v>
      </c>
      <c r="F49" s="22" t="s">
        <v>143</v>
      </c>
      <c r="G49" s="22" t="s">
        <v>197</v>
      </c>
      <c r="H49" s="22" t="n">
        <v>0.26</v>
      </c>
      <c r="I49" s="38" t="n">
        <v>3327.28</v>
      </c>
      <c r="J49" s="38" t="n">
        <v>3327.145</v>
      </c>
      <c r="K49" s="39" t="n">
        <f aca="false">IF(F49="BUY",J49-I49,I49-J49)</f>
        <v>0.135000000000218</v>
      </c>
      <c r="L49" s="38" t="n">
        <v>3328.78</v>
      </c>
      <c r="M49" s="39" t="n">
        <f aca="false">ABS(I49-L49)</f>
        <v>1.5</v>
      </c>
      <c r="N49" s="24" t="n">
        <f aca="false">M49*H49*Summary!$C$6</f>
        <v>39</v>
      </c>
      <c r="O49" s="37" t="n">
        <v>45841.6494212963</v>
      </c>
      <c r="P49" s="22" t="n">
        <f aca="false">ROUND((O49-C49)*86400,0)</f>
        <v>6</v>
      </c>
      <c r="Q49" s="22" t="str">
        <f aca="false">IF(P49&lt;10,"a) &lt;10s",IF(P49&lt;60,"b) 10-60s",IF(P49&lt;600,"c) 1-10min","d) &gt;10min")))</f>
        <v>a) &lt;10s</v>
      </c>
      <c r="R49" s="38" t="n">
        <v>3328.78</v>
      </c>
      <c r="S49" s="38" t="n">
        <v>3328.785</v>
      </c>
      <c r="T49" s="22" t="s">
        <v>148</v>
      </c>
      <c r="U49" s="39" t="n">
        <f aca="false">IF(R49="","",IF(F49="BUY",R49-S49,S49-R49))</f>
        <v>0.00499999999965439</v>
      </c>
      <c r="V49" s="39" t="n">
        <f aca="false">IF(F49="BUY",S49-J49,J49-S49)</f>
        <v>-1.63999999999987</v>
      </c>
      <c r="W49" s="6" t="n">
        <v>-42.64</v>
      </c>
      <c r="X49" s="26" t="n">
        <f aca="false">IFERROR(W49/N49,0)</f>
        <v>-1.09333333333333</v>
      </c>
      <c r="Y49" s="22" t="str">
        <f aca="false">IF(W49&gt;0,"Win",IF(W49&lt;0,"Loss","Flat"))</f>
        <v>Loss</v>
      </c>
      <c r="Z49" s="24" t="n">
        <f aca="false">Summary!$C$5+SUM(W$2:W49)</f>
        <v>3952.34</v>
      </c>
      <c r="AA49" s="24" t="n">
        <f aca="false">MAX(AA48,Z49)</f>
        <v>5026.73</v>
      </c>
      <c r="AB49" s="24" t="n">
        <f aca="false">AA49-Z49</f>
        <v>1074.39</v>
      </c>
      <c r="AC49" s="23" t="n">
        <f aca="false">IFERROR(AB49/AA49,0)</f>
        <v>0.213735370708194</v>
      </c>
      <c r="AD49" s="22" t="s">
        <v>244</v>
      </c>
    </row>
    <row r="50" customFormat="false" ht="15" hidden="false" customHeight="false" outlineLevel="0" collapsed="false">
      <c r="A50" s="22" t="n">
        <v>49</v>
      </c>
      <c r="B50" s="22" t="s">
        <v>121</v>
      </c>
      <c r="C50" s="37" t="n">
        <v>45845.1328935185</v>
      </c>
      <c r="D50" s="22" t="s">
        <v>162</v>
      </c>
      <c r="E50" s="22" t="n">
        <v>3</v>
      </c>
      <c r="F50" s="22" t="s">
        <v>143</v>
      </c>
      <c r="G50" s="22" t="s">
        <v>197</v>
      </c>
      <c r="H50" s="22" t="n">
        <v>0.26</v>
      </c>
      <c r="I50" s="38" t="n">
        <v>3323.35</v>
      </c>
      <c r="J50" s="38" t="n">
        <v>3323.085</v>
      </c>
      <c r="K50" s="39" t="n">
        <f aca="false">IF(F50="BUY",J50-I50,I50-J50)</f>
        <v>0.264999999999873</v>
      </c>
      <c r="L50" s="38" t="n">
        <v>3324.85</v>
      </c>
      <c r="M50" s="39" t="n">
        <f aca="false">ABS(I50-L50)</f>
        <v>1.5</v>
      </c>
      <c r="N50" s="24" t="n">
        <f aca="false">M50*H50*Summary!$C$6</f>
        <v>39</v>
      </c>
      <c r="O50" s="37" t="n">
        <v>45845.1337384259</v>
      </c>
      <c r="P50" s="22" t="n">
        <f aca="false">ROUND((O50-C50)*86400,0)</f>
        <v>73</v>
      </c>
      <c r="Q50" s="22" t="str">
        <f aca="false">IF(P50&lt;10,"a) &lt;10s",IF(P50&lt;60,"b) 10-60s",IF(P50&lt;600,"c) 1-10min","d) &gt;10min")))</f>
        <v>c) 1-10min</v>
      </c>
      <c r="R50" s="38" t="n">
        <v>3324.85</v>
      </c>
      <c r="S50" s="38" t="n">
        <v>3324.865</v>
      </c>
      <c r="T50" s="22" t="s">
        <v>148</v>
      </c>
      <c r="U50" s="39" t="n">
        <f aca="false">IF(R50="","",IF(F50="BUY",R50-S50,S50-R50))</f>
        <v>0.0149999999998727</v>
      </c>
      <c r="V50" s="39" t="n">
        <f aca="false">IF(F50="BUY",S50-J50,J50-S50)</f>
        <v>-1.77999999999975</v>
      </c>
      <c r="W50" s="6" t="n">
        <v>-46.28</v>
      </c>
      <c r="X50" s="26" t="n">
        <f aca="false">IFERROR(W50/N50,0)</f>
        <v>-1.18666666666667</v>
      </c>
      <c r="Y50" s="22" t="str">
        <f aca="false">IF(W50&gt;0,"Win",IF(W50&lt;0,"Loss","Flat"))</f>
        <v>Loss</v>
      </c>
      <c r="Z50" s="24" t="n">
        <f aca="false">Summary!$C$5+SUM(W$2:W50)</f>
        <v>3906.06</v>
      </c>
      <c r="AA50" s="24" t="n">
        <f aca="false">MAX(AA49,Z50)</f>
        <v>5026.73</v>
      </c>
      <c r="AB50" s="24" t="n">
        <f aca="false">AA50-Z50</f>
        <v>1120.67</v>
      </c>
      <c r="AC50" s="23" t="n">
        <f aca="false">IFERROR(AB50/AA50,0)</f>
        <v>0.222942151259367</v>
      </c>
      <c r="AD50" s="22" t="s">
        <v>245</v>
      </c>
    </row>
    <row r="51" customFormat="false" ht="15" hidden="false" customHeight="false" outlineLevel="0" collapsed="false">
      <c r="A51" s="22" t="n">
        <v>50</v>
      </c>
      <c r="B51" s="22" t="s">
        <v>121</v>
      </c>
      <c r="C51" s="37" t="n">
        <v>45846.7381712963</v>
      </c>
      <c r="D51" s="22" t="s">
        <v>163</v>
      </c>
      <c r="E51" s="22" t="n">
        <v>17</v>
      </c>
      <c r="F51" s="22" t="s">
        <v>143</v>
      </c>
      <c r="G51" s="22" t="s">
        <v>197</v>
      </c>
      <c r="H51" s="22" t="n">
        <v>0.26</v>
      </c>
      <c r="I51" s="38" t="n">
        <v>3296.2</v>
      </c>
      <c r="J51" s="38" t="n">
        <v>3296.145</v>
      </c>
      <c r="K51" s="39" t="n">
        <f aca="false">IF(F51="BUY",J51-I51,I51-J51)</f>
        <v>0.0549999999998363</v>
      </c>
      <c r="L51" s="38" t="n">
        <v>3297.7</v>
      </c>
      <c r="M51" s="39" t="n">
        <f aca="false">ABS(I51-L51)</f>
        <v>1.5</v>
      </c>
      <c r="N51" s="24" t="n">
        <f aca="false">M51*H51*Summary!$C$6</f>
        <v>39</v>
      </c>
      <c r="O51" s="37" t="n">
        <v>45846.7382291667</v>
      </c>
      <c r="P51" s="22" t="n">
        <f aca="false">ROUND((O51-C51)*86400,0)</f>
        <v>5</v>
      </c>
      <c r="Q51" s="22" t="str">
        <f aca="false">IF(P51&lt;10,"a) &lt;10s",IF(P51&lt;60,"b) 10-60s",IF(P51&lt;600,"c) 1-10min","d) &gt;10min")))</f>
        <v>a) &lt;10s</v>
      </c>
      <c r="R51" s="38" t="n">
        <v>3295.85</v>
      </c>
      <c r="S51" s="38" t="n">
        <v>3296.152</v>
      </c>
      <c r="T51" s="22" t="s">
        <v>149</v>
      </c>
      <c r="U51" s="39" t="n">
        <f aca="false">IF(R51="","",IF(F51="BUY",R51-S51,S51-R51))</f>
        <v>0.302000000000135</v>
      </c>
      <c r="V51" s="39" t="n">
        <f aca="false">IF(F51="BUY",S51-J51,J51-S51)</f>
        <v>-0.00700000000006185</v>
      </c>
      <c r="W51" s="6" t="n">
        <v>-0.18</v>
      </c>
      <c r="X51" s="26" t="n">
        <f aca="false">IFERROR(W51/N51,0)</f>
        <v>-0.00461538461538462</v>
      </c>
      <c r="Y51" s="22" t="str">
        <f aca="false">IF(W51&gt;0,"Win",IF(W51&lt;0,"Loss","Flat"))</f>
        <v>Loss</v>
      </c>
      <c r="Z51" s="24" t="n">
        <f aca="false">Summary!$C$5+SUM(W$2:W51)</f>
        <v>3905.88</v>
      </c>
      <c r="AA51" s="24" t="n">
        <f aca="false">MAX(AA50,Z51)</f>
        <v>5026.73</v>
      </c>
      <c r="AB51" s="24" t="n">
        <f aca="false">AA51-Z51</f>
        <v>1120.85</v>
      </c>
      <c r="AC51" s="23" t="n">
        <f aca="false">IFERROR(AB51/AA51,0)</f>
        <v>0.222977959826766</v>
      </c>
      <c r="AD51" s="22" t="s">
        <v>246</v>
      </c>
    </row>
    <row r="52" customFormat="false" ht="15" hidden="false" customHeight="false" outlineLevel="0" collapsed="false">
      <c r="A52" s="22" t="n">
        <v>51</v>
      </c>
      <c r="B52" s="22" t="s">
        <v>121</v>
      </c>
      <c r="C52" s="37" t="n">
        <v>45847.2435763889</v>
      </c>
      <c r="D52" s="22" t="s">
        <v>164</v>
      </c>
      <c r="E52" s="22" t="n">
        <v>5</v>
      </c>
      <c r="F52" s="22" t="s">
        <v>143</v>
      </c>
      <c r="G52" s="22" t="s">
        <v>197</v>
      </c>
      <c r="H52" s="22" t="n">
        <v>0.26</v>
      </c>
      <c r="I52" s="38" t="n">
        <v>3286.91</v>
      </c>
      <c r="J52" s="38" t="n">
        <v>3286.698</v>
      </c>
      <c r="K52" s="39" t="n">
        <f aca="false">IF(F52="BUY",J52-I52,I52-J52)</f>
        <v>0.211999999999989</v>
      </c>
      <c r="L52" s="38" t="n">
        <v>3288.41</v>
      </c>
      <c r="M52" s="39" t="n">
        <f aca="false">ABS(I52-L52)</f>
        <v>1.5</v>
      </c>
      <c r="N52" s="24" t="n">
        <f aca="false">M52*H52*Summary!$C$6</f>
        <v>39</v>
      </c>
      <c r="O52" s="37" t="n">
        <v>45847.24375</v>
      </c>
      <c r="P52" s="22" t="n">
        <f aca="false">ROUND((O52-C52)*86400,0)</f>
        <v>15</v>
      </c>
      <c r="Q52" s="22" t="str">
        <f aca="false">IF(P52&lt;10,"a) &lt;10s",IF(P52&lt;60,"b) 10-60s",IF(P52&lt;600,"c) 1-10min","d) &gt;10min")))</f>
        <v>b) 10-60s</v>
      </c>
      <c r="R52" s="38" t="n">
        <v>3288.41</v>
      </c>
      <c r="S52" s="38" t="n">
        <v>3288.415</v>
      </c>
      <c r="T52" s="22" t="s">
        <v>148</v>
      </c>
      <c r="U52" s="39" t="n">
        <f aca="false">IF(R52="","",IF(F52="BUY",R52-S52,S52-R52))</f>
        <v>0.00500000000010914</v>
      </c>
      <c r="V52" s="39" t="n">
        <f aca="false">IF(F52="BUY",S52-J52,J52-S52)</f>
        <v>-1.7170000000001</v>
      </c>
      <c r="W52" s="6" t="n">
        <v>-44.64</v>
      </c>
      <c r="X52" s="26" t="n">
        <f aca="false">IFERROR(W52/N52,0)</f>
        <v>-1.14461538461538</v>
      </c>
      <c r="Y52" s="22" t="str">
        <f aca="false">IF(W52&gt;0,"Win",IF(W52&lt;0,"Loss","Flat"))</f>
        <v>Loss</v>
      </c>
      <c r="Z52" s="24" t="n">
        <f aca="false">Summary!$C$5+SUM(W$2:W52)</f>
        <v>3861.24</v>
      </c>
      <c r="AA52" s="24" t="n">
        <f aca="false">MAX(AA51,Z52)</f>
        <v>5026.73</v>
      </c>
      <c r="AB52" s="24" t="n">
        <f aca="false">AA52-Z52</f>
        <v>1165.49</v>
      </c>
      <c r="AC52" s="23" t="n">
        <f aca="false">IFERROR(AB52/AA52,0)</f>
        <v>0.23185848454164</v>
      </c>
      <c r="AD52" s="22" t="s">
        <v>247</v>
      </c>
    </row>
    <row r="53" customFormat="false" ht="15" hidden="false" customHeight="false" outlineLevel="0" collapsed="false">
      <c r="A53" s="22" t="n">
        <v>52</v>
      </c>
      <c r="B53" s="22" t="s">
        <v>121</v>
      </c>
      <c r="C53" s="37" t="n">
        <v>45849.1464467593</v>
      </c>
      <c r="D53" s="22" t="s">
        <v>166</v>
      </c>
      <c r="E53" s="22" t="n">
        <v>3</v>
      </c>
      <c r="F53" s="22" t="s">
        <v>142</v>
      </c>
      <c r="G53" s="22" t="s">
        <v>195</v>
      </c>
      <c r="H53" s="22" t="n">
        <v>0.25</v>
      </c>
      <c r="I53" s="38" t="n">
        <v>3330.09</v>
      </c>
      <c r="J53" s="38" t="n">
        <v>3330.142</v>
      </c>
      <c r="K53" s="39" t="n">
        <f aca="false">IF(F53="BUY",J53-I53,I53-J53)</f>
        <v>0.0519999999996799</v>
      </c>
      <c r="L53" s="38" t="n">
        <v>3328.59</v>
      </c>
      <c r="M53" s="39" t="n">
        <f aca="false">ABS(I53-L53)</f>
        <v>1.5</v>
      </c>
      <c r="N53" s="24" t="n">
        <f aca="false">M53*H53*Summary!$C$6</f>
        <v>37.5</v>
      </c>
      <c r="O53" s="37" t="n">
        <v>45849.1466782407</v>
      </c>
      <c r="P53" s="22" t="n">
        <f aca="false">ROUND((O53-C53)*86400,0)</f>
        <v>20</v>
      </c>
      <c r="Q53" s="22" t="str">
        <f aca="false">IF(P53&lt;10,"a) &lt;10s",IF(P53&lt;60,"b) 10-60s",IF(P53&lt;600,"c) 1-10min","d) &gt;10min")))</f>
        <v>b) 10-60s</v>
      </c>
      <c r="R53" s="38" t="n">
        <v>3330.9</v>
      </c>
      <c r="S53" s="38" t="n">
        <v>3330.825</v>
      </c>
      <c r="T53" s="22" t="s">
        <v>149</v>
      </c>
      <c r="U53" s="39" t="n">
        <f aca="false">IF(R53="","",IF(F53="BUY",R53-S53,S53-R53))</f>
        <v>0.0750000000002729</v>
      </c>
      <c r="V53" s="39" t="n">
        <f aca="false">IF(F53="BUY",S53-J53,J53-S53)</f>
        <v>0.682999999999993</v>
      </c>
      <c r="W53" s="6" t="n">
        <v>17.08</v>
      </c>
      <c r="X53" s="26" t="n">
        <f aca="false">IFERROR(W53/N53,0)</f>
        <v>0.455466666666667</v>
      </c>
      <c r="Y53" s="22" t="str">
        <f aca="false">IF(W53&gt;0,"Win",IF(W53&lt;0,"Loss","Flat"))</f>
        <v>Win</v>
      </c>
      <c r="Z53" s="24" t="n">
        <f aca="false">Summary!$C$5+SUM(W$2:W53)</f>
        <v>3878.32</v>
      </c>
      <c r="AA53" s="24" t="n">
        <f aca="false">MAX(AA52,Z53)</f>
        <v>5026.73</v>
      </c>
      <c r="AB53" s="24" t="n">
        <f aca="false">AA53-Z53</f>
        <v>1148.41</v>
      </c>
      <c r="AC53" s="23" t="n">
        <f aca="false">IFERROR(AB53/AA53,0)</f>
        <v>0.228460649368476</v>
      </c>
      <c r="AD53" s="22" t="s">
        <v>248</v>
      </c>
    </row>
    <row r="54" customFormat="false" ht="15" hidden="false" customHeight="false" outlineLevel="0" collapsed="false">
      <c r="A54" s="22" t="n">
        <v>53</v>
      </c>
      <c r="B54" s="22" t="s">
        <v>121</v>
      </c>
      <c r="C54" s="37" t="n">
        <v>45852.0606944444</v>
      </c>
      <c r="D54" s="22" t="s">
        <v>162</v>
      </c>
      <c r="E54" s="22" t="n">
        <v>1</v>
      </c>
      <c r="F54" s="22" t="s">
        <v>142</v>
      </c>
      <c r="G54" s="22" t="s">
        <v>195</v>
      </c>
      <c r="H54" s="22" t="n">
        <v>0.25</v>
      </c>
      <c r="I54" s="38" t="n">
        <v>3368.56</v>
      </c>
      <c r="J54" s="38" t="n">
        <v>3368.785</v>
      </c>
      <c r="K54" s="39" t="n">
        <f aca="false">IF(F54="BUY",J54-I54,I54-J54)</f>
        <v>0.224999999999909</v>
      </c>
      <c r="L54" s="38" t="n">
        <v>3367.06</v>
      </c>
      <c r="M54" s="39" t="n">
        <f aca="false">ABS(I54-L54)</f>
        <v>1.5</v>
      </c>
      <c r="N54" s="24" t="n">
        <f aca="false">M54*H54*Summary!$C$6</f>
        <v>37.5</v>
      </c>
      <c r="O54" s="37" t="n">
        <v>45852.0611111111</v>
      </c>
      <c r="P54" s="22" t="n">
        <f aca="false">ROUND((O54-C54)*86400,0)</f>
        <v>36</v>
      </c>
      <c r="Q54" s="22" t="str">
        <f aca="false">IF(P54&lt;10,"a) &lt;10s",IF(P54&lt;60,"b) 10-60s",IF(P54&lt;600,"c) 1-10min","d) &gt;10min")))</f>
        <v>b) 10-60s</v>
      </c>
      <c r="R54" s="38" t="n">
        <v>3368.79</v>
      </c>
      <c r="S54" s="38" t="n">
        <v>3368.785</v>
      </c>
      <c r="T54" s="22" t="s">
        <v>149</v>
      </c>
      <c r="U54" s="39" t="n">
        <f aca="false">IF(R54="","",IF(F54="BUY",R54-S54,S54-R54))</f>
        <v>0.00500000000010914</v>
      </c>
      <c r="V54" s="39" t="n">
        <f aca="false">IF(F54="BUY",S54-J54,J54-S54)</f>
        <v>0</v>
      </c>
      <c r="W54" s="6" t="n">
        <v>0</v>
      </c>
      <c r="X54" s="26" t="n">
        <f aca="false">IFERROR(W54/N54,0)</f>
        <v>0</v>
      </c>
      <c r="Y54" s="22" t="str">
        <f aca="false">IF(W54&gt;0,"Win",IF(W54&lt;0,"Loss","Flat"))</f>
        <v>Flat</v>
      </c>
      <c r="Z54" s="24" t="n">
        <f aca="false">Summary!$C$5+SUM(W$2:W54)</f>
        <v>3878.32</v>
      </c>
      <c r="AA54" s="24" t="n">
        <f aca="false">MAX(AA53,Z54)</f>
        <v>5026.73</v>
      </c>
      <c r="AB54" s="24" t="n">
        <f aca="false">AA54-Z54</f>
        <v>1148.41</v>
      </c>
      <c r="AC54" s="23" t="n">
        <f aca="false">IFERROR(AB54/AA54,0)</f>
        <v>0.228460649368476</v>
      </c>
      <c r="AD54" s="22" t="s">
        <v>249</v>
      </c>
    </row>
    <row r="55" customFormat="false" ht="15" hidden="false" customHeight="false" outlineLevel="0" collapsed="false">
      <c r="A55" s="22" t="n">
        <v>54</v>
      </c>
      <c r="B55" s="22" t="s">
        <v>121</v>
      </c>
      <c r="C55" s="37" t="n">
        <v>45853.6853587963</v>
      </c>
      <c r="D55" s="22" t="s">
        <v>163</v>
      </c>
      <c r="E55" s="22" t="n">
        <v>16</v>
      </c>
      <c r="F55" s="22" t="s">
        <v>143</v>
      </c>
      <c r="G55" s="22" t="s">
        <v>197</v>
      </c>
      <c r="H55" s="22" t="n">
        <v>0.25</v>
      </c>
      <c r="I55" s="38" t="n">
        <v>3340.76</v>
      </c>
      <c r="J55" s="38" t="n">
        <v>3340.759</v>
      </c>
      <c r="K55" s="39" t="n">
        <f aca="false">IF(F55="BUY",J55-I55,I55-J55)</f>
        <v>0.00100000000020373</v>
      </c>
      <c r="L55" s="38" t="n">
        <v>3342.26</v>
      </c>
      <c r="M55" s="39" t="n">
        <f aca="false">ABS(I55-L55)</f>
        <v>1.5</v>
      </c>
      <c r="N55" s="24" t="n">
        <f aca="false">M55*H55*Summary!$C$6</f>
        <v>37.5</v>
      </c>
      <c r="O55" s="37" t="n">
        <v>45853.6853703704</v>
      </c>
      <c r="P55" s="22" t="n">
        <f aca="false">ROUND((O55-C55)*86400,0)</f>
        <v>1</v>
      </c>
      <c r="Q55" s="22" t="str">
        <f aca="false">IF(P55&lt;10,"a) &lt;10s",IF(P55&lt;60,"b) 10-60s",IF(P55&lt;600,"c) 1-10min","d) &gt;10min")))</f>
        <v>a) &lt;10s</v>
      </c>
      <c r="R55" s="38" t="n">
        <v>3340.1</v>
      </c>
      <c r="S55" s="38" t="n">
        <v>3340.195</v>
      </c>
      <c r="T55" s="22" t="s">
        <v>149</v>
      </c>
      <c r="U55" s="39" t="n">
        <f aca="false">IF(R55="","",IF(F55="BUY",R55-S55,S55-R55))</f>
        <v>0.0950000000002547</v>
      </c>
      <c r="V55" s="39" t="n">
        <f aca="false">IF(F55="BUY",S55-J55,J55-S55)</f>
        <v>0.563999999999851</v>
      </c>
      <c r="W55" s="6" t="n">
        <v>14.1</v>
      </c>
      <c r="X55" s="26" t="n">
        <f aca="false">IFERROR(W55/N55,0)</f>
        <v>0.376</v>
      </c>
      <c r="Y55" s="22" t="str">
        <f aca="false">IF(W55&gt;0,"Win",IF(W55&lt;0,"Loss","Flat"))</f>
        <v>Win</v>
      </c>
      <c r="Z55" s="24" t="n">
        <f aca="false">Summary!$C$5+SUM(W$2:W55)</f>
        <v>3892.42</v>
      </c>
      <c r="AA55" s="24" t="n">
        <f aca="false">MAX(AA54,Z55)</f>
        <v>5026.73</v>
      </c>
      <c r="AB55" s="24" t="n">
        <f aca="false">AA55-Z55</f>
        <v>1134.31</v>
      </c>
      <c r="AC55" s="23" t="n">
        <f aca="false">IFERROR(AB55/AA55,0)</f>
        <v>0.225655644922246</v>
      </c>
      <c r="AD55" s="22" t="s">
        <v>250</v>
      </c>
    </row>
    <row r="56" customFormat="false" ht="15" hidden="false" customHeight="false" outlineLevel="0" collapsed="false">
      <c r="A56" s="22" t="n">
        <v>55</v>
      </c>
      <c r="B56" s="22" t="s">
        <v>121</v>
      </c>
      <c r="C56" s="37" t="n">
        <v>45854.7314236111</v>
      </c>
      <c r="D56" s="22" t="s">
        <v>164</v>
      </c>
      <c r="E56" s="22" t="n">
        <v>17</v>
      </c>
      <c r="F56" s="22" t="s">
        <v>143</v>
      </c>
      <c r="G56" s="22" t="s">
        <v>197</v>
      </c>
      <c r="H56" s="22" t="n">
        <v>0.25</v>
      </c>
      <c r="I56" s="38" t="n">
        <v>3320.06</v>
      </c>
      <c r="J56" s="38" t="n">
        <v>3320.018</v>
      </c>
      <c r="K56" s="39" t="n">
        <f aca="false">IF(F56="BUY",J56-I56,I56-J56)</f>
        <v>0.0419999999999163</v>
      </c>
      <c r="L56" s="38" t="n">
        <v>3321.56</v>
      </c>
      <c r="M56" s="39" t="n">
        <f aca="false">ABS(I56-L56)</f>
        <v>1.5</v>
      </c>
      <c r="N56" s="24" t="n">
        <f aca="false">M56*H56*Summary!$C$6</f>
        <v>37.5</v>
      </c>
      <c r="O56" s="37" t="n">
        <v>45854.7321296296</v>
      </c>
      <c r="P56" s="22" t="n">
        <f aca="false">ROUND((O56-C56)*86400,0)</f>
        <v>61</v>
      </c>
      <c r="Q56" s="22" t="str">
        <f aca="false">IF(P56&lt;10,"a) &lt;10s",IF(P56&lt;60,"b) 10-60s",IF(P56&lt;600,"c) 1-10min","d) &gt;10min")))</f>
        <v>c) 1-10min</v>
      </c>
      <c r="R56" s="38" t="n">
        <v>3321.56</v>
      </c>
      <c r="S56" s="38" t="n">
        <v>3321.585</v>
      </c>
      <c r="T56" s="22" t="s">
        <v>148</v>
      </c>
      <c r="U56" s="39" t="n">
        <f aca="false">IF(R56="","",IF(F56="BUY",R56-S56,S56-R56))</f>
        <v>0.025000000000091</v>
      </c>
      <c r="V56" s="39" t="n">
        <f aca="false">IF(F56="BUY",S56-J56,J56-S56)</f>
        <v>-1.56700000000001</v>
      </c>
      <c r="W56" s="6" t="n">
        <v>-39.18</v>
      </c>
      <c r="X56" s="26" t="n">
        <f aca="false">IFERROR(W56/N56,0)</f>
        <v>-1.0448</v>
      </c>
      <c r="Y56" s="22" t="str">
        <f aca="false">IF(W56&gt;0,"Win",IF(W56&lt;0,"Loss","Flat"))</f>
        <v>Loss</v>
      </c>
      <c r="Z56" s="24" t="n">
        <f aca="false">Summary!$C$5+SUM(W$2:W56)</f>
        <v>3853.24</v>
      </c>
      <c r="AA56" s="24" t="n">
        <f aca="false">MAX(AA55,Z56)</f>
        <v>5026.73</v>
      </c>
      <c r="AB56" s="24" t="n">
        <f aca="false">AA56-Z56</f>
        <v>1173.49</v>
      </c>
      <c r="AC56" s="23" t="n">
        <f aca="false">IFERROR(AB56/AA56,0)</f>
        <v>0.233449976426026</v>
      </c>
      <c r="AD56" s="22" t="s">
        <v>251</v>
      </c>
    </row>
    <row r="57" customFormat="false" ht="15" hidden="false" customHeight="false" outlineLevel="0" collapsed="false">
      <c r="A57" s="22" t="n">
        <v>56</v>
      </c>
      <c r="B57" s="22" t="s">
        <v>121</v>
      </c>
      <c r="C57" s="37" t="n">
        <v>45854.7615046296</v>
      </c>
      <c r="D57" s="22" t="s">
        <v>164</v>
      </c>
      <c r="E57" s="22" t="n">
        <v>18</v>
      </c>
      <c r="F57" s="22" t="s">
        <v>142</v>
      </c>
      <c r="G57" s="22" t="s">
        <v>195</v>
      </c>
      <c r="H57" s="22" t="n">
        <v>0.25</v>
      </c>
      <c r="I57" s="38" t="n">
        <v>3366.15</v>
      </c>
      <c r="J57" s="38" t="n">
        <v>3366.435</v>
      </c>
      <c r="K57" s="39" t="n">
        <f aca="false">IF(F57="BUY",J57-I57,I57-J57)</f>
        <v>0.284999999999855</v>
      </c>
      <c r="L57" s="38" t="n">
        <v>3364.65</v>
      </c>
      <c r="M57" s="39" t="n">
        <f aca="false">ABS(I57-L57)</f>
        <v>1.5</v>
      </c>
      <c r="N57" s="24" t="n">
        <f aca="false">M57*H57*Summary!$C$6</f>
        <v>37.5</v>
      </c>
      <c r="O57" s="37" t="n">
        <v>45854.7615046296</v>
      </c>
      <c r="P57" s="22" t="n">
        <f aca="false">ROUND((O57-C57)*86400,0)</f>
        <v>0</v>
      </c>
      <c r="Q57" s="22" t="str">
        <f aca="false">IF(P57&lt;10,"a) &lt;10s",IF(P57&lt;60,"b) 10-60s",IF(P57&lt;600,"c) 1-10min","d) &gt;10min")))</f>
        <v>a) &lt;10s</v>
      </c>
      <c r="R57" s="38"/>
      <c r="S57" s="38" t="n">
        <v>3364.945</v>
      </c>
      <c r="T57" s="22" t="s">
        <v>151</v>
      </c>
      <c r="U57" s="39" t="str">
        <f aca="false">IF(R57="","",IF(F57="BUY",R57-S57,S57-R57))</f>
        <v/>
      </c>
      <c r="V57" s="39" t="n">
        <f aca="false">IF(F57="BUY",S57-J57,J57-S57)</f>
        <v>-1.48999999999978</v>
      </c>
      <c r="W57" s="6" t="n">
        <v>-37.25</v>
      </c>
      <c r="X57" s="26" t="n">
        <f aca="false">IFERROR(W57/N57,0)</f>
        <v>-0.993333333333333</v>
      </c>
      <c r="Y57" s="22" t="str">
        <f aca="false">IF(W57&gt;0,"Win",IF(W57&lt;0,"Loss","Flat"))</f>
        <v>Loss</v>
      </c>
      <c r="Z57" s="24" t="n">
        <f aca="false">Summary!$C$5+SUM(W$2:W57)</f>
        <v>3815.99</v>
      </c>
      <c r="AA57" s="24" t="n">
        <f aca="false">MAX(AA56,Z57)</f>
        <v>5026.73</v>
      </c>
      <c r="AB57" s="24" t="n">
        <f aca="false">AA57-Z57</f>
        <v>1210.74</v>
      </c>
      <c r="AC57" s="23" t="n">
        <f aca="false">IFERROR(AB57/AA57,0)</f>
        <v>0.240860360512699</v>
      </c>
      <c r="AD57" s="22" t="s">
        <v>252</v>
      </c>
    </row>
    <row r="58" customFormat="false" ht="15" hidden="false" customHeight="false" outlineLevel="0" collapsed="false">
      <c r="A58" s="22" t="n">
        <v>57</v>
      </c>
      <c r="B58" s="22" t="s">
        <v>121</v>
      </c>
      <c r="C58" s="37" t="n">
        <v>45855.6462268519</v>
      </c>
      <c r="D58" s="22" t="s">
        <v>165</v>
      </c>
      <c r="E58" s="22" t="n">
        <v>15</v>
      </c>
      <c r="F58" s="22" t="s">
        <v>143</v>
      </c>
      <c r="G58" s="22" t="s">
        <v>197</v>
      </c>
      <c r="H58" s="22" t="n">
        <v>0.25</v>
      </c>
      <c r="I58" s="38" t="n">
        <v>3319.5</v>
      </c>
      <c r="J58" s="38" t="n">
        <v>3317.525</v>
      </c>
      <c r="K58" s="39" t="n">
        <f aca="false">IF(F58="BUY",J58-I58,I58-J58)</f>
        <v>1.97499999999991</v>
      </c>
      <c r="L58" s="38" t="n">
        <v>3321</v>
      </c>
      <c r="M58" s="39" t="n">
        <f aca="false">ABS(I58-L58)</f>
        <v>1.5</v>
      </c>
      <c r="N58" s="24" t="n">
        <f aca="false">M58*H58*Summary!$C$6</f>
        <v>37.5</v>
      </c>
      <c r="O58" s="37" t="n">
        <v>45855.6462962963</v>
      </c>
      <c r="P58" s="22" t="n">
        <f aca="false">ROUND((O58-C58)*86400,0)</f>
        <v>6</v>
      </c>
      <c r="Q58" s="22" t="str">
        <f aca="false">IF(P58&lt;10,"a) &lt;10s",IF(P58&lt;60,"b) 10-60s",IF(P58&lt;600,"c) 1-10min","d) &gt;10min")))</f>
        <v>a) &lt;10s</v>
      </c>
      <c r="R58" s="38" t="n">
        <v>3317.05</v>
      </c>
      <c r="S58" s="38" t="n">
        <v>3317.152</v>
      </c>
      <c r="T58" s="22" t="s">
        <v>149</v>
      </c>
      <c r="U58" s="39" t="n">
        <f aca="false">IF(R58="","",IF(F58="BUY",R58-S58,S58-R58))</f>
        <v>0.101999999999862</v>
      </c>
      <c r="V58" s="39" t="n">
        <f aca="false">IF(F58="BUY",S58-J58,J58-S58)</f>
        <v>0.373000000000047</v>
      </c>
      <c r="W58" s="6" t="n">
        <v>9.33</v>
      </c>
      <c r="X58" s="26" t="n">
        <f aca="false">IFERROR(W58/N58,0)</f>
        <v>0.2488</v>
      </c>
      <c r="Y58" s="22" t="str">
        <f aca="false">IF(W58&gt;0,"Win",IF(W58&lt;0,"Loss","Flat"))</f>
        <v>Win</v>
      </c>
      <c r="Z58" s="24" t="n">
        <f aca="false">Summary!$C$5+SUM(W$2:W58)</f>
        <v>3825.32</v>
      </c>
      <c r="AA58" s="24" t="n">
        <f aca="false">MAX(AA57,Z58)</f>
        <v>5026.73</v>
      </c>
      <c r="AB58" s="24" t="n">
        <f aca="false">AA58-Z58</f>
        <v>1201.41</v>
      </c>
      <c r="AC58" s="23" t="n">
        <f aca="false">IFERROR(AB58/AA58,0)</f>
        <v>0.239004283102534</v>
      </c>
      <c r="AD58" s="22" t="s">
        <v>253</v>
      </c>
    </row>
    <row r="59" customFormat="false" ht="15" hidden="false" customHeight="false" outlineLevel="0" collapsed="false">
      <c r="A59" s="22" t="n">
        <v>58</v>
      </c>
      <c r="B59" s="22" t="s">
        <v>121</v>
      </c>
      <c r="C59" s="37" t="n">
        <v>45856.5056712963</v>
      </c>
      <c r="D59" s="22" t="s">
        <v>166</v>
      </c>
      <c r="E59" s="22" t="n">
        <v>12</v>
      </c>
      <c r="F59" s="22" t="s">
        <v>142</v>
      </c>
      <c r="G59" s="22" t="s">
        <v>195</v>
      </c>
      <c r="H59" s="22" t="n">
        <v>0.25</v>
      </c>
      <c r="I59" s="38" t="n">
        <v>3352.03</v>
      </c>
      <c r="J59" s="38" t="n">
        <v>3352.125</v>
      </c>
      <c r="K59" s="39" t="n">
        <f aca="false">IF(F59="BUY",J59-I59,I59-J59)</f>
        <v>0.0949999999997999</v>
      </c>
      <c r="L59" s="38" t="n">
        <v>3350.53</v>
      </c>
      <c r="M59" s="39" t="n">
        <f aca="false">ABS(I59-L59)</f>
        <v>1.5</v>
      </c>
      <c r="N59" s="24" t="n">
        <f aca="false">M59*H59*Summary!$C$6</f>
        <v>37.5</v>
      </c>
      <c r="O59" s="37" t="n">
        <v>45856.5057638889</v>
      </c>
      <c r="P59" s="22" t="n">
        <f aca="false">ROUND((O59-C59)*86400,0)</f>
        <v>8</v>
      </c>
      <c r="Q59" s="22" t="str">
        <f aca="false">IF(P59&lt;10,"a) &lt;10s",IF(P59&lt;60,"b) 10-60s",IF(P59&lt;600,"c) 1-10min","d) &gt;10min")))</f>
        <v>a) &lt;10s</v>
      </c>
      <c r="R59" s="38" t="n">
        <v>3352.61</v>
      </c>
      <c r="S59" s="38" t="n">
        <v>3352.598</v>
      </c>
      <c r="T59" s="22" t="s">
        <v>149</v>
      </c>
      <c r="U59" s="39" t="n">
        <f aca="false">IF(R59="","",IF(F59="BUY",R59-S59,S59-R59))</f>
        <v>0.012000000000171</v>
      </c>
      <c r="V59" s="39" t="n">
        <f aca="false">IF(F59="BUY",S59-J59,J59-S59)</f>
        <v>0.472999999999956</v>
      </c>
      <c r="W59" s="6" t="n">
        <v>11.83</v>
      </c>
      <c r="X59" s="26" t="n">
        <f aca="false">IFERROR(W59/N59,0)</f>
        <v>0.315466666666667</v>
      </c>
      <c r="Y59" s="22" t="str">
        <f aca="false">IF(W59&gt;0,"Win",IF(W59&lt;0,"Loss","Flat"))</f>
        <v>Win</v>
      </c>
      <c r="Z59" s="24" t="n">
        <f aca="false">Summary!$C$5+SUM(W$2:W59)</f>
        <v>3837.15</v>
      </c>
      <c r="AA59" s="24" t="n">
        <f aca="false">MAX(AA58,Z59)</f>
        <v>5026.73</v>
      </c>
      <c r="AB59" s="24" t="n">
        <f aca="false">AA59-Z59</f>
        <v>1189.58</v>
      </c>
      <c r="AC59" s="23" t="n">
        <f aca="false">IFERROR(AB59/AA59,0)</f>
        <v>0.236650864478498</v>
      </c>
      <c r="AD59" s="22" t="s">
        <v>254</v>
      </c>
    </row>
    <row r="60" customFormat="false" ht="15" hidden="false" customHeight="false" outlineLevel="0" collapsed="false">
      <c r="A60" s="22" t="n">
        <v>59</v>
      </c>
      <c r="B60" s="22" t="s">
        <v>121</v>
      </c>
      <c r="C60" s="37" t="n">
        <v>45859.3407986111</v>
      </c>
      <c r="D60" s="22" t="s">
        <v>162</v>
      </c>
      <c r="E60" s="22" t="n">
        <v>8</v>
      </c>
      <c r="F60" s="22" t="s">
        <v>142</v>
      </c>
      <c r="G60" s="22" t="s">
        <v>195</v>
      </c>
      <c r="H60" s="22" t="n">
        <v>0.25</v>
      </c>
      <c r="I60" s="38" t="n">
        <v>3361.04</v>
      </c>
      <c r="J60" s="38" t="n">
        <v>3361.065</v>
      </c>
      <c r="K60" s="39" t="n">
        <f aca="false">IF(F60="BUY",J60-I60,I60-J60)</f>
        <v>0.025000000000091</v>
      </c>
      <c r="L60" s="38" t="n">
        <v>3359.54</v>
      </c>
      <c r="M60" s="39" t="n">
        <f aca="false">ABS(I60-L60)</f>
        <v>1.5</v>
      </c>
      <c r="N60" s="24" t="n">
        <f aca="false">M60*H60*Summary!$C$6</f>
        <v>37.5</v>
      </c>
      <c r="O60" s="37" t="n">
        <v>45859.341412037</v>
      </c>
      <c r="P60" s="22" t="n">
        <f aca="false">ROUND((O60-C60)*86400,0)</f>
        <v>53</v>
      </c>
      <c r="Q60" s="22" t="str">
        <f aca="false">IF(P60&lt;10,"a) &lt;10s",IF(P60&lt;60,"b) 10-60s",IF(P60&lt;600,"c) 1-10min","d) &gt;10min")))</f>
        <v>b) 10-60s</v>
      </c>
      <c r="R60" s="38" t="n">
        <v>3361.6</v>
      </c>
      <c r="S60" s="38" t="n">
        <v>3361.598</v>
      </c>
      <c r="T60" s="22" t="s">
        <v>149</v>
      </c>
      <c r="U60" s="39" t="n">
        <f aca="false">IF(R60="","",IF(F60="BUY",R60-S60,S60-R60))</f>
        <v>0.00199999999995271</v>
      </c>
      <c r="V60" s="39" t="n">
        <f aca="false">IF(F60="BUY",S60-J60,J60-S60)</f>
        <v>0.532999999999902</v>
      </c>
      <c r="W60" s="6" t="n">
        <v>13.33</v>
      </c>
      <c r="X60" s="26" t="n">
        <f aca="false">IFERROR(W60/N60,0)</f>
        <v>0.355466666666667</v>
      </c>
      <c r="Y60" s="22" t="str">
        <f aca="false">IF(W60&gt;0,"Win",IF(W60&lt;0,"Loss","Flat"))</f>
        <v>Win</v>
      </c>
      <c r="Z60" s="24" t="n">
        <f aca="false">Summary!$C$5+SUM(W$2:W60)</f>
        <v>3850.48</v>
      </c>
      <c r="AA60" s="24" t="n">
        <f aca="false">MAX(AA59,Z60)</f>
        <v>5026.73</v>
      </c>
      <c r="AB60" s="24" t="n">
        <f aca="false">AA60-Z60</f>
        <v>1176.25</v>
      </c>
      <c r="AC60" s="23" t="n">
        <f aca="false">IFERROR(AB60/AA60,0)</f>
        <v>0.23399904112614</v>
      </c>
      <c r="AD60" s="22" t="s">
        <v>255</v>
      </c>
    </row>
    <row r="61" customFormat="false" ht="15" hidden="false" customHeight="false" outlineLevel="0" collapsed="false">
      <c r="A61" s="22" t="n">
        <v>60</v>
      </c>
      <c r="B61" s="22" t="s">
        <v>121</v>
      </c>
      <c r="C61" s="37" t="n">
        <v>45860.0682060185</v>
      </c>
      <c r="D61" s="22" t="s">
        <v>163</v>
      </c>
      <c r="E61" s="22" t="n">
        <v>1</v>
      </c>
      <c r="F61" s="22" t="s">
        <v>142</v>
      </c>
      <c r="G61" s="22" t="s">
        <v>195</v>
      </c>
      <c r="H61" s="22" t="n">
        <v>0.25</v>
      </c>
      <c r="I61" s="38" t="n">
        <v>3401.34</v>
      </c>
      <c r="J61" s="38" t="n">
        <v>3401.472</v>
      </c>
      <c r="K61" s="39" t="n">
        <f aca="false">IF(F61="BUY",J61-I61,I61-J61)</f>
        <v>0.132000000000062</v>
      </c>
      <c r="L61" s="38" t="n">
        <v>3399.84</v>
      </c>
      <c r="M61" s="39" t="n">
        <f aca="false">ABS(I61-L61)</f>
        <v>1.5</v>
      </c>
      <c r="N61" s="24" t="n">
        <f aca="false">M61*H61*Summary!$C$6</f>
        <v>37.5</v>
      </c>
      <c r="O61" s="37" t="n">
        <v>45860.0721180556</v>
      </c>
      <c r="P61" s="22" t="n">
        <f aca="false">ROUND((O61-C61)*86400,0)</f>
        <v>338</v>
      </c>
      <c r="Q61" s="22" t="str">
        <f aca="false">IF(P61&lt;10,"a) &lt;10s",IF(P61&lt;60,"b) 10-60s",IF(P61&lt;600,"c) 1-10min","d) &gt;10min")))</f>
        <v>c) 1-10min</v>
      </c>
      <c r="R61" s="38" t="n">
        <v>3399.84</v>
      </c>
      <c r="S61" s="38" t="n">
        <v>3399.825</v>
      </c>
      <c r="T61" s="22" t="s">
        <v>148</v>
      </c>
      <c r="U61" s="39" t="n">
        <f aca="false">IF(R61="","",IF(F61="BUY",R61-S61,S61-R61))</f>
        <v>0.0150000000003274</v>
      </c>
      <c r="V61" s="39" t="n">
        <f aca="false">IF(F61="BUY",S61-J61,J61-S61)</f>
        <v>-1.64700000000039</v>
      </c>
      <c r="W61" s="6" t="n">
        <v>-41.18</v>
      </c>
      <c r="X61" s="26" t="n">
        <f aca="false">IFERROR(W61/N61,0)</f>
        <v>-1.09813333333333</v>
      </c>
      <c r="Y61" s="22" t="str">
        <f aca="false">IF(W61&gt;0,"Win",IF(W61&lt;0,"Loss","Flat"))</f>
        <v>Loss</v>
      </c>
      <c r="Z61" s="24" t="n">
        <f aca="false">Summary!$C$5+SUM(W$2:W61)</f>
        <v>3809.3</v>
      </c>
      <c r="AA61" s="24" t="n">
        <f aca="false">MAX(AA60,Z61)</f>
        <v>5026.73</v>
      </c>
      <c r="AB61" s="24" t="n">
        <f aca="false">AA61-Z61</f>
        <v>1217.43</v>
      </c>
      <c r="AC61" s="23" t="n">
        <f aca="false">IFERROR(AB61/AA61,0)</f>
        <v>0.242191245601017</v>
      </c>
      <c r="AD61" s="22" t="s">
        <v>256</v>
      </c>
    </row>
    <row r="62" customFormat="false" ht="15" hidden="false" customHeight="false" outlineLevel="0" collapsed="false">
      <c r="A62" s="22" t="n">
        <v>61</v>
      </c>
      <c r="B62" s="22" t="s">
        <v>121</v>
      </c>
      <c r="C62" s="37" t="n">
        <v>45861.0928587963</v>
      </c>
      <c r="D62" s="22" t="s">
        <v>164</v>
      </c>
      <c r="E62" s="22" t="n">
        <v>2</v>
      </c>
      <c r="F62" s="22" t="s">
        <v>142</v>
      </c>
      <c r="G62" s="22" t="s">
        <v>195</v>
      </c>
      <c r="H62" s="22" t="n">
        <v>0.25</v>
      </c>
      <c r="I62" s="38" t="n">
        <v>3433.28</v>
      </c>
      <c r="J62" s="38" t="n">
        <v>3433.302</v>
      </c>
      <c r="K62" s="39" t="n">
        <f aca="false">IF(F62="BUY",J62-I62,I62-J62)</f>
        <v>0.0219999999999345</v>
      </c>
      <c r="L62" s="38" t="n">
        <v>3431.78</v>
      </c>
      <c r="M62" s="39" t="n">
        <f aca="false">ABS(I62-L62)</f>
        <v>1.5</v>
      </c>
      <c r="N62" s="24" t="n">
        <f aca="false">M62*H62*Summary!$C$6</f>
        <v>37.5</v>
      </c>
      <c r="O62" s="37" t="n">
        <v>45861.0933564815</v>
      </c>
      <c r="P62" s="22" t="n">
        <f aca="false">ROUND((O62-C62)*86400,0)</f>
        <v>43</v>
      </c>
      <c r="Q62" s="22" t="str">
        <f aca="false">IF(P62&lt;10,"a) &lt;10s",IF(P62&lt;60,"b) 10-60s",IF(P62&lt;600,"c) 1-10min","d) &gt;10min")))</f>
        <v>b) 10-60s</v>
      </c>
      <c r="R62" s="38" t="n">
        <v>3431.78</v>
      </c>
      <c r="S62" s="38" t="n">
        <v>3431.655</v>
      </c>
      <c r="T62" s="22" t="s">
        <v>148</v>
      </c>
      <c r="U62" s="39" t="n">
        <f aca="false">IF(R62="","",IF(F62="BUY",R62-S62,S62-R62))</f>
        <v>0.125</v>
      </c>
      <c r="V62" s="39" t="n">
        <f aca="false">IF(F62="BUY",S62-J62,J62-S62)</f>
        <v>-1.64699999999993</v>
      </c>
      <c r="W62" s="6" t="n">
        <v>-41.18</v>
      </c>
      <c r="X62" s="26" t="n">
        <f aca="false">IFERROR(W62/N62,0)</f>
        <v>-1.09813333333333</v>
      </c>
      <c r="Y62" s="22" t="str">
        <f aca="false">IF(W62&gt;0,"Win",IF(W62&lt;0,"Loss","Flat"))</f>
        <v>Loss</v>
      </c>
      <c r="Z62" s="24" t="n">
        <f aca="false">Summary!$C$5+SUM(W$2:W62)</f>
        <v>3768.12</v>
      </c>
      <c r="AA62" s="24" t="n">
        <f aca="false">MAX(AA61,Z62)</f>
        <v>5026.73</v>
      </c>
      <c r="AB62" s="24" t="n">
        <f aca="false">AA62-Z62</f>
        <v>1258.61</v>
      </c>
      <c r="AC62" s="23" t="n">
        <f aca="false">IFERROR(AB62/AA62,0)</f>
        <v>0.250383450075894</v>
      </c>
      <c r="AD62" s="22" t="s">
        <v>257</v>
      </c>
    </row>
    <row r="63" customFormat="false" ht="15" hidden="false" customHeight="false" outlineLevel="0" collapsed="false">
      <c r="A63" s="22" t="n">
        <v>62</v>
      </c>
      <c r="B63" s="22" t="s">
        <v>121</v>
      </c>
      <c r="C63" s="37" t="n">
        <v>45861.8067013889</v>
      </c>
      <c r="D63" s="22" t="s">
        <v>164</v>
      </c>
      <c r="E63" s="22" t="n">
        <v>19</v>
      </c>
      <c r="F63" s="22" t="s">
        <v>143</v>
      </c>
      <c r="G63" s="22" t="s">
        <v>197</v>
      </c>
      <c r="H63" s="22" t="n">
        <v>0.25</v>
      </c>
      <c r="I63" s="38" t="n">
        <v>3383.12</v>
      </c>
      <c r="J63" s="38" t="n">
        <v>3383.065</v>
      </c>
      <c r="K63" s="39" t="n">
        <f aca="false">IF(F63="BUY",J63-I63,I63-J63)</f>
        <v>0.0549999999998363</v>
      </c>
      <c r="L63" s="38" t="n">
        <v>3384.62</v>
      </c>
      <c r="M63" s="39" t="n">
        <f aca="false">ABS(I63-L63)</f>
        <v>1.5</v>
      </c>
      <c r="N63" s="24" t="n">
        <f aca="false">M63*H63*Summary!$C$6</f>
        <v>37.5</v>
      </c>
      <c r="O63" s="37" t="n">
        <v>45861.8067824074</v>
      </c>
      <c r="P63" s="22" t="n">
        <f aca="false">ROUND((O63-C63)*86400,0)</f>
        <v>7</v>
      </c>
      <c r="Q63" s="22" t="str">
        <f aca="false">IF(P63&lt;10,"a) &lt;10s",IF(P63&lt;60,"b) 10-60s",IF(P63&lt;600,"c) 1-10min","d) &gt;10min")))</f>
        <v>a) &lt;10s</v>
      </c>
      <c r="R63" s="38" t="n">
        <v>3383.07</v>
      </c>
      <c r="S63" s="38" t="n">
        <v>3383.195</v>
      </c>
      <c r="T63" s="22" t="s">
        <v>149</v>
      </c>
      <c r="U63" s="39" t="n">
        <f aca="false">IF(R63="","",IF(F63="BUY",R63-S63,S63-R63))</f>
        <v>0.125</v>
      </c>
      <c r="V63" s="39" t="n">
        <f aca="false">IF(F63="BUY",S63-J63,J63-S63)</f>
        <v>-0.130000000000109</v>
      </c>
      <c r="W63" s="6" t="n">
        <v>-3.25</v>
      </c>
      <c r="X63" s="26" t="n">
        <f aca="false">IFERROR(W63/N63,0)</f>
        <v>-0.0866666666666667</v>
      </c>
      <c r="Y63" s="22" t="str">
        <f aca="false">IF(W63&gt;0,"Win",IF(W63&lt;0,"Loss","Flat"))</f>
        <v>Loss</v>
      </c>
      <c r="Z63" s="24" t="n">
        <f aca="false">Summary!$C$5+SUM(W$2:W63)</f>
        <v>3764.87</v>
      </c>
      <c r="AA63" s="24" t="n">
        <f aca="false">MAX(AA62,Z63)</f>
        <v>5026.73</v>
      </c>
      <c r="AB63" s="24" t="n">
        <f aca="false">AA63-Z63</f>
        <v>1261.86</v>
      </c>
      <c r="AC63" s="23" t="n">
        <f aca="false">IFERROR(AB63/AA63,0)</f>
        <v>0.251029993653926</v>
      </c>
      <c r="AD63" s="22" t="s">
        <v>258</v>
      </c>
    </row>
    <row r="64" customFormat="false" ht="15" hidden="false" customHeight="false" outlineLevel="0" collapsed="false">
      <c r="A64" s="22" t="n">
        <v>63</v>
      </c>
      <c r="B64" s="22" t="s">
        <v>121</v>
      </c>
      <c r="C64" s="37" t="n">
        <v>45862.2174884259</v>
      </c>
      <c r="D64" s="22" t="s">
        <v>165</v>
      </c>
      <c r="E64" s="22" t="n">
        <v>5</v>
      </c>
      <c r="F64" s="22" t="s">
        <v>143</v>
      </c>
      <c r="G64" s="22" t="s">
        <v>197</v>
      </c>
      <c r="H64" s="22" t="n">
        <v>0.25</v>
      </c>
      <c r="I64" s="38" t="n">
        <v>3381.22</v>
      </c>
      <c r="J64" s="38" t="n">
        <v>3381.015</v>
      </c>
      <c r="K64" s="39" t="n">
        <f aca="false">IF(F64="BUY",J64-I64,I64-J64)</f>
        <v>0.204999999999927</v>
      </c>
      <c r="L64" s="38" t="n">
        <v>3382.72</v>
      </c>
      <c r="M64" s="39" t="n">
        <f aca="false">ABS(I64-L64)</f>
        <v>1.5</v>
      </c>
      <c r="N64" s="24" t="n">
        <f aca="false">M64*H64*Summary!$C$6</f>
        <v>37.5</v>
      </c>
      <c r="O64" s="37" t="n">
        <v>45862.2186805556</v>
      </c>
      <c r="P64" s="22" t="n">
        <f aca="false">ROUND((O64-C64)*86400,0)</f>
        <v>103</v>
      </c>
      <c r="Q64" s="22" t="str">
        <f aca="false">IF(P64&lt;10,"a) &lt;10s",IF(P64&lt;60,"b) 10-60s",IF(P64&lt;600,"c) 1-10min","d) &gt;10min")))</f>
        <v>c) 1-10min</v>
      </c>
      <c r="R64" s="38" t="n">
        <v>3382.72</v>
      </c>
      <c r="S64" s="38" t="n">
        <v>3382.725</v>
      </c>
      <c r="T64" s="22" t="s">
        <v>148</v>
      </c>
      <c r="U64" s="39" t="n">
        <f aca="false">IF(R64="","",IF(F64="BUY",R64-S64,S64-R64))</f>
        <v>0.00500000000010914</v>
      </c>
      <c r="V64" s="39" t="n">
        <f aca="false">IF(F64="BUY",S64-J64,J64-S64)</f>
        <v>-1.71000000000004</v>
      </c>
      <c r="W64" s="6" t="n">
        <v>-42.75</v>
      </c>
      <c r="X64" s="26" t="n">
        <f aca="false">IFERROR(W64/N64,0)</f>
        <v>-1.14</v>
      </c>
      <c r="Y64" s="22" t="str">
        <f aca="false">IF(W64&gt;0,"Win",IF(W64&lt;0,"Loss","Flat"))</f>
        <v>Loss</v>
      </c>
      <c r="Z64" s="24" t="n">
        <f aca="false">Summary!$C$5+SUM(W$2:W64)</f>
        <v>3722.12</v>
      </c>
      <c r="AA64" s="24" t="n">
        <f aca="false">MAX(AA63,Z64)</f>
        <v>5026.73</v>
      </c>
      <c r="AB64" s="24" t="n">
        <f aca="false">AA64-Z64</f>
        <v>1304.61</v>
      </c>
      <c r="AC64" s="23" t="n">
        <f aca="false">IFERROR(AB64/AA64,0)</f>
        <v>0.259534528411114</v>
      </c>
      <c r="AD64" s="22" t="s">
        <v>259</v>
      </c>
    </row>
    <row r="65" customFormat="false" ht="15" hidden="false" customHeight="false" outlineLevel="0" collapsed="false">
      <c r="A65" s="22" t="n">
        <v>64</v>
      </c>
      <c r="B65" s="22" t="s">
        <v>121</v>
      </c>
      <c r="C65" s="37" t="n">
        <v>45863.4716898148</v>
      </c>
      <c r="D65" s="22" t="s">
        <v>166</v>
      </c>
      <c r="E65" s="22" t="n">
        <v>11</v>
      </c>
      <c r="F65" s="22" t="s">
        <v>143</v>
      </c>
      <c r="G65" s="22" t="s">
        <v>197</v>
      </c>
      <c r="H65" s="22" t="n">
        <v>0.24</v>
      </c>
      <c r="I65" s="38" t="n">
        <v>3351.17</v>
      </c>
      <c r="J65" s="38" t="n">
        <v>3350.774</v>
      </c>
      <c r="K65" s="39" t="n">
        <f aca="false">IF(F65="BUY",J65-I65,I65-J65)</f>
        <v>0.396000000000186</v>
      </c>
      <c r="L65" s="38" t="n">
        <v>3352.67</v>
      </c>
      <c r="M65" s="39" t="n">
        <f aca="false">ABS(I65-L65)</f>
        <v>1.5</v>
      </c>
      <c r="N65" s="24" t="n">
        <f aca="false">M65*H65*Summary!$C$6</f>
        <v>36</v>
      </c>
      <c r="O65" s="37" t="n">
        <v>45863.4721990741</v>
      </c>
      <c r="P65" s="22" t="n">
        <f aca="false">ROUND((O65-C65)*86400,0)</f>
        <v>44</v>
      </c>
      <c r="Q65" s="22" t="str">
        <f aca="false">IF(P65&lt;10,"a) &lt;10s",IF(P65&lt;60,"b) 10-60s",IF(P65&lt;600,"c) 1-10min","d) &gt;10min")))</f>
        <v>b) 10-60s</v>
      </c>
      <c r="R65" s="38" t="n">
        <v>3350.77</v>
      </c>
      <c r="S65" s="38" t="n">
        <v>3350.802</v>
      </c>
      <c r="T65" s="22" t="s">
        <v>149</v>
      </c>
      <c r="U65" s="39" t="n">
        <f aca="false">IF(R65="","",IF(F65="BUY",R65-S65,S65-R65))</f>
        <v>0.0320000000001528</v>
      </c>
      <c r="V65" s="39" t="n">
        <f aca="false">IF(F65="BUY",S65-J65,J65-S65)</f>
        <v>-0.0280000000002474</v>
      </c>
      <c r="W65" s="6" t="n">
        <v>-0.67</v>
      </c>
      <c r="X65" s="26" t="n">
        <f aca="false">IFERROR(W65/N65,0)</f>
        <v>-0.0186111111111111</v>
      </c>
      <c r="Y65" s="22" t="str">
        <f aca="false">IF(W65&gt;0,"Win",IF(W65&lt;0,"Loss","Flat"))</f>
        <v>Loss</v>
      </c>
      <c r="Z65" s="24" t="n">
        <f aca="false">Summary!$C$5+SUM(W$2:W65)</f>
        <v>3721.45</v>
      </c>
      <c r="AA65" s="24" t="n">
        <f aca="false">MAX(AA64,Z65)</f>
        <v>5026.73</v>
      </c>
      <c r="AB65" s="24" t="n">
        <f aca="false">AA65-Z65</f>
        <v>1305.28</v>
      </c>
      <c r="AC65" s="23" t="n">
        <f aca="false">IFERROR(AB65/AA65,0)</f>
        <v>0.259667815856432</v>
      </c>
      <c r="AD65" s="22" t="s">
        <v>260</v>
      </c>
    </row>
    <row r="66" customFormat="false" ht="15" hidden="false" customHeight="false" outlineLevel="0" collapsed="false">
      <c r="A66" s="22" t="n">
        <v>65</v>
      </c>
      <c r="B66" s="22" t="s">
        <v>121</v>
      </c>
      <c r="C66" s="37" t="n">
        <v>45866.0795717593</v>
      </c>
      <c r="D66" s="22" t="s">
        <v>162</v>
      </c>
      <c r="E66" s="22" t="n">
        <v>1</v>
      </c>
      <c r="F66" s="22" t="s">
        <v>143</v>
      </c>
      <c r="G66" s="22" t="s">
        <v>197</v>
      </c>
      <c r="H66" s="22" t="n">
        <v>0.24</v>
      </c>
      <c r="I66" s="38" t="n">
        <v>3324.81</v>
      </c>
      <c r="J66" s="38" t="n">
        <v>3324.748</v>
      </c>
      <c r="K66" s="39" t="n">
        <f aca="false">IF(F66="BUY",J66-I66,I66-J66)</f>
        <v>0.0619999999998981</v>
      </c>
      <c r="L66" s="38" t="n">
        <v>3326.31</v>
      </c>
      <c r="M66" s="39" t="n">
        <f aca="false">ABS(I66-L66)</f>
        <v>1.5</v>
      </c>
      <c r="N66" s="24" t="n">
        <f aca="false">M66*H66*Summary!$C$6</f>
        <v>36</v>
      </c>
      <c r="O66" s="37" t="n">
        <v>45866.0795833333</v>
      </c>
      <c r="P66" s="22" t="n">
        <f aca="false">ROUND((O66-C66)*86400,0)</f>
        <v>1</v>
      </c>
      <c r="Q66" s="22" t="str">
        <f aca="false">IF(P66&lt;10,"a) &lt;10s",IF(P66&lt;60,"b) 10-60s",IF(P66&lt;600,"c) 1-10min","d) &gt;10min")))</f>
        <v>a) &lt;10s</v>
      </c>
      <c r="R66" s="38" t="n">
        <v>3324.35</v>
      </c>
      <c r="S66" s="38" t="n">
        <v>3324.445</v>
      </c>
      <c r="T66" s="22" t="s">
        <v>149</v>
      </c>
      <c r="U66" s="39" t="n">
        <f aca="false">IF(R66="","",IF(F66="BUY",R66-S66,S66-R66))</f>
        <v>0.0950000000002547</v>
      </c>
      <c r="V66" s="39" t="n">
        <f aca="false">IF(F66="BUY",S66-J66,J66-S66)</f>
        <v>0.302999999999884</v>
      </c>
      <c r="W66" s="6" t="n">
        <v>7.27</v>
      </c>
      <c r="X66" s="26" t="n">
        <f aca="false">IFERROR(W66/N66,0)</f>
        <v>0.201944444444444</v>
      </c>
      <c r="Y66" s="22" t="str">
        <f aca="false">IF(W66&gt;0,"Win",IF(W66&lt;0,"Loss","Flat"))</f>
        <v>Win</v>
      </c>
      <c r="Z66" s="24" t="n">
        <f aca="false">Summary!$C$5+SUM(W$2:W66)</f>
        <v>3728.72</v>
      </c>
      <c r="AA66" s="24" t="n">
        <f aca="false">MAX(AA65,Z66)</f>
        <v>5026.73</v>
      </c>
      <c r="AB66" s="24" t="n">
        <f aca="false">AA66-Z66</f>
        <v>1298.01</v>
      </c>
      <c r="AC66" s="23" t="n">
        <f aca="false">IFERROR(AB66/AA66,0)</f>
        <v>0.258221547606496</v>
      </c>
      <c r="AD66" s="22" t="s">
        <v>261</v>
      </c>
    </row>
    <row r="67" customFormat="false" ht="15" hidden="false" customHeight="false" outlineLevel="0" collapsed="false">
      <c r="A67" s="22" t="n">
        <v>66</v>
      </c>
      <c r="B67" s="22" t="s">
        <v>121</v>
      </c>
      <c r="C67" s="37" t="n">
        <v>45868.1608796296</v>
      </c>
      <c r="D67" s="22" t="s">
        <v>164</v>
      </c>
      <c r="E67" s="22" t="n">
        <v>3</v>
      </c>
      <c r="F67" s="22" t="s">
        <v>142</v>
      </c>
      <c r="G67" s="22" t="s">
        <v>195</v>
      </c>
      <c r="H67" s="22" t="n">
        <v>0.24</v>
      </c>
      <c r="I67" s="38" t="n">
        <v>3333.91</v>
      </c>
      <c r="J67" s="38" t="n">
        <v>3333.912</v>
      </c>
      <c r="K67" s="39" t="n">
        <f aca="false">IF(F67="BUY",J67-I67,I67-J67)</f>
        <v>0.00199999999995271</v>
      </c>
      <c r="L67" s="38" t="n">
        <v>3332.41</v>
      </c>
      <c r="M67" s="39" t="n">
        <f aca="false">ABS(I67-L67)</f>
        <v>1.5</v>
      </c>
      <c r="N67" s="24" t="n">
        <f aca="false">M67*H67*Summary!$C$6</f>
        <v>36</v>
      </c>
      <c r="O67" s="37" t="n">
        <v>45868.1616550926</v>
      </c>
      <c r="P67" s="22" t="n">
        <f aca="false">ROUND((O67-C67)*86400,0)</f>
        <v>67</v>
      </c>
      <c r="Q67" s="22" t="str">
        <f aca="false">IF(P67&lt;10,"a) &lt;10s",IF(P67&lt;60,"b) 10-60s",IF(P67&lt;600,"c) 1-10min","d) &gt;10min")))</f>
        <v>c) 1-10min</v>
      </c>
      <c r="R67" s="38" t="n">
        <v>3332.41</v>
      </c>
      <c r="S67" s="38" t="n">
        <v>3332.405</v>
      </c>
      <c r="T67" s="22" t="s">
        <v>148</v>
      </c>
      <c r="U67" s="39" t="n">
        <f aca="false">IF(R67="","",IF(F67="BUY",R67-S67,S67-R67))</f>
        <v>0.00499999999965439</v>
      </c>
      <c r="V67" s="39" t="n">
        <f aca="false">IF(F67="BUY",S67-J67,J67-S67)</f>
        <v>-1.50699999999961</v>
      </c>
      <c r="W67" s="6" t="n">
        <v>-36.17</v>
      </c>
      <c r="X67" s="26" t="n">
        <f aca="false">IFERROR(W67/N67,0)</f>
        <v>-1.00472222222222</v>
      </c>
      <c r="Y67" s="22" t="str">
        <f aca="false">IF(W67&gt;0,"Win",IF(W67&lt;0,"Loss","Flat"))</f>
        <v>Loss</v>
      </c>
      <c r="Z67" s="24" t="n">
        <f aca="false">Summary!$C$5+SUM(W$2:W67)</f>
        <v>3692.55</v>
      </c>
      <c r="AA67" s="24" t="n">
        <f aca="false">MAX(AA66,Z67)</f>
        <v>5026.73</v>
      </c>
      <c r="AB67" s="24" t="n">
        <f aca="false">AA67-Z67</f>
        <v>1334.18</v>
      </c>
      <c r="AC67" s="23" t="n">
        <f aca="false">IFERROR(AB67/AA67,0)</f>
        <v>0.265417080288776</v>
      </c>
      <c r="AD67" s="22" t="s">
        <v>262</v>
      </c>
    </row>
    <row r="68" customFormat="false" ht="15" hidden="false" customHeight="false" outlineLevel="0" collapsed="false">
      <c r="A68" s="22" t="n">
        <v>67</v>
      </c>
      <c r="B68" s="22" t="s">
        <v>121</v>
      </c>
      <c r="C68" s="37" t="n">
        <v>45868.6774884259</v>
      </c>
      <c r="D68" s="22" t="s">
        <v>164</v>
      </c>
      <c r="E68" s="22" t="n">
        <v>16</v>
      </c>
      <c r="F68" s="22" t="s">
        <v>143</v>
      </c>
      <c r="G68" s="22" t="s">
        <v>197</v>
      </c>
      <c r="H68" s="22" t="n">
        <v>0.24</v>
      </c>
      <c r="I68" s="38" t="n">
        <v>3307.82</v>
      </c>
      <c r="J68" s="38" t="n">
        <v>3307.815</v>
      </c>
      <c r="K68" s="39" t="n">
        <f aca="false">IF(F68="BUY",J68-I68,I68-J68)</f>
        <v>0.00500000000010914</v>
      </c>
      <c r="L68" s="38" t="n">
        <v>3309.32</v>
      </c>
      <c r="M68" s="39" t="n">
        <f aca="false">ABS(I68-L68)</f>
        <v>1.5</v>
      </c>
      <c r="N68" s="24" t="n">
        <f aca="false">M68*H68*Summary!$C$6</f>
        <v>36</v>
      </c>
      <c r="O68" s="37" t="n">
        <v>45868.6776851852</v>
      </c>
      <c r="P68" s="22" t="n">
        <f aca="false">ROUND((O68-C68)*86400,0)</f>
        <v>17</v>
      </c>
      <c r="Q68" s="22" t="str">
        <f aca="false">IF(P68&lt;10,"a) &lt;10s",IF(P68&lt;60,"b) 10-60s",IF(P68&lt;600,"c) 1-10min","d) &gt;10min")))</f>
        <v>b) 10-60s</v>
      </c>
      <c r="R68" s="38" t="n">
        <v>3309.32</v>
      </c>
      <c r="S68" s="38" t="n">
        <v>3309.452</v>
      </c>
      <c r="T68" s="22" t="s">
        <v>148</v>
      </c>
      <c r="U68" s="39" t="n">
        <f aca="false">IF(R68="","",IF(F68="BUY",R68-S68,S68-R68))</f>
        <v>0.132000000000062</v>
      </c>
      <c r="V68" s="39" t="n">
        <f aca="false">IF(F68="BUY",S68-J68,J68-S68)</f>
        <v>-1.63700000000017</v>
      </c>
      <c r="W68" s="6" t="n">
        <v>-39.29</v>
      </c>
      <c r="X68" s="26" t="n">
        <f aca="false">IFERROR(W68/N68,0)</f>
        <v>-1.09138888888889</v>
      </c>
      <c r="Y68" s="22" t="str">
        <f aca="false">IF(W68&gt;0,"Win",IF(W68&lt;0,"Loss","Flat"))</f>
        <v>Loss</v>
      </c>
      <c r="Z68" s="24" t="n">
        <f aca="false">Summary!$C$5+SUM(W$2:W68)</f>
        <v>3653.26</v>
      </c>
      <c r="AA68" s="24" t="n">
        <f aca="false">MAX(AA67,Z68)</f>
        <v>5026.73</v>
      </c>
      <c r="AB68" s="24" t="n">
        <f aca="false">AA68-Z68</f>
        <v>1373.47</v>
      </c>
      <c r="AC68" s="23" t="n">
        <f aca="false">IFERROR(AB68/AA68,0)</f>
        <v>0.273233294805967</v>
      </c>
      <c r="AD68" s="22" t="s">
        <v>263</v>
      </c>
    </row>
    <row r="69" customFormat="false" ht="15" hidden="false" customHeight="false" outlineLevel="0" collapsed="false">
      <c r="A69" s="22" t="n">
        <v>68</v>
      </c>
      <c r="B69" s="22" t="s">
        <v>122</v>
      </c>
      <c r="C69" s="37" t="n">
        <v>45870.6461226852</v>
      </c>
      <c r="D69" s="22" t="s">
        <v>166</v>
      </c>
      <c r="E69" s="22" t="n">
        <v>15</v>
      </c>
      <c r="F69" s="22" t="s">
        <v>142</v>
      </c>
      <c r="G69" s="22" t="s">
        <v>195</v>
      </c>
      <c r="H69" s="22" t="n">
        <v>0.24</v>
      </c>
      <c r="I69" s="38" t="n">
        <v>3314.71</v>
      </c>
      <c r="J69" s="38" t="n">
        <v>3314.795</v>
      </c>
      <c r="K69" s="39" t="n">
        <f aca="false">IF(F69="BUY",J69-I69,I69-J69)</f>
        <v>0.0850000000000364</v>
      </c>
      <c r="L69" s="38" t="n">
        <v>3313.21</v>
      </c>
      <c r="M69" s="39" t="n">
        <f aca="false">ABS(I69-L69)</f>
        <v>1.5</v>
      </c>
      <c r="N69" s="24" t="n">
        <f aca="false">M69*H69*Summary!$C$6</f>
        <v>36</v>
      </c>
      <c r="O69" s="37" t="n">
        <v>45870.6461226852</v>
      </c>
      <c r="P69" s="22" t="n">
        <f aca="false">ROUND((O69-C69)*86400,0)</f>
        <v>0</v>
      </c>
      <c r="Q69" s="22" t="str">
        <f aca="false">IF(P69&lt;10,"a) &lt;10s",IF(P69&lt;60,"b) 10-60s",IF(P69&lt;600,"c) 1-10min","d) &gt;10min")))</f>
        <v>a) &lt;10s</v>
      </c>
      <c r="R69" s="38" t="n">
        <v>3313.21</v>
      </c>
      <c r="S69" s="38" t="n">
        <v>3312.815</v>
      </c>
      <c r="T69" s="22" t="s">
        <v>148</v>
      </c>
      <c r="U69" s="39" t="n">
        <f aca="false">IF(R69="","",IF(F69="BUY",R69-S69,S69-R69))</f>
        <v>0.394999999999982</v>
      </c>
      <c r="V69" s="39" t="n">
        <f aca="false">IF(F69="BUY",S69-J69,J69-S69)</f>
        <v>-1.98000000000002</v>
      </c>
      <c r="W69" s="6" t="n">
        <v>-47.52</v>
      </c>
      <c r="X69" s="26" t="n">
        <f aca="false">IFERROR(W69/N69,0)</f>
        <v>-1.32</v>
      </c>
      <c r="Y69" s="22" t="str">
        <f aca="false">IF(W69&gt;0,"Win",IF(W69&lt;0,"Loss","Flat"))</f>
        <v>Loss</v>
      </c>
      <c r="Z69" s="24" t="n">
        <f aca="false">Summary!$C$5+SUM(W$2:W69)</f>
        <v>3605.74</v>
      </c>
      <c r="AA69" s="24" t="n">
        <f aca="false">MAX(AA68,Z69)</f>
        <v>5026.73</v>
      </c>
      <c r="AB69" s="24" t="n">
        <f aca="false">AA69-Z69</f>
        <v>1420.99</v>
      </c>
      <c r="AC69" s="23" t="n">
        <f aca="false">IFERROR(AB69/AA69,0)</f>
        <v>0.282686756599221</v>
      </c>
      <c r="AD69" s="22" t="s">
        <v>264</v>
      </c>
    </row>
    <row r="70" customFormat="false" ht="15" hidden="false" customHeight="false" outlineLevel="0" collapsed="false">
      <c r="A70" s="22" t="n">
        <v>69</v>
      </c>
      <c r="B70" s="22" t="s">
        <v>122</v>
      </c>
      <c r="C70" s="37" t="n">
        <v>45873.5879398148</v>
      </c>
      <c r="D70" s="22" t="s">
        <v>162</v>
      </c>
      <c r="E70" s="22" t="n">
        <v>14</v>
      </c>
      <c r="F70" s="22" t="s">
        <v>142</v>
      </c>
      <c r="G70" s="22" t="s">
        <v>195</v>
      </c>
      <c r="H70" s="22" t="n">
        <v>0.24</v>
      </c>
      <c r="I70" s="38" t="n">
        <v>3363.43</v>
      </c>
      <c r="J70" s="38" t="n">
        <v>3363.435</v>
      </c>
      <c r="K70" s="39" t="n">
        <f aca="false">IF(F70="BUY",J70-I70,I70-J70)</f>
        <v>0.00500000000010914</v>
      </c>
      <c r="L70" s="38" t="n">
        <v>3361.93</v>
      </c>
      <c r="M70" s="39" t="n">
        <f aca="false">ABS(I70-L70)</f>
        <v>1.5</v>
      </c>
      <c r="N70" s="24" t="n">
        <f aca="false">M70*H70*Summary!$C$6</f>
        <v>36</v>
      </c>
      <c r="O70" s="37" t="n">
        <v>45873.5881134259</v>
      </c>
      <c r="P70" s="22" t="n">
        <f aca="false">ROUND((O70-C70)*86400,0)</f>
        <v>15</v>
      </c>
      <c r="Q70" s="22" t="str">
        <f aca="false">IF(P70&lt;10,"a) &lt;10s",IF(P70&lt;60,"b) 10-60s",IF(P70&lt;600,"c) 1-10min","d) &gt;10min")))</f>
        <v>b) 10-60s</v>
      </c>
      <c r="R70" s="38" t="n">
        <v>3363.81</v>
      </c>
      <c r="S70" s="38" t="n">
        <v>3363.765</v>
      </c>
      <c r="T70" s="22" t="s">
        <v>149</v>
      </c>
      <c r="U70" s="39" t="n">
        <f aca="false">IF(R70="","",IF(F70="BUY",R70-S70,S70-R70))</f>
        <v>0.0450000000000728</v>
      </c>
      <c r="V70" s="39" t="n">
        <f aca="false">IF(F70="BUY",S70-J70,J70-S70)</f>
        <v>0.329999999999927</v>
      </c>
      <c r="W70" s="6" t="n">
        <v>7.92</v>
      </c>
      <c r="X70" s="26" t="n">
        <f aca="false">IFERROR(W70/N70,0)</f>
        <v>0.22</v>
      </c>
      <c r="Y70" s="22" t="str">
        <f aca="false">IF(W70&gt;0,"Win",IF(W70&lt;0,"Loss","Flat"))</f>
        <v>Win</v>
      </c>
      <c r="Z70" s="24" t="n">
        <f aca="false">Summary!$C$5+SUM(W$2:W70)</f>
        <v>3613.66</v>
      </c>
      <c r="AA70" s="24" t="n">
        <f aca="false">MAX(AA69,Z70)</f>
        <v>5026.73</v>
      </c>
      <c r="AB70" s="24" t="n">
        <f aca="false">AA70-Z70</f>
        <v>1413.07</v>
      </c>
      <c r="AC70" s="23" t="n">
        <f aca="false">IFERROR(AB70/AA70,0)</f>
        <v>0.281111179633678</v>
      </c>
      <c r="AD70" s="22" t="s">
        <v>265</v>
      </c>
    </row>
    <row r="71" customFormat="false" ht="15" hidden="false" customHeight="false" outlineLevel="0" collapsed="false">
      <c r="A71" s="22" t="n">
        <v>70</v>
      </c>
      <c r="B71" s="22" t="s">
        <v>122</v>
      </c>
      <c r="C71" s="37" t="n">
        <v>45874.7438310185</v>
      </c>
      <c r="D71" s="22" t="s">
        <v>163</v>
      </c>
      <c r="E71" s="22" t="n">
        <v>17</v>
      </c>
      <c r="F71" s="22" t="s">
        <v>142</v>
      </c>
      <c r="G71" s="22" t="s">
        <v>195</v>
      </c>
      <c r="H71" s="22" t="n">
        <v>0.24</v>
      </c>
      <c r="I71" s="38" t="n">
        <v>3385.21</v>
      </c>
      <c r="J71" s="38" t="n">
        <v>3385.501</v>
      </c>
      <c r="K71" s="39" t="n">
        <f aca="false">IF(F71="BUY",J71-I71,I71-J71)</f>
        <v>0.291000000000167</v>
      </c>
      <c r="L71" s="38" t="n">
        <v>3383.71</v>
      </c>
      <c r="M71" s="39" t="n">
        <f aca="false">ABS(I71-L71)</f>
        <v>1.5</v>
      </c>
      <c r="N71" s="24" t="n">
        <f aca="false">M71*H71*Summary!$C$6</f>
        <v>36</v>
      </c>
      <c r="O71" s="37" t="n">
        <v>45874.7443171296</v>
      </c>
      <c r="P71" s="22" t="n">
        <f aca="false">ROUND((O71-C71)*86400,0)</f>
        <v>42</v>
      </c>
      <c r="Q71" s="22" t="str">
        <f aca="false">IF(P71&lt;10,"a) &lt;10s",IF(P71&lt;60,"b) 10-60s",IF(P71&lt;600,"c) 1-10min","d) &gt;10min")))</f>
        <v>b) 10-60s</v>
      </c>
      <c r="R71" s="38" t="n">
        <v>3383.71</v>
      </c>
      <c r="S71" s="38" t="n">
        <v>3383.685</v>
      </c>
      <c r="T71" s="22" t="s">
        <v>148</v>
      </c>
      <c r="U71" s="39" t="n">
        <f aca="false">IF(R71="","",IF(F71="BUY",R71-S71,S71-R71))</f>
        <v>0.025000000000091</v>
      </c>
      <c r="V71" s="39" t="n">
        <f aca="false">IF(F71="BUY",S71-J71,J71-S71)</f>
        <v>-1.81600000000026</v>
      </c>
      <c r="W71" s="6" t="n">
        <v>-43.58</v>
      </c>
      <c r="X71" s="26" t="n">
        <f aca="false">IFERROR(W71/N71,0)</f>
        <v>-1.21055555555556</v>
      </c>
      <c r="Y71" s="22" t="str">
        <f aca="false">IF(W71&gt;0,"Win",IF(W71&lt;0,"Loss","Flat"))</f>
        <v>Loss</v>
      </c>
      <c r="Z71" s="24" t="n">
        <f aca="false">Summary!$C$5+SUM(W$2:W71)</f>
        <v>3570.08</v>
      </c>
      <c r="AA71" s="24" t="n">
        <f aca="false">MAX(AA70,Z71)</f>
        <v>5026.73</v>
      </c>
      <c r="AB71" s="24" t="n">
        <f aca="false">AA71-Z71</f>
        <v>1456.65</v>
      </c>
      <c r="AC71" s="23" t="n">
        <f aca="false">IFERROR(AB71/AA71,0)</f>
        <v>0.289780831673871</v>
      </c>
      <c r="AD71" s="22" t="s">
        <v>266</v>
      </c>
    </row>
    <row r="72" customFormat="false" ht="15" hidden="false" customHeight="false" outlineLevel="0" collapsed="false">
      <c r="A72" s="22" t="n">
        <v>71</v>
      </c>
      <c r="B72" s="22" t="s">
        <v>122</v>
      </c>
      <c r="C72" s="37" t="n">
        <v>45876.404525463</v>
      </c>
      <c r="D72" s="22" t="s">
        <v>165</v>
      </c>
      <c r="E72" s="22" t="n">
        <v>9</v>
      </c>
      <c r="F72" s="22" t="s">
        <v>142</v>
      </c>
      <c r="G72" s="22" t="s">
        <v>195</v>
      </c>
      <c r="H72" s="22" t="n">
        <v>0.23</v>
      </c>
      <c r="I72" s="38" t="n">
        <v>3385.1</v>
      </c>
      <c r="J72" s="38" t="n">
        <v>3385.125</v>
      </c>
      <c r="K72" s="39" t="n">
        <f aca="false">IF(F72="BUY",J72-I72,I72-J72)</f>
        <v>0.025000000000091</v>
      </c>
      <c r="L72" s="38" t="n">
        <v>3383.6</v>
      </c>
      <c r="M72" s="39" t="n">
        <f aca="false">ABS(I72-L72)</f>
        <v>1.5</v>
      </c>
      <c r="N72" s="24" t="n">
        <f aca="false">M72*H72*Summary!$C$6</f>
        <v>34.5</v>
      </c>
      <c r="O72" s="37" t="n">
        <v>45876.4047685185</v>
      </c>
      <c r="P72" s="22" t="n">
        <f aca="false">ROUND((O72-C72)*86400,0)</f>
        <v>21</v>
      </c>
      <c r="Q72" s="22" t="str">
        <f aca="false">IF(P72&lt;10,"a) &lt;10s",IF(P72&lt;60,"b) 10-60s",IF(P72&lt;600,"c) 1-10min","d) &gt;10min")))</f>
        <v>b) 10-60s</v>
      </c>
      <c r="R72" s="38" t="n">
        <v>3385.13</v>
      </c>
      <c r="S72" s="38" t="n">
        <v>3385.125</v>
      </c>
      <c r="T72" s="22" t="s">
        <v>149</v>
      </c>
      <c r="U72" s="39" t="n">
        <f aca="false">IF(R72="","",IF(F72="BUY",R72-S72,S72-R72))</f>
        <v>0.00500000000010914</v>
      </c>
      <c r="V72" s="39" t="n">
        <f aca="false">IF(F72="BUY",S72-J72,J72-S72)</f>
        <v>0</v>
      </c>
      <c r="W72" s="6" t="n">
        <v>0</v>
      </c>
      <c r="X72" s="26" t="n">
        <f aca="false">IFERROR(W72/N72,0)</f>
        <v>0</v>
      </c>
      <c r="Y72" s="22" t="str">
        <f aca="false">IF(W72&gt;0,"Win",IF(W72&lt;0,"Loss","Flat"))</f>
        <v>Flat</v>
      </c>
      <c r="Z72" s="24" t="n">
        <f aca="false">Summary!$C$5+SUM(W$2:W72)</f>
        <v>3570.08</v>
      </c>
      <c r="AA72" s="24" t="n">
        <f aca="false">MAX(AA71,Z72)</f>
        <v>5026.73</v>
      </c>
      <c r="AB72" s="24" t="n">
        <f aca="false">AA72-Z72</f>
        <v>1456.65</v>
      </c>
      <c r="AC72" s="23" t="n">
        <f aca="false">IFERROR(AB72/AA72,0)</f>
        <v>0.289780831673871</v>
      </c>
      <c r="AD72" s="22" t="s">
        <v>267</v>
      </c>
    </row>
    <row r="73" customFormat="false" ht="15" hidden="false" customHeight="false" outlineLevel="0" collapsed="false">
      <c r="A73" s="22" t="n">
        <v>72</v>
      </c>
      <c r="B73" s="22" t="s">
        <v>122</v>
      </c>
      <c r="C73" s="37" t="n">
        <v>45877.0679398148</v>
      </c>
      <c r="D73" s="22" t="s">
        <v>166</v>
      </c>
      <c r="E73" s="22" t="n">
        <v>1</v>
      </c>
      <c r="F73" s="22" t="s">
        <v>142</v>
      </c>
      <c r="G73" s="22" t="s">
        <v>195</v>
      </c>
      <c r="H73" s="22" t="n">
        <v>0.23</v>
      </c>
      <c r="I73" s="38" t="n">
        <v>3401.8</v>
      </c>
      <c r="J73" s="38" t="n">
        <v>3402.625</v>
      </c>
      <c r="K73" s="39" t="n">
        <f aca="false">IF(F73="BUY",J73-I73,I73-J73)</f>
        <v>0.824999999999818</v>
      </c>
      <c r="L73" s="38" t="n">
        <v>3400.3</v>
      </c>
      <c r="M73" s="39" t="n">
        <f aca="false">ABS(I73-L73)</f>
        <v>1.5</v>
      </c>
      <c r="N73" s="24" t="n">
        <f aca="false">M73*H73*Summary!$C$6</f>
        <v>34.5</v>
      </c>
      <c r="O73" s="37" t="n">
        <v>45877.0679398148</v>
      </c>
      <c r="P73" s="22" t="n">
        <f aca="false">ROUND((O73-C73)*86400,0)</f>
        <v>0</v>
      </c>
      <c r="Q73" s="22" t="str">
        <f aca="false">IF(P73&lt;10,"a) &lt;10s",IF(P73&lt;60,"b) 10-60s",IF(P73&lt;600,"c) 1-10min","d) &gt;10min")))</f>
        <v>a) &lt;10s</v>
      </c>
      <c r="R73" s="38" t="n">
        <v>3400.3</v>
      </c>
      <c r="S73" s="38" t="n">
        <v>3399.048</v>
      </c>
      <c r="T73" s="22" t="s">
        <v>148</v>
      </c>
      <c r="U73" s="39" t="n">
        <f aca="false">IF(R73="","",IF(F73="BUY",R73-S73,S73-R73))</f>
        <v>1.25200000000041</v>
      </c>
      <c r="V73" s="39" t="n">
        <f aca="false">IF(F73="BUY",S73-J73,J73-S73)</f>
        <v>-3.57700000000023</v>
      </c>
      <c r="W73" s="6" t="n">
        <v>-82.27</v>
      </c>
      <c r="X73" s="26" t="n">
        <f aca="false">IFERROR(W73/N73,0)</f>
        <v>-2.38463768115942</v>
      </c>
      <c r="Y73" s="22" t="str">
        <f aca="false">IF(W73&gt;0,"Win",IF(W73&lt;0,"Loss","Flat"))</f>
        <v>Loss</v>
      </c>
      <c r="Z73" s="24" t="n">
        <f aca="false">Summary!$C$5+SUM(W$2:W73)</f>
        <v>3487.81</v>
      </c>
      <c r="AA73" s="24" t="n">
        <f aca="false">MAX(AA72,Z73)</f>
        <v>5026.73</v>
      </c>
      <c r="AB73" s="24" t="n">
        <f aca="false">AA73-Z73</f>
        <v>1538.92</v>
      </c>
      <c r="AC73" s="23" t="n">
        <f aca="false">IFERROR(AB73/AA73,0)</f>
        <v>0.306147336339927</v>
      </c>
      <c r="AD73" s="22" t="s">
        <v>268</v>
      </c>
    </row>
    <row r="74" customFormat="false" ht="15" hidden="false" customHeight="false" outlineLevel="0" collapsed="false">
      <c r="A74" s="22" t="n">
        <v>73</v>
      </c>
      <c r="B74" s="22" t="s">
        <v>122</v>
      </c>
      <c r="C74" s="37" t="n">
        <v>45880.1722916667</v>
      </c>
      <c r="D74" s="22" t="s">
        <v>162</v>
      </c>
      <c r="E74" s="22" t="n">
        <v>4</v>
      </c>
      <c r="F74" s="22" t="s">
        <v>143</v>
      </c>
      <c r="G74" s="22" t="s">
        <v>197</v>
      </c>
      <c r="H74" s="22" t="n">
        <v>0.23</v>
      </c>
      <c r="I74" s="38" t="n">
        <v>3373.29</v>
      </c>
      <c r="J74" s="38" t="n">
        <v>3372.579</v>
      </c>
      <c r="K74" s="39" t="n">
        <f aca="false">IF(F74="BUY",J74-I74,I74-J74)</f>
        <v>0.710999999999785</v>
      </c>
      <c r="L74" s="38" t="n">
        <v>3374.79</v>
      </c>
      <c r="M74" s="39" t="n">
        <f aca="false">ABS(I74-L74)</f>
        <v>1.5</v>
      </c>
      <c r="N74" s="24" t="n">
        <f aca="false">M74*H74*Summary!$C$6</f>
        <v>34.5</v>
      </c>
      <c r="O74" s="37" t="n">
        <v>45880.1723032407</v>
      </c>
      <c r="P74" s="22" t="n">
        <f aca="false">ROUND((O74-C74)*86400,0)</f>
        <v>1</v>
      </c>
      <c r="Q74" s="22" t="str">
        <f aca="false">IF(P74&lt;10,"a) &lt;10s",IF(P74&lt;60,"b) 10-60s",IF(P74&lt;600,"c) 1-10min","d) &gt;10min")))</f>
        <v>a) &lt;10s</v>
      </c>
      <c r="R74" s="38" t="n">
        <v>3372.69</v>
      </c>
      <c r="S74" s="38" t="n">
        <v>3372.702</v>
      </c>
      <c r="T74" s="22" t="s">
        <v>149</v>
      </c>
      <c r="U74" s="39" t="n">
        <f aca="false">IF(R74="","",IF(F74="BUY",R74-S74,S74-R74))</f>
        <v>0.012000000000171</v>
      </c>
      <c r="V74" s="39" t="n">
        <f aca="false">IF(F74="BUY",S74-J74,J74-S74)</f>
        <v>-0.123000000000047</v>
      </c>
      <c r="W74" s="6" t="n">
        <v>-2.83</v>
      </c>
      <c r="X74" s="26" t="n">
        <f aca="false">IFERROR(W74/N74,0)</f>
        <v>-0.0820289855072464</v>
      </c>
      <c r="Y74" s="22" t="str">
        <f aca="false">IF(W74&gt;0,"Win",IF(W74&lt;0,"Loss","Flat"))</f>
        <v>Loss</v>
      </c>
      <c r="Z74" s="24" t="n">
        <f aca="false">Summary!$C$5+SUM(W$2:W74)</f>
        <v>3484.98</v>
      </c>
      <c r="AA74" s="24" t="n">
        <f aca="false">MAX(AA73,Z74)</f>
        <v>5026.73</v>
      </c>
      <c r="AB74" s="24" t="n">
        <f aca="false">AA74-Z74</f>
        <v>1541.75</v>
      </c>
      <c r="AC74" s="23" t="n">
        <f aca="false">IFERROR(AB74/AA74,0)</f>
        <v>0.306710326594028</v>
      </c>
      <c r="AD74" s="22" t="s">
        <v>269</v>
      </c>
    </row>
    <row r="75" customFormat="false" ht="15" hidden="false" customHeight="false" outlineLevel="0" collapsed="false">
      <c r="A75" s="22" t="n">
        <v>74</v>
      </c>
      <c r="B75" s="22" t="s">
        <v>122</v>
      </c>
      <c r="C75" s="37" t="n">
        <v>45881.5978240741</v>
      </c>
      <c r="D75" s="22" t="s">
        <v>163</v>
      </c>
      <c r="E75" s="22" t="n">
        <v>14</v>
      </c>
      <c r="F75" s="22" t="s">
        <v>143</v>
      </c>
      <c r="G75" s="22" t="s">
        <v>197</v>
      </c>
      <c r="H75" s="22" t="n">
        <v>0.23</v>
      </c>
      <c r="I75" s="38" t="n">
        <v>3340.81</v>
      </c>
      <c r="J75" s="38" t="n">
        <v>3340.795</v>
      </c>
      <c r="K75" s="39" t="n">
        <f aca="false">IF(F75="BUY",J75-I75,I75-J75)</f>
        <v>0.0149999999998727</v>
      </c>
      <c r="L75" s="38" t="n">
        <v>3342.31</v>
      </c>
      <c r="M75" s="39" t="n">
        <f aca="false">ABS(I75-L75)</f>
        <v>1.5</v>
      </c>
      <c r="N75" s="24" t="n">
        <f aca="false">M75*H75*Summary!$C$6</f>
        <v>34.5</v>
      </c>
      <c r="O75" s="37" t="n">
        <v>45881.5979166667</v>
      </c>
      <c r="P75" s="22" t="n">
        <f aca="false">ROUND((O75-C75)*86400,0)</f>
        <v>8</v>
      </c>
      <c r="Q75" s="22" t="str">
        <f aca="false">IF(P75&lt;10,"a) &lt;10s",IF(P75&lt;60,"b) 10-60s",IF(P75&lt;600,"c) 1-10min","d) &gt;10min")))</f>
        <v>a) &lt;10s</v>
      </c>
      <c r="R75" s="38" t="n">
        <v>3339.9</v>
      </c>
      <c r="S75" s="38" t="n">
        <v>3339.902</v>
      </c>
      <c r="T75" s="22" t="s">
        <v>149</v>
      </c>
      <c r="U75" s="39" t="n">
        <f aca="false">IF(R75="","",IF(F75="BUY",R75-S75,S75-R75))</f>
        <v>0.00199999999995271</v>
      </c>
      <c r="V75" s="39" t="n">
        <f aca="false">IF(F75="BUY",S75-J75,J75-S75)</f>
        <v>0.893000000000029</v>
      </c>
      <c r="W75" s="6" t="n">
        <v>20.54</v>
      </c>
      <c r="X75" s="26" t="n">
        <f aca="false">IFERROR(W75/N75,0)</f>
        <v>0.59536231884058</v>
      </c>
      <c r="Y75" s="22" t="str">
        <f aca="false">IF(W75&gt;0,"Win",IF(W75&lt;0,"Loss","Flat"))</f>
        <v>Win</v>
      </c>
      <c r="Z75" s="24" t="n">
        <f aca="false">Summary!$C$5+SUM(W$2:W75)</f>
        <v>3505.52</v>
      </c>
      <c r="AA75" s="24" t="n">
        <f aca="false">MAX(AA74,Z75)</f>
        <v>5026.73</v>
      </c>
      <c r="AB75" s="24" t="n">
        <f aca="false">AA75-Z75</f>
        <v>1521.21</v>
      </c>
      <c r="AC75" s="23" t="n">
        <f aca="false">IFERROR(AB75/AA75,0)</f>
        <v>0.302624171180867</v>
      </c>
      <c r="AD75" s="22" t="s">
        <v>270</v>
      </c>
    </row>
    <row r="76" customFormat="false" ht="15" hidden="false" customHeight="false" outlineLevel="0" collapsed="false">
      <c r="A76" s="22" t="n">
        <v>75</v>
      </c>
      <c r="B76" s="22" t="s">
        <v>122</v>
      </c>
      <c r="C76" s="37" t="n">
        <v>45882.4258333333</v>
      </c>
      <c r="D76" s="22" t="s">
        <v>164</v>
      </c>
      <c r="E76" s="22" t="n">
        <v>10</v>
      </c>
      <c r="F76" s="22" t="s">
        <v>142</v>
      </c>
      <c r="G76" s="22" t="s">
        <v>195</v>
      </c>
      <c r="H76" s="22" t="n">
        <v>0.23</v>
      </c>
      <c r="I76" s="38" t="n">
        <v>3359.2</v>
      </c>
      <c r="J76" s="38" t="n">
        <v>3359.335</v>
      </c>
      <c r="K76" s="39" t="n">
        <f aca="false">IF(F76="BUY",J76-I76,I76-J76)</f>
        <v>0.135000000000218</v>
      </c>
      <c r="L76" s="38" t="n">
        <v>3357.7</v>
      </c>
      <c r="M76" s="39" t="n">
        <f aca="false">ABS(I76-L76)</f>
        <v>1.5</v>
      </c>
      <c r="N76" s="24" t="n">
        <f aca="false">M76*H76*Summary!$C$6</f>
        <v>34.5</v>
      </c>
      <c r="O76" s="37" t="n">
        <v>45882.4273611111</v>
      </c>
      <c r="P76" s="22" t="n">
        <f aca="false">ROUND((O76-C76)*86400,0)</f>
        <v>132</v>
      </c>
      <c r="Q76" s="22" t="str">
        <f aca="false">IF(P76&lt;10,"a) &lt;10s",IF(P76&lt;60,"b) 10-60s",IF(P76&lt;600,"c) 1-10min","d) &gt;10min")))</f>
        <v>c) 1-10min</v>
      </c>
      <c r="R76" s="38" t="n">
        <v>3357.7</v>
      </c>
      <c r="S76" s="38" t="n">
        <v>3357.648</v>
      </c>
      <c r="T76" s="22" t="s">
        <v>148</v>
      </c>
      <c r="U76" s="39" t="n">
        <f aca="false">IF(R76="","",IF(F76="BUY",R76-S76,S76-R76))</f>
        <v>0.0519999999996799</v>
      </c>
      <c r="V76" s="39" t="n">
        <f aca="false">IF(F76="BUY",S76-J76,J76-S76)</f>
        <v>-1.6869999999999</v>
      </c>
      <c r="W76" s="6" t="n">
        <v>-38.8</v>
      </c>
      <c r="X76" s="26" t="n">
        <f aca="false">IFERROR(W76/N76,0)</f>
        <v>-1.12463768115942</v>
      </c>
      <c r="Y76" s="22" t="str">
        <f aca="false">IF(W76&gt;0,"Win",IF(W76&lt;0,"Loss","Flat"))</f>
        <v>Loss</v>
      </c>
      <c r="Z76" s="24" t="n">
        <f aca="false">Summary!$C$5+SUM(W$2:W76)</f>
        <v>3466.72</v>
      </c>
      <c r="AA76" s="24" t="n">
        <f aca="false">MAX(AA75,Z76)</f>
        <v>5026.73</v>
      </c>
      <c r="AB76" s="24" t="n">
        <f aca="false">AA76-Z76</f>
        <v>1560.01</v>
      </c>
      <c r="AC76" s="23" t="n">
        <f aca="false">IFERROR(AB76/AA76,0)</f>
        <v>0.310342906820139</v>
      </c>
      <c r="AD76" s="22" t="s">
        <v>271</v>
      </c>
    </row>
    <row r="77" customFormat="false" ht="15" hidden="false" customHeight="false" outlineLevel="0" collapsed="false">
      <c r="A77" s="22" t="n">
        <v>76</v>
      </c>
      <c r="B77" s="22" t="s">
        <v>122</v>
      </c>
      <c r="C77" s="37" t="n">
        <v>45883.1397569445</v>
      </c>
      <c r="D77" s="22" t="s">
        <v>165</v>
      </c>
      <c r="E77" s="22" t="n">
        <v>3</v>
      </c>
      <c r="F77" s="22" t="s">
        <v>142</v>
      </c>
      <c r="G77" s="22" t="s">
        <v>195</v>
      </c>
      <c r="H77" s="22" t="n">
        <v>0.23</v>
      </c>
      <c r="I77" s="38" t="n">
        <v>3370.51</v>
      </c>
      <c r="J77" s="38" t="n">
        <v>3370.602</v>
      </c>
      <c r="K77" s="39" t="n">
        <f aca="false">IF(F77="BUY",J77-I77,I77-J77)</f>
        <v>0.0919999999996435</v>
      </c>
      <c r="L77" s="38" t="n">
        <v>3369.01</v>
      </c>
      <c r="M77" s="39" t="n">
        <f aca="false">ABS(I77-L77)</f>
        <v>1.5</v>
      </c>
      <c r="N77" s="24" t="n">
        <f aca="false">M77*H77*Summary!$C$6</f>
        <v>34.5</v>
      </c>
      <c r="O77" s="37" t="n">
        <v>45883.1416087963</v>
      </c>
      <c r="P77" s="22" t="n">
        <f aca="false">ROUND((O77-C77)*86400,0)</f>
        <v>160</v>
      </c>
      <c r="Q77" s="22" t="str">
        <f aca="false">IF(P77&lt;10,"a) &lt;10s",IF(P77&lt;60,"b) 10-60s",IF(P77&lt;600,"c) 1-10min","d) &gt;10min")))</f>
        <v>c) 1-10min</v>
      </c>
      <c r="R77" s="38" t="n">
        <v>3370.6</v>
      </c>
      <c r="S77" s="38" t="n">
        <v>3370.515</v>
      </c>
      <c r="T77" s="22" t="s">
        <v>149</v>
      </c>
      <c r="U77" s="39" t="n">
        <f aca="false">IF(R77="","",IF(F77="BUY",R77-S77,S77-R77))</f>
        <v>0.0850000000000364</v>
      </c>
      <c r="V77" s="39" t="n">
        <f aca="false">IF(F77="BUY",S77-J77,J77-S77)</f>
        <v>-0.0869999999999891</v>
      </c>
      <c r="W77" s="6" t="n">
        <v>-2</v>
      </c>
      <c r="X77" s="26" t="n">
        <f aca="false">IFERROR(W77/N77,0)</f>
        <v>-0.0579710144927536</v>
      </c>
      <c r="Y77" s="22" t="str">
        <f aca="false">IF(W77&gt;0,"Win",IF(W77&lt;0,"Loss","Flat"))</f>
        <v>Loss</v>
      </c>
      <c r="Z77" s="24" t="n">
        <f aca="false">Summary!$C$5+SUM(W$2:W77)</f>
        <v>3464.72</v>
      </c>
      <c r="AA77" s="24" t="n">
        <f aca="false">MAX(AA76,Z77)</f>
        <v>5026.73</v>
      </c>
      <c r="AB77" s="24" t="n">
        <f aca="false">AA77-Z77</f>
        <v>1562.01</v>
      </c>
      <c r="AC77" s="23" t="n">
        <f aca="false">IFERROR(AB77/AA77,0)</f>
        <v>0.310740779791236</v>
      </c>
      <c r="AD77" s="22" t="s">
        <v>272</v>
      </c>
    </row>
    <row r="78" customFormat="false" ht="15" hidden="false" customHeight="false" outlineLevel="0" collapsed="false">
      <c r="A78" s="22" t="n">
        <v>77</v>
      </c>
      <c r="B78" s="22" t="s">
        <v>122</v>
      </c>
      <c r="C78" s="37" t="n">
        <v>45883.458599537</v>
      </c>
      <c r="D78" s="22" t="s">
        <v>165</v>
      </c>
      <c r="E78" s="22" t="n">
        <v>11</v>
      </c>
      <c r="F78" s="22" t="s">
        <v>143</v>
      </c>
      <c r="G78" s="22" t="s">
        <v>197</v>
      </c>
      <c r="H78" s="22" t="n">
        <v>0.23</v>
      </c>
      <c r="I78" s="38" t="n">
        <v>3342.44</v>
      </c>
      <c r="J78" s="38" t="n">
        <v>3342.369</v>
      </c>
      <c r="K78" s="39" t="n">
        <f aca="false">IF(F78="BUY",J78-I78,I78-J78)</f>
        <v>0.0709999999999127</v>
      </c>
      <c r="L78" s="38" t="n">
        <v>3343.94</v>
      </c>
      <c r="M78" s="39" t="n">
        <f aca="false">ABS(I78-L78)</f>
        <v>1.5</v>
      </c>
      <c r="N78" s="24" t="n">
        <f aca="false">M78*H78*Summary!$C$6</f>
        <v>34.5</v>
      </c>
      <c r="O78" s="37" t="n">
        <v>45883.4586111111</v>
      </c>
      <c r="P78" s="22" t="n">
        <f aca="false">ROUND((O78-C78)*86400,0)</f>
        <v>1</v>
      </c>
      <c r="Q78" s="22" t="str">
        <f aca="false">IF(P78&lt;10,"a) &lt;10s",IF(P78&lt;60,"b) 10-60s",IF(P78&lt;600,"c) 1-10min","d) &gt;10min")))</f>
        <v>a) &lt;10s</v>
      </c>
      <c r="R78" s="38" t="n">
        <v>3342.37</v>
      </c>
      <c r="S78" s="38" t="n">
        <v>3342.522</v>
      </c>
      <c r="T78" s="22" t="s">
        <v>149</v>
      </c>
      <c r="U78" s="39" t="n">
        <f aca="false">IF(R78="","",IF(F78="BUY",R78-S78,S78-R78))</f>
        <v>0.152000000000044</v>
      </c>
      <c r="V78" s="39" t="n">
        <f aca="false">IF(F78="BUY",S78-J78,J78-S78)</f>
        <v>-0.152999999999793</v>
      </c>
      <c r="W78" s="6" t="n">
        <v>-3.52</v>
      </c>
      <c r="X78" s="26" t="n">
        <f aca="false">IFERROR(W78/N78,0)</f>
        <v>-0.102028985507246</v>
      </c>
      <c r="Y78" s="22" t="str">
        <f aca="false">IF(W78&gt;0,"Win",IF(W78&lt;0,"Loss","Flat"))</f>
        <v>Loss</v>
      </c>
      <c r="Z78" s="24" t="n">
        <f aca="false">Summary!$C$5+SUM(W$2:W78)</f>
        <v>3461.2</v>
      </c>
      <c r="AA78" s="24" t="n">
        <f aca="false">MAX(AA77,Z78)</f>
        <v>5026.73</v>
      </c>
      <c r="AB78" s="24" t="n">
        <f aca="false">AA78-Z78</f>
        <v>1565.53</v>
      </c>
      <c r="AC78" s="23" t="n">
        <f aca="false">IFERROR(AB78/AA78,0)</f>
        <v>0.311441036220366</v>
      </c>
      <c r="AD78" s="22" t="s">
        <v>273</v>
      </c>
    </row>
    <row r="79" customFormat="false" ht="15" hidden="false" customHeight="false" outlineLevel="0" collapsed="false">
      <c r="A79" s="22" t="n">
        <v>78</v>
      </c>
      <c r="B79" s="22" t="s">
        <v>122</v>
      </c>
      <c r="C79" s="37" t="n">
        <v>45887.0917824074</v>
      </c>
      <c r="D79" s="22" t="s">
        <v>162</v>
      </c>
      <c r="E79" s="22" t="n">
        <v>2</v>
      </c>
      <c r="F79" s="22" t="s">
        <v>143</v>
      </c>
      <c r="G79" s="22" t="s">
        <v>197</v>
      </c>
      <c r="H79" s="22" t="n">
        <v>0.23</v>
      </c>
      <c r="I79" s="38" t="n">
        <v>3331.95</v>
      </c>
      <c r="J79" s="38" t="n">
        <v>3331.135</v>
      </c>
      <c r="K79" s="39" t="n">
        <f aca="false">IF(F79="BUY",J79-I79,I79-J79)</f>
        <v>0.8149999999996</v>
      </c>
      <c r="L79" s="38" t="n">
        <v>3333.45</v>
      </c>
      <c r="M79" s="39" t="n">
        <f aca="false">ABS(I79-L79)</f>
        <v>1.5</v>
      </c>
      <c r="N79" s="24" t="n">
        <f aca="false">M79*H79*Summary!$C$6</f>
        <v>34.5</v>
      </c>
      <c r="O79" s="37" t="n">
        <v>45887.0922916667</v>
      </c>
      <c r="P79" s="22" t="n">
        <f aca="false">ROUND((O79-C79)*86400,0)</f>
        <v>44</v>
      </c>
      <c r="Q79" s="22" t="str">
        <f aca="false">IF(P79&lt;10,"a) &lt;10s",IF(P79&lt;60,"b) 10-60s",IF(P79&lt;600,"c) 1-10min","d) &gt;10min")))</f>
        <v>b) 10-60s</v>
      </c>
      <c r="R79" s="38" t="n">
        <v>3331.14</v>
      </c>
      <c r="S79" s="38" t="n">
        <v>3331.145</v>
      </c>
      <c r="T79" s="22" t="s">
        <v>149</v>
      </c>
      <c r="U79" s="39" t="n">
        <f aca="false">IF(R79="","",IF(F79="BUY",R79-S79,S79-R79))</f>
        <v>0.00500000000010914</v>
      </c>
      <c r="V79" s="39" t="n">
        <f aca="false">IF(F79="BUY",S79-J79,J79-S79)</f>
        <v>-0.00999999999976353</v>
      </c>
      <c r="W79" s="6" t="n">
        <v>-0.23</v>
      </c>
      <c r="X79" s="26" t="n">
        <f aca="false">IFERROR(W79/N79,0)</f>
        <v>-0.00666666666666667</v>
      </c>
      <c r="Y79" s="22" t="str">
        <f aca="false">IF(W79&gt;0,"Win",IF(W79&lt;0,"Loss","Flat"))</f>
        <v>Loss</v>
      </c>
      <c r="Z79" s="24" t="n">
        <f aca="false">Summary!$C$5+SUM(W$2:W79)</f>
        <v>3460.97</v>
      </c>
      <c r="AA79" s="24" t="n">
        <f aca="false">MAX(AA78,Z79)</f>
        <v>5026.73</v>
      </c>
      <c r="AB79" s="24" t="n">
        <f aca="false">AA79-Z79</f>
        <v>1565.76</v>
      </c>
      <c r="AC79" s="23" t="n">
        <f aca="false">IFERROR(AB79/AA79,0)</f>
        <v>0.311486791612042</v>
      </c>
      <c r="AD79" s="22" t="s">
        <v>274</v>
      </c>
    </row>
    <row r="80" customFormat="false" ht="15" hidden="false" customHeight="false" outlineLevel="0" collapsed="false">
      <c r="A80" s="22" t="n">
        <v>79</v>
      </c>
      <c r="B80" s="22" t="s">
        <v>122</v>
      </c>
      <c r="C80" s="37" t="n">
        <v>45887.2761111111</v>
      </c>
      <c r="D80" s="22" t="s">
        <v>162</v>
      </c>
      <c r="E80" s="22" t="n">
        <v>6</v>
      </c>
      <c r="F80" s="22" t="s">
        <v>142</v>
      </c>
      <c r="G80" s="22" t="s">
        <v>195</v>
      </c>
      <c r="H80" s="22" t="n">
        <v>0.23</v>
      </c>
      <c r="I80" s="38" t="n">
        <v>3348.6</v>
      </c>
      <c r="J80" s="38" t="n">
        <v>3348.605</v>
      </c>
      <c r="K80" s="39" t="n">
        <f aca="false">IF(F80="BUY",J80-I80,I80-J80)</f>
        <v>0.00500000000010914</v>
      </c>
      <c r="L80" s="38" t="n">
        <v>3347.1</v>
      </c>
      <c r="M80" s="39" t="n">
        <f aca="false">ABS(I80-L80)</f>
        <v>1.5</v>
      </c>
      <c r="N80" s="24" t="n">
        <f aca="false">M80*H80*Summary!$C$6</f>
        <v>34.5</v>
      </c>
      <c r="O80" s="37" t="n">
        <v>45887.284537037</v>
      </c>
      <c r="P80" s="22" t="n">
        <f aca="false">ROUND((O80-C80)*86400,0)</f>
        <v>728</v>
      </c>
      <c r="Q80" s="22" t="str">
        <f aca="false">IF(P80&lt;10,"a) &lt;10s",IF(P80&lt;60,"b) 10-60s",IF(P80&lt;600,"c) 1-10min","d) &gt;10min")))</f>
        <v>d) &gt;10min</v>
      </c>
      <c r="R80" s="38" t="n">
        <v>3350.48</v>
      </c>
      <c r="S80" s="38" t="n">
        <v>3350.448</v>
      </c>
      <c r="T80" s="22" t="s">
        <v>149</v>
      </c>
      <c r="U80" s="39" t="n">
        <f aca="false">IF(R80="","",IF(F80="BUY",R80-S80,S80-R80))</f>
        <v>0.0320000000001528</v>
      </c>
      <c r="V80" s="39" t="n">
        <f aca="false">IF(F80="BUY",S80-J80,J80-S80)</f>
        <v>1.84299999999985</v>
      </c>
      <c r="W80" s="6" t="n">
        <v>42.39</v>
      </c>
      <c r="X80" s="26" t="n">
        <f aca="false">IFERROR(W80/N80,0)</f>
        <v>1.22869565217391</v>
      </c>
      <c r="Y80" s="22" t="str">
        <f aca="false">IF(W80&gt;0,"Win",IF(W80&lt;0,"Loss","Flat"))</f>
        <v>Win</v>
      </c>
      <c r="Z80" s="24" t="n">
        <f aca="false">Summary!$C$5+SUM(W$2:W80)</f>
        <v>3503.36</v>
      </c>
      <c r="AA80" s="24" t="n">
        <f aca="false">MAX(AA79,Z80)</f>
        <v>5026.73</v>
      </c>
      <c r="AB80" s="24" t="n">
        <f aca="false">AA80-Z80</f>
        <v>1523.37</v>
      </c>
      <c r="AC80" s="23" t="n">
        <f aca="false">IFERROR(AB80/AA80,0)</f>
        <v>0.303053873989651</v>
      </c>
      <c r="AD80" s="22" t="s">
        <v>275</v>
      </c>
    </row>
    <row r="81" customFormat="false" ht="15" hidden="false" customHeight="false" outlineLevel="0" collapsed="false">
      <c r="A81" s="22" t="n">
        <v>80</v>
      </c>
      <c r="B81" s="22" t="s">
        <v>122</v>
      </c>
      <c r="C81" s="37" t="n">
        <v>45888.7410185185</v>
      </c>
      <c r="D81" s="22" t="s">
        <v>163</v>
      </c>
      <c r="E81" s="22" t="n">
        <v>17</v>
      </c>
      <c r="F81" s="22" t="s">
        <v>143</v>
      </c>
      <c r="G81" s="22" t="s">
        <v>197</v>
      </c>
      <c r="H81" s="22" t="n">
        <v>0.23</v>
      </c>
      <c r="I81" s="38" t="n">
        <v>3323.34</v>
      </c>
      <c r="J81" s="38" t="n">
        <v>3323.265</v>
      </c>
      <c r="K81" s="39" t="n">
        <f aca="false">IF(F81="BUY",J81-I81,I81-J81)</f>
        <v>0.0750000000002729</v>
      </c>
      <c r="L81" s="38" t="n">
        <v>3324.84</v>
      </c>
      <c r="M81" s="39" t="n">
        <f aca="false">ABS(I81-L81)</f>
        <v>1.5</v>
      </c>
      <c r="N81" s="24" t="n">
        <f aca="false">M81*H81*Summary!$C$6</f>
        <v>34.5</v>
      </c>
      <c r="O81" s="37" t="n">
        <v>45888.7412384259</v>
      </c>
      <c r="P81" s="22" t="n">
        <f aca="false">ROUND((O81-C81)*86400,0)</f>
        <v>19</v>
      </c>
      <c r="Q81" s="22" t="str">
        <f aca="false">IF(P81&lt;10,"a) &lt;10s",IF(P81&lt;60,"b) 10-60s",IF(P81&lt;600,"c) 1-10min","d) &gt;10min")))</f>
        <v>b) 10-60s</v>
      </c>
      <c r="R81" s="38" t="n">
        <v>3324.84</v>
      </c>
      <c r="S81" s="38" t="n">
        <v>3324.855</v>
      </c>
      <c r="T81" s="22" t="s">
        <v>148</v>
      </c>
      <c r="U81" s="39" t="n">
        <f aca="false">IF(R81="","",IF(F81="BUY",R81-S81,S81-R81))</f>
        <v>0.0149999999998727</v>
      </c>
      <c r="V81" s="39" t="n">
        <f aca="false">IF(F81="BUY",S81-J81,J81-S81)</f>
        <v>-1.59000000000015</v>
      </c>
      <c r="W81" s="6" t="n">
        <v>-36.57</v>
      </c>
      <c r="X81" s="26" t="n">
        <f aca="false">IFERROR(W81/N81,0)</f>
        <v>-1.06</v>
      </c>
      <c r="Y81" s="22" t="str">
        <f aca="false">IF(W81&gt;0,"Win",IF(W81&lt;0,"Loss","Flat"))</f>
        <v>Loss</v>
      </c>
      <c r="Z81" s="24" t="n">
        <f aca="false">Summary!$C$5+SUM(W$2:W81)</f>
        <v>3466.79</v>
      </c>
      <c r="AA81" s="24" t="n">
        <f aca="false">MAX(AA80,Z81)</f>
        <v>5026.73</v>
      </c>
      <c r="AB81" s="24" t="n">
        <f aca="false">AA81-Z81</f>
        <v>1559.94</v>
      </c>
      <c r="AC81" s="23" t="n">
        <f aca="false">IFERROR(AB81/AA81,0)</f>
        <v>0.310328981266151</v>
      </c>
      <c r="AD81" s="22" t="s">
        <v>276</v>
      </c>
    </row>
    <row r="82" customFormat="false" ht="15" hidden="false" customHeight="false" outlineLevel="0" collapsed="false">
      <c r="A82" s="22" t="n">
        <v>81</v>
      </c>
      <c r="B82" s="22" t="s">
        <v>122</v>
      </c>
      <c r="C82" s="37" t="n">
        <v>45889.1193402778</v>
      </c>
      <c r="D82" s="22" t="s">
        <v>164</v>
      </c>
      <c r="E82" s="22" t="n">
        <v>2</v>
      </c>
      <c r="F82" s="22" t="s">
        <v>143</v>
      </c>
      <c r="G82" s="22" t="s">
        <v>197</v>
      </c>
      <c r="H82" s="22" t="n">
        <v>0.23</v>
      </c>
      <c r="I82" s="38" t="n">
        <v>3314.78</v>
      </c>
      <c r="J82" s="38" t="n">
        <v>3314.735</v>
      </c>
      <c r="K82" s="39" t="n">
        <f aca="false">IF(F82="BUY",J82-I82,I82-J82)</f>
        <v>0.0450000000000728</v>
      </c>
      <c r="L82" s="38" t="n">
        <v>3316.28</v>
      </c>
      <c r="M82" s="39" t="n">
        <f aca="false">ABS(I82-L82)</f>
        <v>1.5</v>
      </c>
      <c r="N82" s="24" t="n">
        <f aca="false">M82*H82*Summary!$C$6</f>
        <v>34.5</v>
      </c>
      <c r="O82" s="37" t="n">
        <v>45889.1193981482</v>
      </c>
      <c r="P82" s="22" t="n">
        <f aca="false">ROUND((O82-C82)*86400,0)</f>
        <v>5</v>
      </c>
      <c r="Q82" s="22" t="str">
        <f aca="false">IF(P82&lt;10,"a) &lt;10s",IF(P82&lt;60,"b) 10-60s",IF(P82&lt;600,"c) 1-10min","d) &gt;10min")))</f>
        <v>a) &lt;10s</v>
      </c>
      <c r="R82" s="38" t="n">
        <v>3314.24</v>
      </c>
      <c r="S82" s="38" t="n">
        <v>3314.285</v>
      </c>
      <c r="T82" s="22" t="s">
        <v>149</v>
      </c>
      <c r="U82" s="39" t="n">
        <f aca="false">IF(R82="","",IF(F82="BUY",R82-S82,S82-R82))</f>
        <v>0.0450000000000728</v>
      </c>
      <c r="V82" s="39" t="n">
        <f aca="false">IF(F82="BUY",S82-J82,J82-S82)</f>
        <v>0.450000000000273</v>
      </c>
      <c r="W82" s="6" t="n">
        <v>10.35</v>
      </c>
      <c r="X82" s="26" t="n">
        <f aca="false">IFERROR(W82/N82,0)</f>
        <v>0.3</v>
      </c>
      <c r="Y82" s="22" t="str">
        <f aca="false">IF(W82&gt;0,"Win",IF(W82&lt;0,"Loss","Flat"))</f>
        <v>Win</v>
      </c>
      <c r="Z82" s="24" t="n">
        <f aca="false">Summary!$C$5+SUM(W$2:W82)</f>
        <v>3477.14</v>
      </c>
      <c r="AA82" s="24" t="n">
        <f aca="false">MAX(AA81,Z82)</f>
        <v>5026.73</v>
      </c>
      <c r="AB82" s="24" t="n">
        <f aca="false">AA82-Z82</f>
        <v>1549.59</v>
      </c>
      <c r="AC82" s="23" t="n">
        <f aca="false">IFERROR(AB82/AA82,0)</f>
        <v>0.308269988640727</v>
      </c>
      <c r="AD82" s="22" t="s">
        <v>277</v>
      </c>
    </row>
    <row r="83" customFormat="false" ht="15" hidden="false" customHeight="false" outlineLevel="0" collapsed="false">
      <c r="A83" s="22" t="n">
        <v>82</v>
      </c>
      <c r="B83" s="22" t="s">
        <v>122</v>
      </c>
      <c r="C83" s="37" t="n">
        <v>45889.665474537</v>
      </c>
      <c r="D83" s="22" t="s">
        <v>164</v>
      </c>
      <c r="E83" s="22" t="n">
        <v>15</v>
      </c>
      <c r="F83" s="22" t="s">
        <v>142</v>
      </c>
      <c r="G83" s="22" t="s">
        <v>195</v>
      </c>
      <c r="H83" s="22" t="n">
        <v>0.23</v>
      </c>
      <c r="I83" s="38" t="n">
        <v>3345.17</v>
      </c>
      <c r="J83" s="38" t="n">
        <v>3345.222</v>
      </c>
      <c r="K83" s="39" t="n">
        <f aca="false">IF(F83="BUY",J83-I83,I83-J83)</f>
        <v>0.0520000000001346</v>
      </c>
      <c r="L83" s="38" t="n">
        <v>3343.67</v>
      </c>
      <c r="M83" s="39" t="n">
        <f aca="false">ABS(I83-L83)</f>
        <v>1.5</v>
      </c>
      <c r="N83" s="24" t="n">
        <f aca="false">M83*H83*Summary!$C$6</f>
        <v>34.5</v>
      </c>
      <c r="O83" s="37" t="n">
        <v>45889.6661458333</v>
      </c>
      <c r="P83" s="22" t="n">
        <f aca="false">ROUND((O83-C83)*86400,0)</f>
        <v>58</v>
      </c>
      <c r="Q83" s="22" t="str">
        <f aca="false">IF(P83&lt;10,"a) &lt;10s",IF(P83&lt;60,"b) 10-60s",IF(P83&lt;600,"c) 1-10min","d) &gt;10min")))</f>
        <v>b) 10-60s</v>
      </c>
      <c r="R83" s="38" t="n">
        <v>3343.67</v>
      </c>
      <c r="S83" s="38" t="n">
        <v>3343.545</v>
      </c>
      <c r="T83" s="22" t="s">
        <v>148</v>
      </c>
      <c r="U83" s="39" t="n">
        <f aca="false">IF(R83="","",IF(F83="BUY",R83-S83,S83-R83))</f>
        <v>0.125</v>
      </c>
      <c r="V83" s="39" t="n">
        <f aca="false">IF(F83="BUY",S83-J83,J83-S83)</f>
        <v>-1.67700000000013</v>
      </c>
      <c r="W83" s="6" t="n">
        <v>-38.57</v>
      </c>
      <c r="X83" s="26" t="n">
        <f aca="false">IFERROR(W83/N83,0)</f>
        <v>-1.11797101449275</v>
      </c>
      <c r="Y83" s="22" t="str">
        <f aca="false">IF(W83&gt;0,"Win",IF(W83&lt;0,"Loss","Flat"))</f>
        <v>Loss</v>
      </c>
      <c r="Z83" s="24" t="n">
        <f aca="false">Summary!$C$5+SUM(W$2:W83)</f>
        <v>3438.57</v>
      </c>
      <c r="AA83" s="24" t="n">
        <f aca="false">MAX(AA82,Z83)</f>
        <v>5026.73</v>
      </c>
      <c r="AB83" s="24" t="n">
        <f aca="false">AA83-Z83</f>
        <v>1588.16</v>
      </c>
      <c r="AC83" s="23" t="n">
        <f aca="false">IFERROR(AB83/AA83,0)</f>
        <v>0.315942968888323</v>
      </c>
      <c r="AD83" s="22" t="s">
        <v>278</v>
      </c>
    </row>
    <row r="84" customFormat="false" ht="15" hidden="false" customHeight="false" outlineLevel="0" collapsed="false">
      <c r="A84" s="22" t="n">
        <v>83</v>
      </c>
      <c r="B84" s="22" t="s">
        <v>122</v>
      </c>
      <c r="C84" s="37" t="n">
        <v>45891.6333564815</v>
      </c>
      <c r="D84" s="22" t="s">
        <v>166</v>
      </c>
      <c r="E84" s="22" t="n">
        <v>15</v>
      </c>
      <c r="F84" s="22" t="s">
        <v>143</v>
      </c>
      <c r="G84" s="22" t="s">
        <v>197</v>
      </c>
      <c r="H84" s="22" t="n">
        <v>0.22</v>
      </c>
      <c r="I84" s="38" t="n">
        <v>3324.95</v>
      </c>
      <c r="J84" s="38" t="n">
        <v>3324.935</v>
      </c>
      <c r="K84" s="39" t="n">
        <f aca="false">IF(F84="BUY",J84-I84,I84-J84)</f>
        <v>0.0149999999998727</v>
      </c>
      <c r="L84" s="38" t="n">
        <v>3326.45</v>
      </c>
      <c r="M84" s="39" t="n">
        <f aca="false">ABS(I84-L84)</f>
        <v>1.5</v>
      </c>
      <c r="N84" s="24" t="n">
        <f aca="false">M84*H84*Summary!$C$6</f>
        <v>33</v>
      </c>
      <c r="O84" s="37" t="n">
        <v>45891.6335532407</v>
      </c>
      <c r="P84" s="22" t="n">
        <f aca="false">ROUND((O84-C84)*86400,0)</f>
        <v>17</v>
      </c>
      <c r="Q84" s="22" t="str">
        <f aca="false">IF(P84&lt;10,"a) &lt;10s",IF(P84&lt;60,"b) 10-60s",IF(P84&lt;600,"c) 1-10min","d) &gt;10min")))</f>
        <v>b) 10-60s</v>
      </c>
      <c r="R84" s="38" t="n">
        <v>3326.45</v>
      </c>
      <c r="S84" s="38" t="n">
        <v>3326.505</v>
      </c>
      <c r="T84" s="22" t="s">
        <v>148</v>
      </c>
      <c r="U84" s="39" t="n">
        <f aca="false">IF(R84="","",IF(F84="BUY",R84-S84,S84-R84))</f>
        <v>0.055000000000291</v>
      </c>
      <c r="V84" s="39" t="n">
        <f aca="false">IF(F84="BUY",S84-J84,J84-S84)</f>
        <v>-1.57000000000016</v>
      </c>
      <c r="W84" s="6" t="n">
        <v>-34.54</v>
      </c>
      <c r="X84" s="26" t="n">
        <f aca="false">IFERROR(W84/N84,0)</f>
        <v>-1.04666666666667</v>
      </c>
      <c r="Y84" s="22" t="str">
        <f aca="false">IF(W84&gt;0,"Win",IF(W84&lt;0,"Loss","Flat"))</f>
        <v>Loss</v>
      </c>
      <c r="Z84" s="24" t="n">
        <f aca="false">Summary!$C$5+SUM(W$2:W84)</f>
        <v>3404.03</v>
      </c>
      <c r="AA84" s="24" t="n">
        <f aca="false">MAX(AA83,Z84)</f>
        <v>5026.73</v>
      </c>
      <c r="AB84" s="24" t="n">
        <f aca="false">AA84-Z84</f>
        <v>1622.7</v>
      </c>
      <c r="AC84" s="23" t="n">
        <f aca="false">IFERROR(AB84/AA84,0)</f>
        <v>0.32281423509916</v>
      </c>
      <c r="AD84" s="22" t="s">
        <v>279</v>
      </c>
    </row>
    <row r="85" customFormat="false" ht="15" hidden="false" customHeight="false" outlineLevel="0" collapsed="false">
      <c r="A85" s="22" t="n">
        <v>84</v>
      </c>
      <c r="B85" s="22" t="s">
        <v>122</v>
      </c>
      <c r="C85" s="37" t="n">
        <v>45891.710162037</v>
      </c>
      <c r="D85" s="22" t="s">
        <v>166</v>
      </c>
      <c r="E85" s="22" t="n">
        <v>17</v>
      </c>
      <c r="F85" s="22" t="s">
        <v>142</v>
      </c>
      <c r="G85" s="22" t="s">
        <v>195</v>
      </c>
      <c r="H85" s="22" t="n">
        <v>0.22</v>
      </c>
      <c r="I85" s="38" t="n">
        <v>3351.94</v>
      </c>
      <c r="J85" s="38" t="n">
        <v>3351.941</v>
      </c>
      <c r="K85" s="39" t="n">
        <f aca="false">IF(F85="BUY",J85-I85,I85-J85)</f>
        <v>0.00099999999974898</v>
      </c>
      <c r="L85" s="38" t="n">
        <v>3350.44</v>
      </c>
      <c r="M85" s="39" t="n">
        <f aca="false">ABS(I85-L85)</f>
        <v>1.5</v>
      </c>
      <c r="N85" s="24" t="n">
        <f aca="false">M85*H85*Summary!$C$6</f>
        <v>33</v>
      </c>
      <c r="O85" s="37" t="n">
        <v>45891.7102083333</v>
      </c>
      <c r="P85" s="22" t="n">
        <f aca="false">ROUND((O85-C85)*86400,0)</f>
        <v>4</v>
      </c>
      <c r="Q85" s="22" t="str">
        <f aca="false">IF(P85&lt;10,"a) &lt;10s",IF(P85&lt;60,"b) 10-60s",IF(P85&lt;600,"c) 1-10min","d) &gt;10min")))</f>
        <v>a) &lt;10s</v>
      </c>
      <c r="R85" s="38" t="n">
        <v>3352.02</v>
      </c>
      <c r="S85" s="38" t="n">
        <v>3351.985</v>
      </c>
      <c r="T85" s="22" t="s">
        <v>149</v>
      </c>
      <c r="U85" s="39" t="n">
        <f aca="false">IF(R85="","",IF(F85="BUY",R85-S85,S85-R85))</f>
        <v>0.0349999999998545</v>
      </c>
      <c r="V85" s="39" t="n">
        <f aca="false">IF(F85="BUY",S85-J85,J85-S85)</f>
        <v>0.0440000000003238</v>
      </c>
      <c r="W85" s="6" t="n">
        <v>0.97</v>
      </c>
      <c r="X85" s="26" t="n">
        <f aca="false">IFERROR(W85/N85,0)</f>
        <v>0.0293939393939394</v>
      </c>
      <c r="Y85" s="22" t="str">
        <f aca="false">IF(W85&gt;0,"Win",IF(W85&lt;0,"Loss","Flat"))</f>
        <v>Win</v>
      </c>
      <c r="Z85" s="24" t="n">
        <f aca="false">Summary!$C$5+SUM(W$2:W85)</f>
        <v>3405</v>
      </c>
      <c r="AA85" s="24" t="n">
        <f aca="false">MAX(AA84,Z85)</f>
        <v>5026.73</v>
      </c>
      <c r="AB85" s="24" t="n">
        <f aca="false">AA85-Z85</f>
        <v>1621.73</v>
      </c>
      <c r="AC85" s="23" t="n">
        <f aca="false">IFERROR(AB85/AA85,0)</f>
        <v>0.322621266708178</v>
      </c>
      <c r="AD85" s="22" t="s">
        <v>280</v>
      </c>
    </row>
    <row r="86" customFormat="false" ht="15" hidden="false" customHeight="false" outlineLevel="0" collapsed="false">
      <c r="A86" s="22" t="n">
        <v>85</v>
      </c>
      <c r="B86" s="22" t="s">
        <v>122</v>
      </c>
      <c r="C86" s="37" t="n">
        <v>45895.092037037</v>
      </c>
      <c r="D86" s="22" t="s">
        <v>163</v>
      </c>
      <c r="E86" s="22" t="n">
        <v>2</v>
      </c>
      <c r="F86" s="22" t="s">
        <v>143</v>
      </c>
      <c r="G86" s="22" t="s">
        <v>197</v>
      </c>
      <c r="H86" s="22" t="n">
        <v>0.22</v>
      </c>
      <c r="I86" s="38" t="n">
        <v>3359.5</v>
      </c>
      <c r="J86" s="38" t="n">
        <v>3359.395</v>
      </c>
      <c r="K86" s="39" t="n">
        <f aca="false">IF(F86="BUY",J86-I86,I86-J86)</f>
        <v>0.105000000000018</v>
      </c>
      <c r="L86" s="38" t="n">
        <v>3361</v>
      </c>
      <c r="M86" s="39" t="n">
        <f aca="false">ABS(I86-L86)</f>
        <v>1.5</v>
      </c>
      <c r="N86" s="24" t="n">
        <f aca="false">M86*H86*Summary!$C$6</f>
        <v>33</v>
      </c>
      <c r="O86" s="37" t="n">
        <v>45895.0921296296</v>
      </c>
      <c r="P86" s="22" t="n">
        <f aca="false">ROUND((O86-C86)*86400,0)</f>
        <v>8</v>
      </c>
      <c r="Q86" s="22" t="str">
        <f aca="false">IF(P86&lt;10,"a) &lt;10s",IF(P86&lt;60,"b) 10-60s",IF(P86&lt;600,"c) 1-10min","d) &gt;10min")))</f>
        <v>a) &lt;10s</v>
      </c>
      <c r="R86" s="38" t="n">
        <v>3361</v>
      </c>
      <c r="S86" s="38" t="n">
        <v>3361.132</v>
      </c>
      <c r="T86" s="22" t="s">
        <v>148</v>
      </c>
      <c r="U86" s="39" t="n">
        <f aca="false">IF(R86="","",IF(F86="BUY",R86-S86,S86-R86))</f>
        <v>0.132000000000062</v>
      </c>
      <c r="V86" s="39" t="n">
        <f aca="false">IF(F86="BUY",S86-J86,J86-S86)</f>
        <v>-1.73700000000008</v>
      </c>
      <c r="W86" s="6" t="n">
        <v>-38.21</v>
      </c>
      <c r="X86" s="26" t="n">
        <f aca="false">IFERROR(W86/N86,0)</f>
        <v>-1.15787878787879</v>
      </c>
      <c r="Y86" s="22" t="str">
        <f aca="false">IF(W86&gt;0,"Win",IF(W86&lt;0,"Loss","Flat"))</f>
        <v>Loss</v>
      </c>
      <c r="Z86" s="24" t="n">
        <f aca="false">Summary!$C$5+SUM(W$2:W86)</f>
        <v>3366.79</v>
      </c>
      <c r="AA86" s="24" t="n">
        <f aca="false">MAX(AA85,Z86)</f>
        <v>5026.73</v>
      </c>
      <c r="AB86" s="24" t="n">
        <f aca="false">AA86-Z86</f>
        <v>1659.94</v>
      </c>
      <c r="AC86" s="23" t="n">
        <f aca="false">IFERROR(AB86/AA86,0)</f>
        <v>0.330222629820977</v>
      </c>
      <c r="AD86" s="22" t="s">
        <v>281</v>
      </c>
    </row>
    <row r="87" customFormat="false" ht="15" hidden="false" customHeight="false" outlineLevel="0" collapsed="false">
      <c r="A87" s="22" t="n">
        <v>86</v>
      </c>
      <c r="B87" s="22" t="s">
        <v>122</v>
      </c>
      <c r="C87" s="37" t="n">
        <v>45895.140162037</v>
      </c>
      <c r="D87" s="22" t="s">
        <v>163</v>
      </c>
      <c r="E87" s="22" t="n">
        <v>3</v>
      </c>
      <c r="F87" s="22" t="s">
        <v>142</v>
      </c>
      <c r="G87" s="22" t="s">
        <v>195</v>
      </c>
      <c r="H87" s="22" t="n">
        <v>0.22</v>
      </c>
      <c r="I87" s="38" t="n">
        <v>3376.14</v>
      </c>
      <c r="J87" s="38" t="n">
        <v>3376.165</v>
      </c>
      <c r="K87" s="39" t="n">
        <f aca="false">IF(F87="BUY",J87-I87,I87-J87)</f>
        <v>0.025000000000091</v>
      </c>
      <c r="L87" s="38" t="n">
        <v>3374.64</v>
      </c>
      <c r="M87" s="39" t="n">
        <f aca="false">ABS(I87-L87)</f>
        <v>1.5</v>
      </c>
      <c r="N87" s="24" t="n">
        <f aca="false">M87*H87*Summary!$C$6</f>
        <v>33</v>
      </c>
      <c r="O87" s="37" t="n">
        <v>45895.1407986111</v>
      </c>
      <c r="P87" s="22" t="n">
        <f aca="false">ROUND((O87-C87)*86400,0)</f>
        <v>55</v>
      </c>
      <c r="Q87" s="22" t="str">
        <f aca="false">IF(P87&lt;10,"a) &lt;10s",IF(P87&lt;60,"b) 10-60s",IF(P87&lt;600,"c) 1-10min","d) &gt;10min")))</f>
        <v>b) 10-60s</v>
      </c>
      <c r="R87" s="38" t="n">
        <v>3377.17</v>
      </c>
      <c r="S87" s="38" t="n">
        <v>3377.158</v>
      </c>
      <c r="T87" s="22" t="s">
        <v>149</v>
      </c>
      <c r="U87" s="39" t="n">
        <f aca="false">IF(R87="","",IF(F87="BUY",R87-S87,S87-R87))</f>
        <v>0.012000000000171</v>
      </c>
      <c r="V87" s="39" t="n">
        <f aca="false">IF(F87="BUY",S87-J87,J87-S87)</f>
        <v>0.992999999999938</v>
      </c>
      <c r="W87" s="6" t="n">
        <v>21.85</v>
      </c>
      <c r="X87" s="26" t="n">
        <f aca="false">IFERROR(W87/N87,0)</f>
        <v>0.662121212121212</v>
      </c>
      <c r="Y87" s="22" t="str">
        <f aca="false">IF(W87&gt;0,"Win",IF(W87&lt;0,"Loss","Flat"))</f>
        <v>Win</v>
      </c>
      <c r="Z87" s="24" t="n">
        <f aca="false">Summary!$C$5+SUM(W$2:W87)</f>
        <v>3388.64</v>
      </c>
      <c r="AA87" s="24" t="n">
        <f aca="false">MAX(AA86,Z87)</f>
        <v>5026.73</v>
      </c>
      <c r="AB87" s="24" t="n">
        <f aca="false">AA87-Z87</f>
        <v>1638.09</v>
      </c>
      <c r="AC87" s="23" t="n">
        <f aca="false">IFERROR(AB87/AA87,0)</f>
        <v>0.325875867611747</v>
      </c>
      <c r="AD87" s="22" t="s">
        <v>282</v>
      </c>
    </row>
    <row r="88" customFormat="false" ht="15" hidden="false" customHeight="false" outlineLevel="0" collapsed="false">
      <c r="A88" s="22" t="n">
        <v>87</v>
      </c>
      <c r="B88" s="22" t="s">
        <v>122</v>
      </c>
      <c r="C88" s="37" t="n">
        <v>45896.1384953704</v>
      </c>
      <c r="D88" s="22" t="s">
        <v>164</v>
      </c>
      <c r="E88" s="22" t="n">
        <v>3</v>
      </c>
      <c r="F88" s="22" t="s">
        <v>142</v>
      </c>
      <c r="G88" s="22" t="s">
        <v>195</v>
      </c>
      <c r="H88" s="22" t="n">
        <v>0.22</v>
      </c>
      <c r="I88" s="38" t="n">
        <v>3393.5</v>
      </c>
      <c r="J88" s="38" t="n">
        <v>3393.505</v>
      </c>
      <c r="K88" s="39" t="n">
        <f aca="false">IF(F88="BUY",J88-I88,I88-J88)</f>
        <v>0.00500000000010914</v>
      </c>
      <c r="L88" s="38" t="n">
        <v>3392</v>
      </c>
      <c r="M88" s="39" t="n">
        <f aca="false">ABS(I88-L88)</f>
        <v>1.5</v>
      </c>
      <c r="N88" s="24" t="n">
        <f aca="false">M88*H88*Summary!$C$6</f>
        <v>33</v>
      </c>
      <c r="O88" s="37" t="n">
        <v>45896.1419444445</v>
      </c>
      <c r="P88" s="22" t="n">
        <f aca="false">ROUND((O88-C88)*86400,0)</f>
        <v>298</v>
      </c>
      <c r="Q88" s="22" t="str">
        <f aca="false">IF(P88&lt;10,"a) &lt;10s",IF(P88&lt;60,"b) 10-60s",IF(P88&lt;600,"c) 1-10min","d) &gt;10min")))</f>
        <v>c) 1-10min</v>
      </c>
      <c r="R88" s="38" t="n">
        <v>3392</v>
      </c>
      <c r="S88" s="38" t="n">
        <v>3391.985</v>
      </c>
      <c r="T88" s="22" t="s">
        <v>148</v>
      </c>
      <c r="U88" s="39" t="n">
        <f aca="false">IF(R88="","",IF(F88="BUY",R88-S88,S88-R88))</f>
        <v>0.0149999999998727</v>
      </c>
      <c r="V88" s="39" t="n">
        <f aca="false">IF(F88="BUY",S88-J88,J88-S88)</f>
        <v>-1.51999999999998</v>
      </c>
      <c r="W88" s="6" t="n">
        <v>-33.44</v>
      </c>
      <c r="X88" s="26" t="n">
        <f aca="false">IFERROR(W88/N88,0)</f>
        <v>-1.01333333333333</v>
      </c>
      <c r="Y88" s="22" t="str">
        <f aca="false">IF(W88&gt;0,"Win",IF(W88&lt;0,"Loss","Flat"))</f>
        <v>Loss</v>
      </c>
      <c r="Z88" s="24" t="n">
        <f aca="false">Summary!$C$5+SUM(W$2:W88)</f>
        <v>3355.2</v>
      </c>
      <c r="AA88" s="24" t="n">
        <f aca="false">MAX(AA87,Z88)</f>
        <v>5026.73</v>
      </c>
      <c r="AB88" s="24" t="n">
        <f aca="false">AA88-Z88</f>
        <v>1671.53</v>
      </c>
      <c r="AC88" s="23" t="n">
        <f aca="false">IFERROR(AB88/AA88,0)</f>
        <v>0.332528303688481</v>
      </c>
      <c r="AD88" s="22" t="s">
        <v>283</v>
      </c>
    </row>
    <row r="89" customFormat="false" ht="15" hidden="false" customHeight="false" outlineLevel="0" collapsed="false">
      <c r="A89" s="22" t="n">
        <v>88</v>
      </c>
      <c r="B89" s="22" t="s">
        <v>122</v>
      </c>
      <c r="C89" s="37" t="n">
        <v>45897.0855671296</v>
      </c>
      <c r="D89" s="22" t="s">
        <v>165</v>
      </c>
      <c r="E89" s="22" t="n">
        <v>2</v>
      </c>
      <c r="F89" s="22" t="s">
        <v>142</v>
      </c>
      <c r="G89" s="22" t="s">
        <v>195</v>
      </c>
      <c r="H89" s="22" t="n">
        <v>0.22</v>
      </c>
      <c r="I89" s="38" t="n">
        <v>3398.57</v>
      </c>
      <c r="J89" s="38" t="n">
        <v>3398.755</v>
      </c>
      <c r="K89" s="39" t="n">
        <f aca="false">IF(F89="BUY",J89-I89,I89-J89)</f>
        <v>0.184999999999945</v>
      </c>
      <c r="L89" s="38" t="n">
        <v>3397.07</v>
      </c>
      <c r="M89" s="39" t="n">
        <f aca="false">ABS(I89-L89)</f>
        <v>1.5</v>
      </c>
      <c r="N89" s="24" t="n">
        <f aca="false">M89*H89*Summary!$C$6</f>
        <v>33</v>
      </c>
      <c r="O89" s="37" t="n">
        <v>45897.0902199074</v>
      </c>
      <c r="P89" s="22" t="n">
        <f aca="false">ROUND((O89-C89)*86400,0)</f>
        <v>402</v>
      </c>
      <c r="Q89" s="22" t="str">
        <f aca="false">IF(P89&lt;10,"a) &lt;10s",IF(P89&lt;60,"b) 10-60s",IF(P89&lt;600,"c) 1-10min","d) &gt;10min")))</f>
        <v>c) 1-10min</v>
      </c>
      <c r="R89" s="38" t="n">
        <v>3397.07</v>
      </c>
      <c r="S89" s="38" t="n">
        <v>3397.015</v>
      </c>
      <c r="T89" s="22" t="s">
        <v>148</v>
      </c>
      <c r="U89" s="39" t="n">
        <f aca="false">IF(R89="","",IF(F89="BUY",R89-S89,S89-R89))</f>
        <v>0.055000000000291</v>
      </c>
      <c r="V89" s="39" t="n">
        <f aca="false">IF(F89="BUY",S89-J89,J89-S89)</f>
        <v>-1.74000000000024</v>
      </c>
      <c r="W89" s="6" t="n">
        <v>-38.28</v>
      </c>
      <c r="X89" s="26" t="n">
        <f aca="false">IFERROR(W89/N89,0)</f>
        <v>-1.16</v>
      </c>
      <c r="Y89" s="22" t="str">
        <f aca="false">IF(W89&gt;0,"Win",IF(W89&lt;0,"Loss","Flat"))</f>
        <v>Loss</v>
      </c>
      <c r="Z89" s="24" t="n">
        <f aca="false">Summary!$C$5+SUM(W$2:W89)</f>
        <v>3316.92</v>
      </c>
      <c r="AA89" s="24" t="n">
        <f aca="false">MAX(AA88,Z89)</f>
        <v>5026.73</v>
      </c>
      <c r="AB89" s="24" t="n">
        <f aca="false">AA89-Z89</f>
        <v>1709.81</v>
      </c>
      <c r="AC89" s="23" t="n">
        <f aca="false">IFERROR(AB89/AA89,0)</f>
        <v>0.340143592355269</v>
      </c>
      <c r="AD89" s="22" t="s">
        <v>284</v>
      </c>
    </row>
    <row r="90" customFormat="false" ht="15" hidden="false" customHeight="false" outlineLevel="0" collapsed="false">
      <c r="A90" s="22" t="n">
        <v>89</v>
      </c>
      <c r="B90" s="22" t="s">
        <v>122</v>
      </c>
      <c r="C90" s="37" t="n">
        <v>45898.6932986111</v>
      </c>
      <c r="D90" s="22" t="s">
        <v>166</v>
      </c>
      <c r="E90" s="22" t="n">
        <v>16</v>
      </c>
      <c r="F90" s="22" t="s">
        <v>142</v>
      </c>
      <c r="G90" s="22" t="s">
        <v>195</v>
      </c>
      <c r="H90" s="22" t="n">
        <v>0.22</v>
      </c>
      <c r="I90" s="38" t="n">
        <v>3423.07</v>
      </c>
      <c r="J90" s="38" t="n">
        <v>3423.185</v>
      </c>
      <c r="K90" s="39" t="n">
        <f aca="false">IF(F90="BUY",J90-I90,I90-J90)</f>
        <v>0.114999999999782</v>
      </c>
      <c r="L90" s="38" t="n">
        <v>3421.57</v>
      </c>
      <c r="M90" s="39" t="n">
        <f aca="false">ABS(I90-L90)</f>
        <v>1.5</v>
      </c>
      <c r="N90" s="24" t="n">
        <f aca="false">M90*H90*Summary!$C$6</f>
        <v>33</v>
      </c>
      <c r="O90" s="37" t="n">
        <v>45898.6934837963</v>
      </c>
      <c r="P90" s="22" t="n">
        <f aca="false">ROUND((O90-C90)*86400,0)</f>
        <v>16</v>
      </c>
      <c r="Q90" s="22" t="str">
        <f aca="false">IF(P90&lt;10,"a) &lt;10s",IF(P90&lt;60,"b) 10-60s",IF(P90&lt;600,"c) 1-10min","d) &gt;10min")))</f>
        <v>b) 10-60s</v>
      </c>
      <c r="R90" s="38" t="n">
        <v>3423.6</v>
      </c>
      <c r="S90" s="38" t="n">
        <v>3423.435</v>
      </c>
      <c r="T90" s="22" t="s">
        <v>149</v>
      </c>
      <c r="U90" s="39" t="n">
        <f aca="false">IF(R90="","",IF(F90="BUY",R90-S90,S90-R90))</f>
        <v>0.164999999999964</v>
      </c>
      <c r="V90" s="39" t="n">
        <f aca="false">IF(F90="BUY",S90-J90,J90-S90)</f>
        <v>0.25</v>
      </c>
      <c r="W90" s="6" t="n">
        <v>5.5</v>
      </c>
      <c r="X90" s="26" t="n">
        <f aca="false">IFERROR(W90/N90,0)</f>
        <v>0.166666666666667</v>
      </c>
      <c r="Y90" s="22" t="str">
        <f aca="false">IF(W90&gt;0,"Win",IF(W90&lt;0,"Loss","Flat"))</f>
        <v>Win</v>
      </c>
      <c r="Z90" s="24" t="n">
        <f aca="false">Summary!$C$5+SUM(W$2:W90)</f>
        <v>3322.42</v>
      </c>
      <c r="AA90" s="24" t="n">
        <f aca="false">MAX(AA89,Z90)</f>
        <v>5026.73</v>
      </c>
      <c r="AB90" s="24" t="n">
        <f aca="false">AA90-Z90</f>
        <v>1704.31</v>
      </c>
      <c r="AC90" s="23" t="n">
        <f aca="false">IFERROR(AB90/AA90,0)</f>
        <v>0.339049441684753</v>
      </c>
      <c r="AD90" s="22" t="s">
        <v>285</v>
      </c>
    </row>
    <row r="91" customFormat="false" ht="15" hidden="false" customHeight="false" outlineLevel="0" collapsed="false">
      <c r="A91" s="22" t="n">
        <v>90</v>
      </c>
      <c r="B91" s="22" t="s">
        <v>123</v>
      </c>
      <c r="C91" s="37" t="n">
        <v>45901.2072222222</v>
      </c>
      <c r="D91" s="22" t="s">
        <v>162</v>
      </c>
      <c r="E91" s="22" t="n">
        <v>4</v>
      </c>
      <c r="F91" s="22" t="s">
        <v>142</v>
      </c>
      <c r="G91" s="22" t="s">
        <v>195</v>
      </c>
      <c r="H91" s="22" t="n">
        <v>0.22</v>
      </c>
      <c r="I91" s="38" t="n">
        <v>3453.57</v>
      </c>
      <c r="J91" s="38" t="n">
        <v>3453.615</v>
      </c>
      <c r="K91" s="39" t="n">
        <f aca="false">IF(F91="BUY",J91-I91,I91-J91)</f>
        <v>0.044999999999618</v>
      </c>
      <c r="L91" s="38" t="n">
        <v>3452.07</v>
      </c>
      <c r="M91" s="39" t="n">
        <f aca="false">ABS(I91-L91)</f>
        <v>1.5</v>
      </c>
      <c r="N91" s="24" t="n">
        <f aca="false">M91*H91*Summary!$C$6</f>
        <v>33</v>
      </c>
      <c r="O91" s="37" t="n">
        <v>45901.2073148148</v>
      </c>
      <c r="P91" s="22" t="n">
        <f aca="false">ROUND((O91-C91)*86400,0)</f>
        <v>8</v>
      </c>
      <c r="Q91" s="22" t="str">
        <f aca="false">IF(P91&lt;10,"a) &lt;10s",IF(P91&lt;60,"b) 10-60s",IF(P91&lt;600,"c) 1-10min","d) &gt;10min")))</f>
        <v>a) &lt;10s</v>
      </c>
      <c r="R91" s="38" t="n">
        <v>3454.76</v>
      </c>
      <c r="S91" s="38" t="n">
        <v>3454.698</v>
      </c>
      <c r="T91" s="22" t="s">
        <v>149</v>
      </c>
      <c r="U91" s="39" t="n">
        <f aca="false">IF(R91="","",IF(F91="BUY",R91-S91,S91-R91))</f>
        <v>0.0620000000003529</v>
      </c>
      <c r="V91" s="39" t="n">
        <f aca="false">IF(F91="BUY",S91-J91,J91-S91)</f>
        <v>1.08300000000008</v>
      </c>
      <c r="W91" s="6" t="n">
        <v>23.83</v>
      </c>
      <c r="X91" s="26" t="n">
        <f aca="false">IFERROR(W91/N91,0)</f>
        <v>0.722121212121212</v>
      </c>
      <c r="Y91" s="22" t="str">
        <f aca="false">IF(W91&gt;0,"Win",IF(W91&lt;0,"Loss","Flat"))</f>
        <v>Win</v>
      </c>
      <c r="Z91" s="24" t="n">
        <f aca="false">Summary!$C$5+SUM(W$2:W91)</f>
        <v>3346.25</v>
      </c>
      <c r="AA91" s="24" t="n">
        <f aca="false">MAX(AA90,Z91)</f>
        <v>5026.73</v>
      </c>
      <c r="AB91" s="24" t="n">
        <f aca="false">AA91-Z91</f>
        <v>1680.48</v>
      </c>
      <c r="AC91" s="23" t="n">
        <f aca="false">IFERROR(AB91/AA91,0)</f>
        <v>0.334308785234138</v>
      </c>
      <c r="AD91" s="22" t="s">
        <v>286</v>
      </c>
    </row>
    <row r="92" customFormat="false" ht="15" hidden="false" customHeight="false" outlineLevel="0" collapsed="false">
      <c r="A92" s="22" t="n">
        <v>91</v>
      </c>
      <c r="B92" s="22" t="s">
        <v>123</v>
      </c>
      <c r="C92" s="37" t="n">
        <v>45902.1764814815</v>
      </c>
      <c r="D92" s="22" t="s">
        <v>163</v>
      </c>
      <c r="E92" s="22" t="n">
        <v>4</v>
      </c>
      <c r="F92" s="22" t="s">
        <v>142</v>
      </c>
      <c r="G92" s="22" t="s">
        <v>195</v>
      </c>
      <c r="H92" s="22" t="n">
        <v>0.22</v>
      </c>
      <c r="I92" s="38" t="n">
        <v>3489.6</v>
      </c>
      <c r="J92" s="38" t="n">
        <v>3489.672</v>
      </c>
      <c r="K92" s="39" t="n">
        <f aca="false">IF(F92="BUY",J92-I92,I92-J92)</f>
        <v>0.0720000000001164</v>
      </c>
      <c r="L92" s="38" t="n">
        <v>3488.1</v>
      </c>
      <c r="M92" s="39" t="n">
        <f aca="false">ABS(I92-L92)</f>
        <v>1.5</v>
      </c>
      <c r="N92" s="24" t="n">
        <f aca="false">M92*H92*Summary!$C$6</f>
        <v>33</v>
      </c>
      <c r="O92" s="37" t="n">
        <v>45902.1771527778</v>
      </c>
      <c r="P92" s="22" t="n">
        <f aca="false">ROUND((O92-C92)*86400,0)</f>
        <v>58</v>
      </c>
      <c r="Q92" s="22" t="str">
        <f aca="false">IF(P92&lt;10,"a) &lt;10s",IF(P92&lt;60,"b) 10-60s",IF(P92&lt;600,"c) 1-10min","d) &gt;10min")))</f>
        <v>b) 10-60s</v>
      </c>
      <c r="R92" s="38" t="n">
        <v>3488.1</v>
      </c>
      <c r="S92" s="38" t="n">
        <v>3487.725</v>
      </c>
      <c r="T92" s="22" t="s">
        <v>148</v>
      </c>
      <c r="U92" s="39" t="n">
        <f aca="false">IF(R92="","",IF(F92="BUY",R92-S92,S92-R92))</f>
        <v>0.375</v>
      </c>
      <c r="V92" s="39" t="n">
        <f aca="false">IF(F92="BUY",S92-J92,J92-S92)</f>
        <v>-1.94700000000012</v>
      </c>
      <c r="W92" s="6" t="n">
        <v>-42.83</v>
      </c>
      <c r="X92" s="26" t="n">
        <f aca="false">IFERROR(W92/N92,0)</f>
        <v>-1.29787878787879</v>
      </c>
      <c r="Y92" s="22" t="str">
        <f aca="false">IF(W92&gt;0,"Win",IF(W92&lt;0,"Loss","Flat"))</f>
        <v>Loss</v>
      </c>
      <c r="Z92" s="24" t="n">
        <f aca="false">Summary!$C$5+SUM(W$2:W92)</f>
        <v>3303.42</v>
      </c>
      <c r="AA92" s="24" t="n">
        <f aca="false">MAX(AA91,Z92)</f>
        <v>5026.73</v>
      </c>
      <c r="AB92" s="24" t="n">
        <f aca="false">AA92-Z92</f>
        <v>1723.31</v>
      </c>
      <c r="AC92" s="23" t="n">
        <f aca="false">IFERROR(AB92/AA92,0)</f>
        <v>0.34282923491017</v>
      </c>
      <c r="AD92" s="22" t="s">
        <v>287</v>
      </c>
    </row>
    <row r="93" customFormat="false" ht="15" hidden="false" customHeight="false" outlineLevel="0" collapsed="false">
      <c r="A93" s="22" t="n">
        <v>92</v>
      </c>
      <c r="B93" s="22" t="s">
        <v>123</v>
      </c>
      <c r="C93" s="37" t="n">
        <v>45903.1410648148</v>
      </c>
      <c r="D93" s="22" t="s">
        <v>164</v>
      </c>
      <c r="E93" s="22" t="n">
        <v>3</v>
      </c>
      <c r="F93" s="22" t="s">
        <v>142</v>
      </c>
      <c r="G93" s="22" t="s">
        <v>195</v>
      </c>
      <c r="H93" s="22" t="n">
        <v>0.22</v>
      </c>
      <c r="I93" s="38" t="n">
        <v>3539.85</v>
      </c>
      <c r="J93" s="38" t="n">
        <v>3539.955</v>
      </c>
      <c r="K93" s="39" t="n">
        <f aca="false">IF(F93="BUY",J93-I93,I93-J93)</f>
        <v>0.105000000000018</v>
      </c>
      <c r="L93" s="38" t="n">
        <v>3538.35</v>
      </c>
      <c r="M93" s="39" t="n">
        <f aca="false">ABS(I93-L93)</f>
        <v>1.5</v>
      </c>
      <c r="N93" s="24" t="n">
        <f aca="false">M93*H93*Summary!$C$6</f>
        <v>33</v>
      </c>
      <c r="O93" s="37" t="n">
        <v>45903.1411921296</v>
      </c>
      <c r="P93" s="22" t="n">
        <f aca="false">ROUND((O93-C93)*86400,0)</f>
        <v>11</v>
      </c>
      <c r="Q93" s="22" t="str">
        <f aca="false">IF(P93&lt;10,"a) &lt;10s",IF(P93&lt;60,"b) 10-60s",IF(P93&lt;600,"c) 1-10min","d) &gt;10min")))</f>
        <v>b) 10-60s</v>
      </c>
      <c r="R93" s="38" t="n">
        <v>3538.35</v>
      </c>
      <c r="S93" s="38" t="n">
        <v>3538.145</v>
      </c>
      <c r="T93" s="22" t="s">
        <v>148</v>
      </c>
      <c r="U93" s="39" t="n">
        <f aca="false">IF(R93="","",IF(F93="BUY",R93-S93,S93-R93))</f>
        <v>0.204999999999927</v>
      </c>
      <c r="V93" s="39" t="n">
        <f aca="false">IF(F93="BUY",S93-J93,J93-S93)</f>
        <v>-1.80999999999995</v>
      </c>
      <c r="W93" s="6" t="n">
        <v>-39.82</v>
      </c>
      <c r="X93" s="26" t="n">
        <f aca="false">IFERROR(W93/N93,0)</f>
        <v>-1.20666666666667</v>
      </c>
      <c r="Y93" s="22" t="str">
        <f aca="false">IF(W93&gt;0,"Win",IF(W93&lt;0,"Loss","Flat"))</f>
        <v>Loss</v>
      </c>
      <c r="Z93" s="24" t="n">
        <f aca="false">Summary!$C$5+SUM(W$2:W93)</f>
        <v>3263.6</v>
      </c>
      <c r="AA93" s="24" t="n">
        <f aca="false">MAX(AA92,Z93)</f>
        <v>5026.73</v>
      </c>
      <c r="AB93" s="24" t="n">
        <f aca="false">AA93-Z93</f>
        <v>1763.13</v>
      </c>
      <c r="AC93" s="23" t="n">
        <f aca="false">IFERROR(AB93/AA93,0)</f>
        <v>0.350750885764702</v>
      </c>
      <c r="AD93" s="22" t="s">
        <v>288</v>
      </c>
    </row>
    <row r="94" customFormat="false" ht="15" hidden="false" customHeight="false" outlineLevel="0" collapsed="false">
      <c r="A94" s="22" t="n">
        <v>93</v>
      </c>
      <c r="B94" s="22" t="s">
        <v>123</v>
      </c>
      <c r="C94" s="37" t="n">
        <v>45904.2576388889</v>
      </c>
      <c r="D94" s="22" t="s">
        <v>165</v>
      </c>
      <c r="E94" s="22" t="n">
        <v>6</v>
      </c>
      <c r="F94" s="22" t="s">
        <v>143</v>
      </c>
      <c r="G94" s="22" t="s">
        <v>197</v>
      </c>
      <c r="H94" s="22" t="n">
        <v>0.21</v>
      </c>
      <c r="I94" s="38" t="n">
        <v>3525.85</v>
      </c>
      <c r="J94" s="38" t="n">
        <v>3525.825</v>
      </c>
      <c r="K94" s="39" t="n">
        <f aca="false">IF(F94="BUY",J94-I94,I94-J94)</f>
        <v>0.025000000000091</v>
      </c>
      <c r="L94" s="38" t="n">
        <v>3527.35</v>
      </c>
      <c r="M94" s="39" t="n">
        <f aca="false">ABS(I94-L94)</f>
        <v>1.5</v>
      </c>
      <c r="N94" s="24" t="n">
        <f aca="false">M94*H94*Summary!$C$6</f>
        <v>31.5</v>
      </c>
      <c r="O94" s="37" t="n">
        <v>45904.2576736111</v>
      </c>
      <c r="P94" s="22" t="n">
        <f aca="false">ROUND((O94-C94)*86400,0)</f>
        <v>3</v>
      </c>
      <c r="Q94" s="22" t="str">
        <f aca="false">IF(P94&lt;10,"a) &lt;10s",IF(P94&lt;60,"b) 10-60s",IF(P94&lt;600,"c) 1-10min","d) &gt;10min")))</f>
        <v>a) &lt;10s</v>
      </c>
      <c r="R94" s="38" t="n">
        <v>3525.6</v>
      </c>
      <c r="S94" s="38" t="n">
        <v>3525.625</v>
      </c>
      <c r="T94" s="22" t="s">
        <v>149</v>
      </c>
      <c r="U94" s="39" t="n">
        <f aca="false">IF(R94="","",IF(F94="BUY",R94-S94,S94-R94))</f>
        <v>0.025000000000091</v>
      </c>
      <c r="V94" s="39" t="n">
        <f aca="false">IF(F94="BUY",S94-J94,J94-S94)</f>
        <v>0.199999999999818</v>
      </c>
      <c r="W94" s="6" t="n">
        <v>4.2</v>
      </c>
      <c r="X94" s="26" t="n">
        <f aca="false">IFERROR(W94/N94,0)</f>
        <v>0.133333333333333</v>
      </c>
      <c r="Y94" s="22" t="str">
        <f aca="false">IF(W94&gt;0,"Win",IF(W94&lt;0,"Loss","Flat"))</f>
        <v>Win</v>
      </c>
      <c r="Z94" s="24" t="n">
        <f aca="false">Summary!$C$5+SUM(W$2:W94)</f>
        <v>3267.8</v>
      </c>
      <c r="AA94" s="24" t="n">
        <f aca="false">MAX(AA93,Z94)</f>
        <v>5026.73</v>
      </c>
      <c r="AB94" s="24" t="n">
        <f aca="false">AA94-Z94</f>
        <v>1758.93</v>
      </c>
      <c r="AC94" s="23" t="n">
        <f aca="false">IFERROR(AB94/AA94,0)</f>
        <v>0.349915352525399</v>
      </c>
      <c r="AD94" s="22" t="s">
        <v>289</v>
      </c>
    </row>
    <row r="95" customFormat="false" ht="15" hidden="false" customHeight="false" outlineLevel="0" collapsed="false">
      <c r="A95" s="22" t="n">
        <v>94</v>
      </c>
      <c r="B95" s="22" t="s">
        <v>123</v>
      </c>
      <c r="C95" s="37" t="n">
        <v>45905.6458912037</v>
      </c>
      <c r="D95" s="22" t="s">
        <v>166</v>
      </c>
      <c r="E95" s="22" t="n">
        <v>15</v>
      </c>
      <c r="F95" s="22" t="s">
        <v>142</v>
      </c>
      <c r="G95" s="22" t="s">
        <v>195</v>
      </c>
      <c r="H95" s="22" t="n">
        <v>0.21</v>
      </c>
      <c r="I95" s="38" t="n">
        <v>3564</v>
      </c>
      <c r="J95" s="38" t="n">
        <v>3572.405</v>
      </c>
      <c r="K95" s="39" t="n">
        <f aca="false">IF(F95="BUY",J95-I95,I95-J95)</f>
        <v>8.4050000000002</v>
      </c>
      <c r="L95" s="38" t="n">
        <v>3562.5</v>
      </c>
      <c r="M95" s="39" t="n">
        <f aca="false">ABS(I95-L95)</f>
        <v>1.5</v>
      </c>
      <c r="N95" s="24" t="n">
        <f aca="false">M95*H95*Summary!$C$6</f>
        <v>31.5</v>
      </c>
      <c r="O95" s="37" t="n">
        <v>45905.6458912037</v>
      </c>
      <c r="P95" s="22" t="n">
        <f aca="false">ROUND((O95-C95)*86400,0)</f>
        <v>0</v>
      </c>
      <c r="Q95" s="22" t="str">
        <f aca="false">IF(P95&lt;10,"a) &lt;10s",IF(P95&lt;60,"b) 10-60s",IF(P95&lt;600,"c) 1-10min","d) &gt;10min")))</f>
        <v>a) &lt;10s</v>
      </c>
      <c r="R95" s="38"/>
      <c r="S95" s="38" t="n">
        <v>3567.215</v>
      </c>
      <c r="T95" s="22" t="s">
        <v>151</v>
      </c>
      <c r="U95" s="39" t="str">
        <f aca="false">IF(R95="","",IF(F95="BUY",R95-S95,S95-R95))</f>
        <v/>
      </c>
      <c r="V95" s="39" t="n">
        <f aca="false">IF(F95="BUY",S95-J95,J95-S95)</f>
        <v>-5.19000000000006</v>
      </c>
      <c r="W95" s="6" t="n">
        <v>-108.99</v>
      </c>
      <c r="X95" s="26" t="n">
        <f aca="false">IFERROR(W95/N95,0)</f>
        <v>-3.46</v>
      </c>
      <c r="Y95" s="22" t="str">
        <f aca="false">IF(W95&gt;0,"Win",IF(W95&lt;0,"Loss","Flat"))</f>
        <v>Loss</v>
      </c>
      <c r="Z95" s="24" t="n">
        <f aca="false">Summary!$C$5+SUM(W$2:W95)</f>
        <v>3158.81</v>
      </c>
      <c r="AA95" s="24" t="n">
        <f aca="false">MAX(AA94,Z95)</f>
        <v>5026.73</v>
      </c>
      <c r="AB95" s="24" t="n">
        <f aca="false">AA95-Z95</f>
        <v>1867.92</v>
      </c>
      <c r="AC95" s="23" t="n">
        <f aca="false">IFERROR(AB95/AA95,0)</f>
        <v>0.371597440085304</v>
      </c>
      <c r="AD95" s="22" t="s">
        <v>290</v>
      </c>
    </row>
    <row r="96" customFormat="false" ht="15" hidden="false" customHeight="false" outlineLevel="0" collapsed="false">
      <c r="A96" s="22" t="n">
        <v>95</v>
      </c>
      <c r="B96" s="22" t="s">
        <v>123</v>
      </c>
      <c r="C96" s="37" t="n">
        <v>45908.4197222222</v>
      </c>
      <c r="D96" s="22" t="s">
        <v>162</v>
      </c>
      <c r="E96" s="22" t="n">
        <v>10</v>
      </c>
      <c r="F96" s="22" t="s">
        <v>142</v>
      </c>
      <c r="G96" s="22" t="s">
        <v>195</v>
      </c>
      <c r="H96" s="22" t="n">
        <v>0.21</v>
      </c>
      <c r="I96" s="38" t="n">
        <v>3599.91</v>
      </c>
      <c r="J96" s="38" t="n">
        <v>3599.925</v>
      </c>
      <c r="K96" s="39" t="n">
        <f aca="false">IF(F96="BUY",J96-I96,I96-J96)</f>
        <v>0.0150000000003274</v>
      </c>
      <c r="L96" s="38" t="n">
        <v>3598.41</v>
      </c>
      <c r="M96" s="39" t="n">
        <f aca="false">ABS(I96-L96)</f>
        <v>1.5</v>
      </c>
      <c r="N96" s="24" t="n">
        <f aca="false">M96*H96*Summary!$C$6</f>
        <v>31.5</v>
      </c>
      <c r="O96" s="37" t="n">
        <v>45908.4198958333</v>
      </c>
      <c r="P96" s="22" t="n">
        <f aca="false">ROUND((O96-C96)*86400,0)</f>
        <v>15</v>
      </c>
      <c r="Q96" s="22" t="str">
        <f aca="false">IF(P96&lt;10,"a) &lt;10s",IF(P96&lt;60,"b) 10-60s",IF(P96&lt;600,"c) 1-10min","d) &gt;10min")))</f>
        <v>b) 10-60s</v>
      </c>
      <c r="R96" s="38" t="n">
        <v>3600.16</v>
      </c>
      <c r="S96" s="38" t="n">
        <v>3600.135</v>
      </c>
      <c r="T96" s="22" t="s">
        <v>149</v>
      </c>
      <c r="U96" s="39" t="n">
        <f aca="false">IF(R96="","",IF(F96="BUY",R96-S96,S96-R96))</f>
        <v>0.0249999999996362</v>
      </c>
      <c r="V96" s="39" t="n">
        <f aca="false">IF(F96="BUY",S96-J96,J96-S96)</f>
        <v>0.210000000000036</v>
      </c>
      <c r="W96" s="6" t="n">
        <v>4.41</v>
      </c>
      <c r="X96" s="26" t="n">
        <f aca="false">IFERROR(W96/N96,0)</f>
        <v>0.14</v>
      </c>
      <c r="Y96" s="22" t="str">
        <f aca="false">IF(W96&gt;0,"Win",IF(W96&lt;0,"Loss","Flat"))</f>
        <v>Win</v>
      </c>
      <c r="Z96" s="24" t="n">
        <f aca="false">Summary!$C$5+SUM(W$2:W96)</f>
        <v>3163.22</v>
      </c>
      <c r="AA96" s="24" t="n">
        <f aca="false">MAX(AA95,Z96)</f>
        <v>5026.73</v>
      </c>
      <c r="AB96" s="24" t="n">
        <f aca="false">AA96-Z96</f>
        <v>1863.51</v>
      </c>
      <c r="AC96" s="23" t="n">
        <f aca="false">IFERROR(AB96/AA96,0)</f>
        <v>0.370720130184036</v>
      </c>
      <c r="AD96" s="22" t="s">
        <v>291</v>
      </c>
    </row>
    <row r="97" customFormat="false" ht="15" hidden="false" customHeight="false" outlineLevel="0" collapsed="false">
      <c r="A97" s="22" t="n">
        <v>96</v>
      </c>
      <c r="B97" s="22" t="s">
        <v>123</v>
      </c>
      <c r="C97" s="37" t="n">
        <v>45909.1815740741</v>
      </c>
      <c r="D97" s="22" t="s">
        <v>163</v>
      </c>
      <c r="E97" s="22" t="n">
        <v>4</v>
      </c>
      <c r="F97" s="22" t="s">
        <v>142</v>
      </c>
      <c r="G97" s="22" t="s">
        <v>195</v>
      </c>
      <c r="H97" s="22" t="n">
        <v>0.21</v>
      </c>
      <c r="I97" s="38" t="n">
        <v>3646.11</v>
      </c>
      <c r="J97" s="38" t="n">
        <v>3646.155</v>
      </c>
      <c r="K97" s="39" t="n">
        <f aca="false">IF(F97="BUY",J97-I97,I97-J97)</f>
        <v>0.0450000000000728</v>
      </c>
      <c r="L97" s="38" t="n">
        <v>3644.61</v>
      </c>
      <c r="M97" s="39" t="n">
        <f aca="false">ABS(I97-L97)</f>
        <v>1.5</v>
      </c>
      <c r="N97" s="24" t="n">
        <f aca="false">M97*H97*Summary!$C$6</f>
        <v>31.5</v>
      </c>
      <c r="O97" s="37" t="n">
        <v>45909.1819212963</v>
      </c>
      <c r="P97" s="22" t="n">
        <f aca="false">ROUND((O97-C97)*86400,0)</f>
        <v>30</v>
      </c>
      <c r="Q97" s="22" t="str">
        <f aca="false">IF(P97&lt;10,"a) &lt;10s",IF(P97&lt;60,"b) 10-60s",IF(P97&lt;600,"c) 1-10min","d) &gt;10min")))</f>
        <v>b) 10-60s</v>
      </c>
      <c r="R97" s="38" t="n">
        <v>3644.61</v>
      </c>
      <c r="S97" s="38" t="n">
        <v>3644.455</v>
      </c>
      <c r="T97" s="22" t="s">
        <v>148</v>
      </c>
      <c r="U97" s="39" t="n">
        <f aca="false">IF(R97="","",IF(F97="BUY",R97-S97,S97-R97))</f>
        <v>0.1550000000002</v>
      </c>
      <c r="V97" s="39" t="n">
        <f aca="false">IF(F97="BUY",S97-J97,J97-S97)</f>
        <v>-1.70000000000027</v>
      </c>
      <c r="W97" s="6" t="n">
        <v>-35.7</v>
      </c>
      <c r="X97" s="26" t="n">
        <f aca="false">IFERROR(W97/N97,0)</f>
        <v>-1.13333333333333</v>
      </c>
      <c r="Y97" s="22" t="str">
        <f aca="false">IF(W97&gt;0,"Win",IF(W97&lt;0,"Loss","Flat"))</f>
        <v>Loss</v>
      </c>
      <c r="Z97" s="24" t="n">
        <f aca="false">Summary!$C$5+SUM(W$2:W97)</f>
        <v>3127.52</v>
      </c>
      <c r="AA97" s="24" t="n">
        <f aca="false">MAX(AA96,Z97)</f>
        <v>5026.73</v>
      </c>
      <c r="AB97" s="24" t="n">
        <f aca="false">AA97-Z97</f>
        <v>1899.21</v>
      </c>
      <c r="AC97" s="23" t="n">
        <f aca="false">IFERROR(AB97/AA97,0)</f>
        <v>0.377822162718109</v>
      </c>
      <c r="AD97" s="22" t="s">
        <v>292</v>
      </c>
    </row>
    <row r="98" customFormat="false" ht="15" hidden="false" customHeight="false" outlineLevel="0" collapsed="false">
      <c r="A98" s="22" t="n">
        <v>97</v>
      </c>
      <c r="B98" s="22" t="s">
        <v>123</v>
      </c>
      <c r="C98" s="37" t="n">
        <v>45910.0621180556</v>
      </c>
      <c r="D98" s="22" t="s">
        <v>164</v>
      </c>
      <c r="E98" s="22" t="n">
        <v>1</v>
      </c>
      <c r="F98" s="22" t="s">
        <v>143</v>
      </c>
      <c r="G98" s="22" t="s">
        <v>197</v>
      </c>
      <c r="H98" s="22" t="n">
        <v>0.2</v>
      </c>
      <c r="I98" s="38" t="n">
        <v>3624</v>
      </c>
      <c r="J98" s="38" t="n">
        <v>3623.888</v>
      </c>
      <c r="K98" s="39" t="n">
        <f aca="false">IF(F98="BUY",J98-I98,I98-J98)</f>
        <v>0.11200000000008</v>
      </c>
      <c r="L98" s="38" t="n">
        <v>3625.5</v>
      </c>
      <c r="M98" s="39" t="n">
        <f aca="false">ABS(I98-L98)</f>
        <v>1.5</v>
      </c>
      <c r="N98" s="24" t="n">
        <f aca="false">M98*H98*Summary!$C$6</f>
        <v>30</v>
      </c>
      <c r="O98" s="37" t="n">
        <v>45910.0624189815</v>
      </c>
      <c r="P98" s="22" t="n">
        <f aca="false">ROUND((O98-C98)*86400,0)</f>
        <v>26</v>
      </c>
      <c r="Q98" s="22" t="str">
        <f aca="false">IF(P98&lt;10,"a) &lt;10s",IF(P98&lt;60,"b) 10-60s",IF(P98&lt;600,"c) 1-10min","d) &gt;10min")))</f>
        <v>b) 10-60s</v>
      </c>
      <c r="R98" s="38" t="n">
        <v>3623.67</v>
      </c>
      <c r="S98" s="38" t="n">
        <v>3623.685</v>
      </c>
      <c r="T98" s="22" t="s">
        <v>149</v>
      </c>
      <c r="U98" s="39" t="n">
        <f aca="false">IF(R98="","",IF(F98="BUY",R98-S98,S98-R98))</f>
        <v>0.0149999999998727</v>
      </c>
      <c r="V98" s="39" t="n">
        <f aca="false">IF(F98="BUY",S98-J98,J98-S98)</f>
        <v>0.202999999999975</v>
      </c>
      <c r="W98" s="6" t="n">
        <v>4.06</v>
      </c>
      <c r="X98" s="26" t="n">
        <f aca="false">IFERROR(W98/N98,0)</f>
        <v>0.135333333333333</v>
      </c>
      <c r="Y98" s="22" t="str">
        <f aca="false">IF(W98&gt;0,"Win",IF(W98&lt;0,"Loss","Flat"))</f>
        <v>Win</v>
      </c>
      <c r="Z98" s="24" t="n">
        <f aca="false">Summary!$C$5+SUM(W$2:W98)</f>
        <v>3131.58</v>
      </c>
      <c r="AA98" s="24" t="n">
        <f aca="false">MAX(AA97,Z98)</f>
        <v>5026.73</v>
      </c>
      <c r="AB98" s="24" t="n">
        <f aca="false">AA98-Z98</f>
        <v>1895.15</v>
      </c>
      <c r="AC98" s="23" t="n">
        <f aca="false">IFERROR(AB98/AA98,0)</f>
        <v>0.377014480586783</v>
      </c>
      <c r="AD98" s="22" t="s">
        <v>293</v>
      </c>
    </row>
    <row r="99" customFormat="false" ht="15" hidden="false" customHeight="false" outlineLevel="0" collapsed="false">
      <c r="A99" s="22" t="n">
        <v>98</v>
      </c>
      <c r="B99" s="22" t="s">
        <v>123</v>
      </c>
      <c r="C99" s="37" t="n">
        <v>45911.5100925926</v>
      </c>
      <c r="D99" s="22" t="s">
        <v>165</v>
      </c>
      <c r="E99" s="22" t="n">
        <v>12</v>
      </c>
      <c r="F99" s="22" t="s">
        <v>143</v>
      </c>
      <c r="G99" s="22" t="s">
        <v>197</v>
      </c>
      <c r="H99" s="22" t="n">
        <v>0.2</v>
      </c>
      <c r="I99" s="38" t="n">
        <v>3618.51</v>
      </c>
      <c r="J99" s="38" t="n">
        <v>3618.475</v>
      </c>
      <c r="K99" s="39" t="n">
        <f aca="false">IF(F99="BUY",J99-I99,I99-J99)</f>
        <v>0.0350000000003092</v>
      </c>
      <c r="L99" s="38" t="n">
        <v>3620.01</v>
      </c>
      <c r="M99" s="39" t="n">
        <f aca="false">ABS(I99-L99)</f>
        <v>1.5</v>
      </c>
      <c r="N99" s="24" t="n">
        <f aca="false">M99*H99*Summary!$C$6</f>
        <v>30</v>
      </c>
      <c r="O99" s="37" t="n">
        <v>45911.5105092593</v>
      </c>
      <c r="P99" s="22" t="n">
        <f aca="false">ROUND((O99-C99)*86400,0)</f>
        <v>36</v>
      </c>
      <c r="Q99" s="22" t="str">
        <f aca="false">IF(P99&lt;10,"a) &lt;10s",IF(P99&lt;60,"b) 10-60s",IF(P99&lt;600,"c) 1-10min","d) &gt;10min")))</f>
        <v>b) 10-60s</v>
      </c>
      <c r="R99" s="38" t="n">
        <v>3617.85</v>
      </c>
      <c r="S99" s="38" t="n">
        <v>3617.854</v>
      </c>
      <c r="T99" s="22" t="s">
        <v>149</v>
      </c>
      <c r="U99" s="39" t="n">
        <f aca="false">IF(R99="","",IF(F99="BUY",R99-S99,S99-R99))</f>
        <v>0.00399999999990541</v>
      </c>
      <c r="V99" s="39" t="n">
        <f aca="false">IF(F99="BUY",S99-J99,J99-S99)</f>
        <v>0.621000000000095</v>
      </c>
      <c r="W99" s="6" t="n">
        <v>12.42</v>
      </c>
      <c r="X99" s="26" t="n">
        <f aca="false">IFERROR(W99/N99,0)</f>
        <v>0.414</v>
      </c>
      <c r="Y99" s="22" t="str">
        <f aca="false">IF(W99&gt;0,"Win",IF(W99&lt;0,"Loss","Flat"))</f>
        <v>Win</v>
      </c>
      <c r="Z99" s="24" t="n">
        <f aca="false">Summary!$C$5+SUM(W$2:W99)</f>
        <v>3144</v>
      </c>
      <c r="AA99" s="24" t="n">
        <f aca="false">MAX(AA98,Z99)</f>
        <v>5026.73</v>
      </c>
      <c r="AB99" s="24" t="n">
        <f aca="false">AA99-Z99</f>
        <v>1882.73</v>
      </c>
      <c r="AC99" s="23" t="n">
        <f aca="false">IFERROR(AB99/AA99,0)</f>
        <v>0.374543689436274</v>
      </c>
      <c r="AD99" s="22" t="s">
        <v>294</v>
      </c>
    </row>
    <row r="100" customFormat="false" ht="15" hidden="false" customHeight="false" outlineLevel="0" collapsed="false">
      <c r="A100" s="22" t="n">
        <v>99</v>
      </c>
      <c r="B100" s="22" t="s">
        <v>123</v>
      </c>
      <c r="C100" s="37" t="n">
        <v>45912.2144907407</v>
      </c>
      <c r="D100" s="22" t="s">
        <v>166</v>
      </c>
      <c r="E100" s="22" t="n">
        <v>5</v>
      </c>
      <c r="F100" s="22" t="s">
        <v>142</v>
      </c>
      <c r="G100" s="22" t="s">
        <v>195</v>
      </c>
      <c r="H100" s="22" t="n">
        <v>0.2</v>
      </c>
      <c r="I100" s="38" t="n">
        <v>3648.9</v>
      </c>
      <c r="J100" s="38" t="n">
        <v>3648.902</v>
      </c>
      <c r="K100" s="39" t="n">
        <f aca="false">IF(F100="BUY",J100-I100,I100-J100)</f>
        <v>0.00199999999995271</v>
      </c>
      <c r="L100" s="38" t="n">
        <v>3647.4</v>
      </c>
      <c r="M100" s="39" t="n">
        <f aca="false">ABS(I100-L100)</f>
        <v>1.5</v>
      </c>
      <c r="N100" s="24" t="n">
        <f aca="false">M100*H100*Summary!$C$6</f>
        <v>30</v>
      </c>
      <c r="O100" s="37" t="n">
        <v>45912.2146527778</v>
      </c>
      <c r="P100" s="22" t="n">
        <f aca="false">ROUND((O100-C100)*86400,0)</f>
        <v>14</v>
      </c>
      <c r="Q100" s="22" t="str">
        <f aca="false">IF(P100&lt;10,"a) &lt;10s",IF(P100&lt;60,"b) 10-60s",IF(P100&lt;600,"c) 1-10min","d) &gt;10min")))</f>
        <v>b) 10-60s</v>
      </c>
      <c r="R100" s="38" t="n">
        <v>3648.9</v>
      </c>
      <c r="S100" s="38" t="n">
        <v>3648.845</v>
      </c>
      <c r="T100" s="22" t="s">
        <v>149</v>
      </c>
      <c r="U100" s="39" t="n">
        <f aca="false">IF(R100="","",IF(F100="BUY",R100-S100,S100-R100))</f>
        <v>0.055000000000291</v>
      </c>
      <c r="V100" s="39" t="n">
        <f aca="false">IF(F100="BUY",S100-J100,J100-S100)</f>
        <v>-0.0570000000002437</v>
      </c>
      <c r="W100" s="6" t="n">
        <v>-1.14</v>
      </c>
      <c r="X100" s="26" t="n">
        <f aca="false">IFERROR(W100/N100,0)</f>
        <v>-0.038</v>
      </c>
      <c r="Y100" s="22" t="str">
        <f aca="false">IF(W100&gt;0,"Win",IF(W100&lt;0,"Loss","Flat"))</f>
        <v>Loss</v>
      </c>
      <c r="Z100" s="24" t="n">
        <f aca="false">Summary!$C$5+SUM(W$2:W100)</f>
        <v>3142.86</v>
      </c>
      <c r="AA100" s="24" t="n">
        <f aca="false">MAX(AA99,Z100)</f>
        <v>5026.73</v>
      </c>
      <c r="AB100" s="24" t="n">
        <f aca="false">AA100-Z100</f>
        <v>1883.87</v>
      </c>
      <c r="AC100" s="23" t="n">
        <f aca="false">IFERROR(AB100/AA100,0)</f>
        <v>0.374770477029799</v>
      </c>
      <c r="AD100" s="22" t="s">
        <v>295</v>
      </c>
    </row>
    <row r="101" customFormat="false" ht="15" hidden="false" customHeight="false" outlineLevel="0" collapsed="false">
      <c r="A101" s="22" t="n">
        <v>100</v>
      </c>
      <c r="B101" s="22" t="s">
        <v>123</v>
      </c>
      <c r="C101" s="37" t="n">
        <v>45915.1673842593</v>
      </c>
      <c r="D101" s="22" t="s">
        <v>162</v>
      </c>
      <c r="E101" s="22" t="n">
        <v>4</v>
      </c>
      <c r="F101" s="22" t="s">
        <v>143</v>
      </c>
      <c r="G101" s="22" t="s">
        <v>197</v>
      </c>
      <c r="H101" s="22" t="n">
        <v>0.2</v>
      </c>
      <c r="I101" s="38" t="n">
        <v>3630.3</v>
      </c>
      <c r="J101" s="38" t="n">
        <v>3630.235</v>
      </c>
      <c r="K101" s="39" t="n">
        <f aca="false">IF(F101="BUY",J101-I101,I101-J101)</f>
        <v>0.0650000000000546</v>
      </c>
      <c r="L101" s="38" t="n">
        <v>3631.8</v>
      </c>
      <c r="M101" s="39" t="n">
        <f aca="false">ABS(I101-L101)</f>
        <v>1.5</v>
      </c>
      <c r="N101" s="24" t="n">
        <f aca="false">M101*H101*Summary!$C$6</f>
        <v>30</v>
      </c>
      <c r="O101" s="37" t="n">
        <v>45915.1673958333</v>
      </c>
      <c r="P101" s="22" t="n">
        <f aca="false">ROUND((O101-C101)*86400,0)</f>
        <v>1</v>
      </c>
      <c r="Q101" s="22" t="str">
        <f aca="false">IF(P101&lt;10,"a) &lt;10s",IF(P101&lt;60,"b) 10-60s",IF(P101&lt;600,"c) 1-10min","d) &gt;10min")))</f>
        <v>a) &lt;10s</v>
      </c>
      <c r="R101" s="38" t="n">
        <v>3629.69</v>
      </c>
      <c r="S101" s="38" t="n">
        <v>3629.702</v>
      </c>
      <c r="T101" s="22" t="s">
        <v>149</v>
      </c>
      <c r="U101" s="39" t="n">
        <f aca="false">IF(R101="","",IF(F101="BUY",R101-S101,S101-R101))</f>
        <v>0.012000000000171</v>
      </c>
      <c r="V101" s="39" t="n">
        <f aca="false">IF(F101="BUY",S101-J101,J101-S101)</f>
        <v>0.532999999999902</v>
      </c>
      <c r="W101" s="6" t="n">
        <v>10.66</v>
      </c>
      <c r="X101" s="26" t="n">
        <f aca="false">IFERROR(W101/N101,0)</f>
        <v>0.355333333333333</v>
      </c>
      <c r="Y101" s="22" t="str">
        <f aca="false">IF(W101&gt;0,"Win",IF(W101&lt;0,"Loss","Flat"))</f>
        <v>Win</v>
      </c>
      <c r="Z101" s="24" t="n">
        <f aca="false">Summary!$C$5+SUM(W$2:W101)</f>
        <v>3153.52</v>
      </c>
      <c r="AA101" s="24" t="n">
        <f aca="false">MAX(AA100,Z101)</f>
        <v>5026.73</v>
      </c>
      <c r="AB101" s="24" t="n">
        <f aca="false">AA101-Z101</f>
        <v>1873.21</v>
      </c>
      <c r="AC101" s="23" t="n">
        <f aca="false">IFERROR(AB101/AA101,0)</f>
        <v>0.372649814093854</v>
      </c>
      <c r="AD101" s="22" t="s">
        <v>296</v>
      </c>
    </row>
    <row r="102" customFormat="false" ht="15" hidden="false" customHeight="false" outlineLevel="0" collapsed="false">
      <c r="A102" s="22" t="n">
        <v>101</v>
      </c>
      <c r="B102" s="22" t="s">
        <v>123</v>
      </c>
      <c r="C102" s="37" t="n">
        <v>45915.6914930556</v>
      </c>
      <c r="D102" s="22" t="s">
        <v>162</v>
      </c>
      <c r="E102" s="22" t="n">
        <v>16</v>
      </c>
      <c r="F102" s="22" t="s">
        <v>142</v>
      </c>
      <c r="G102" s="22" t="s">
        <v>195</v>
      </c>
      <c r="H102" s="22" t="n">
        <v>0.2</v>
      </c>
      <c r="I102" s="38" t="n">
        <v>3656.44</v>
      </c>
      <c r="J102" s="38" t="n">
        <v>3656.475</v>
      </c>
      <c r="K102" s="39" t="n">
        <f aca="false">IF(F102="BUY",J102-I102,I102-J102)</f>
        <v>0.0349999999998545</v>
      </c>
      <c r="L102" s="38" t="n">
        <v>3654.94</v>
      </c>
      <c r="M102" s="39" t="n">
        <f aca="false">ABS(I102-L102)</f>
        <v>1.5</v>
      </c>
      <c r="N102" s="24" t="n">
        <f aca="false">M102*H102*Summary!$C$6</f>
        <v>30</v>
      </c>
      <c r="O102" s="37" t="n">
        <v>45915.6923611111</v>
      </c>
      <c r="P102" s="22" t="n">
        <f aca="false">ROUND((O102-C102)*86400,0)</f>
        <v>75</v>
      </c>
      <c r="Q102" s="22" t="str">
        <f aca="false">IF(P102&lt;10,"a) &lt;10s",IF(P102&lt;60,"b) 10-60s",IF(P102&lt;600,"c) 1-10min","d) &gt;10min")))</f>
        <v>c) 1-10min</v>
      </c>
      <c r="R102" s="38" t="n">
        <v>3656.48</v>
      </c>
      <c r="S102" s="38" t="n">
        <v>3656.465</v>
      </c>
      <c r="T102" s="22" t="s">
        <v>149</v>
      </c>
      <c r="U102" s="39" t="n">
        <f aca="false">IF(R102="","",IF(F102="BUY",R102-S102,S102-R102))</f>
        <v>0.0149999999998727</v>
      </c>
      <c r="V102" s="39" t="n">
        <f aca="false">IF(F102="BUY",S102-J102,J102-S102)</f>
        <v>-0.00999999999976353</v>
      </c>
      <c r="W102" s="6" t="n">
        <v>-0.2</v>
      </c>
      <c r="X102" s="26" t="n">
        <f aca="false">IFERROR(W102/N102,0)</f>
        <v>-0.00666666666666667</v>
      </c>
      <c r="Y102" s="22" t="str">
        <f aca="false">IF(W102&gt;0,"Win",IF(W102&lt;0,"Loss","Flat"))</f>
        <v>Loss</v>
      </c>
      <c r="Z102" s="24" t="n">
        <f aca="false">Summary!$C$5+SUM(W$2:W102)</f>
        <v>3153.32</v>
      </c>
      <c r="AA102" s="24" t="n">
        <f aca="false">MAX(AA101,Z102)</f>
        <v>5026.73</v>
      </c>
      <c r="AB102" s="24" t="n">
        <f aca="false">AA102-Z102</f>
        <v>1873.41</v>
      </c>
      <c r="AC102" s="23" t="n">
        <f aca="false">IFERROR(AB102/AA102,0)</f>
        <v>0.372689601390964</v>
      </c>
      <c r="AD102" s="22" t="s">
        <v>297</v>
      </c>
    </row>
    <row r="103" customFormat="false" ht="15" hidden="false" customHeight="false" outlineLevel="0" collapsed="false">
      <c r="A103" s="22" t="n">
        <v>102</v>
      </c>
      <c r="B103" s="22" t="s">
        <v>123</v>
      </c>
      <c r="C103" s="37" t="n">
        <v>45916.1463194444</v>
      </c>
      <c r="D103" s="22" t="s">
        <v>163</v>
      </c>
      <c r="E103" s="22" t="n">
        <v>3</v>
      </c>
      <c r="F103" s="22" t="s">
        <v>142</v>
      </c>
      <c r="G103" s="22" t="s">
        <v>195</v>
      </c>
      <c r="H103" s="22" t="n">
        <v>0.21</v>
      </c>
      <c r="I103" s="38" t="n">
        <v>3685.35</v>
      </c>
      <c r="J103" s="38" t="n">
        <v>3685.352</v>
      </c>
      <c r="K103" s="39" t="n">
        <f aca="false">IF(F103="BUY",J103-I103,I103-J103)</f>
        <v>0.00199999999995271</v>
      </c>
      <c r="L103" s="38" t="n">
        <v>3683.85</v>
      </c>
      <c r="M103" s="39" t="n">
        <f aca="false">ABS(I103-L103)</f>
        <v>1.5</v>
      </c>
      <c r="N103" s="24" t="n">
        <f aca="false">M103*H103*Summary!$C$6</f>
        <v>31.5</v>
      </c>
      <c r="O103" s="37" t="n">
        <v>45916.1467592593</v>
      </c>
      <c r="P103" s="22" t="n">
        <f aca="false">ROUND((O103-C103)*86400,0)</f>
        <v>38</v>
      </c>
      <c r="Q103" s="22" t="str">
        <f aca="false">IF(P103&lt;10,"a) &lt;10s",IF(P103&lt;60,"b) 10-60s",IF(P103&lt;600,"c) 1-10min","d) &gt;10min")))</f>
        <v>b) 10-60s</v>
      </c>
      <c r="R103" s="38" t="n">
        <v>3683.85</v>
      </c>
      <c r="S103" s="38" t="n">
        <v>3683.785</v>
      </c>
      <c r="T103" s="22" t="s">
        <v>148</v>
      </c>
      <c r="U103" s="39" t="n">
        <f aca="false">IF(R103="","",IF(F103="BUY",R103-S103,S103-R103))</f>
        <v>0.0650000000000546</v>
      </c>
      <c r="V103" s="39" t="n">
        <f aca="false">IF(F103="BUY",S103-J103,J103-S103)</f>
        <v>-1.56700000000001</v>
      </c>
      <c r="W103" s="6" t="n">
        <v>-32.91</v>
      </c>
      <c r="X103" s="26" t="n">
        <f aca="false">IFERROR(W103/N103,0)</f>
        <v>-1.0447619047619</v>
      </c>
      <c r="Y103" s="22" t="str">
        <f aca="false">IF(W103&gt;0,"Win",IF(W103&lt;0,"Loss","Flat"))</f>
        <v>Loss</v>
      </c>
      <c r="Z103" s="24" t="n">
        <f aca="false">Summary!$C$5+SUM(W$2:W103)</f>
        <v>3120.41</v>
      </c>
      <c r="AA103" s="24" t="n">
        <f aca="false">MAX(AA102,Z103)</f>
        <v>5026.73</v>
      </c>
      <c r="AB103" s="24" t="n">
        <f aca="false">AA103-Z103</f>
        <v>1906.32</v>
      </c>
      <c r="AC103" s="23" t="n">
        <f aca="false">IFERROR(AB103/AA103,0)</f>
        <v>0.379236601130357</v>
      </c>
      <c r="AD103" s="22" t="s">
        <v>298</v>
      </c>
    </row>
    <row r="104" customFormat="false" ht="15" hidden="false" customHeight="false" outlineLevel="0" collapsed="false">
      <c r="A104" s="22" t="n">
        <v>103</v>
      </c>
      <c r="B104" s="22" t="s">
        <v>123</v>
      </c>
      <c r="C104" s="37" t="n">
        <v>45917.2348032407</v>
      </c>
      <c r="D104" s="22" t="s">
        <v>164</v>
      </c>
      <c r="E104" s="22" t="n">
        <v>5</v>
      </c>
      <c r="F104" s="22" t="s">
        <v>143</v>
      </c>
      <c r="G104" s="22" t="s">
        <v>197</v>
      </c>
      <c r="H104" s="22" t="n">
        <v>0.2</v>
      </c>
      <c r="I104" s="38" t="n">
        <v>3674.46</v>
      </c>
      <c r="J104" s="38" t="n">
        <v>3674.455</v>
      </c>
      <c r="K104" s="39" t="n">
        <f aca="false">IF(F104="BUY",J104-I104,I104-J104)</f>
        <v>0.00500000000010914</v>
      </c>
      <c r="L104" s="38" t="n">
        <v>3675.96</v>
      </c>
      <c r="M104" s="39" t="n">
        <f aca="false">ABS(I104-L104)</f>
        <v>1.5</v>
      </c>
      <c r="N104" s="24" t="n">
        <f aca="false">M104*H104*Summary!$C$6</f>
        <v>30</v>
      </c>
      <c r="O104" s="37" t="n">
        <v>45917.2348032407</v>
      </c>
      <c r="P104" s="22" t="n">
        <f aca="false">ROUND((O104-C104)*86400,0)</f>
        <v>0</v>
      </c>
      <c r="Q104" s="22" t="str">
        <f aca="false">IF(P104&lt;10,"a) &lt;10s",IF(P104&lt;60,"b) 10-60s",IF(P104&lt;600,"c) 1-10min","d) &gt;10min")))</f>
        <v>a) &lt;10s</v>
      </c>
      <c r="R104" s="38" t="n">
        <v>3675.96</v>
      </c>
      <c r="S104" s="38" t="n">
        <v>3676.002</v>
      </c>
      <c r="T104" s="22" t="s">
        <v>148</v>
      </c>
      <c r="U104" s="39" t="n">
        <f aca="false">IF(R104="","",IF(F104="BUY",R104-S104,S104-R104))</f>
        <v>0.0419999999999163</v>
      </c>
      <c r="V104" s="39" t="n">
        <f aca="false">IF(F104="BUY",S104-J104,J104-S104)</f>
        <v>-1.54700000000003</v>
      </c>
      <c r="W104" s="6" t="n">
        <v>-30.94</v>
      </c>
      <c r="X104" s="26" t="n">
        <f aca="false">IFERROR(W104/N104,0)</f>
        <v>-1.03133333333333</v>
      </c>
      <c r="Y104" s="22" t="str">
        <f aca="false">IF(W104&gt;0,"Win",IF(W104&lt;0,"Loss","Flat"))</f>
        <v>Loss</v>
      </c>
      <c r="Z104" s="24" t="n">
        <f aca="false">Summary!$C$5+SUM(W$2:W104)</f>
        <v>3089.47</v>
      </c>
      <c r="AA104" s="24" t="n">
        <f aca="false">MAX(AA103,Z104)</f>
        <v>5026.73</v>
      </c>
      <c r="AB104" s="24" t="n">
        <f aca="false">AA104-Z104</f>
        <v>1937.26</v>
      </c>
      <c r="AC104" s="23" t="n">
        <f aca="false">IFERROR(AB104/AA104,0)</f>
        <v>0.38539169599322</v>
      </c>
      <c r="AD104" s="22" t="s">
        <v>299</v>
      </c>
    </row>
    <row r="105" customFormat="false" ht="15" hidden="false" customHeight="false" outlineLevel="0" collapsed="false">
      <c r="A105" s="22" t="n">
        <v>104</v>
      </c>
      <c r="B105" s="22" t="s">
        <v>123</v>
      </c>
      <c r="C105" s="37" t="n">
        <v>45917.8812152778</v>
      </c>
      <c r="D105" s="22" t="s">
        <v>164</v>
      </c>
      <c r="E105" s="22" t="n">
        <v>21</v>
      </c>
      <c r="F105" s="22" t="s">
        <v>142</v>
      </c>
      <c r="G105" s="22" t="s">
        <v>195</v>
      </c>
      <c r="H105" s="22" t="n">
        <v>0.2</v>
      </c>
      <c r="I105" s="38" t="n">
        <v>3702.83</v>
      </c>
      <c r="J105" s="38" t="n">
        <v>3702.852</v>
      </c>
      <c r="K105" s="39" t="n">
        <f aca="false">IF(F105="BUY",J105-I105,I105-J105)</f>
        <v>0.0219999999999345</v>
      </c>
      <c r="L105" s="38" t="n">
        <v>3701.33</v>
      </c>
      <c r="M105" s="39" t="n">
        <f aca="false">ABS(I105-L105)</f>
        <v>1.5</v>
      </c>
      <c r="N105" s="24" t="n">
        <f aca="false">M105*H105*Summary!$C$6</f>
        <v>30</v>
      </c>
      <c r="O105" s="37" t="n">
        <v>45917.8812731481</v>
      </c>
      <c r="P105" s="22" t="n">
        <f aca="false">ROUND((O105-C105)*86400,0)</f>
        <v>5</v>
      </c>
      <c r="Q105" s="22" t="str">
        <f aca="false">IF(P105&lt;10,"a) &lt;10s",IF(P105&lt;60,"b) 10-60s",IF(P105&lt;600,"c) 1-10min","d) &gt;10min")))</f>
        <v>a) &lt;10s</v>
      </c>
      <c r="R105" s="38" t="n">
        <v>3703.85</v>
      </c>
      <c r="S105" s="38" t="n">
        <v>3703.808</v>
      </c>
      <c r="T105" s="22" t="s">
        <v>149</v>
      </c>
      <c r="U105" s="39" t="n">
        <f aca="false">IF(R105="","",IF(F105="BUY",R105-S105,S105-R105))</f>
        <v>0.0419999999999163</v>
      </c>
      <c r="V105" s="39" t="n">
        <f aca="false">IF(F105="BUY",S105-J105,J105-S105)</f>
        <v>0.956000000000131</v>
      </c>
      <c r="W105" s="6" t="n">
        <v>19.12</v>
      </c>
      <c r="X105" s="26" t="n">
        <f aca="false">IFERROR(W105/N105,0)</f>
        <v>0.637333333333333</v>
      </c>
      <c r="Y105" s="22" t="str">
        <f aca="false">IF(W105&gt;0,"Win",IF(W105&lt;0,"Loss","Flat"))</f>
        <v>Win</v>
      </c>
      <c r="Z105" s="24" t="n">
        <f aca="false">Summary!$C$5+SUM(W$2:W105)</f>
        <v>3108.59</v>
      </c>
      <c r="AA105" s="24" t="n">
        <f aca="false">MAX(AA104,Z105)</f>
        <v>5026.73</v>
      </c>
      <c r="AB105" s="24" t="n">
        <f aca="false">AA105-Z105</f>
        <v>1918.14</v>
      </c>
      <c r="AC105" s="23" t="n">
        <f aca="false">IFERROR(AB105/AA105,0)</f>
        <v>0.381588030389537</v>
      </c>
      <c r="AD105" s="22" t="s">
        <v>300</v>
      </c>
    </row>
    <row r="106" customFormat="false" ht="15" hidden="false" customHeight="false" outlineLevel="0" collapsed="false">
      <c r="A106" s="22" t="n">
        <v>105</v>
      </c>
      <c r="B106" s="22" t="s">
        <v>123</v>
      </c>
      <c r="C106" s="37" t="n">
        <v>45918.3776967593</v>
      </c>
      <c r="D106" s="22" t="s">
        <v>165</v>
      </c>
      <c r="E106" s="22" t="n">
        <v>9</v>
      </c>
      <c r="F106" s="22" t="s">
        <v>143</v>
      </c>
      <c r="G106" s="22" t="s">
        <v>197</v>
      </c>
      <c r="H106" s="22" t="n">
        <v>0.2</v>
      </c>
      <c r="I106" s="38" t="n">
        <v>3645.77</v>
      </c>
      <c r="J106" s="38" t="n">
        <v>3645.445</v>
      </c>
      <c r="K106" s="39" t="n">
        <f aca="false">IF(F106="BUY",J106-I106,I106-J106)</f>
        <v>0.324999999999818</v>
      </c>
      <c r="L106" s="38" t="n">
        <v>3647.27</v>
      </c>
      <c r="M106" s="39" t="n">
        <f aca="false">ABS(I106-L106)</f>
        <v>1.5</v>
      </c>
      <c r="N106" s="24" t="n">
        <f aca="false">M106*H106*Summary!$C$6</f>
        <v>30</v>
      </c>
      <c r="O106" s="37" t="n">
        <v>45918.3777083333</v>
      </c>
      <c r="P106" s="22" t="n">
        <f aca="false">ROUND((O106-C106)*86400,0)</f>
        <v>1</v>
      </c>
      <c r="Q106" s="22" t="str">
        <f aca="false">IF(P106&lt;10,"a) &lt;10s",IF(P106&lt;60,"b) 10-60s",IF(P106&lt;600,"c) 1-10min","d) &gt;10min")))</f>
        <v>a) &lt;10s</v>
      </c>
      <c r="R106" s="38" t="n">
        <v>3647.27</v>
      </c>
      <c r="S106" s="38" t="n">
        <v>3647.625</v>
      </c>
      <c r="T106" s="22" t="s">
        <v>148</v>
      </c>
      <c r="U106" s="39" t="n">
        <f aca="false">IF(R106="","",IF(F106="BUY",R106-S106,S106-R106))</f>
        <v>0.355000000000018</v>
      </c>
      <c r="V106" s="39" t="n">
        <f aca="false">IF(F106="BUY",S106-J106,J106-S106)</f>
        <v>-2.17999999999984</v>
      </c>
      <c r="W106" s="6" t="n">
        <v>-43.6</v>
      </c>
      <c r="X106" s="26" t="n">
        <f aca="false">IFERROR(W106/N106,0)</f>
        <v>-1.45333333333333</v>
      </c>
      <c r="Y106" s="22" t="str">
        <f aca="false">IF(W106&gt;0,"Win",IF(W106&lt;0,"Loss","Flat"))</f>
        <v>Loss</v>
      </c>
      <c r="Z106" s="24" t="n">
        <f aca="false">Summary!$C$5+SUM(W$2:W106)</f>
        <v>3064.99</v>
      </c>
      <c r="AA106" s="24" t="n">
        <f aca="false">MAX(AA105,Z106)</f>
        <v>5026.73</v>
      </c>
      <c r="AB106" s="24" t="n">
        <f aca="false">AA106-Z106</f>
        <v>1961.74</v>
      </c>
      <c r="AC106" s="23" t="n">
        <f aca="false">IFERROR(AB106/AA106,0)</f>
        <v>0.390261661159442</v>
      </c>
      <c r="AD106" s="22" t="s">
        <v>301</v>
      </c>
    </row>
    <row r="107" customFormat="false" ht="15" hidden="false" customHeight="false" outlineLevel="0" collapsed="false">
      <c r="A107" s="22" t="n">
        <v>106</v>
      </c>
      <c r="B107" s="22" t="s">
        <v>123</v>
      </c>
      <c r="C107" s="37" t="n">
        <v>45919.7604166667</v>
      </c>
      <c r="D107" s="22" t="s">
        <v>166</v>
      </c>
      <c r="E107" s="22" t="n">
        <v>18</v>
      </c>
      <c r="F107" s="22" t="s">
        <v>142</v>
      </c>
      <c r="G107" s="22" t="s">
        <v>195</v>
      </c>
      <c r="H107" s="22" t="n">
        <v>0.2</v>
      </c>
      <c r="I107" s="38" t="n">
        <v>3672.79</v>
      </c>
      <c r="J107" s="38" t="n">
        <v>3672.965</v>
      </c>
      <c r="K107" s="39" t="n">
        <f aca="false">IF(F107="BUY",J107-I107,I107-J107)</f>
        <v>0.175000000000182</v>
      </c>
      <c r="L107" s="38" t="n">
        <v>3671.29</v>
      </c>
      <c r="M107" s="39" t="n">
        <f aca="false">ABS(I107-L107)</f>
        <v>1.5</v>
      </c>
      <c r="N107" s="24" t="n">
        <f aca="false">M107*H107*Summary!$C$6</f>
        <v>30</v>
      </c>
      <c r="O107" s="37" t="n">
        <v>45919.7605787037</v>
      </c>
      <c r="P107" s="22" t="n">
        <f aca="false">ROUND((O107-C107)*86400,0)</f>
        <v>14</v>
      </c>
      <c r="Q107" s="22" t="str">
        <f aca="false">IF(P107&lt;10,"a) &lt;10s",IF(P107&lt;60,"b) 10-60s",IF(P107&lt;600,"c) 1-10min","d) &gt;10min")))</f>
        <v>b) 10-60s</v>
      </c>
      <c r="R107" s="38" t="n">
        <v>3671.29</v>
      </c>
      <c r="S107" s="38" t="n">
        <v>3671.195</v>
      </c>
      <c r="T107" s="22" t="s">
        <v>148</v>
      </c>
      <c r="U107" s="39" t="n">
        <f aca="false">IF(R107="","",IF(F107="BUY",R107-S107,S107-R107))</f>
        <v>0.0949999999997999</v>
      </c>
      <c r="V107" s="39" t="n">
        <f aca="false">IF(F107="BUY",S107-J107,J107-S107)</f>
        <v>-1.76999999999998</v>
      </c>
      <c r="W107" s="6" t="n">
        <v>-35.4</v>
      </c>
      <c r="X107" s="26" t="n">
        <f aca="false">IFERROR(W107/N107,0)</f>
        <v>-1.18</v>
      </c>
      <c r="Y107" s="22" t="str">
        <f aca="false">IF(W107&gt;0,"Win",IF(W107&lt;0,"Loss","Flat"))</f>
        <v>Loss</v>
      </c>
      <c r="Z107" s="24" t="n">
        <f aca="false">Summary!$C$5+SUM(W$2:W107)</f>
        <v>3029.59</v>
      </c>
      <c r="AA107" s="24" t="n">
        <f aca="false">MAX(AA106,Z107)</f>
        <v>5026.73</v>
      </c>
      <c r="AB107" s="24" t="n">
        <f aca="false">AA107-Z107</f>
        <v>1997.14</v>
      </c>
      <c r="AC107" s="23" t="n">
        <f aca="false">IFERROR(AB107/AA107,0)</f>
        <v>0.39730401274785</v>
      </c>
      <c r="AD107" s="22" t="s">
        <v>302</v>
      </c>
    </row>
    <row r="108" customFormat="false" ht="15" hidden="false" customHeight="false" outlineLevel="0" collapsed="false">
      <c r="A108" s="22" t="n">
        <v>107</v>
      </c>
      <c r="B108" s="22" t="s">
        <v>123</v>
      </c>
      <c r="C108" s="37" t="n">
        <v>45923.0988888889</v>
      </c>
      <c r="D108" s="22" t="s">
        <v>163</v>
      </c>
      <c r="E108" s="22" t="n">
        <v>2</v>
      </c>
      <c r="F108" s="22" t="s">
        <v>142</v>
      </c>
      <c r="G108" s="22" t="s">
        <v>195</v>
      </c>
      <c r="H108" s="22" t="n">
        <v>0.2</v>
      </c>
      <c r="I108" s="38" t="n">
        <v>3748.54</v>
      </c>
      <c r="J108" s="38" t="n">
        <v>3748.702</v>
      </c>
      <c r="K108" s="39" t="n">
        <f aca="false">IF(F108="BUY",J108-I108,I108-J108)</f>
        <v>0.162000000000262</v>
      </c>
      <c r="L108" s="38" t="n">
        <v>3747.04</v>
      </c>
      <c r="M108" s="39" t="n">
        <f aca="false">ABS(I108-L108)</f>
        <v>1.5</v>
      </c>
      <c r="N108" s="24" t="n">
        <f aca="false">M108*H108*Summary!$C$6</f>
        <v>30</v>
      </c>
      <c r="O108" s="37" t="n">
        <v>45923.0989699074</v>
      </c>
      <c r="P108" s="22" t="n">
        <f aca="false">ROUND((O108-C108)*86400,0)</f>
        <v>7</v>
      </c>
      <c r="Q108" s="22" t="str">
        <f aca="false">IF(P108&lt;10,"a) &lt;10s",IF(P108&lt;60,"b) 10-60s",IF(P108&lt;600,"c) 1-10min","d) &gt;10min")))</f>
        <v>a) &lt;10s</v>
      </c>
      <c r="R108" s="38" t="n">
        <v>3748.7</v>
      </c>
      <c r="S108" s="38" t="n">
        <v>3748.425</v>
      </c>
      <c r="T108" s="22" t="s">
        <v>149</v>
      </c>
      <c r="U108" s="39" t="n">
        <f aca="false">IF(R108="","",IF(F108="BUY",R108-S108,S108-R108))</f>
        <v>0.274999999999636</v>
      </c>
      <c r="V108" s="39" t="n">
        <f aca="false">IF(F108="BUY",S108-J108,J108-S108)</f>
        <v>-0.277000000000044</v>
      </c>
      <c r="W108" s="6" t="n">
        <v>-5.54</v>
      </c>
      <c r="X108" s="26" t="n">
        <f aca="false">IFERROR(W108/N108,0)</f>
        <v>-0.184666666666667</v>
      </c>
      <c r="Y108" s="22" t="str">
        <f aca="false">IF(W108&gt;0,"Win",IF(W108&lt;0,"Loss","Flat"))</f>
        <v>Loss</v>
      </c>
      <c r="Z108" s="24" t="n">
        <f aca="false">Summary!$C$5+SUM(W$2:W108)</f>
        <v>3024.05</v>
      </c>
      <c r="AA108" s="24" t="n">
        <f aca="false">MAX(AA107,Z108)</f>
        <v>5026.73</v>
      </c>
      <c r="AB108" s="24" t="n">
        <f aca="false">AA108-Z108</f>
        <v>2002.68</v>
      </c>
      <c r="AC108" s="23" t="n">
        <f aca="false">IFERROR(AB108/AA108,0)</f>
        <v>0.398406120877787</v>
      </c>
      <c r="AD108" s="22" t="s">
        <v>303</v>
      </c>
    </row>
    <row r="109" customFormat="false" ht="15" hidden="false" customHeight="false" outlineLevel="0" collapsed="false">
      <c r="A109" s="22" t="n">
        <v>108</v>
      </c>
      <c r="B109" s="22" t="s">
        <v>123</v>
      </c>
      <c r="C109" s="37" t="n">
        <v>45924.8216203704</v>
      </c>
      <c r="D109" s="22" t="s">
        <v>164</v>
      </c>
      <c r="E109" s="22" t="n">
        <v>19</v>
      </c>
      <c r="F109" s="22" t="s">
        <v>143</v>
      </c>
      <c r="G109" s="22" t="s">
        <v>197</v>
      </c>
      <c r="H109" s="22" t="n">
        <v>0.2</v>
      </c>
      <c r="I109" s="38" t="n">
        <v>3736.46</v>
      </c>
      <c r="J109" s="38" t="n">
        <v>3736.434</v>
      </c>
      <c r="K109" s="39" t="n">
        <f aca="false">IF(F109="BUY",J109-I109,I109-J109)</f>
        <v>0.0259999999998399</v>
      </c>
      <c r="L109" s="38" t="n">
        <v>3737.96</v>
      </c>
      <c r="M109" s="39" t="n">
        <f aca="false">ABS(I109-L109)</f>
        <v>1.5</v>
      </c>
      <c r="N109" s="24" t="n">
        <f aca="false">M109*H109*Summary!$C$6</f>
        <v>30</v>
      </c>
      <c r="O109" s="37" t="n">
        <v>45924.8216319445</v>
      </c>
      <c r="P109" s="22" t="n">
        <f aca="false">ROUND((O109-C109)*86400,0)</f>
        <v>1</v>
      </c>
      <c r="Q109" s="22" t="str">
        <f aca="false">IF(P109&lt;10,"a) &lt;10s",IF(P109&lt;60,"b) 10-60s",IF(P109&lt;600,"c) 1-10min","d) &gt;10min")))</f>
        <v>a) &lt;10s</v>
      </c>
      <c r="R109" s="38" t="n">
        <v>3735.83</v>
      </c>
      <c r="S109" s="38" t="n">
        <v>3735.845</v>
      </c>
      <c r="T109" s="22" t="s">
        <v>149</v>
      </c>
      <c r="U109" s="39" t="n">
        <f aca="false">IF(R109="","",IF(F109="BUY",R109-S109,S109-R109))</f>
        <v>0.0149999999998727</v>
      </c>
      <c r="V109" s="39" t="n">
        <f aca="false">IF(F109="BUY",S109-J109,J109-S109)</f>
        <v>0.589000000000397</v>
      </c>
      <c r="W109" s="6" t="n">
        <v>11.78</v>
      </c>
      <c r="X109" s="26" t="n">
        <f aca="false">IFERROR(W109/N109,0)</f>
        <v>0.392666666666667</v>
      </c>
      <c r="Y109" s="22" t="str">
        <f aca="false">IF(W109&gt;0,"Win",IF(W109&lt;0,"Loss","Flat"))</f>
        <v>Win</v>
      </c>
      <c r="Z109" s="24" t="n">
        <f aca="false">Summary!$C$5+SUM(W$2:W109)</f>
        <v>3035.83</v>
      </c>
      <c r="AA109" s="24" t="n">
        <f aca="false">MAX(AA108,Z109)</f>
        <v>5026.73</v>
      </c>
      <c r="AB109" s="24" t="n">
        <f aca="false">AA109-Z109</f>
        <v>1990.9</v>
      </c>
      <c r="AC109" s="23" t="n">
        <f aca="false">IFERROR(AB109/AA109,0)</f>
        <v>0.396062649078029</v>
      </c>
      <c r="AD109" s="22" t="s">
        <v>304</v>
      </c>
    </row>
    <row r="110" customFormat="false" ht="15" hidden="false" customHeight="false" outlineLevel="0" collapsed="false">
      <c r="A110" s="22" t="n">
        <v>109</v>
      </c>
      <c r="B110" s="22" t="s">
        <v>123</v>
      </c>
      <c r="C110" s="37" t="n">
        <v>45926.6728472222</v>
      </c>
      <c r="D110" s="22" t="s">
        <v>166</v>
      </c>
      <c r="E110" s="22" t="n">
        <v>16</v>
      </c>
      <c r="F110" s="22" t="s">
        <v>142</v>
      </c>
      <c r="G110" s="22" t="s">
        <v>195</v>
      </c>
      <c r="H110" s="22" t="n">
        <v>0.2</v>
      </c>
      <c r="I110" s="38" t="n">
        <v>3761.43</v>
      </c>
      <c r="J110" s="38" t="n">
        <v>3761.525</v>
      </c>
      <c r="K110" s="39" t="n">
        <f aca="false">IF(F110="BUY",J110-I110,I110-J110)</f>
        <v>0.0950000000002547</v>
      </c>
      <c r="L110" s="38" t="n">
        <v>3759.93</v>
      </c>
      <c r="M110" s="39" t="n">
        <f aca="false">ABS(I110-L110)</f>
        <v>1.5</v>
      </c>
      <c r="N110" s="24" t="n">
        <f aca="false">M110*H110*Summary!$C$6</f>
        <v>30</v>
      </c>
      <c r="O110" s="37" t="n">
        <v>45926.6728703704</v>
      </c>
      <c r="P110" s="22" t="n">
        <f aca="false">ROUND((O110-C110)*86400,0)</f>
        <v>2</v>
      </c>
      <c r="Q110" s="22" t="str">
        <f aca="false">IF(P110&lt;10,"a) &lt;10s",IF(P110&lt;60,"b) 10-60s",IF(P110&lt;600,"c) 1-10min","d) &gt;10min")))</f>
        <v>a) &lt;10s</v>
      </c>
      <c r="R110" s="38" t="n">
        <v>3762.12</v>
      </c>
      <c r="S110" s="38" t="n">
        <v>3762.085</v>
      </c>
      <c r="T110" s="22" t="s">
        <v>149</v>
      </c>
      <c r="U110" s="39" t="n">
        <f aca="false">IF(R110="","",IF(F110="BUY",R110-S110,S110-R110))</f>
        <v>0.0349999999998545</v>
      </c>
      <c r="V110" s="39" t="n">
        <f aca="false">IF(F110="BUY",S110-J110,J110-S110)</f>
        <v>0.559999999999945</v>
      </c>
      <c r="W110" s="6" t="n">
        <v>11.2</v>
      </c>
      <c r="X110" s="26" t="n">
        <f aca="false">IFERROR(W110/N110,0)</f>
        <v>0.373333333333333</v>
      </c>
      <c r="Y110" s="22" t="str">
        <f aca="false">IF(W110&gt;0,"Win",IF(W110&lt;0,"Loss","Flat"))</f>
        <v>Win</v>
      </c>
      <c r="Z110" s="24" t="n">
        <f aca="false">Summary!$C$5+SUM(W$2:W110)</f>
        <v>3047.03</v>
      </c>
      <c r="AA110" s="24" t="n">
        <f aca="false">MAX(AA109,Z110)</f>
        <v>5026.73</v>
      </c>
      <c r="AB110" s="24" t="n">
        <f aca="false">AA110-Z110</f>
        <v>1979.7</v>
      </c>
      <c r="AC110" s="23" t="n">
        <f aca="false">IFERROR(AB110/AA110,0)</f>
        <v>0.393834560439888</v>
      </c>
      <c r="AD110" s="22" t="s">
        <v>305</v>
      </c>
    </row>
    <row r="111" customFormat="false" ht="15" hidden="false" customHeight="false" outlineLevel="0" collapsed="false">
      <c r="A111" s="22" t="n">
        <v>110</v>
      </c>
      <c r="B111" s="22" t="s">
        <v>123</v>
      </c>
      <c r="C111" s="37" t="n">
        <v>45929.154525463</v>
      </c>
      <c r="D111" s="22" t="s">
        <v>162</v>
      </c>
      <c r="E111" s="22" t="n">
        <v>3</v>
      </c>
      <c r="F111" s="22" t="s">
        <v>142</v>
      </c>
      <c r="G111" s="22" t="s">
        <v>195</v>
      </c>
      <c r="H111" s="22" t="n">
        <v>0.2</v>
      </c>
      <c r="I111" s="38" t="n">
        <v>3783.6</v>
      </c>
      <c r="J111" s="38" t="n">
        <v>3783.602</v>
      </c>
      <c r="K111" s="39" t="n">
        <f aca="false">IF(F111="BUY",J111-I111,I111-J111)</f>
        <v>0.00199999999995271</v>
      </c>
      <c r="L111" s="38" t="n">
        <v>3782.1</v>
      </c>
      <c r="M111" s="39" t="n">
        <f aca="false">ABS(I111-L111)</f>
        <v>1.5</v>
      </c>
      <c r="N111" s="24" t="n">
        <f aca="false">M111*H111*Summary!$C$6</f>
        <v>30</v>
      </c>
      <c r="O111" s="37" t="n">
        <v>45929.1555671296</v>
      </c>
      <c r="P111" s="22" t="n">
        <f aca="false">ROUND((O111-C111)*86400,0)</f>
        <v>90</v>
      </c>
      <c r="Q111" s="22" t="str">
        <f aca="false">IF(P111&lt;10,"a) &lt;10s",IF(P111&lt;60,"b) 10-60s",IF(P111&lt;600,"c) 1-10min","d) &gt;10min")))</f>
        <v>c) 1-10min</v>
      </c>
      <c r="R111" s="38" t="n">
        <v>3782.1</v>
      </c>
      <c r="S111" s="38" t="n">
        <v>3782.085</v>
      </c>
      <c r="T111" s="22" t="s">
        <v>148</v>
      </c>
      <c r="U111" s="39" t="n">
        <f aca="false">IF(R111="","",IF(F111="BUY",R111-S111,S111-R111))</f>
        <v>0.0149999999998727</v>
      </c>
      <c r="V111" s="39" t="n">
        <f aca="false">IF(F111="BUY",S111-J111,J111-S111)</f>
        <v>-1.51699999999983</v>
      </c>
      <c r="W111" s="6" t="n">
        <v>-30.34</v>
      </c>
      <c r="X111" s="26" t="n">
        <f aca="false">IFERROR(W111/N111,0)</f>
        <v>-1.01133333333333</v>
      </c>
      <c r="Y111" s="22" t="str">
        <f aca="false">IF(W111&gt;0,"Win",IF(W111&lt;0,"Loss","Flat"))</f>
        <v>Loss</v>
      </c>
      <c r="Z111" s="24" t="n">
        <f aca="false">Summary!$C$5+SUM(W$2:W111)</f>
        <v>3016.69</v>
      </c>
      <c r="AA111" s="24" t="n">
        <f aca="false">MAX(AA110,Z111)</f>
        <v>5026.73</v>
      </c>
      <c r="AB111" s="24" t="n">
        <f aca="false">AA111-Z111</f>
        <v>2010.04</v>
      </c>
      <c r="AC111" s="23" t="n">
        <f aca="false">IFERROR(AB111/AA111,0)</f>
        <v>0.399870293411423</v>
      </c>
      <c r="AD111" s="22" t="s">
        <v>306</v>
      </c>
    </row>
    <row r="112" customFormat="false" ht="15" hidden="false" customHeight="false" outlineLevel="0" collapsed="false">
      <c r="A112" s="22" t="n">
        <v>111</v>
      </c>
      <c r="B112" s="22" t="s">
        <v>123</v>
      </c>
      <c r="C112" s="37" t="n">
        <v>45930.1261226852</v>
      </c>
      <c r="D112" s="22" t="s">
        <v>163</v>
      </c>
      <c r="E112" s="22" t="n">
        <v>3</v>
      </c>
      <c r="F112" s="22" t="s">
        <v>142</v>
      </c>
      <c r="G112" s="22" t="s">
        <v>195</v>
      </c>
      <c r="H112" s="22" t="n">
        <v>0.2</v>
      </c>
      <c r="I112" s="38" t="n">
        <v>3834.01</v>
      </c>
      <c r="J112" s="38" t="n">
        <v>3834.155</v>
      </c>
      <c r="K112" s="39" t="n">
        <f aca="false">IF(F112="BUY",J112-I112,I112-J112)</f>
        <v>0.144999999999982</v>
      </c>
      <c r="L112" s="38" t="n">
        <v>3832.51</v>
      </c>
      <c r="M112" s="39" t="n">
        <f aca="false">ABS(I112-L112)</f>
        <v>1.5</v>
      </c>
      <c r="N112" s="24" t="n">
        <f aca="false">M112*H112*Summary!$C$6</f>
        <v>30</v>
      </c>
      <c r="O112" s="37" t="n">
        <v>45930.1284490741</v>
      </c>
      <c r="P112" s="22" t="n">
        <f aca="false">ROUND((O112-C112)*86400,0)</f>
        <v>201</v>
      </c>
      <c r="Q112" s="22" t="str">
        <f aca="false">IF(P112&lt;10,"a) &lt;10s",IF(P112&lt;60,"b) 10-60s",IF(P112&lt;600,"c) 1-10min","d) &gt;10min")))</f>
        <v>c) 1-10min</v>
      </c>
      <c r="R112" s="38" t="n">
        <v>3835.2</v>
      </c>
      <c r="S112" s="38" t="n">
        <v>3835.175</v>
      </c>
      <c r="T112" s="22" t="s">
        <v>149</v>
      </c>
      <c r="U112" s="39" t="n">
        <f aca="false">IF(R112="","",IF(F112="BUY",R112-S112,S112-R112))</f>
        <v>0.0249999999996362</v>
      </c>
      <c r="V112" s="39" t="n">
        <f aca="false">IF(F112="BUY",S112-J112,J112-S112)</f>
        <v>1.01999999999998</v>
      </c>
      <c r="W112" s="6" t="n">
        <v>20.4</v>
      </c>
      <c r="X112" s="26" t="n">
        <f aca="false">IFERROR(W112/N112,0)</f>
        <v>0.68</v>
      </c>
      <c r="Y112" s="22" t="str">
        <f aca="false">IF(W112&gt;0,"Win",IF(W112&lt;0,"Loss","Flat"))</f>
        <v>Win</v>
      </c>
      <c r="Z112" s="24" t="n">
        <f aca="false">Summary!$C$5+SUM(W$2:W112)</f>
        <v>3037.09</v>
      </c>
      <c r="AA112" s="24" t="n">
        <f aca="false">MAX(AA111,Z112)</f>
        <v>5026.73</v>
      </c>
      <c r="AB112" s="24" t="n">
        <f aca="false">AA112-Z112</f>
        <v>1989.64</v>
      </c>
      <c r="AC112" s="23" t="n">
        <f aca="false">IFERROR(AB112/AA112,0)</f>
        <v>0.395811989106238</v>
      </c>
      <c r="AD112" s="22" t="s">
        <v>307</v>
      </c>
    </row>
    <row r="113" customFormat="false" ht="15" hidden="false" customHeight="false" outlineLevel="0" collapsed="false">
      <c r="A113" s="22" t="n">
        <v>112</v>
      </c>
      <c r="B113" s="22" t="s">
        <v>124</v>
      </c>
      <c r="C113" s="37" t="n">
        <v>45931.2117013889</v>
      </c>
      <c r="D113" s="22" t="s">
        <v>164</v>
      </c>
      <c r="E113" s="22" t="n">
        <v>5</v>
      </c>
      <c r="F113" s="22" t="s">
        <v>142</v>
      </c>
      <c r="G113" s="22" t="s">
        <v>195</v>
      </c>
      <c r="H113" s="22" t="n">
        <v>0.2</v>
      </c>
      <c r="I113" s="38" t="n">
        <v>3871.51</v>
      </c>
      <c r="J113" s="38" t="n">
        <v>3871.515</v>
      </c>
      <c r="K113" s="39" t="n">
        <f aca="false">IF(F113="BUY",J113-I113,I113-J113)</f>
        <v>0.00499999999965439</v>
      </c>
      <c r="L113" s="38" t="n">
        <v>3870.01</v>
      </c>
      <c r="M113" s="39" t="n">
        <f aca="false">ABS(I113-L113)</f>
        <v>1.5</v>
      </c>
      <c r="N113" s="24" t="n">
        <f aca="false">M113*H113*Summary!$C$6</f>
        <v>30</v>
      </c>
      <c r="O113" s="37" t="n">
        <v>45931.2118171296</v>
      </c>
      <c r="P113" s="22" t="n">
        <f aca="false">ROUND((O113-C113)*86400,0)</f>
        <v>10</v>
      </c>
      <c r="Q113" s="22" t="str">
        <f aca="false">IF(P113&lt;10,"a) &lt;10s",IF(P113&lt;60,"b) 10-60s",IF(P113&lt;600,"c) 1-10min","d) &gt;10min")))</f>
        <v>b) 10-60s</v>
      </c>
      <c r="R113" s="38" t="n">
        <v>3872.07</v>
      </c>
      <c r="S113" s="38" t="n">
        <v>3871.445</v>
      </c>
      <c r="T113" s="22" t="s">
        <v>149</v>
      </c>
      <c r="U113" s="39" t="n">
        <f aca="false">IF(R113="","",IF(F113="BUY",R113-S113,S113-R113))</f>
        <v>0.625</v>
      </c>
      <c r="V113" s="39" t="n">
        <f aca="false">IF(F113="BUY",S113-J113,J113-S113)</f>
        <v>-0.069999999999709</v>
      </c>
      <c r="W113" s="6" t="n">
        <v>-1.4</v>
      </c>
      <c r="X113" s="26" t="n">
        <f aca="false">IFERROR(W113/N113,0)</f>
        <v>-0.0466666666666667</v>
      </c>
      <c r="Y113" s="22" t="str">
        <f aca="false">IF(W113&gt;0,"Win",IF(W113&lt;0,"Loss","Flat"))</f>
        <v>Loss</v>
      </c>
      <c r="Z113" s="24" t="n">
        <f aca="false">Summary!$C$5+SUM(W$2:W113)</f>
        <v>3035.69</v>
      </c>
      <c r="AA113" s="24" t="n">
        <f aca="false">MAX(AA112,Z113)</f>
        <v>5026.73</v>
      </c>
      <c r="AB113" s="24" t="n">
        <f aca="false">AA113-Z113</f>
        <v>1991.04</v>
      </c>
      <c r="AC113" s="23" t="n">
        <f aca="false">IFERROR(AB113/AA113,0)</f>
        <v>0.396090500186006</v>
      </c>
      <c r="AD113" s="22" t="s">
        <v>308</v>
      </c>
    </row>
    <row r="114" customFormat="false" ht="15" hidden="false" customHeight="false" outlineLevel="0" collapsed="false">
      <c r="A114" s="22" t="n">
        <v>113</v>
      </c>
      <c r="B114" s="22" t="s">
        <v>124</v>
      </c>
      <c r="C114" s="37" t="n">
        <v>45932.1667013889</v>
      </c>
      <c r="D114" s="22" t="s">
        <v>165</v>
      </c>
      <c r="E114" s="22" t="n">
        <v>4</v>
      </c>
      <c r="F114" s="22" t="s">
        <v>143</v>
      </c>
      <c r="G114" s="22" t="s">
        <v>197</v>
      </c>
      <c r="H114" s="22" t="n">
        <v>0.2</v>
      </c>
      <c r="I114" s="38" t="n">
        <v>3853.06</v>
      </c>
      <c r="J114" s="38" t="n">
        <v>3852.975</v>
      </c>
      <c r="K114" s="39" t="n">
        <f aca="false">IF(F114="BUY",J114-I114,I114-J114)</f>
        <v>0.0850000000000364</v>
      </c>
      <c r="L114" s="38" t="n">
        <v>3854.56</v>
      </c>
      <c r="M114" s="39" t="n">
        <f aca="false">ABS(I114-L114)</f>
        <v>1.5</v>
      </c>
      <c r="N114" s="24" t="n">
        <f aca="false">M114*H114*Summary!$C$6</f>
        <v>30</v>
      </c>
      <c r="O114" s="37" t="n">
        <v>45932.166712963</v>
      </c>
      <c r="P114" s="22" t="n">
        <f aca="false">ROUND((O114-C114)*86400,0)</f>
        <v>1</v>
      </c>
      <c r="Q114" s="22" t="str">
        <f aca="false">IF(P114&lt;10,"a) &lt;10s",IF(P114&lt;60,"b) 10-60s",IF(P114&lt;600,"c) 1-10min","d) &gt;10min")))</f>
        <v>a) &lt;10s</v>
      </c>
      <c r="R114" s="38" t="n">
        <v>3854.56</v>
      </c>
      <c r="S114" s="38" t="n">
        <v>3854.582</v>
      </c>
      <c r="T114" s="22" t="s">
        <v>148</v>
      </c>
      <c r="U114" s="39" t="n">
        <f aca="false">IF(R114="","",IF(F114="BUY",R114-S114,S114-R114))</f>
        <v>0.0219999999999345</v>
      </c>
      <c r="V114" s="39" t="n">
        <f aca="false">IF(F114="BUY",S114-J114,J114-S114)</f>
        <v>-1.60699999999997</v>
      </c>
      <c r="W114" s="6" t="n">
        <v>-32.14</v>
      </c>
      <c r="X114" s="26" t="n">
        <f aca="false">IFERROR(W114/N114,0)</f>
        <v>-1.07133333333333</v>
      </c>
      <c r="Y114" s="22" t="str">
        <f aca="false">IF(W114&gt;0,"Win",IF(W114&lt;0,"Loss","Flat"))</f>
        <v>Loss</v>
      </c>
      <c r="Z114" s="24" t="n">
        <f aca="false">Summary!$C$5+SUM(W$2:W114)</f>
        <v>3003.55</v>
      </c>
      <c r="AA114" s="24" t="n">
        <f aca="false">MAX(AA113,Z114)</f>
        <v>5026.73</v>
      </c>
      <c r="AB114" s="24" t="n">
        <f aca="false">AA114-Z114</f>
        <v>2023.18</v>
      </c>
      <c r="AC114" s="23" t="n">
        <f aca="false">IFERROR(AB114/AA114,0)</f>
        <v>0.402484318831527</v>
      </c>
      <c r="AD114" s="22" t="s">
        <v>309</v>
      </c>
    </row>
    <row r="115" customFormat="false" ht="15" hidden="false" customHeight="false" outlineLevel="0" collapsed="false">
      <c r="A115" s="22" t="n">
        <v>114</v>
      </c>
      <c r="B115" s="22" t="s">
        <v>124</v>
      </c>
      <c r="C115" s="37" t="n">
        <v>45932.6886574074</v>
      </c>
      <c r="D115" s="22" t="s">
        <v>165</v>
      </c>
      <c r="E115" s="22" t="n">
        <v>16</v>
      </c>
      <c r="F115" s="22" t="s">
        <v>142</v>
      </c>
      <c r="G115" s="22" t="s">
        <v>195</v>
      </c>
      <c r="H115" s="22" t="n">
        <v>0.2</v>
      </c>
      <c r="I115" s="38" t="n">
        <v>3895.15</v>
      </c>
      <c r="J115" s="38" t="n">
        <v>3895.215</v>
      </c>
      <c r="K115" s="39" t="n">
        <f aca="false">IF(F115="BUY",J115-I115,I115-J115)</f>
        <v>0.0650000000000546</v>
      </c>
      <c r="L115" s="38" t="n">
        <v>3893.65</v>
      </c>
      <c r="M115" s="39" t="n">
        <f aca="false">ABS(I115-L115)</f>
        <v>1.5</v>
      </c>
      <c r="N115" s="24" t="n">
        <f aca="false">M115*H115*Summary!$C$6</f>
        <v>30</v>
      </c>
      <c r="O115" s="37" t="n">
        <v>45932.6888078704</v>
      </c>
      <c r="P115" s="22" t="n">
        <f aca="false">ROUND((O115-C115)*86400,0)</f>
        <v>13</v>
      </c>
      <c r="Q115" s="22" t="str">
        <f aca="false">IF(P115&lt;10,"a) &lt;10s",IF(P115&lt;60,"b) 10-60s",IF(P115&lt;600,"c) 1-10min","d) &gt;10min")))</f>
        <v>b) 10-60s</v>
      </c>
      <c r="R115" s="38" t="n">
        <v>3895.6</v>
      </c>
      <c r="S115" s="38" t="n">
        <v>3895.595</v>
      </c>
      <c r="T115" s="22" t="s">
        <v>149</v>
      </c>
      <c r="U115" s="39" t="n">
        <f aca="false">IF(R115="","",IF(F115="BUY",R115-S115,S115-R115))</f>
        <v>0.00500000000010914</v>
      </c>
      <c r="V115" s="39" t="n">
        <f aca="false">IF(F115="BUY",S115-J115,J115-S115)</f>
        <v>0.379999999999654</v>
      </c>
      <c r="W115" s="6" t="n">
        <v>7.6</v>
      </c>
      <c r="X115" s="26" t="n">
        <f aca="false">IFERROR(W115/N115,0)</f>
        <v>0.253333333333333</v>
      </c>
      <c r="Y115" s="22" t="str">
        <f aca="false">IF(W115&gt;0,"Win",IF(W115&lt;0,"Loss","Flat"))</f>
        <v>Win</v>
      </c>
      <c r="Z115" s="24" t="n">
        <f aca="false">Summary!$C$5+SUM(W$2:W115)</f>
        <v>3011.15</v>
      </c>
      <c r="AA115" s="24" t="n">
        <f aca="false">MAX(AA114,Z115)</f>
        <v>5026.73</v>
      </c>
      <c r="AB115" s="24" t="n">
        <f aca="false">AA115-Z115</f>
        <v>2015.58</v>
      </c>
      <c r="AC115" s="23" t="n">
        <f aca="false">IFERROR(AB115/AA115,0)</f>
        <v>0.40097240154136</v>
      </c>
      <c r="AD115" s="22" t="s">
        <v>310</v>
      </c>
    </row>
    <row r="116" customFormat="false" ht="15" hidden="false" customHeight="false" outlineLevel="0" collapsed="false">
      <c r="A116" s="22" t="n">
        <v>115</v>
      </c>
      <c r="B116" s="22" t="s">
        <v>124</v>
      </c>
      <c r="C116" s="37" t="n">
        <v>45936.0523726852</v>
      </c>
      <c r="D116" s="22" t="s">
        <v>162</v>
      </c>
      <c r="E116" s="22" t="n">
        <v>1</v>
      </c>
      <c r="F116" s="22" t="s">
        <v>142</v>
      </c>
      <c r="G116" s="22" t="s">
        <v>195</v>
      </c>
      <c r="H116" s="22" t="n">
        <v>0.2</v>
      </c>
      <c r="I116" s="38" t="n">
        <v>3891.48</v>
      </c>
      <c r="J116" s="38" t="n">
        <v>3891.482</v>
      </c>
      <c r="K116" s="39" t="n">
        <f aca="false">IF(F116="BUY",J116-I116,I116-J116)</f>
        <v>0.00199999999995271</v>
      </c>
      <c r="L116" s="38" t="n">
        <v>3889.98</v>
      </c>
      <c r="M116" s="39" t="n">
        <f aca="false">ABS(I116-L116)</f>
        <v>1.5</v>
      </c>
      <c r="N116" s="24" t="n">
        <f aca="false">M116*H116*Summary!$C$6</f>
        <v>30</v>
      </c>
      <c r="O116" s="37" t="n">
        <v>45936.0525231482</v>
      </c>
      <c r="P116" s="22" t="n">
        <f aca="false">ROUND((O116-C116)*86400,0)</f>
        <v>13</v>
      </c>
      <c r="Q116" s="22" t="str">
        <f aca="false">IF(P116&lt;10,"a) &lt;10s",IF(P116&lt;60,"b) 10-60s",IF(P116&lt;600,"c) 1-10min","d) &gt;10min")))</f>
        <v>b) 10-60s</v>
      </c>
      <c r="R116" s="38" t="n">
        <v>3891.14</v>
      </c>
      <c r="S116" s="38" t="n">
        <v>3891.118</v>
      </c>
      <c r="T116" s="22" t="s">
        <v>150</v>
      </c>
      <c r="U116" s="39" t="n">
        <f aca="false">IF(R116="","",IF(F116="BUY",R116-S116,S116-R116))</f>
        <v>0.0219999999999345</v>
      </c>
      <c r="V116" s="39" t="n">
        <f aca="false">IF(F116="BUY",S116-J116,J116-S116)</f>
        <v>-0.364000000000033</v>
      </c>
      <c r="W116" s="6" t="n">
        <v>-7.28</v>
      </c>
      <c r="X116" s="26" t="n">
        <f aca="false">IFERROR(W116/N116,0)</f>
        <v>-0.242666666666667</v>
      </c>
      <c r="Y116" s="22" t="str">
        <f aca="false">IF(W116&gt;0,"Win",IF(W116&lt;0,"Loss","Flat"))</f>
        <v>Loss</v>
      </c>
      <c r="Z116" s="24" t="n">
        <f aca="false">Summary!$C$5+SUM(W$2:W116)</f>
        <v>3003.87</v>
      </c>
      <c r="AA116" s="24" t="n">
        <f aca="false">MAX(AA115,Z116)</f>
        <v>5026.73</v>
      </c>
      <c r="AB116" s="24" t="n">
        <f aca="false">AA116-Z116</f>
        <v>2022.86</v>
      </c>
      <c r="AC116" s="23" t="n">
        <f aca="false">IFERROR(AB116/AA116,0)</f>
        <v>0.402420659156151</v>
      </c>
      <c r="AD116" s="22" t="s">
        <v>311</v>
      </c>
    </row>
    <row r="117" customFormat="false" ht="15" hidden="false" customHeight="false" outlineLevel="0" collapsed="false">
      <c r="A117" s="22" t="n">
        <v>116</v>
      </c>
      <c r="B117" s="22" t="s">
        <v>124</v>
      </c>
      <c r="C117" s="37" t="n">
        <v>45938.0531944444</v>
      </c>
      <c r="D117" s="22" t="s">
        <v>164</v>
      </c>
      <c r="E117" s="22" t="n">
        <v>1</v>
      </c>
      <c r="F117" s="22" t="s">
        <v>142</v>
      </c>
      <c r="G117" s="22" t="s">
        <v>195</v>
      </c>
      <c r="H117" s="22" t="n">
        <v>0.2</v>
      </c>
      <c r="I117" s="38" t="n">
        <v>3990.85</v>
      </c>
      <c r="J117" s="38" t="n">
        <v>3990.925</v>
      </c>
      <c r="K117" s="39" t="n">
        <f aca="false">IF(F117="BUY",J117-I117,I117-J117)</f>
        <v>0.0750000000002729</v>
      </c>
      <c r="L117" s="38" t="n">
        <v>3989.35</v>
      </c>
      <c r="M117" s="39" t="n">
        <f aca="false">ABS(I117-L117)</f>
        <v>1.5</v>
      </c>
      <c r="N117" s="24" t="n">
        <f aca="false">M117*H117*Summary!$C$6</f>
        <v>30</v>
      </c>
      <c r="O117" s="37" t="n">
        <v>45938.0535416667</v>
      </c>
      <c r="P117" s="22" t="n">
        <f aca="false">ROUND((O117-C117)*86400,0)</f>
        <v>30</v>
      </c>
      <c r="Q117" s="22" t="str">
        <f aca="false">IF(P117&lt;10,"a) &lt;10s",IF(P117&lt;60,"b) 10-60s",IF(P117&lt;600,"c) 1-10min","d) &gt;10min")))</f>
        <v>b) 10-60s</v>
      </c>
      <c r="R117" s="38" t="n">
        <v>3989.35</v>
      </c>
      <c r="S117" s="38" t="n">
        <v>3989.169</v>
      </c>
      <c r="T117" s="22" t="s">
        <v>148</v>
      </c>
      <c r="U117" s="39" t="n">
        <f aca="false">IF(R117="","",IF(F117="BUY",R117-S117,S117-R117))</f>
        <v>0.18100000000004</v>
      </c>
      <c r="V117" s="39" t="n">
        <f aca="false">IF(F117="BUY",S117-J117,J117-S117)</f>
        <v>-1.75600000000031</v>
      </c>
      <c r="W117" s="6" t="n">
        <v>-35.12</v>
      </c>
      <c r="X117" s="26" t="n">
        <f aca="false">IFERROR(W117/N117,0)</f>
        <v>-1.17066666666667</v>
      </c>
      <c r="Y117" s="22" t="str">
        <f aca="false">IF(W117&gt;0,"Win",IF(W117&lt;0,"Loss","Flat"))</f>
        <v>Loss</v>
      </c>
      <c r="Z117" s="24" t="n">
        <f aca="false">Summary!$C$5+SUM(W$2:W117)</f>
        <v>2968.75</v>
      </c>
      <c r="AA117" s="24" t="n">
        <f aca="false">MAX(AA116,Z117)</f>
        <v>5026.73</v>
      </c>
      <c r="AB117" s="24" t="n">
        <f aca="false">AA117-Z117</f>
        <v>2057.98</v>
      </c>
      <c r="AC117" s="23" t="n">
        <f aca="false">IFERROR(AB117/AA117,0)</f>
        <v>0.409407308528606</v>
      </c>
      <c r="AD117" s="22" t="s">
        <v>312</v>
      </c>
    </row>
    <row r="118" customFormat="false" ht="15" hidden="false" customHeight="false" outlineLevel="0" collapsed="false">
      <c r="A118" s="22" t="n">
        <v>117</v>
      </c>
      <c r="B118" s="22" t="s">
        <v>124</v>
      </c>
      <c r="C118" s="37" t="n">
        <v>45939.8198148148</v>
      </c>
      <c r="D118" s="22" t="s">
        <v>165</v>
      </c>
      <c r="E118" s="22" t="n">
        <v>19</v>
      </c>
      <c r="F118" s="22" t="s">
        <v>143</v>
      </c>
      <c r="G118" s="22" t="s">
        <v>197</v>
      </c>
      <c r="H118" s="22" t="n">
        <v>0.19</v>
      </c>
      <c r="I118" s="38" t="n">
        <v>3982.75</v>
      </c>
      <c r="J118" s="38" t="n">
        <v>3982.735</v>
      </c>
      <c r="K118" s="39" t="n">
        <f aca="false">IF(F118="BUY",J118-I118,I118-J118)</f>
        <v>0.0149999999998727</v>
      </c>
      <c r="L118" s="38" t="n">
        <v>3984.25</v>
      </c>
      <c r="M118" s="39" t="n">
        <f aca="false">ABS(I118-L118)</f>
        <v>1.5</v>
      </c>
      <c r="N118" s="24" t="n">
        <f aca="false">M118*H118*Summary!$C$6</f>
        <v>28.5</v>
      </c>
      <c r="O118" s="37" t="n">
        <v>45939.82</v>
      </c>
      <c r="P118" s="22" t="n">
        <f aca="false">ROUND((O118-C118)*86400,0)</f>
        <v>16</v>
      </c>
      <c r="Q118" s="22" t="str">
        <f aca="false">IF(P118&lt;10,"a) &lt;10s",IF(P118&lt;60,"b) 10-60s",IF(P118&lt;600,"c) 1-10min","d) &gt;10min")))</f>
        <v>b) 10-60s</v>
      </c>
      <c r="R118" s="38" t="n">
        <v>3984.25</v>
      </c>
      <c r="S118" s="38" t="n">
        <v>3984.402</v>
      </c>
      <c r="T118" s="22" t="s">
        <v>148</v>
      </c>
      <c r="U118" s="39" t="n">
        <f aca="false">IF(R118="","",IF(F118="BUY",R118-S118,S118-R118))</f>
        <v>0.152000000000044</v>
      </c>
      <c r="V118" s="39" t="n">
        <f aca="false">IF(F118="BUY",S118-J118,J118-S118)</f>
        <v>-1.66699999999992</v>
      </c>
      <c r="W118" s="6" t="n">
        <v>-31.67</v>
      </c>
      <c r="X118" s="26" t="n">
        <f aca="false">IFERROR(W118/N118,0)</f>
        <v>-1.11122807017544</v>
      </c>
      <c r="Y118" s="22" t="str">
        <f aca="false">IF(W118&gt;0,"Win",IF(W118&lt;0,"Loss","Flat"))</f>
        <v>Loss</v>
      </c>
      <c r="Z118" s="24" t="n">
        <f aca="false">Summary!$C$5+SUM(W$2:W118)</f>
        <v>2937.08</v>
      </c>
      <c r="AA118" s="24" t="n">
        <f aca="false">MAX(AA117,Z118)</f>
        <v>5026.73</v>
      </c>
      <c r="AB118" s="24" t="n">
        <f aca="false">AA118-Z118</f>
        <v>2089.65</v>
      </c>
      <c r="AC118" s="23" t="n">
        <f aca="false">IFERROR(AB118/AA118,0)</f>
        <v>0.415707627025919</v>
      </c>
      <c r="AD118" s="22" t="s">
        <v>313</v>
      </c>
    </row>
    <row r="119" customFormat="false" ht="15" hidden="false" customHeight="false" outlineLevel="0" collapsed="false">
      <c r="A119" s="22" t="n">
        <v>118</v>
      </c>
      <c r="B119" s="22" t="s">
        <v>124</v>
      </c>
      <c r="C119" s="37" t="n">
        <v>45944.0919791667</v>
      </c>
      <c r="D119" s="22" t="s">
        <v>163</v>
      </c>
      <c r="E119" s="22" t="n">
        <v>2</v>
      </c>
      <c r="F119" s="22" t="s">
        <v>142</v>
      </c>
      <c r="G119" s="22" t="s">
        <v>195</v>
      </c>
      <c r="H119" s="22" t="n">
        <v>0.19</v>
      </c>
      <c r="I119" s="38" t="n">
        <v>4117.01</v>
      </c>
      <c r="J119" s="38" t="n">
        <v>4117.275</v>
      </c>
      <c r="K119" s="39" t="n">
        <f aca="false">IF(F119="BUY",J119-I119,I119-J119)</f>
        <v>0.264999999999418</v>
      </c>
      <c r="L119" s="38" t="n">
        <v>4115.51</v>
      </c>
      <c r="M119" s="39" t="n">
        <f aca="false">ABS(I119-L119)</f>
        <v>1.5</v>
      </c>
      <c r="N119" s="24" t="n">
        <f aca="false">M119*H119*Summary!$C$6</f>
        <v>28.5</v>
      </c>
      <c r="O119" s="37" t="n">
        <v>45944.0919791667</v>
      </c>
      <c r="P119" s="22" t="n">
        <f aca="false">ROUND((O119-C119)*86400,0)</f>
        <v>0</v>
      </c>
      <c r="Q119" s="22" t="str">
        <f aca="false">IF(P119&lt;10,"a) &lt;10s",IF(P119&lt;60,"b) 10-60s",IF(P119&lt;600,"c) 1-10min","d) &gt;10min")))</f>
        <v>a) &lt;10s</v>
      </c>
      <c r="R119" s="38" t="n">
        <v>4115.51</v>
      </c>
      <c r="S119" s="38" t="n">
        <v>4115.268</v>
      </c>
      <c r="T119" s="22" t="s">
        <v>148</v>
      </c>
      <c r="U119" s="39" t="n">
        <f aca="false">IF(R119="","",IF(F119="BUY",R119-S119,S119-R119))</f>
        <v>0.242000000000189</v>
      </c>
      <c r="V119" s="39" t="n">
        <f aca="false">IF(F119="BUY",S119-J119,J119-S119)</f>
        <v>-2.00699999999961</v>
      </c>
      <c r="W119" s="6" t="n">
        <v>-38.13</v>
      </c>
      <c r="X119" s="26" t="n">
        <f aca="false">IFERROR(W119/N119,0)</f>
        <v>-1.33789473684211</v>
      </c>
      <c r="Y119" s="22" t="str">
        <f aca="false">IF(W119&gt;0,"Win",IF(W119&lt;0,"Loss","Flat"))</f>
        <v>Loss</v>
      </c>
      <c r="Z119" s="24" t="n">
        <f aca="false">Summary!$C$5+SUM(W$2:W119)</f>
        <v>2898.95</v>
      </c>
      <c r="AA119" s="24" t="n">
        <f aca="false">MAX(AA118,Z119)</f>
        <v>5026.73</v>
      </c>
      <c r="AB119" s="24" t="n">
        <f aca="false">AA119-Z119</f>
        <v>2127.78</v>
      </c>
      <c r="AC119" s="23" t="n">
        <f aca="false">IFERROR(AB119/AA119,0)</f>
        <v>0.423293075219875</v>
      </c>
      <c r="AD119" s="22" t="s">
        <v>314</v>
      </c>
    </row>
    <row r="120" customFormat="false" ht="15" hidden="false" customHeight="false" outlineLevel="0" collapsed="false">
      <c r="A120" s="22" t="n">
        <v>119</v>
      </c>
      <c r="B120" s="22" t="s">
        <v>124</v>
      </c>
      <c r="C120" s="37" t="n">
        <v>45945.1717013889</v>
      </c>
      <c r="D120" s="22" t="s">
        <v>164</v>
      </c>
      <c r="E120" s="22" t="n">
        <v>4</v>
      </c>
      <c r="F120" s="22" t="s">
        <v>142</v>
      </c>
      <c r="G120" s="22" t="s">
        <v>195</v>
      </c>
      <c r="H120" s="22" t="n">
        <v>0.19</v>
      </c>
      <c r="I120" s="38" t="n">
        <v>4179.35</v>
      </c>
      <c r="J120" s="38" t="n">
        <v>4179.515</v>
      </c>
      <c r="K120" s="39" t="n">
        <f aca="false">IF(F120="BUY",J120-I120,I120-J120)</f>
        <v>0.164999999999964</v>
      </c>
      <c r="L120" s="38" t="n">
        <v>4177.85</v>
      </c>
      <c r="M120" s="39" t="n">
        <f aca="false">ABS(I120-L120)</f>
        <v>1.5</v>
      </c>
      <c r="N120" s="24" t="n">
        <f aca="false">M120*H120*Summary!$C$6</f>
        <v>28.5</v>
      </c>
      <c r="O120" s="37" t="n">
        <v>45945.1717013889</v>
      </c>
      <c r="P120" s="22" t="n">
        <f aca="false">ROUND((O120-C120)*86400,0)</f>
        <v>0</v>
      </c>
      <c r="Q120" s="22" t="str">
        <f aca="false">IF(P120&lt;10,"a) &lt;10s",IF(P120&lt;60,"b) 10-60s",IF(P120&lt;600,"c) 1-10min","d) &gt;10min")))</f>
        <v>a) &lt;10s</v>
      </c>
      <c r="R120" s="38"/>
      <c r="S120" s="38" t="n">
        <v>4178.698</v>
      </c>
      <c r="T120" s="22" t="s">
        <v>151</v>
      </c>
      <c r="U120" s="39" t="str">
        <f aca="false">IF(R120="","",IF(F120="BUY",R120-S120,S120-R120))</f>
        <v/>
      </c>
      <c r="V120" s="39" t="n">
        <f aca="false">IF(F120="BUY",S120-J120,J120-S120)</f>
        <v>-0.817000000000007</v>
      </c>
      <c r="W120" s="6" t="n">
        <v>-15.52</v>
      </c>
      <c r="X120" s="26" t="n">
        <f aca="false">IFERROR(W120/N120,0)</f>
        <v>-0.544561403508772</v>
      </c>
      <c r="Y120" s="22" t="str">
        <f aca="false">IF(W120&gt;0,"Win",IF(W120&lt;0,"Loss","Flat"))</f>
        <v>Loss</v>
      </c>
      <c r="Z120" s="24" t="n">
        <f aca="false">Summary!$C$5+SUM(W$2:W120)</f>
        <v>2883.43</v>
      </c>
      <c r="AA120" s="24" t="n">
        <f aca="false">MAX(AA119,Z120)</f>
        <v>5026.73</v>
      </c>
      <c r="AB120" s="24" t="n">
        <f aca="false">AA120-Z120</f>
        <v>2143.3</v>
      </c>
      <c r="AC120" s="23" t="n">
        <f aca="false">IFERROR(AB120/AA120,0)</f>
        <v>0.426380569475584</v>
      </c>
      <c r="AD120" s="22" t="s">
        <v>315</v>
      </c>
    </row>
    <row r="121" customFormat="false" ht="15" hidden="false" customHeight="false" outlineLevel="0" collapsed="false">
      <c r="A121" s="22" t="n">
        <v>120</v>
      </c>
      <c r="B121" s="22" t="s">
        <v>124</v>
      </c>
      <c r="C121" s="37" t="n">
        <v>45946.1359143519</v>
      </c>
      <c r="D121" s="22" t="s">
        <v>165</v>
      </c>
      <c r="E121" s="22" t="n">
        <v>3</v>
      </c>
      <c r="F121" s="22" t="s">
        <v>142</v>
      </c>
      <c r="G121" s="22" t="s">
        <v>195</v>
      </c>
      <c r="H121" s="22" t="n">
        <v>0.19</v>
      </c>
      <c r="I121" s="38" t="n">
        <v>4218</v>
      </c>
      <c r="J121" s="38" t="n">
        <v>4218.015</v>
      </c>
      <c r="K121" s="39" t="n">
        <f aca="false">IF(F121="BUY",J121-I121,I121-J121)</f>
        <v>0.0150000000003274</v>
      </c>
      <c r="L121" s="38" t="n">
        <v>4216.5</v>
      </c>
      <c r="M121" s="39" t="n">
        <f aca="false">ABS(I121-L121)</f>
        <v>1.5</v>
      </c>
      <c r="N121" s="24" t="n">
        <f aca="false">M121*H121*Summary!$C$6</f>
        <v>28.5</v>
      </c>
      <c r="O121" s="37" t="n">
        <v>45946.1359722222</v>
      </c>
      <c r="P121" s="22" t="n">
        <f aca="false">ROUND((O121-C121)*86400,0)</f>
        <v>5</v>
      </c>
      <c r="Q121" s="22" t="str">
        <f aca="false">IF(P121&lt;10,"a) &lt;10s",IF(P121&lt;60,"b) 10-60s",IF(P121&lt;600,"c) 1-10min","d) &gt;10min")))</f>
        <v>a) &lt;10s</v>
      </c>
      <c r="R121" s="38" t="n">
        <v>4216.5</v>
      </c>
      <c r="S121" s="38" t="n">
        <v>4216.075</v>
      </c>
      <c r="T121" s="22" t="s">
        <v>148</v>
      </c>
      <c r="U121" s="39" t="n">
        <f aca="false">IF(R121="","",IF(F121="BUY",R121-S121,S121-R121))</f>
        <v>0.425000000000182</v>
      </c>
      <c r="V121" s="39" t="n">
        <f aca="false">IF(F121="BUY",S121-J121,J121-S121)</f>
        <v>-1.94000000000051</v>
      </c>
      <c r="W121" s="6" t="n">
        <v>-36.86</v>
      </c>
      <c r="X121" s="26" t="n">
        <f aca="false">IFERROR(W121/N121,0)</f>
        <v>-1.29333333333333</v>
      </c>
      <c r="Y121" s="22" t="str">
        <f aca="false">IF(W121&gt;0,"Win",IF(W121&lt;0,"Loss","Flat"))</f>
        <v>Loss</v>
      </c>
      <c r="Z121" s="24" t="n">
        <f aca="false">Summary!$C$5+SUM(W$2:W121)</f>
        <v>2846.57</v>
      </c>
      <c r="AA121" s="24" t="n">
        <f aca="false">MAX(AA120,Z121)</f>
        <v>5026.73</v>
      </c>
      <c r="AB121" s="24" t="n">
        <f aca="false">AA121-Z121</f>
        <v>2180.16</v>
      </c>
      <c r="AC121" s="23" t="n">
        <f aca="false">IFERROR(AB121/AA121,0)</f>
        <v>0.433713368332892</v>
      </c>
      <c r="AD121" s="22" t="s">
        <v>316</v>
      </c>
    </row>
    <row r="122" customFormat="false" ht="15" hidden="false" customHeight="false" outlineLevel="0" collapsed="false">
      <c r="A122" s="22" t="n">
        <v>121</v>
      </c>
      <c r="B122" s="22" t="s">
        <v>124</v>
      </c>
      <c r="C122" s="37" t="n">
        <v>45947.8347916667</v>
      </c>
      <c r="D122" s="22" t="s">
        <v>166</v>
      </c>
      <c r="E122" s="22" t="n">
        <v>20</v>
      </c>
      <c r="F122" s="22" t="s">
        <v>143</v>
      </c>
      <c r="G122" s="22" t="s">
        <v>197</v>
      </c>
      <c r="H122" s="22" t="n">
        <v>0.18</v>
      </c>
      <c r="I122" s="38" t="n">
        <v>4199.29</v>
      </c>
      <c r="J122" s="38" t="n">
        <v>4199.245</v>
      </c>
      <c r="K122" s="39" t="n">
        <f aca="false">IF(F122="BUY",J122-I122,I122-J122)</f>
        <v>0.0450000000000728</v>
      </c>
      <c r="L122" s="38" t="n">
        <v>4200.79</v>
      </c>
      <c r="M122" s="39" t="n">
        <f aca="false">ABS(I122-L122)</f>
        <v>1.5</v>
      </c>
      <c r="N122" s="24" t="n">
        <f aca="false">M122*H122*Summary!$C$6</f>
        <v>27</v>
      </c>
      <c r="O122" s="37" t="n">
        <v>45947.8347916667</v>
      </c>
      <c r="P122" s="22" t="n">
        <f aca="false">ROUND((O122-C122)*86400,0)</f>
        <v>0</v>
      </c>
      <c r="Q122" s="22" t="str">
        <f aca="false">IF(P122&lt;10,"a) &lt;10s",IF(P122&lt;60,"b) 10-60s",IF(P122&lt;600,"c) 1-10min","d) &gt;10min")))</f>
        <v>a) &lt;10s</v>
      </c>
      <c r="R122" s="38" t="n">
        <v>4200.79</v>
      </c>
      <c r="S122" s="38" t="n">
        <v>4200.852</v>
      </c>
      <c r="T122" s="22" t="s">
        <v>148</v>
      </c>
      <c r="U122" s="39" t="n">
        <f aca="false">IF(R122="","",IF(F122="BUY",R122-S122,S122-R122))</f>
        <v>0.0619999999998981</v>
      </c>
      <c r="V122" s="39" t="n">
        <f aca="false">IF(F122="BUY",S122-J122,J122-S122)</f>
        <v>-1.60699999999997</v>
      </c>
      <c r="W122" s="6" t="n">
        <v>-28.93</v>
      </c>
      <c r="X122" s="26" t="n">
        <f aca="false">IFERROR(W122/N122,0)</f>
        <v>-1.07148148148148</v>
      </c>
      <c r="Y122" s="22" t="str">
        <f aca="false">IF(W122&gt;0,"Win",IF(W122&lt;0,"Loss","Flat"))</f>
        <v>Loss</v>
      </c>
      <c r="Z122" s="24" t="n">
        <f aca="false">Summary!$C$5+SUM(W$2:W122)</f>
        <v>2817.64</v>
      </c>
      <c r="AA122" s="24" t="n">
        <f aca="false">MAX(AA121,Z122)</f>
        <v>5026.73</v>
      </c>
      <c r="AB122" s="24" t="n">
        <f aca="false">AA122-Z122</f>
        <v>2209.09</v>
      </c>
      <c r="AC122" s="23" t="n">
        <f aca="false">IFERROR(AB122/AA122,0)</f>
        <v>0.439468600859804</v>
      </c>
      <c r="AD122" s="22" t="s">
        <v>317</v>
      </c>
    </row>
    <row r="123" customFormat="false" ht="15" hidden="false" customHeight="false" outlineLevel="0" collapsed="false">
      <c r="A123" s="22" t="n">
        <v>122</v>
      </c>
      <c r="B123" s="22" t="s">
        <v>124</v>
      </c>
      <c r="C123" s="37" t="n">
        <v>45951.6349305556</v>
      </c>
      <c r="D123" s="22" t="s">
        <v>163</v>
      </c>
      <c r="E123" s="22" t="n">
        <v>15</v>
      </c>
      <c r="F123" s="22" t="s">
        <v>143</v>
      </c>
      <c r="G123" s="22" t="s">
        <v>197</v>
      </c>
      <c r="H123" s="22" t="n">
        <v>0.18</v>
      </c>
      <c r="I123" s="38" t="n">
        <v>4218.51</v>
      </c>
      <c r="J123" s="38" t="n">
        <v>4216.365</v>
      </c>
      <c r="K123" s="39" t="n">
        <f aca="false">IF(F123="BUY",J123-I123,I123-J123)</f>
        <v>2.14500000000044</v>
      </c>
      <c r="L123" s="38" t="n">
        <v>4220.01</v>
      </c>
      <c r="M123" s="39" t="n">
        <f aca="false">ABS(I123-L123)</f>
        <v>1.5</v>
      </c>
      <c r="N123" s="24" t="n">
        <f aca="false">M123*H123*Summary!$C$6</f>
        <v>27</v>
      </c>
      <c r="O123" s="37" t="n">
        <v>45951.6349421296</v>
      </c>
      <c r="P123" s="22" t="n">
        <f aca="false">ROUND((O123-C123)*86400,0)</f>
        <v>1</v>
      </c>
      <c r="Q123" s="22" t="str">
        <f aca="false">IF(P123&lt;10,"a) &lt;10s",IF(P123&lt;60,"b) 10-60s",IF(P123&lt;600,"c) 1-10min","d) &gt;10min")))</f>
        <v>a) &lt;10s</v>
      </c>
      <c r="R123" s="38" t="n">
        <v>4216.25</v>
      </c>
      <c r="S123" s="38" t="n">
        <v>4216.441</v>
      </c>
      <c r="T123" s="22" t="s">
        <v>149</v>
      </c>
      <c r="U123" s="39" t="n">
        <f aca="false">IF(R123="","",IF(F123="BUY",R123-S123,S123-R123))</f>
        <v>0.190999999999804</v>
      </c>
      <c r="V123" s="39" t="n">
        <f aca="false">IF(F123="BUY",S123-J123,J123-S123)</f>
        <v>-0.0760000000000218</v>
      </c>
      <c r="W123" s="6" t="n">
        <v>-1.37</v>
      </c>
      <c r="X123" s="26" t="n">
        <f aca="false">IFERROR(W123/N123,0)</f>
        <v>-0.0507407407407407</v>
      </c>
      <c r="Y123" s="22" t="str">
        <f aca="false">IF(W123&gt;0,"Win",IF(W123&lt;0,"Loss","Flat"))</f>
        <v>Loss</v>
      </c>
      <c r="Z123" s="24" t="n">
        <f aca="false">Summary!$C$5+SUM(W$2:W123)</f>
        <v>2816.27</v>
      </c>
      <c r="AA123" s="24" t="n">
        <f aca="false">MAX(AA122,Z123)</f>
        <v>5026.73</v>
      </c>
      <c r="AB123" s="24" t="n">
        <f aca="false">AA123-Z123</f>
        <v>2210.46</v>
      </c>
      <c r="AC123" s="23" t="n">
        <f aca="false">IFERROR(AB123/AA123,0)</f>
        <v>0.439741143845005</v>
      </c>
      <c r="AD123" s="22" t="s">
        <v>318</v>
      </c>
    </row>
    <row r="124" customFormat="false" ht="15" hidden="false" customHeight="false" outlineLevel="0" collapsed="false">
      <c r="A124" s="22" t="n">
        <v>123</v>
      </c>
      <c r="B124" s="22" t="s">
        <v>124</v>
      </c>
      <c r="C124" s="37" t="n">
        <v>45952.1265972222</v>
      </c>
      <c r="D124" s="22" t="s">
        <v>164</v>
      </c>
      <c r="E124" s="22" t="n">
        <v>3</v>
      </c>
      <c r="F124" s="22" t="s">
        <v>143</v>
      </c>
      <c r="G124" s="22" t="s">
        <v>197</v>
      </c>
      <c r="H124" s="22" t="n">
        <v>0.18</v>
      </c>
      <c r="I124" s="38" t="n">
        <v>4078.26</v>
      </c>
      <c r="J124" s="38" t="n">
        <v>4067.475</v>
      </c>
      <c r="K124" s="39" t="n">
        <f aca="false">IF(F124="BUY",J124-I124,I124-J124)</f>
        <v>10.7850000000003</v>
      </c>
      <c r="L124" s="38" t="n">
        <v>4079.76</v>
      </c>
      <c r="M124" s="39" t="n">
        <f aca="false">ABS(I124-L124)</f>
        <v>1.5</v>
      </c>
      <c r="N124" s="24" t="n">
        <f aca="false">M124*H124*Summary!$C$6</f>
        <v>27</v>
      </c>
      <c r="O124" s="37" t="n">
        <v>45952.1266087963</v>
      </c>
      <c r="P124" s="22" t="n">
        <f aca="false">ROUND((O124-C124)*86400,0)</f>
        <v>1</v>
      </c>
      <c r="Q124" s="22" t="str">
        <f aca="false">IF(P124&lt;10,"a) &lt;10s",IF(P124&lt;60,"b) 10-60s",IF(P124&lt;600,"c) 1-10min","d) &gt;10min")))</f>
        <v>a) &lt;10s</v>
      </c>
      <c r="R124" s="38"/>
      <c r="S124" s="38" t="n">
        <v>4065.665</v>
      </c>
      <c r="T124" s="22" t="s">
        <v>151</v>
      </c>
      <c r="U124" s="39" t="str">
        <f aca="false">IF(R124="","",IF(F124="BUY",R124-S124,S124-R124))</f>
        <v/>
      </c>
      <c r="V124" s="39" t="n">
        <f aca="false">IF(F124="BUY",S124-J124,J124-S124)</f>
        <v>1.80999999999995</v>
      </c>
      <c r="W124" s="6" t="n">
        <v>32.58</v>
      </c>
      <c r="X124" s="26" t="n">
        <f aca="false">IFERROR(W124/N124,0)</f>
        <v>1.20666666666667</v>
      </c>
      <c r="Y124" s="22" t="str">
        <f aca="false">IF(W124&gt;0,"Win",IF(W124&lt;0,"Loss","Flat"))</f>
        <v>Win</v>
      </c>
      <c r="Z124" s="24" t="n">
        <f aca="false">Summary!$C$5+SUM(W$2:W124)</f>
        <v>2848.85</v>
      </c>
      <c r="AA124" s="24" t="n">
        <f aca="false">MAX(AA123,Z124)</f>
        <v>5026.73</v>
      </c>
      <c r="AB124" s="24" t="n">
        <f aca="false">AA124-Z124</f>
        <v>2177.88</v>
      </c>
      <c r="AC124" s="23" t="n">
        <f aca="false">IFERROR(AB124/AA124,0)</f>
        <v>0.433259793145842</v>
      </c>
      <c r="AD124" s="22" t="s">
        <v>319</v>
      </c>
    </row>
    <row r="125" customFormat="false" ht="15" hidden="false" customHeight="false" outlineLevel="0" collapsed="false">
      <c r="A125" s="22" t="n">
        <v>124</v>
      </c>
      <c r="B125" s="22" t="s">
        <v>124</v>
      </c>
      <c r="C125" s="37" t="n">
        <v>45954.4616087963</v>
      </c>
      <c r="D125" s="22" t="s">
        <v>166</v>
      </c>
      <c r="E125" s="22" t="n">
        <v>11</v>
      </c>
      <c r="F125" s="22" t="s">
        <v>143</v>
      </c>
      <c r="G125" s="22" t="s">
        <v>197</v>
      </c>
      <c r="H125" s="22" t="n">
        <v>0.18</v>
      </c>
      <c r="I125" s="38" t="n">
        <v>4065.41</v>
      </c>
      <c r="J125" s="38" t="n">
        <v>4065.005</v>
      </c>
      <c r="K125" s="39" t="n">
        <f aca="false">IF(F125="BUY",J125-I125,I125-J125)</f>
        <v>0.404999999999745</v>
      </c>
      <c r="L125" s="38" t="n">
        <v>4066.91</v>
      </c>
      <c r="M125" s="39" t="n">
        <f aca="false">ABS(I125-L125)</f>
        <v>1.5</v>
      </c>
      <c r="N125" s="24" t="n">
        <f aca="false">M125*H125*Summary!$C$6</f>
        <v>27</v>
      </c>
      <c r="O125" s="37" t="n">
        <v>45954.4617361111</v>
      </c>
      <c r="P125" s="22" t="n">
        <f aca="false">ROUND((O125-C125)*86400,0)</f>
        <v>11</v>
      </c>
      <c r="Q125" s="22" t="str">
        <f aca="false">IF(P125&lt;10,"a) &lt;10s",IF(P125&lt;60,"b) 10-60s",IF(P125&lt;600,"c) 1-10min","d) &gt;10min")))</f>
        <v>b) 10-60s</v>
      </c>
      <c r="R125" s="38" t="n">
        <v>4066.91</v>
      </c>
      <c r="S125" s="38" t="n">
        <v>4067.195</v>
      </c>
      <c r="T125" s="22" t="s">
        <v>148</v>
      </c>
      <c r="U125" s="39" t="n">
        <f aca="false">IF(R125="","",IF(F125="BUY",R125-S125,S125-R125))</f>
        <v>0.285000000000309</v>
      </c>
      <c r="V125" s="39" t="n">
        <f aca="false">IF(F125="BUY",S125-J125,J125-S125)</f>
        <v>-2.19000000000005</v>
      </c>
      <c r="W125" s="6" t="n">
        <v>-39.42</v>
      </c>
      <c r="X125" s="26" t="n">
        <f aca="false">IFERROR(W125/N125,0)</f>
        <v>-1.46</v>
      </c>
      <c r="Y125" s="22" t="str">
        <f aca="false">IF(W125&gt;0,"Win",IF(W125&lt;0,"Loss","Flat"))</f>
        <v>Loss</v>
      </c>
      <c r="Z125" s="24" t="n">
        <f aca="false">Summary!$C$5+SUM(W$2:W125)</f>
        <v>2809.43</v>
      </c>
      <c r="AA125" s="24" t="n">
        <f aca="false">MAX(AA124,Z125)</f>
        <v>5026.73</v>
      </c>
      <c r="AB125" s="24" t="n">
        <f aca="false">AA125-Z125</f>
        <v>2217.3</v>
      </c>
      <c r="AC125" s="23" t="n">
        <f aca="false">IFERROR(AB125/AA125,0)</f>
        <v>0.441101869406155</v>
      </c>
      <c r="AD125" s="22" t="s">
        <v>320</v>
      </c>
    </row>
    <row r="126" customFormat="false" ht="15" hidden="false" customHeight="false" outlineLevel="0" collapsed="false">
      <c r="A126" s="22" t="n">
        <v>125</v>
      </c>
      <c r="B126" s="22" t="s">
        <v>124</v>
      </c>
      <c r="C126" s="37" t="n">
        <v>45957.4953356482</v>
      </c>
      <c r="D126" s="22" t="s">
        <v>162</v>
      </c>
      <c r="E126" s="22" t="n">
        <v>11</v>
      </c>
      <c r="F126" s="22" t="s">
        <v>143</v>
      </c>
      <c r="G126" s="22" t="s">
        <v>197</v>
      </c>
      <c r="H126" s="22" t="n">
        <v>0.18</v>
      </c>
      <c r="I126" s="38" t="n">
        <v>4043.62</v>
      </c>
      <c r="J126" s="38" t="n">
        <v>4039.815</v>
      </c>
      <c r="K126" s="39" t="n">
        <f aca="false">IF(F126="BUY",J126-I126,I126-J126)</f>
        <v>3.80499999999984</v>
      </c>
      <c r="L126" s="38" t="n">
        <v>4045.12</v>
      </c>
      <c r="M126" s="39" t="n">
        <f aca="false">ABS(I126-L126)</f>
        <v>1.5</v>
      </c>
      <c r="N126" s="24" t="n">
        <f aca="false">M126*H126*Summary!$C$6</f>
        <v>27</v>
      </c>
      <c r="O126" s="37" t="n">
        <v>45957.4953587963</v>
      </c>
      <c r="P126" s="22" t="n">
        <f aca="false">ROUND((O126-C126)*86400,0)</f>
        <v>2</v>
      </c>
      <c r="Q126" s="22" t="str">
        <f aca="false">IF(P126&lt;10,"a) &lt;10s",IF(P126&lt;60,"b) 10-60s",IF(P126&lt;600,"c) 1-10min","d) &gt;10min")))</f>
        <v>a) &lt;10s</v>
      </c>
      <c r="R126" s="38" t="n">
        <v>4039.65</v>
      </c>
      <c r="S126" s="38" t="n">
        <v>4040.065</v>
      </c>
      <c r="T126" s="22" t="s">
        <v>149</v>
      </c>
      <c r="U126" s="39" t="n">
        <f aca="false">IF(R126="","",IF(F126="BUY",R126-S126,S126-R126))</f>
        <v>0.414999999999964</v>
      </c>
      <c r="V126" s="39" t="n">
        <f aca="false">IF(F126="BUY",S126-J126,J126-S126)</f>
        <v>-0.25</v>
      </c>
      <c r="W126" s="6" t="n">
        <v>-4.5</v>
      </c>
      <c r="X126" s="26" t="n">
        <f aca="false">IFERROR(W126/N126,0)</f>
        <v>-0.166666666666667</v>
      </c>
      <c r="Y126" s="22" t="str">
        <f aca="false">IF(W126&gt;0,"Win",IF(W126&lt;0,"Loss","Flat"))</f>
        <v>Loss</v>
      </c>
      <c r="Z126" s="24" t="n">
        <f aca="false">Summary!$C$5+SUM(W$2:W126)</f>
        <v>2804.93</v>
      </c>
      <c r="AA126" s="24" t="n">
        <f aca="false">MAX(AA125,Z126)</f>
        <v>5026.73</v>
      </c>
      <c r="AB126" s="24" t="n">
        <f aca="false">AA126-Z126</f>
        <v>2221.8</v>
      </c>
      <c r="AC126" s="23" t="n">
        <f aca="false">IFERROR(AB126/AA126,0)</f>
        <v>0.441997083591122</v>
      </c>
      <c r="AD126" s="22" t="s">
        <v>321</v>
      </c>
    </row>
    <row r="127" customFormat="false" ht="15" hidden="false" customHeight="false" outlineLevel="0" collapsed="false">
      <c r="A127" s="22" t="n">
        <v>126</v>
      </c>
      <c r="B127" s="22" t="s">
        <v>124</v>
      </c>
      <c r="C127" s="37" t="n">
        <v>45958.309849537</v>
      </c>
      <c r="D127" s="22" t="s">
        <v>163</v>
      </c>
      <c r="E127" s="22" t="n">
        <v>7</v>
      </c>
      <c r="F127" s="22" t="s">
        <v>143</v>
      </c>
      <c r="G127" s="22" t="s">
        <v>197</v>
      </c>
      <c r="H127" s="22" t="n">
        <v>0.18</v>
      </c>
      <c r="I127" s="38" t="n">
        <v>3971.07</v>
      </c>
      <c r="J127" s="38" t="n">
        <v>3970.848</v>
      </c>
      <c r="K127" s="39" t="n">
        <f aca="false">IF(F127="BUY",J127-I127,I127-J127)</f>
        <v>0.222000000000207</v>
      </c>
      <c r="L127" s="38" t="n">
        <v>3972.57</v>
      </c>
      <c r="M127" s="39" t="n">
        <f aca="false">ABS(I127-L127)</f>
        <v>1.5</v>
      </c>
      <c r="N127" s="24" t="n">
        <f aca="false">M127*H127*Summary!$C$6</f>
        <v>27</v>
      </c>
      <c r="O127" s="37" t="n">
        <v>45958.3098611111</v>
      </c>
      <c r="P127" s="22" t="n">
        <f aca="false">ROUND((O127-C127)*86400,0)</f>
        <v>1</v>
      </c>
      <c r="Q127" s="22" t="str">
        <f aca="false">IF(P127&lt;10,"a) &lt;10s",IF(P127&lt;60,"b) 10-60s",IF(P127&lt;600,"c) 1-10min","d) &gt;10min")))</f>
        <v>a) &lt;10s</v>
      </c>
      <c r="R127" s="38" t="n">
        <v>3970.73</v>
      </c>
      <c r="S127" s="38" t="n">
        <v>3970.872</v>
      </c>
      <c r="T127" s="22" t="s">
        <v>149</v>
      </c>
      <c r="U127" s="39" t="n">
        <f aca="false">IF(R127="","",IF(F127="BUY",R127-S127,S127-R127))</f>
        <v>0.141999999999825</v>
      </c>
      <c r="V127" s="39" t="n">
        <f aca="false">IF(F127="BUY",S127-J127,J127-S127)</f>
        <v>-0.0239999999998872</v>
      </c>
      <c r="W127" s="6" t="n">
        <v>-0.43</v>
      </c>
      <c r="X127" s="26" t="n">
        <f aca="false">IFERROR(W127/N127,0)</f>
        <v>-0.0159259259259259</v>
      </c>
      <c r="Y127" s="22" t="str">
        <f aca="false">IF(W127&gt;0,"Win",IF(W127&lt;0,"Loss","Flat"))</f>
        <v>Loss</v>
      </c>
      <c r="Z127" s="24" t="n">
        <f aca="false">Summary!$C$5+SUM(W$2:W127)</f>
        <v>2804.5</v>
      </c>
      <c r="AA127" s="24" t="n">
        <f aca="false">MAX(AA126,Z127)</f>
        <v>5026.73</v>
      </c>
      <c r="AB127" s="24" t="n">
        <f aca="false">AA127-Z127</f>
        <v>2222.23</v>
      </c>
      <c r="AC127" s="23" t="n">
        <f aca="false">IFERROR(AB127/AA127,0)</f>
        <v>0.442082626279908</v>
      </c>
      <c r="AD127" s="22" t="s">
        <v>322</v>
      </c>
    </row>
    <row r="128" customFormat="false" ht="15" hidden="false" customHeight="false" outlineLevel="0" collapsed="false">
      <c r="A128" s="22" t="n">
        <v>127</v>
      </c>
      <c r="B128" s="22" t="s">
        <v>124</v>
      </c>
      <c r="C128" s="37" t="n">
        <v>45959.5018171296</v>
      </c>
      <c r="D128" s="22" t="s">
        <v>164</v>
      </c>
      <c r="E128" s="22" t="n">
        <v>12</v>
      </c>
      <c r="F128" s="22" t="s">
        <v>142</v>
      </c>
      <c r="G128" s="22" t="s">
        <v>195</v>
      </c>
      <c r="H128" s="22" t="n">
        <v>0.18</v>
      </c>
      <c r="I128" s="38" t="n">
        <v>4019.41</v>
      </c>
      <c r="J128" s="38" t="n">
        <v>4019.535</v>
      </c>
      <c r="K128" s="39" t="n">
        <f aca="false">IF(F128="BUY",J128-I128,I128-J128)</f>
        <v>0.125</v>
      </c>
      <c r="L128" s="38" t="n">
        <v>4017.91</v>
      </c>
      <c r="M128" s="39" t="n">
        <f aca="false">ABS(I128-L128)</f>
        <v>1.5</v>
      </c>
      <c r="N128" s="24" t="n">
        <f aca="false">M128*H128*Summary!$C$6</f>
        <v>27</v>
      </c>
      <c r="O128" s="37" t="n">
        <v>45959.502662037</v>
      </c>
      <c r="P128" s="22" t="n">
        <f aca="false">ROUND((O128-C128)*86400,0)</f>
        <v>73</v>
      </c>
      <c r="Q128" s="22" t="str">
        <f aca="false">IF(P128&lt;10,"a) &lt;10s",IF(P128&lt;60,"b) 10-60s",IF(P128&lt;600,"c) 1-10min","d) &gt;10min")))</f>
        <v>c) 1-10min</v>
      </c>
      <c r="R128" s="38" t="n">
        <v>4017.91</v>
      </c>
      <c r="S128" s="38" t="n">
        <v>4017.725</v>
      </c>
      <c r="T128" s="22" t="s">
        <v>148</v>
      </c>
      <c r="U128" s="39" t="n">
        <f aca="false">IF(R128="","",IF(F128="BUY",R128-S128,S128-R128))</f>
        <v>0.184999999999945</v>
      </c>
      <c r="V128" s="39" t="n">
        <f aca="false">IF(F128="BUY",S128-J128,J128-S128)</f>
        <v>-1.80999999999995</v>
      </c>
      <c r="W128" s="6" t="n">
        <v>-32.58</v>
      </c>
      <c r="X128" s="26" t="n">
        <f aca="false">IFERROR(W128/N128,0)</f>
        <v>-1.20666666666667</v>
      </c>
      <c r="Y128" s="22" t="str">
        <f aca="false">IF(W128&gt;0,"Win",IF(W128&lt;0,"Loss","Flat"))</f>
        <v>Loss</v>
      </c>
      <c r="Z128" s="24" t="n">
        <f aca="false">Summary!$C$5+SUM(W$2:W128)</f>
        <v>2771.92</v>
      </c>
      <c r="AA128" s="24" t="n">
        <f aca="false">MAX(AA127,Z128)</f>
        <v>5026.73</v>
      </c>
      <c r="AB128" s="24" t="n">
        <f aca="false">AA128-Z128</f>
        <v>2254.81</v>
      </c>
      <c r="AC128" s="23" t="n">
        <f aca="false">IFERROR(AB128/AA128,0)</f>
        <v>0.44856397697907</v>
      </c>
      <c r="AD128" s="22" t="s">
        <v>323</v>
      </c>
    </row>
    <row r="129" customFormat="false" ht="15" hidden="false" customHeight="false" outlineLevel="0" collapsed="false">
      <c r="A129" s="22" t="n">
        <v>128</v>
      </c>
      <c r="B129" s="22" t="s">
        <v>124</v>
      </c>
      <c r="C129" s="37" t="n">
        <v>45961.0650578704</v>
      </c>
      <c r="D129" s="22" t="s">
        <v>166</v>
      </c>
      <c r="E129" s="22" t="n">
        <v>1</v>
      </c>
      <c r="F129" s="22" t="s">
        <v>142</v>
      </c>
      <c r="G129" s="22" t="s">
        <v>195</v>
      </c>
      <c r="H129" s="22" t="n">
        <v>0.18</v>
      </c>
      <c r="I129" s="38" t="n">
        <v>4026.95</v>
      </c>
      <c r="J129" s="38" t="n">
        <v>4027.455</v>
      </c>
      <c r="K129" s="39" t="n">
        <f aca="false">IF(F129="BUY",J129-I129,I129-J129)</f>
        <v>0.505000000000109</v>
      </c>
      <c r="L129" s="38" t="n">
        <v>4025.45</v>
      </c>
      <c r="M129" s="39" t="n">
        <f aca="false">ABS(I129-L129)</f>
        <v>1.5</v>
      </c>
      <c r="N129" s="24" t="n">
        <f aca="false">M129*H129*Summary!$C$6</f>
        <v>27</v>
      </c>
      <c r="O129" s="37" t="n">
        <v>45961.0653819444</v>
      </c>
      <c r="P129" s="22" t="n">
        <f aca="false">ROUND((O129-C129)*86400,0)</f>
        <v>28</v>
      </c>
      <c r="Q129" s="22" t="str">
        <f aca="false">IF(P129&lt;10,"a) &lt;10s",IF(P129&lt;60,"b) 10-60s",IF(P129&lt;600,"c) 1-10min","d) &gt;10min")))</f>
        <v>b) 10-60s</v>
      </c>
      <c r="R129" s="38" t="n">
        <v>4025.45</v>
      </c>
      <c r="S129" s="38" t="n">
        <v>4025.275</v>
      </c>
      <c r="T129" s="22" t="s">
        <v>148</v>
      </c>
      <c r="U129" s="39" t="n">
        <f aca="false">IF(R129="","",IF(F129="BUY",R129-S129,S129-R129))</f>
        <v>0.174999999999727</v>
      </c>
      <c r="V129" s="39" t="n">
        <f aca="false">IF(F129="BUY",S129-J129,J129-S129)</f>
        <v>-2.17999999999984</v>
      </c>
      <c r="W129" s="6" t="n">
        <v>-39.24</v>
      </c>
      <c r="X129" s="26" t="n">
        <f aca="false">IFERROR(W129/N129,0)</f>
        <v>-1.45333333333333</v>
      </c>
      <c r="Y129" s="22" t="str">
        <f aca="false">IF(W129&gt;0,"Win",IF(W129&lt;0,"Loss","Flat"))</f>
        <v>Loss</v>
      </c>
      <c r="Z129" s="24" t="n">
        <f aca="false">Summary!$C$5+SUM(W$2:W129)</f>
        <v>2732.68</v>
      </c>
      <c r="AA129" s="24" t="n">
        <f aca="false">MAX(AA128,Z129)</f>
        <v>5026.73</v>
      </c>
      <c r="AB129" s="24" t="n">
        <f aca="false">AA129-Z129</f>
        <v>2294.05</v>
      </c>
      <c r="AC129" s="23" t="n">
        <f aca="false">IFERROR(AB129/AA129,0)</f>
        <v>0.456370244671984</v>
      </c>
      <c r="AD129" s="22" t="s">
        <v>324</v>
      </c>
    </row>
    <row r="130" customFormat="false" ht="15" hidden="false" customHeight="false" outlineLevel="0" collapsed="false">
      <c r="A130" s="22" t="n">
        <v>129</v>
      </c>
      <c r="B130" s="22" t="s">
        <v>125</v>
      </c>
      <c r="C130" s="37" t="n">
        <v>45964.0931712963</v>
      </c>
      <c r="D130" s="22" t="s">
        <v>162</v>
      </c>
      <c r="E130" s="22" t="n">
        <v>2</v>
      </c>
      <c r="F130" s="22" t="s">
        <v>143</v>
      </c>
      <c r="G130" s="22" t="s">
        <v>197</v>
      </c>
      <c r="H130" s="22" t="n">
        <v>0.18</v>
      </c>
      <c r="I130" s="38" t="n">
        <v>3971.97</v>
      </c>
      <c r="J130" s="38" t="n">
        <v>3970.808</v>
      </c>
      <c r="K130" s="39" t="n">
        <f aca="false">IF(F130="BUY",J130-I130,I130-J130)</f>
        <v>1.16199999999981</v>
      </c>
      <c r="L130" s="38" t="n">
        <v>3973.47</v>
      </c>
      <c r="M130" s="39" t="n">
        <f aca="false">ABS(I130-L130)</f>
        <v>1.5</v>
      </c>
      <c r="N130" s="24" t="n">
        <f aca="false">M130*H130*Summary!$C$6</f>
        <v>27</v>
      </c>
      <c r="O130" s="37" t="n">
        <v>45964.0931828704</v>
      </c>
      <c r="P130" s="22" t="n">
        <f aca="false">ROUND((O130-C130)*86400,0)</f>
        <v>1</v>
      </c>
      <c r="Q130" s="22" t="str">
        <f aca="false">IF(P130&lt;10,"a) &lt;10s",IF(P130&lt;60,"b) 10-60s",IF(P130&lt;600,"c) 1-10min","d) &gt;10min")))</f>
        <v>a) &lt;10s</v>
      </c>
      <c r="R130" s="38" t="n">
        <v>3973.47</v>
      </c>
      <c r="S130" s="38" t="n">
        <v>3973.485</v>
      </c>
      <c r="T130" s="22" t="s">
        <v>148</v>
      </c>
      <c r="U130" s="39" t="n">
        <f aca="false">IF(R130="","",IF(F130="BUY",R130-S130,S130-R130))</f>
        <v>0.0150000000003274</v>
      </c>
      <c r="V130" s="39" t="n">
        <f aca="false">IF(F130="BUY",S130-J130,J130-S130)</f>
        <v>-2.67700000000013</v>
      </c>
      <c r="W130" s="6" t="n">
        <v>-48.19</v>
      </c>
      <c r="X130" s="26" t="n">
        <f aca="false">IFERROR(W130/N130,0)</f>
        <v>-1.78481481481481</v>
      </c>
      <c r="Y130" s="22" t="str">
        <f aca="false">IF(W130&gt;0,"Win",IF(W130&lt;0,"Loss","Flat"))</f>
        <v>Loss</v>
      </c>
      <c r="Z130" s="24" t="n">
        <f aca="false">Summary!$C$5+SUM(W$2:W130)</f>
        <v>2684.49</v>
      </c>
      <c r="AA130" s="24" t="n">
        <f aca="false">MAX(AA129,Z130)</f>
        <v>5026.73</v>
      </c>
      <c r="AB130" s="24" t="n">
        <f aca="false">AA130-Z130</f>
        <v>2342.24</v>
      </c>
      <c r="AC130" s="23" t="n">
        <f aca="false">IFERROR(AB130/AA130,0)</f>
        <v>0.465956993910554</v>
      </c>
      <c r="AD130" s="22" t="s">
        <v>325</v>
      </c>
    </row>
    <row r="131" customFormat="false" ht="15" hidden="false" customHeight="false" outlineLevel="0" collapsed="false">
      <c r="A131" s="22" t="n">
        <v>130</v>
      </c>
      <c r="B131" s="22" t="s">
        <v>125</v>
      </c>
      <c r="C131" s="37" t="n">
        <v>45965.6870138889</v>
      </c>
      <c r="D131" s="22" t="s">
        <v>163</v>
      </c>
      <c r="E131" s="22" t="n">
        <v>16</v>
      </c>
      <c r="F131" s="22" t="s">
        <v>143</v>
      </c>
      <c r="G131" s="22" t="s">
        <v>197</v>
      </c>
      <c r="H131" s="22" t="n">
        <v>0.17</v>
      </c>
      <c r="I131" s="38" t="n">
        <v>3962.33</v>
      </c>
      <c r="J131" s="38" t="n">
        <v>3960.545</v>
      </c>
      <c r="K131" s="39" t="n">
        <f aca="false">IF(F131="BUY",J131-I131,I131-J131)</f>
        <v>1.78499999999985</v>
      </c>
      <c r="L131" s="38" t="n">
        <v>3963.83</v>
      </c>
      <c r="M131" s="39" t="n">
        <f aca="false">ABS(I131-L131)</f>
        <v>1.5</v>
      </c>
      <c r="N131" s="24" t="n">
        <f aca="false">M131*H131*Summary!$C$6</f>
        <v>25.5</v>
      </c>
      <c r="O131" s="37" t="n">
        <v>45965.687025463</v>
      </c>
      <c r="P131" s="22" t="n">
        <f aca="false">ROUND((O131-C131)*86400,0)</f>
        <v>1</v>
      </c>
      <c r="Q131" s="22" t="str">
        <f aca="false">IF(P131&lt;10,"a) &lt;10s",IF(P131&lt;60,"b) 10-60s",IF(P131&lt;600,"c) 1-10min","d) &gt;10min")))</f>
        <v>a) &lt;10s</v>
      </c>
      <c r="R131" s="38" t="n">
        <v>3957.81</v>
      </c>
      <c r="S131" s="38" t="n">
        <v>3957.915</v>
      </c>
      <c r="T131" s="22" t="s">
        <v>149</v>
      </c>
      <c r="U131" s="39" t="n">
        <f aca="false">IF(R131="","",IF(F131="BUY",R131-S131,S131-R131))</f>
        <v>0.105000000000018</v>
      </c>
      <c r="V131" s="39" t="n">
        <f aca="false">IF(F131="BUY",S131-J131,J131-S131)</f>
        <v>2.63000000000011</v>
      </c>
      <c r="W131" s="6" t="n">
        <v>44.71</v>
      </c>
      <c r="X131" s="26" t="n">
        <f aca="false">IFERROR(W131/N131,0)</f>
        <v>1.75333333333333</v>
      </c>
      <c r="Y131" s="22" t="str">
        <f aca="false">IF(W131&gt;0,"Win",IF(W131&lt;0,"Loss","Flat"))</f>
        <v>Win</v>
      </c>
      <c r="Z131" s="24" t="n">
        <f aca="false">Summary!$C$5+SUM(W$2:W131)</f>
        <v>2729.2</v>
      </c>
      <c r="AA131" s="24" t="n">
        <f aca="false">MAX(AA130,Z131)</f>
        <v>5026.73</v>
      </c>
      <c r="AB131" s="24" t="n">
        <f aca="false">AA131-Z131</f>
        <v>2297.53</v>
      </c>
      <c r="AC131" s="23" t="n">
        <f aca="false">IFERROR(AB131/AA131,0)</f>
        <v>0.457062543641692</v>
      </c>
      <c r="AD131" s="22" t="s">
        <v>326</v>
      </c>
    </row>
    <row r="132" customFormat="false" ht="15" hidden="false" customHeight="false" outlineLevel="0" collapsed="false">
      <c r="A132" s="22" t="n">
        <v>131</v>
      </c>
      <c r="B132" s="22" t="s">
        <v>125</v>
      </c>
      <c r="C132" s="37" t="n">
        <v>45967.2348032407</v>
      </c>
      <c r="D132" s="22" t="s">
        <v>165</v>
      </c>
      <c r="E132" s="22" t="n">
        <v>5</v>
      </c>
      <c r="F132" s="22" t="s">
        <v>142</v>
      </c>
      <c r="G132" s="22" t="s">
        <v>195</v>
      </c>
      <c r="H132" s="22" t="n">
        <v>0.18</v>
      </c>
      <c r="I132" s="38" t="n">
        <v>3990.24</v>
      </c>
      <c r="J132" s="38" t="n">
        <v>3990.245</v>
      </c>
      <c r="K132" s="39" t="n">
        <f aca="false">IF(F132="BUY",J132-I132,I132-J132)</f>
        <v>0.00500000000010914</v>
      </c>
      <c r="L132" s="38" t="n">
        <v>3988.74</v>
      </c>
      <c r="M132" s="39" t="n">
        <f aca="false">ABS(I132-L132)</f>
        <v>1.5</v>
      </c>
      <c r="N132" s="24" t="n">
        <f aca="false">M132*H132*Summary!$C$6</f>
        <v>27</v>
      </c>
      <c r="O132" s="37" t="n">
        <v>45967.2367592593</v>
      </c>
      <c r="P132" s="22" t="n">
        <f aca="false">ROUND((O132-C132)*86400,0)</f>
        <v>169</v>
      </c>
      <c r="Q132" s="22" t="str">
        <f aca="false">IF(P132&lt;10,"a) &lt;10s",IF(P132&lt;60,"b) 10-60s",IF(P132&lt;600,"c) 1-10min","d) &gt;10min")))</f>
        <v>c) 1-10min</v>
      </c>
      <c r="R132" s="38" t="n">
        <v>3988.74</v>
      </c>
      <c r="S132" s="38" t="n">
        <v>3988.735</v>
      </c>
      <c r="T132" s="22" t="s">
        <v>148</v>
      </c>
      <c r="U132" s="39" t="n">
        <f aca="false">IF(R132="","",IF(F132="BUY",R132-S132,S132-R132))</f>
        <v>0.00499999999965439</v>
      </c>
      <c r="V132" s="39" t="n">
        <f aca="false">IF(F132="BUY",S132-J132,J132-S132)</f>
        <v>-1.50999999999976</v>
      </c>
      <c r="W132" s="6" t="n">
        <v>-27.18</v>
      </c>
      <c r="X132" s="26" t="n">
        <f aca="false">IFERROR(W132/N132,0)</f>
        <v>-1.00666666666667</v>
      </c>
      <c r="Y132" s="22" t="str">
        <f aca="false">IF(W132&gt;0,"Win",IF(W132&lt;0,"Loss","Flat"))</f>
        <v>Loss</v>
      </c>
      <c r="Z132" s="24" t="n">
        <f aca="false">Summary!$C$5+SUM(W$2:W132)</f>
        <v>2702.02</v>
      </c>
      <c r="AA132" s="24" t="n">
        <f aca="false">MAX(AA131,Z132)</f>
        <v>5026.73</v>
      </c>
      <c r="AB132" s="24" t="n">
        <f aca="false">AA132-Z132</f>
        <v>2324.71</v>
      </c>
      <c r="AC132" s="23" t="n">
        <f aca="false">IFERROR(AB132/AA132,0)</f>
        <v>0.462469637318893</v>
      </c>
      <c r="AD132" s="22" t="s">
        <v>327</v>
      </c>
    </row>
    <row r="133" customFormat="false" ht="15" hidden="false" customHeight="false" outlineLevel="0" collapsed="false">
      <c r="A133" s="22" t="n">
        <v>132</v>
      </c>
      <c r="B133" s="22" t="s">
        <v>125</v>
      </c>
      <c r="C133" s="37" t="n">
        <v>45968.7746990741</v>
      </c>
      <c r="D133" s="22" t="s">
        <v>166</v>
      </c>
      <c r="E133" s="22" t="n">
        <v>18</v>
      </c>
      <c r="F133" s="22" t="s">
        <v>142</v>
      </c>
      <c r="G133" s="22" t="s">
        <v>195</v>
      </c>
      <c r="H133" s="22" t="n">
        <v>0.18</v>
      </c>
      <c r="I133" s="38" t="n">
        <v>4019.28</v>
      </c>
      <c r="J133" s="38" t="n">
        <v>4019.482</v>
      </c>
      <c r="K133" s="39" t="n">
        <f aca="false">IF(F133="BUY",J133-I133,I133-J133)</f>
        <v>0.201999999999771</v>
      </c>
      <c r="L133" s="38" t="n">
        <v>4017.78</v>
      </c>
      <c r="M133" s="39" t="n">
        <f aca="false">ABS(I133-L133)</f>
        <v>1.5</v>
      </c>
      <c r="N133" s="24" t="n">
        <f aca="false">M133*H133*Summary!$C$6</f>
        <v>27</v>
      </c>
      <c r="O133" s="37" t="n">
        <v>45968.7747106482</v>
      </c>
      <c r="P133" s="22" t="n">
        <f aca="false">ROUND((O133-C133)*86400,0)</f>
        <v>1</v>
      </c>
      <c r="Q133" s="22" t="str">
        <f aca="false">IF(P133&lt;10,"a) &lt;10s",IF(P133&lt;60,"b) 10-60s",IF(P133&lt;600,"c) 1-10min","d) &gt;10min")))</f>
        <v>a) &lt;10s</v>
      </c>
      <c r="R133" s="38" t="n">
        <v>4019.62</v>
      </c>
      <c r="S133" s="38" t="n">
        <v>4019.075</v>
      </c>
      <c r="T133" s="22" t="s">
        <v>149</v>
      </c>
      <c r="U133" s="39" t="n">
        <f aca="false">IF(R133="","",IF(F133="BUY",R133-S133,S133-R133))</f>
        <v>0.545000000000073</v>
      </c>
      <c r="V133" s="39" t="n">
        <f aca="false">IF(F133="BUY",S133-J133,J133-S133)</f>
        <v>-0.407000000000153</v>
      </c>
      <c r="W133" s="6" t="n">
        <v>-7.33</v>
      </c>
      <c r="X133" s="26" t="n">
        <f aca="false">IFERROR(W133/N133,0)</f>
        <v>-0.271481481481482</v>
      </c>
      <c r="Y133" s="22" t="str">
        <f aca="false">IF(W133&gt;0,"Win",IF(W133&lt;0,"Loss","Flat"))</f>
        <v>Loss</v>
      </c>
      <c r="Z133" s="24" t="n">
        <f aca="false">Summary!$C$5+SUM(W$2:W133)</f>
        <v>2694.69</v>
      </c>
      <c r="AA133" s="24" t="n">
        <f aca="false">MAX(AA132,Z133)</f>
        <v>5026.73</v>
      </c>
      <c r="AB133" s="24" t="n">
        <f aca="false">AA133-Z133</f>
        <v>2332.04</v>
      </c>
      <c r="AC133" s="23" t="n">
        <f aca="false">IFERROR(AB133/AA133,0)</f>
        <v>0.463927841757962</v>
      </c>
      <c r="AD133" s="22" t="s">
        <v>328</v>
      </c>
    </row>
    <row r="134" customFormat="false" ht="15" hidden="false" customHeight="false" outlineLevel="0" collapsed="false">
      <c r="A134" s="22" t="n">
        <v>133</v>
      </c>
      <c r="B134" s="22" t="s">
        <v>125</v>
      </c>
      <c r="C134" s="37" t="n">
        <v>45971.1331828704</v>
      </c>
      <c r="D134" s="22" t="s">
        <v>162</v>
      </c>
      <c r="E134" s="22" t="n">
        <v>3</v>
      </c>
      <c r="F134" s="22" t="s">
        <v>142</v>
      </c>
      <c r="G134" s="22" t="s">
        <v>195</v>
      </c>
      <c r="H134" s="22" t="n">
        <v>0.17</v>
      </c>
      <c r="I134" s="38" t="n">
        <v>4027.23</v>
      </c>
      <c r="J134" s="38" t="n">
        <v>4027.235</v>
      </c>
      <c r="K134" s="39" t="n">
        <f aca="false">IF(F134="BUY",J134-I134,I134-J134)</f>
        <v>0.00500000000010914</v>
      </c>
      <c r="L134" s="38" t="n">
        <v>4025.73</v>
      </c>
      <c r="M134" s="39" t="n">
        <f aca="false">ABS(I134-L134)</f>
        <v>1.5</v>
      </c>
      <c r="N134" s="24" t="n">
        <f aca="false">M134*H134*Summary!$C$6</f>
        <v>25.5</v>
      </c>
      <c r="O134" s="37" t="n">
        <v>45971.1331828704</v>
      </c>
      <c r="P134" s="22" t="n">
        <f aca="false">ROUND((O134-C134)*86400,0)</f>
        <v>0</v>
      </c>
      <c r="Q134" s="22" t="str">
        <f aca="false">IF(P134&lt;10,"a) &lt;10s",IF(P134&lt;60,"b) 10-60s",IF(P134&lt;600,"c) 1-10min","d) &gt;10min")))</f>
        <v>a) &lt;10s</v>
      </c>
      <c r="R134" s="38" t="n">
        <v>4028.85</v>
      </c>
      <c r="S134" s="38" t="n">
        <v>4028.728</v>
      </c>
      <c r="T134" s="22" t="s">
        <v>149</v>
      </c>
      <c r="U134" s="39" t="n">
        <f aca="false">IF(R134="","",IF(F134="BUY",R134-S134,S134-R134))</f>
        <v>0.121999999999844</v>
      </c>
      <c r="V134" s="39" t="n">
        <f aca="false">IF(F134="BUY",S134-J134,J134-S134)</f>
        <v>1.49299999999994</v>
      </c>
      <c r="W134" s="6" t="n">
        <v>25.38</v>
      </c>
      <c r="X134" s="26" t="n">
        <f aca="false">IFERROR(W134/N134,0)</f>
        <v>0.995294117647059</v>
      </c>
      <c r="Y134" s="22" t="str">
        <f aca="false">IF(W134&gt;0,"Win",IF(W134&lt;0,"Loss","Flat"))</f>
        <v>Win</v>
      </c>
      <c r="Z134" s="24" t="n">
        <f aca="false">Summary!$C$5+SUM(W$2:W134)</f>
        <v>2720.07</v>
      </c>
      <c r="AA134" s="24" t="n">
        <f aca="false">MAX(AA133,Z134)</f>
        <v>5026.73</v>
      </c>
      <c r="AB134" s="24" t="n">
        <f aca="false">AA134-Z134</f>
        <v>2306.66</v>
      </c>
      <c r="AC134" s="23" t="n">
        <f aca="false">IFERROR(AB134/AA134,0)</f>
        <v>0.458878833754747</v>
      </c>
      <c r="AD134" s="22" t="s">
        <v>329</v>
      </c>
    </row>
    <row r="135" customFormat="false" ht="15" hidden="false" customHeight="false" outlineLevel="0" collapsed="false">
      <c r="A135" s="22" t="n">
        <v>134</v>
      </c>
      <c r="B135" s="22" t="s">
        <v>125</v>
      </c>
      <c r="C135" s="37" t="n">
        <v>45973.7154513889</v>
      </c>
      <c r="D135" s="22" t="s">
        <v>164</v>
      </c>
      <c r="E135" s="22" t="n">
        <v>17</v>
      </c>
      <c r="F135" s="22" t="s">
        <v>142</v>
      </c>
      <c r="G135" s="22" t="s">
        <v>195</v>
      </c>
      <c r="H135" s="22" t="n">
        <v>0.18</v>
      </c>
      <c r="I135" s="38" t="n">
        <v>4148.76</v>
      </c>
      <c r="J135" s="38" t="n">
        <v>4149.465</v>
      </c>
      <c r="K135" s="39" t="n">
        <f aca="false">IF(F135="BUY",J135-I135,I135-J135)</f>
        <v>0.704999999999927</v>
      </c>
      <c r="L135" s="38" t="n">
        <v>4147.26</v>
      </c>
      <c r="M135" s="39" t="n">
        <f aca="false">ABS(I135-L135)</f>
        <v>1.5</v>
      </c>
      <c r="N135" s="24" t="n">
        <f aca="false">M135*H135*Summary!$C$6</f>
        <v>27</v>
      </c>
      <c r="O135" s="37" t="n">
        <v>45973.7155439815</v>
      </c>
      <c r="P135" s="22" t="n">
        <f aca="false">ROUND((O135-C135)*86400,0)</f>
        <v>8</v>
      </c>
      <c r="Q135" s="22" t="str">
        <f aca="false">IF(P135&lt;10,"a) &lt;10s",IF(P135&lt;60,"b) 10-60s",IF(P135&lt;600,"c) 1-10min","d) &gt;10min")))</f>
        <v>a) &lt;10s</v>
      </c>
      <c r="R135" s="38" t="n">
        <v>4150.43</v>
      </c>
      <c r="S135" s="38" t="n">
        <v>4150.425</v>
      </c>
      <c r="T135" s="22" t="s">
        <v>149</v>
      </c>
      <c r="U135" s="39" t="n">
        <f aca="false">IF(R135="","",IF(F135="BUY",R135-S135,S135-R135))</f>
        <v>0.00500000000010914</v>
      </c>
      <c r="V135" s="39" t="n">
        <f aca="false">IF(F135="BUY",S135-J135,J135-S135)</f>
        <v>0.960000000000036</v>
      </c>
      <c r="W135" s="6" t="n">
        <v>17.28</v>
      </c>
      <c r="X135" s="26" t="n">
        <f aca="false">IFERROR(W135/N135,0)</f>
        <v>0.64</v>
      </c>
      <c r="Y135" s="22" t="str">
        <f aca="false">IF(W135&gt;0,"Win",IF(W135&lt;0,"Loss","Flat"))</f>
        <v>Win</v>
      </c>
      <c r="Z135" s="24" t="n">
        <f aca="false">Summary!$C$5+SUM(W$2:W135)</f>
        <v>2737.35</v>
      </c>
      <c r="AA135" s="24" t="n">
        <f aca="false">MAX(AA134,Z135)</f>
        <v>5026.73</v>
      </c>
      <c r="AB135" s="24" t="n">
        <f aca="false">AA135-Z135</f>
        <v>2289.38</v>
      </c>
      <c r="AC135" s="23" t="n">
        <f aca="false">IFERROR(AB135/AA135,0)</f>
        <v>0.455441211284473</v>
      </c>
      <c r="AD135" s="22" t="s">
        <v>330</v>
      </c>
    </row>
    <row r="136" customFormat="false" ht="15" hidden="false" customHeight="false" outlineLevel="0" collapsed="false">
      <c r="A136" s="22" t="n">
        <v>135</v>
      </c>
      <c r="B136" s="22" t="s">
        <v>125</v>
      </c>
      <c r="C136" s="37" t="n">
        <v>45974.2469907407</v>
      </c>
      <c r="D136" s="22" t="s">
        <v>165</v>
      </c>
      <c r="E136" s="22" t="n">
        <v>5</v>
      </c>
      <c r="F136" s="22" t="s">
        <v>142</v>
      </c>
      <c r="G136" s="22" t="s">
        <v>195</v>
      </c>
      <c r="H136" s="22" t="n">
        <v>0.18</v>
      </c>
      <c r="I136" s="38" t="n">
        <v>4211.5</v>
      </c>
      <c r="J136" s="38" t="n">
        <v>4211.525</v>
      </c>
      <c r="K136" s="39" t="n">
        <f aca="false">IF(F136="BUY",J136-I136,I136-J136)</f>
        <v>0.0249999999996362</v>
      </c>
      <c r="L136" s="38" t="n">
        <v>4210</v>
      </c>
      <c r="M136" s="39" t="n">
        <f aca="false">ABS(I136-L136)</f>
        <v>1.5</v>
      </c>
      <c r="N136" s="24" t="n">
        <f aca="false">M136*H136*Summary!$C$6</f>
        <v>27</v>
      </c>
      <c r="O136" s="37" t="n">
        <v>45974.247337963</v>
      </c>
      <c r="P136" s="22" t="n">
        <f aca="false">ROUND((O136-C136)*86400,0)</f>
        <v>30</v>
      </c>
      <c r="Q136" s="22" t="str">
        <f aca="false">IF(P136&lt;10,"a) &lt;10s",IF(P136&lt;60,"b) 10-60s",IF(P136&lt;600,"c) 1-10min","d) &gt;10min")))</f>
        <v>b) 10-60s</v>
      </c>
      <c r="R136" s="38" t="n">
        <v>4211.58</v>
      </c>
      <c r="S136" s="38" t="n">
        <v>4211.385</v>
      </c>
      <c r="T136" s="22" t="s">
        <v>149</v>
      </c>
      <c r="U136" s="39" t="n">
        <f aca="false">IF(R136="","",IF(F136="BUY",R136-S136,S136-R136))</f>
        <v>0.194999999999709</v>
      </c>
      <c r="V136" s="39" t="n">
        <f aca="false">IF(F136="BUY",S136-J136,J136-S136)</f>
        <v>-0.139999999999418</v>
      </c>
      <c r="W136" s="6" t="n">
        <v>-2.52</v>
      </c>
      <c r="X136" s="26" t="n">
        <f aca="false">IFERROR(W136/N136,0)</f>
        <v>-0.0933333333333333</v>
      </c>
      <c r="Y136" s="22" t="str">
        <f aca="false">IF(W136&gt;0,"Win",IF(W136&lt;0,"Loss","Flat"))</f>
        <v>Loss</v>
      </c>
      <c r="Z136" s="24" t="n">
        <f aca="false">Summary!$C$5+SUM(W$2:W136)</f>
        <v>2734.83</v>
      </c>
      <c r="AA136" s="24" t="n">
        <f aca="false">MAX(AA135,Z136)</f>
        <v>5026.73</v>
      </c>
      <c r="AB136" s="24" t="n">
        <f aca="false">AA136-Z136</f>
        <v>2291.9</v>
      </c>
      <c r="AC136" s="23" t="n">
        <f aca="false">IFERROR(AB136/AA136,0)</f>
        <v>0.455942531228055</v>
      </c>
      <c r="AD136" s="22" t="s">
        <v>331</v>
      </c>
    </row>
    <row r="137" customFormat="false" ht="15" hidden="false" customHeight="false" outlineLevel="0" collapsed="false">
      <c r="A137" s="22" t="n">
        <v>136</v>
      </c>
      <c r="B137" s="22" t="s">
        <v>125</v>
      </c>
      <c r="C137" s="37" t="n">
        <v>45975.553587963</v>
      </c>
      <c r="D137" s="22" t="s">
        <v>166</v>
      </c>
      <c r="E137" s="22" t="n">
        <v>13</v>
      </c>
      <c r="F137" s="22" t="s">
        <v>143</v>
      </c>
      <c r="G137" s="22" t="s">
        <v>197</v>
      </c>
      <c r="H137" s="22" t="n">
        <v>0.18</v>
      </c>
      <c r="I137" s="38" t="n">
        <v>4144.97</v>
      </c>
      <c r="J137" s="38" t="n">
        <v>4144.748</v>
      </c>
      <c r="K137" s="39" t="n">
        <f aca="false">IF(F137="BUY",J137-I137,I137-J137)</f>
        <v>0.222000000000662</v>
      </c>
      <c r="L137" s="38" t="n">
        <v>4146.47</v>
      </c>
      <c r="M137" s="39" t="n">
        <f aca="false">ABS(I137-L137)</f>
        <v>1.5</v>
      </c>
      <c r="N137" s="24" t="n">
        <f aca="false">M137*H137*Summary!$C$6</f>
        <v>27</v>
      </c>
      <c r="O137" s="37" t="n">
        <v>45975.5536111111</v>
      </c>
      <c r="P137" s="22" t="n">
        <f aca="false">ROUND((O137-C137)*86400,0)</f>
        <v>2</v>
      </c>
      <c r="Q137" s="22" t="str">
        <f aca="false">IF(P137&lt;10,"a) &lt;10s",IF(P137&lt;60,"b) 10-60s",IF(P137&lt;600,"c) 1-10min","d) &gt;10min")))</f>
        <v>a) &lt;10s</v>
      </c>
      <c r="R137" s="38" t="n">
        <v>4142.72</v>
      </c>
      <c r="S137" s="38" t="n">
        <v>4142.745</v>
      </c>
      <c r="T137" s="22" t="s">
        <v>149</v>
      </c>
      <c r="U137" s="39" t="n">
        <f aca="false">IF(R137="","",IF(F137="BUY",R137-S137,S137-R137))</f>
        <v>0.0249999999996362</v>
      </c>
      <c r="V137" s="39" t="n">
        <f aca="false">IF(F137="BUY",S137-J137,J137-S137)</f>
        <v>2.0029999999997</v>
      </c>
      <c r="W137" s="6" t="n">
        <v>36.05</v>
      </c>
      <c r="X137" s="26" t="n">
        <f aca="false">IFERROR(W137/N137,0)</f>
        <v>1.33518518518519</v>
      </c>
      <c r="Y137" s="22" t="str">
        <f aca="false">IF(W137&gt;0,"Win",IF(W137&lt;0,"Loss","Flat"))</f>
        <v>Win</v>
      </c>
      <c r="Z137" s="24" t="n">
        <f aca="false">Summary!$C$5+SUM(W$2:W137)</f>
        <v>2770.88</v>
      </c>
      <c r="AA137" s="24" t="n">
        <f aca="false">MAX(AA136,Z137)</f>
        <v>5026.73</v>
      </c>
      <c r="AB137" s="24" t="n">
        <f aca="false">AA137-Z137</f>
        <v>2255.85</v>
      </c>
      <c r="AC137" s="23" t="n">
        <f aca="false">IFERROR(AB137/AA137,0)</f>
        <v>0.44877087092404</v>
      </c>
      <c r="AD137" s="22" t="s">
        <v>332</v>
      </c>
    </row>
    <row r="138" customFormat="false" ht="15" hidden="false" customHeight="false" outlineLevel="0" collapsed="false">
      <c r="A138" s="22" t="n">
        <v>137</v>
      </c>
      <c r="B138" s="22" t="s">
        <v>125</v>
      </c>
      <c r="C138" s="37" t="n">
        <v>45978.8995833333</v>
      </c>
      <c r="D138" s="22" t="s">
        <v>162</v>
      </c>
      <c r="E138" s="22" t="n">
        <v>21</v>
      </c>
      <c r="F138" s="22" t="s">
        <v>143</v>
      </c>
      <c r="G138" s="22" t="s">
        <v>197</v>
      </c>
      <c r="H138" s="22" t="n">
        <v>0.18</v>
      </c>
      <c r="I138" s="38" t="n">
        <v>4031.96</v>
      </c>
      <c r="J138" s="38" t="n">
        <v>4031.499</v>
      </c>
      <c r="K138" s="39" t="n">
        <f aca="false">IF(F138="BUY",J138-I138,I138-J138)</f>
        <v>0.46100000000024</v>
      </c>
      <c r="L138" s="38" t="n">
        <v>4033.46</v>
      </c>
      <c r="M138" s="39" t="n">
        <f aca="false">ABS(I138-L138)</f>
        <v>1.5</v>
      </c>
      <c r="N138" s="24" t="n">
        <f aca="false">M138*H138*Summary!$C$6</f>
        <v>27</v>
      </c>
      <c r="O138" s="37" t="n">
        <v>45978.8995833333</v>
      </c>
      <c r="P138" s="22" t="n">
        <f aca="false">ROUND((O138-C138)*86400,0)</f>
        <v>0</v>
      </c>
      <c r="Q138" s="22" t="str">
        <f aca="false">IF(P138&lt;10,"a) &lt;10s",IF(P138&lt;60,"b) 10-60s",IF(P138&lt;600,"c) 1-10min","d) &gt;10min")))</f>
        <v>a) &lt;10s</v>
      </c>
      <c r="R138" s="38" t="n">
        <v>4033.46</v>
      </c>
      <c r="S138" s="38" t="n">
        <v>4033.495</v>
      </c>
      <c r="T138" s="22" t="s">
        <v>148</v>
      </c>
      <c r="U138" s="39" t="n">
        <f aca="false">IF(R138="","",IF(F138="BUY",R138-S138,S138-R138))</f>
        <v>0.0349999999998545</v>
      </c>
      <c r="V138" s="39" t="n">
        <f aca="false">IF(F138="BUY",S138-J138,J138-S138)</f>
        <v>-1.99600000000009</v>
      </c>
      <c r="W138" s="6" t="n">
        <v>-35.93</v>
      </c>
      <c r="X138" s="26" t="n">
        <f aca="false">IFERROR(W138/N138,0)</f>
        <v>-1.33074074074074</v>
      </c>
      <c r="Y138" s="22" t="str">
        <f aca="false">IF(W138&gt;0,"Win",IF(W138&lt;0,"Loss","Flat"))</f>
        <v>Loss</v>
      </c>
      <c r="Z138" s="24" t="n">
        <f aca="false">Summary!$C$5+SUM(W$2:W138)</f>
        <v>2734.95</v>
      </c>
      <c r="AA138" s="24" t="n">
        <f aca="false">MAX(AA137,Z138)</f>
        <v>5026.73</v>
      </c>
      <c r="AB138" s="24" t="n">
        <f aca="false">AA138-Z138</f>
        <v>2291.78</v>
      </c>
      <c r="AC138" s="23" t="n">
        <f aca="false">IFERROR(AB138/AA138,0)</f>
        <v>0.455918658849789</v>
      </c>
      <c r="AD138" s="22" t="s">
        <v>333</v>
      </c>
    </row>
    <row r="139" customFormat="false" ht="15" hidden="false" customHeight="false" outlineLevel="0" collapsed="false">
      <c r="A139" s="22" t="n">
        <v>138</v>
      </c>
      <c r="B139" s="22" t="s">
        <v>125</v>
      </c>
      <c r="C139" s="37" t="n">
        <v>45979.2621296296</v>
      </c>
      <c r="D139" s="22" t="s">
        <v>163</v>
      </c>
      <c r="E139" s="22" t="n">
        <v>6</v>
      </c>
      <c r="F139" s="22" t="s">
        <v>143</v>
      </c>
      <c r="G139" s="22" t="s">
        <v>197</v>
      </c>
      <c r="H139" s="22" t="n">
        <v>0.18</v>
      </c>
      <c r="I139" s="38" t="n">
        <v>4006.74</v>
      </c>
      <c r="J139" s="38" t="n">
        <v>4006.555</v>
      </c>
      <c r="K139" s="39" t="n">
        <f aca="false">IF(F139="BUY",J139-I139,I139-J139)</f>
        <v>0.184999999999945</v>
      </c>
      <c r="L139" s="38" t="n">
        <v>4008.24</v>
      </c>
      <c r="M139" s="39" t="n">
        <f aca="false">ABS(I139-L139)</f>
        <v>1.5</v>
      </c>
      <c r="N139" s="24" t="n">
        <f aca="false">M139*H139*Summary!$C$6</f>
        <v>27</v>
      </c>
      <c r="O139" s="37" t="n">
        <v>45979.2623148148</v>
      </c>
      <c r="P139" s="22" t="n">
        <f aca="false">ROUND((O139-C139)*86400,0)</f>
        <v>16</v>
      </c>
      <c r="Q139" s="22" t="str">
        <f aca="false">IF(P139&lt;10,"a) &lt;10s",IF(P139&lt;60,"b) 10-60s",IF(P139&lt;600,"c) 1-10min","d) &gt;10min")))</f>
        <v>b) 10-60s</v>
      </c>
      <c r="R139" s="38" t="n">
        <v>4008.24</v>
      </c>
      <c r="S139" s="38" t="n">
        <v>4008.255</v>
      </c>
      <c r="T139" s="22" t="s">
        <v>148</v>
      </c>
      <c r="U139" s="39" t="n">
        <f aca="false">IF(R139="","",IF(F139="BUY",R139-S139,S139-R139))</f>
        <v>0.0150000000003274</v>
      </c>
      <c r="V139" s="39" t="n">
        <f aca="false">IF(F139="BUY",S139-J139,J139-S139)</f>
        <v>-1.70000000000027</v>
      </c>
      <c r="W139" s="6" t="n">
        <v>-30.6</v>
      </c>
      <c r="X139" s="26" t="n">
        <f aca="false">IFERROR(W139/N139,0)</f>
        <v>-1.13333333333333</v>
      </c>
      <c r="Y139" s="22" t="str">
        <f aca="false">IF(W139&gt;0,"Win",IF(W139&lt;0,"Loss","Flat"))</f>
        <v>Loss</v>
      </c>
      <c r="Z139" s="24" t="n">
        <f aca="false">Summary!$C$5+SUM(W$2:W139)</f>
        <v>2704.35</v>
      </c>
      <c r="AA139" s="24" t="n">
        <f aca="false">MAX(AA138,Z139)</f>
        <v>5026.73</v>
      </c>
      <c r="AB139" s="24" t="n">
        <f aca="false">AA139-Z139</f>
        <v>2322.38</v>
      </c>
      <c r="AC139" s="23" t="n">
        <f aca="false">IFERROR(AB139/AA139,0)</f>
        <v>0.462006115307566</v>
      </c>
      <c r="AD139" s="22" t="s">
        <v>334</v>
      </c>
    </row>
    <row r="140" customFormat="false" ht="15" hidden="false" customHeight="false" outlineLevel="0" collapsed="false">
      <c r="A140" s="22" t="n">
        <v>139</v>
      </c>
      <c r="B140" s="22" t="s">
        <v>125</v>
      </c>
      <c r="C140" s="37" t="n">
        <v>45980.3031481481</v>
      </c>
      <c r="D140" s="22" t="s">
        <v>164</v>
      </c>
      <c r="E140" s="22" t="n">
        <v>7</v>
      </c>
      <c r="F140" s="22" t="s">
        <v>142</v>
      </c>
      <c r="G140" s="22" t="s">
        <v>195</v>
      </c>
      <c r="H140" s="22" t="n">
        <v>0.18</v>
      </c>
      <c r="I140" s="38" t="n">
        <v>4082.28</v>
      </c>
      <c r="J140" s="38" t="n">
        <v>4082.375</v>
      </c>
      <c r="K140" s="39" t="n">
        <f aca="false">IF(F140="BUY",J140-I140,I140-J140)</f>
        <v>0.0949999999997999</v>
      </c>
      <c r="L140" s="38" t="n">
        <v>4080.78</v>
      </c>
      <c r="M140" s="39" t="n">
        <f aca="false">ABS(I140-L140)</f>
        <v>1.5</v>
      </c>
      <c r="N140" s="24" t="n">
        <f aca="false">M140*H140*Summary!$C$6</f>
        <v>27</v>
      </c>
      <c r="O140" s="37" t="n">
        <v>45980.3031828704</v>
      </c>
      <c r="P140" s="22" t="n">
        <f aca="false">ROUND((O140-C140)*86400,0)</f>
        <v>3</v>
      </c>
      <c r="Q140" s="22" t="str">
        <f aca="false">IF(P140&lt;10,"a) &lt;10s",IF(P140&lt;60,"b) 10-60s",IF(P140&lt;600,"c) 1-10min","d) &gt;10min")))</f>
        <v>a) &lt;10s</v>
      </c>
      <c r="R140" s="38" t="n">
        <v>4085.1</v>
      </c>
      <c r="S140" s="38" t="n">
        <v>4085.098</v>
      </c>
      <c r="T140" s="22" t="s">
        <v>149</v>
      </c>
      <c r="U140" s="39" t="n">
        <f aca="false">IF(R140="","",IF(F140="BUY",R140-S140,S140-R140))</f>
        <v>0.00199999999995271</v>
      </c>
      <c r="V140" s="39" t="n">
        <f aca="false">IF(F140="BUY",S140-J140,J140-S140)</f>
        <v>2.72299999999996</v>
      </c>
      <c r="W140" s="6" t="n">
        <v>49.01</v>
      </c>
      <c r="X140" s="26" t="n">
        <f aca="false">IFERROR(W140/N140,0)</f>
        <v>1.81518518518519</v>
      </c>
      <c r="Y140" s="22" t="str">
        <f aca="false">IF(W140&gt;0,"Win",IF(W140&lt;0,"Loss","Flat"))</f>
        <v>Win</v>
      </c>
      <c r="Z140" s="24" t="n">
        <f aca="false">Summary!$C$5+SUM(W$2:W140)</f>
        <v>2753.36</v>
      </c>
      <c r="AA140" s="24" t="n">
        <f aca="false">MAX(AA139,Z140)</f>
        <v>5026.73</v>
      </c>
      <c r="AB140" s="24" t="n">
        <f aca="false">AA140-Z140</f>
        <v>2273.37</v>
      </c>
      <c r="AC140" s="23" t="n">
        <f aca="false">IFERROR(AB140/AA140,0)</f>
        <v>0.452256238150846</v>
      </c>
      <c r="AD140" s="22" t="s">
        <v>335</v>
      </c>
    </row>
    <row r="141" customFormat="false" ht="15" hidden="false" customHeight="false" outlineLevel="0" collapsed="false">
      <c r="A141" s="22" t="n">
        <v>140</v>
      </c>
      <c r="B141" s="22" t="s">
        <v>125</v>
      </c>
      <c r="C141" s="37" t="n">
        <v>45981.1786458333</v>
      </c>
      <c r="D141" s="22" t="s">
        <v>165</v>
      </c>
      <c r="E141" s="22" t="n">
        <v>4</v>
      </c>
      <c r="F141" s="22" t="s">
        <v>143</v>
      </c>
      <c r="G141" s="22" t="s">
        <v>197</v>
      </c>
      <c r="H141" s="22" t="n">
        <v>0.18</v>
      </c>
      <c r="I141" s="38" t="n">
        <v>4055.25</v>
      </c>
      <c r="J141" s="38" t="n">
        <v>4055.245</v>
      </c>
      <c r="K141" s="39" t="n">
        <f aca="false">IF(F141="BUY",J141-I141,I141-J141)</f>
        <v>0.00500000000010914</v>
      </c>
      <c r="L141" s="38" t="n">
        <v>4056.75</v>
      </c>
      <c r="M141" s="39" t="n">
        <f aca="false">ABS(I141-L141)</f>
        <v>1.5</v>
      </c>
      <c r="N141" s="24" t="n">
        <f aca="false">M141*H141*Summary!$C$6</f>
        <v>27</v>
      </c>
      <c r="O141" s="37" t="n">
        <v>45981.1786574074</v>
      </c>
      <c r="P141" s="22" t="n">
        <f aca="false">ROUND((O141-C141)*86400,0)</f>
        <v>1</v>
      </c>
      <c r="Q141" s="22" t="str">
        <f aca="false">IF(P141&lt;10,"a) &lt;10s",IF(P141&lt;60,"b) 10-60s",IF(P141&lt;600,"c) 1-10min","d) &gt;10min")))</f>
        <v>a) &lt;10s</v>
      </c>
      <c r="R141" s="38" t="n">
        <v>4054.4</v>
      </c>
      <c r="S141" s="38" t="n">
        <v>4054.502</v>
      </c>
      <c r="T141" s="22" t="s">
        <v>149</v>
      </c>
      <c r="U141" s="39" t="n">
        <f aca="false">IF(R141="","",IF(F141="BUY",R141-S141,S141-R141))</f>
        <v>0.101999999999862</v>
      </c>
      <c r="V141" s="39" t="n">
        <f aca="false">IF(F141="BUY",S141-J141,J141-S141)</f>
        <v>0.742999999999938</v>
      </c>
      <c r="W141" s="6" t="n">
        <v>13.37</v>
      </c>
      <c r="X141" s="26" t="n">
        <f aca="false">IFERROR(W141/N141,0)</f>
        <v>0.495185185185185</v>
      </c>
      <c r="Y141" s="22" t="str">
        <f aca="false">IF(W141&gt;0,"Win",IF(W141&lt;0,"Loss","Flat"))</f>
        <v>Win</v>
      </c>
      <c r="Z141" s="24" t="n">
        <f aca="false">Summary!$C$5+SUM(W$2:W141)</f>
        <v>2766.73</v>
      </c>
      <c r="AA141" s="24" t="n">
        <f aca="false">MAX(AA140,Z141)</f>
        <v>5026.73</v>
      </c>
      <c r="AB141" s="24" t="n">
        <f aca="false">AA141-Z141</f>
        <v>2260</v>
      </c>
      <c r="AC141" s="23" t="n">
        <f aca="false">IFERROR(AB141/AA141,0)</f>
        <v>0.449596457339065</v>
      </c>
      <c r="AD141" s="22" t="s">
        <v>336</v>
      </c>
    </row>
    <row r="142" customFormat="false" ht="15" hidden="false" customHeight="false" outlineLevel="0" collapsed="false">
      <c r="A142" s="22" t="n">
        <v>141</v>
      </c>
      <c r="B142" s="22" t="s">
        <v>125</v>
      </c>
      <c r="C142" s="37" t="n">
        <v>45982.352962963</v>
      </c>
      <c r="D142" s="22" t="s">
        <v>166</v>
      </c>
      <c r="E142" s="22" t="n">
        <v>8</v>
      </c>
      <c r="F142" s="22" t="s">
        <v>143</v>
      </c>
      <c r="G142" s="22" t="s">
        <v>197</v>
      </c>
      <c r="H142" s="22" t="n">
        <v>0.18</v>
      </c>
      <c r="I142" s="38" t="n">
        <v>4038.61</v>
      </c>
      <c r="J142" s="38" t="n">
        <v>4036.105</v>
      </c>
      <c r="K142" s="39" t="n">
        <f aca="false">IF(F142="BUY",J142-I142,I142-J142)</f>
        <v>2.50500000000011</v>
      </c>
      <c r="L142" s="38" t="n">
        <v>4040.11</v>
      </c>
      <c r="M142" s="39" t="n">
        <f aca="false">ABS(I142-L142)</f>
        <v>1.5</v>
      </c>
      <c r="N142" s="24" t="n">
        <f aca="false">M142*H142*Summary!$C$6</f>
        <v>27</v>
      </c>
      <c r="O142" s="37" t="n">
        <v>45982.3530092593</v>
      </c>
      <c r="P142" s="22" t="n">
        <f aca="false">ROUND((O142-C142)*86400,0)</f>
        <v>4</v>
      </c>
      <c r="Q142" s="22" t="str">
        <f aca="false">IF(P142&lt;10,"a) &lt;10s",IF(P142&lt;60,"b) 10-60s",IF(P142&lt;600,"c) 1-10min","d) &gt;10min")))</f>
        <v>a) &lt;10s</v>
      </c>
      <c r="R142" s="38" t="n">
        <v>4036.11</v>
      </c>
      <c r="S142" s="38" t="n">
        <v>4036.195</v>
      </c>
      <c r="T142" s="22" t="s">
        <v>149</v>
      </c>
      <c r="U142" s="39" t="n">
        <f aca="false">IF(R142="","",IF(F142="BUY",R142-S142,S142-R142))</f>
        <v>0.0850000000000364</v>
      </c>
      <c r="V142" s="39" t="n">
        <f aca="false">IF(F142="BUY",S142-J142,J142-S142)</f>
        <v>-0.0900000000001455</v>
      </c>
      <c r="W142" s="6" t="n">
        <v>-1.62</v>
      </c>
      <c r="X142" s="26" t="n">
        <f aca="false">IFERROR(W142/N142,0)</f>
        <v>-0.06</v>
      </c>
      <c r="Y142" s="22" t="str">
        <f aca="false">IF(W142&gt;0,"Win",IF(W142&lt;0,"Loss","Flat"))</f>
        <v>Loss</v>
      </c>
      <c r="Z142" s="24" t="n">
        <f aca="false">Summary!$C$5+SUM(W$2:W142)</f>
        <v>2765.11</v>
      </c>
      <c r="AA142" s="24" t="n">
        <f aca="false">MAX(AA141,Z142)</f>
        <v>5026.73</v>
      </c>
      <c r="AB142" s="24" t="n">
        <f aca="false">AA142-Z142</f>
        <v>2261.62</v>
      </c>
      <c r="AC142" s="23" t="n">
        <f aca="false">IFERROR(AB142/AA142,0)</f>
        <v>0.449918734445653</v>
      </c>
      <c r="AD142" s="22" t="s">
        <v>337</v>
      </c>
    </row>
    <row r="143" customFormat="false" ht="15" hidden="false" customHeight="false" outlineLevel="0" collapsed="false">
      <c r="A143" s="22" t="n">
        <v>142</v>
      </c>
      <c r="B143" s="22" t="s">
        <v>125</v>
      </c>
      <c r="C143" s="37" t="n">
        <v>45985.8568865741</v>
      </c>
      <c r="D143" s="22" t="s">
        <v>162</v>
      </c>
      <c r="E143" s="22" t="n">
        <v>20</v>
      </c>
      <c r="F143" s="22" t="s">
        <v>142</v>
      </c>
      <c r="G143" s="22" t="s">
        <v>195</v>
      </c>
      <c r="H143" s="22" t="n">
        <v>0.18</v>
      </c>
      <c r="I143" s="38" t="n">
        <v>4100.84</v>
      </c>
      <c r="J143" s="38" t="n">
        <v>4100.845</v>
      </c>
      <c r="K143" s="39" t="n">
        <f aca="false">IF(F143="BUY",J143-I143,I143-J143)</f>
        <v>0.00500000000010914</v>
      </c>
      <c r="L143" s="38" t="n">
        <v>4099.34</v>
      </c>
      <c r="M143" s="39" t="n">
        <f aca="false">ABS(I143-L143)</f>
        <v>1.5</v>
      </c>
      <c r="N143" s="24" t="n">
        <f aca="false">M143*H143*Summary!$C$6</f>
        <v>27</v>
      </c>
      <c r="O143" s="37" t="n">
        <v>45985.8572916667</v>
      </c>
      <c r="P143" s="22" t="n">
        <f aca="false">ROUND((O143-C143)*86400,0)</f>
        <v>35</v>
      </c>
      <c r="Q143" s="22" t="str">
        <f aca="false">IF(P143&lt;10,"a) &lt;10s",IF(P143&lt;60,"b) 10-60s",IF(P143&lt;600,"c) 1-10min","d) &gt;10min")))</f>
        <v>b) 10-60s</v>
      </c>
      <c r="R143" s="38" t="n">
        <v>4099.34</v>
      </c>
      <c r="S143" s="38" t="n">
        <v>4099.148</v>
      </c>
      <c r="T143" s="22" t="s">
        <v>148</v>
      </c>
      <c r="U143" s="39" t="n">
        <f aca="false">IF(R143="","",IF(F143="BUY",R143-S143,S143-R143))</f>
        <v>0.192000000000007</v>
      </c>
      <c r="V143" s="39" t="n">
        <f aca="false">IF(F143="BUY",S143-J143,J143-S143)</f>
        <v>-1.69700000000012</v>
      </c>
      <c r="W143" s="6" t="n">
        <v>-30.55</v>
      </c>
      <c r="X143" s="26" t="n">
        <f aca="false">IFERROR(W143/N143,0)</f>
        <v>-1.13148148148148</v>
      </c>
      <c r="Y143" s="22" t="str">
        <f aca="false">IF(W143&gt;0,"Win",IF(W143&lt;0,"Loss","Flat"))</f>
        <v>Loss</v>
      </c>
      <c r="Z143" s="24" t="n">
        <f aca="false">Summary!$C$5+SUM(W$2:W143)</f>
        <v>2734.56</v>
      </c>
      <c r="AA143" s="24" t="n">
        <f aca="false">MAX(AA142,Z143)</f>
        <v>5026.73</v>
      </c>
      <c r="AB143" s="24" t="n">
        <f aca="false">AA143-Z143</f>
        <v>2292.17</v>
      </c>
      <c r="AC143" s="23" t="n">
        <f aca="false">IFERROR(AB143/AA143,0)</f>
        <v>0.455996244079153</v>
      </c>
      <c r="AD143" s="22" t="s">
        <v>338</v>
      </c>
    </row>
    <row r="144" customFormat="false" ht="15" hidden="false" customHeight="false" outlineLevel="0" collapsed="false">
      <c r="A144" s="22" t="n">
        <v>143</v>
      </c>
      <c r="B144" s="22" t="s">
        <v>125</v>
      </c>
      <c r="C144" s="37" t="n">
        <v>45986.0736805556</v>
      </c>
      <c r="D144" s="22" t="s">
        <v>163</v>
      </c>
      <c r="E144" s="22" t="n">
        <v>1</v>
      </c>
      <c r="F144" s="22" t="s">
        <v>142</v>
      </c>
      <c r="G144" s="22" t="s">
        <v>195</v>
      </c>
      <c r="H144" s="22" t="n">
        <v>0.18</v>
      </c>
      <c r="I144" s="38" t="n">
        <v>4139.64</v>
      </c>
      <c r="J144" s="38" t="n">
        <v>4139.725</v>
      </c>
      <c r="K144" s="39" t="n">
        <f aca="false">IF(F144="BUY",J144-I144,I144-J144)</f>
        <v>0.0850000000000364</v>
      </c>
      <c r="L144" s="38" t="n">
        <v>4138.14</v>
      </c>
      <c r="M144" s="39" t="n">
        <f aca="false">ABS(I144-L144)</f>
        <v>1.5</v>
      </c>
      <c r="N144" s="24" t="n">
        <f aca="false">M144*H144*Summary!$C$6</f>
        <v>27</v>
      </c>
      <c r="O144" s="37" t="n">
        <v>45986.073912037</v>
      </c>
      <c r="P144" s="22" t="n">
        <f aca="false">ROUND((O144-C144)*86400,0)</f>
        <v>20</v>
      </c>
      <c r="Q144" s="22" t="str">
        <f aca="false">IF(P144&lt;10,"a) &lt;10s",IF(P144&lt;60,"b) 10-60s",IF(P144&lt;600,"c) 1-10min","d) &gt;10min")))</f>
        <v>b) 10-60s</v>
      </c>
      <c r="R144" s="38" t="n">
        <v>4141.17</v>
      </c>
      <c r="S144" s="38" t="n">
        <v>4141.095</v>
      </c>
      <c r="T144" s="22" t="s">
        <v>149</v>
      </c>
      <c r="U144" s="39" t="n">
        <f aca="false">IF(R144="","",IF(F144="BUY",R144-S144,S144-R144))</f>
        <v>0.0749999999998181</v>
      </c>
      <c r="V144" s="39" t="n">
        <f aca="false">IF(F144="BUY",S144-J144,J144-S144)</f>
        <v>1.36999999999989</v>
      </c>
      <c r="W144" s="6" t="n">
        <v>24.66</v>
      </c>
      <c r="X144" s="26" t="n">
        <f aca="false">IFERROR(W144/N144,0)</f>
        <v>0.913333333333333</v>
      </c>
      <c r="Y144" s="22" t="str">
        <f aca="false">IF(W144&gt;0,"Win",IF(W144&lt;0,"Loss","Flat"))</f>
        <v>Win</v>
      </c>
      <c r="Z144" s="24" t="n">
        <f aca="false">Summary!$C$5+SUM(W$2:W144)</f>
        <v>2759.22</v>
      </c>
      <c r="AA144" s="24" t="n">
        <f aca="false">MAX(AA143,Z144)</f>
        <v>5026.73</v>
      </c>
      <c r="AB144" s="24" t="n">
        <f aca="false">AA144-Z144</f>
        <v>2267.51</v>
      </c>
      <c r="AC144" s="23" t="n">
        <f aca="false">IFERROR(AB144/AA144,0)</f>
        <v>0.451090470345533</v>
      </c>
      <c r="AD144" s="22" t="s">
        <v>339</v>
      </c>
    </row>
    <row r="145" customFormat="false" ht="15" hidden="false" customHeight="false" outlineLevel="0" collapsed="false">
      <c r="A145" s="22" t="n">
        <v>144</v>
      </c>
      <c r="B145" s="22" t="s">
        <v>125</v>
      </c>
      <c r="C145" s="37" t="n">
        <v>45987.1844675926</v>
      </c>
      <c r="D145" s="22" t="s">
        <v>164</v>
      </c>
      <c r="E145" s="22" t="n">
        <v>4</v>
      </c>
      <c r="F145" s="22" t="s">
        <v>142</v>
      </c>
      <c r="G145" s="22" t="s">
        <v>195</v>
      </c>
      <c r="H145" s="22" t="n">
        <v>0.18</v>
      </c>
      <c r="I145" s="38" t="n">
        <v>4159.05</v>
      </c>
      <c r="J145" s="38" t="n">
        <v>4159.312</v>
      </c>
      <c r="K145" s="39" t="n">
        <f aca="false">IF(F145="BUY",J145-I145,I145-J145)</f>
        <v>0.261999999999716</v>
      </c>
      <c r="L145" s="38" t="n">
        <v>4157.55</v>
      </c>
      <c r="M145" s="39" t="n">
        <f aca="false">ABS(I145-L145)</f>
        <v>1.5</v>
      </c>
      <c r="N145" s="24" t="n">
        <f aca="false">M145*H145*Summary!$C$6</f>
        <v>27</v>
      </c>
      <c r="O145" s="37" t="n">
        <v>45987.1845023148</v>
      </c>
      <c r="P145" s="22" t="n">
        <f aca="false">ROUND((O145-C145)*86400,0)</f>
        <v>3</v>
      </c>
      <c r="Q145" s="22" t="str">
        <f aca="false">IF(P145&lt;10,"a) &lt;10s",IF(P145&lt;60,"b) 10-60s",IF(P145&lt;600,"c) 1-10min","d) &gt;10min")))</f>
        <v>a) &lt;10s</v>
      </c>
      <c r="R145" s="38" t="n">
        <v>4161</v>
      </c>
      <c r="S145" s="38" t="n">
        <v>4160.995</v>
      </c>
      <c r="T145" s="22" t="s">
        <v>149</v>
      </c>
      <c r="U145" s="39" t="n">
        <f aca="false">IF(R145="","",IF(F145="BUY",R145-S145,S145-R145))</f>
        <v>0.00500000000010914</v>
      </c>
      <c r="V145" s="39" t="n">
        <f aca="false">IF(F145="BUY",S145-J145,J145-S145)</f>
        <v>1.68299999999999</v>
      </c>
      <c r="W145" s="6" t="n">
        <v>30.29</v>
      </c>
      <c r="X145" s="26" t="n">
        <f aca="false">IFERROR(W145/N145,0)</f>
        <v>1.12185185185185</v>
      </c>
      <c r="Y145" s="22" t="str">
        <f aca="false">IF(W145&gt;0,"Win",IF(W145&lt;0,"Loss","Flat"))</f>
        <v>Win</v>
      </c>
      <c r="Z145" s="24" t="n">
        <f aca="false">Summary!$C$5+SUM(W$2:W145)</f>
        <v>2789.51</v>
      </c>
      <c r="AA145" s="24" t="n">
        <f aca="false">MAX(AA144,Z145)</f>
        <v>5026.73</v>
      </c>
      <c r="AB145" s="24" t="n">
        <f aca="false">AA145-Z145</f>
        <v>2237.22</v>
      </c>
      <c r="AC145" s="23" t="n">
        <f aca="false">IFERROR(AB145/AA145,0)</f>
        <v>0.445064684198276</v>
      </c>
      <c r="AD145" s="22" t="s">
        <v>340</v>
      </c>
    </row>
    <row r="146" customFormat="false" ht="15" hidden="false" customHeight="false" outlineLevel="0" collapsed="false">
      <c r="A146" s="22" t="n">
        <v>145</v>
      </c>
      <c r="B146" s="22" t="s">
        <v>125</v>
      </c>
      <c r="C146" s="37" t="n">
        <v>45989.0884259259</v>
      </c>
      <c r="D146" s="22" t="s">
        <v>166</v>
      </c>
      <c r="E146" s="22" t="n">
        <v>2</v>
      </c>
      <c r="F146" s="22" t="s">
        <v>142</v>
      </c>
      <c r="G146" s="22" t="s">
        <v>195</v>
      </c>
      <c r="H146" s="22" t="n">
        <v>0.18</v>
      </c>
      <c r="I146" s="38" t="n">
        <v>4168.4</v>
      </c>
      <c r="J146" s="38" t="n">
        <v>4168.515</v>
      </c>
      <c r="K146" s="39" t="n">
        <f aca="false">IF(F146="BUY",J146-I146,I146-J146)</f>
        <v>0.115000000000691</v>
      </c>
      <c r="L146" s="38" t="n">
        <v>4166.9</v>
      </c>
      <c r="M146" s="39" t="n">
        <f aca="false">ABS(I146-L146)</f>
        <v>1.5</v>
      </c>
      <c r="N146" s="24" t="n">
        <f aca="false">M146*H146*Summary!$C$6</f>
        <v>27</v>
      </c>
      <c r="O146" s="37" t="n">
        <v>45989.091412037</v>
      </c>
      <c r="P146" s="22" t="n">
        <f aca="false">ROUND((O146-C146)*86400,0)</f>
        <v>258</v>
      </c>
      <c r="Q146" s="22" t="str">
        <f aca="false">IF(P146&lt;10,"a) &lt;10s",IF(P146&lt;60,"b) 10-60s",IF(P146&lt;600,"c) 1-10min","d) &gt;10min")))</f>
        <v>c) 1-10min</v>
      </c>
      <c r="R146" s="38" t="n">
        <v>4166.9</v>
      </c>
      <c r="S146" s="38" t="n">
        <v>4166.875</v>
      </c>
      <c r="T146" s="22" t="s">
        <v>148</v>
      </c>
      <c r="U146" s="39" t="n">
        <f aca="false">IF(R146="","",IF(F146="BUY",R146-S146,S146-R146))</f>
        <v>0.0249999999996362</v>
      </c>
      <c r="V146" s="39" t="n">
        <f aca="false">IF(F146="BUY",S146-J146,J146-S146)</f>
        <v>-1.64000000000033</v>
      </c>
      <c r="W146" s="6" t="n">
        <v>-29.52</v>
      </c>
      <c r="X146" s="26" t="n">
        <f aca="false">IFERROR(W146/N146,0)</f>
        <v>-1.09333333333333</v>
      </c>
      <c r="Y146" s="22" t="str">
        <f aca="false">IF(W146&gt;0,"Win",IF(W146&lt;0,"Loss","Flat"))</f>
        <v>Loss</v>
      </c>
      <c r="Z146" s="24" t="n">
        <f aca="false">Summary!$C$5+SUM(W$2:W146)</f>
        <v>2759.99</v>
      </c>
      <c r="AA146" s="24" t="n">
        <f aca="false">MAX(AA145,Z146)</f>
        <v>5026.73</v>
      </c>
      <c r="AB146" s="24" t="n">
        <f aca="false">AA146-Z146</f>
        <v>2266.74</v>
      </c>
      <c r="AC146" s="23" t="n">
        <f aca="false">IFERROR(AB146/AA146,0)</f>
        <v>0.450937289251661</v>
      </c>
      <c r="AD146" s="22" t="s">
        <v>341</v>
      </c>
    </row>
    <row r="147" customFormat="false" ht="15" hidden="false" customHeight="false" outlineLevel="0" collapsed="false">
      <c r="A147" s="22" t="n">
        <v>146</v>
      </c>
      <c r="B147" s="22" t="s">
        <v>126</v>
      </c>
      <c r="C147" s="37" t="n">
        <v>45992.1024768519</v>
      </c>
      <c r="D147" s="22" t="s">
        <v>162</v>
      </c>
      <c r="E147" s="22" t="n">
        <v>2</v>
      </c>
      <c r="F147" s="22" t="s">
        <v>142</v>
      </c>
      <c r="G147" s="22" t="s">
        <v>195</v>
      </c>
      <c r="H147" s="22" t="n">
        <v>0.18</v>
      </c>
      <c r="I147" s="38" t="n">
        <v>4226.73</v>
      </c>
      <c r="J147" s="38" t="n">
        <v>4226.805</v>
      </c>
      <c r="K147" s="39" t="n">
        <f aca="false">IF(F147="BUY",J147-I147,I147-J147)</f>
        <v>0.0750000000007276</v>
      </c>
      <c r="L147" s="38" t="n">
        <v>4225.23</v>
      </c>
      <c r="M147" s="39" t="n">
        <f aca="false">ABS(I147-L147)</f>
        <v>1.5</v>
      </c>
      <c r="N147" s="24" t="n">
        <f aca="false">M147*H147*Summary!$C$6</f>
        <v>27</v>
      </c>
      <c r="O147" s="37" t="n">
        <v>45992.1025462963</v>
      </c>
      <c r="P147" s="22" t="n">
        <f aca="false">ROUND((O147-C147)*86400,0)</f>
        <v>6</v>
      </c>
      <c r="Q147" s="22" t="str">
        <f aca="false">IF(P147&lt;10,"a) &lt;10s",IF(P147&lt;60,"b) 10-60s",IF(P147&lt;600,"c) 1-10min","d) &gt;10min")))</f>
        <v>a) &lt;10s</v>
      </c>
      <c r="R147" s="38" t="n">
        <v>4227.79</v>
      </c>
      <c r="S147" s="38" t="n">
        <v>4227.575</v>
      </c>
      <c r="T147" s="22" t="s">
        <v>149</v>
      </c>
      <c r="U147" s="39" t="n">
        <f aca="false">IF(R147="","",IF(F147="BUY",R147-S147,S147-R147))</f>
        <v>0.215000000000146</v>
      </c>
      <c r="V147" s="39" t="n">
        <f aca="false">IF(F147="BUY",S147-J147,J147-S147)</f>
        <v>0.769999999999527</v>
      </c>
      <c r="W147" s="6" t="n">
        <v>13.86</v>
      </c>
      <c r="X147" s="26" t="n">
        <f aca="false">IFERROR(W147/N147,0)</f>
        <v>0.513333333333333</v>
      </c>
      <c r="Y147" s="22" t="str">
        <f aca="false">IF(W147&gt;0,"Win",IF(W147&lt;0,"Loss","Flat"))</f>
        <v>Win</v>
      </c>
      <c r="Z147" s="24" t="n">
        <f aca="false">Summary!$C$5+SUM(W$2:W147)</f>
        <v>2773.85</v>
      </c>
      <c r="AA147" s="24" t="n">
        <f aca="false">MAX(AA146,Z147)</f>
        <v>5026.73</v>
      </c>
      <c r="AB147" s="24" t="n">
        <f aca="false">AA147-Z147</f>
        <v>2252.88</v>
      </c>
      <c r="AC147" s="23" t="n">
        <f aca="false">IFERROR(AB147/AA147,0)</f>
        <v>0.448180029561962</v>
      </c>
      <c r="AD147" s="22" t="s">
        <v>342</v>
      </c>
    </row>
    <row r="148" customFormat="false" ht="15" hidden="false" customHeight="false" outlineLevel="0" collapsed="false">
      <c r="A148" s="22" t="n">
        <v>147</v>
      </c>
      <c r="B148" s="22" t="s">
        <v>126</v>
      </c>
      <c r="C148" s="37" t="n">
        <v>45993.1318287037</v>
      </c>
      <c r="D148" s="22" t="s">
        <v>163</v>
      </c>
      <c r="E148" s="22" t="n">
        <v>3</v>
      </c>
      <c r="F148" s="22" t="s">
        <v>143</v>
      </c>
      <c r="G148" s="22" t="s">
        <v>197</v>
      </c>
      <c r="H148" s="22" t="n">
        <v>0.18</v>
      </c>
      <c r="I148" s="38" t="n">
        <v>4204.35</v>
      </c>
      <c r="J148" s="38" t="n">
        <v>4203.065</v>
      </c>
      <c r="K148" s="39" t="n">
        <f aca="false">IF(F148="BUY",J148-I148,I148-J148)</f>
        <v>1.28500000000076</v>
      </c>
      <c r="L148" s="38" t="n">
        <v>4205.85</v>
      </c>
      <c r="M148" s="39" t="n">
        <f aca="false">ABS(I148-L148)</f>
        <v>1.5</v>
      </c>
      <c r="N148" s="24" t="n">
        <f aca="false">M148*H148*Summary!$C$6</f>
        <v>27</v>
      </c>
      <c r="O148" s="37" t="n">
        <v>45993.1318287037</v>
      </c>
      <c r="P148" s="22" t="n">
        <f aca="false">ROUND((O148-C148)*86400,0)</f>
        <v>0</v>
      </c>
      <c r="Q148" s="22" t="str">
        <f aca="false">IF(P148&lt;10,"a) &lt;10s",IF(P148&lt;60,"b) 10-60s",IF(P148&lt;600,"c) 1-10min","d) &gt;10min")))</f>
        <v>a) &lt;10s</v>
      </c>
      <c r="R148" s="38" t="n">
        <v>4205.85</v>
      </c>
      <c r="S148" s="38" t="n">
        <v>4206.955</v>
      </c>
      <c r="T148" s="22" t="s">
        <v>148</v>
      </c>
      <c r="U148" s="39" t="n">
        <f aca="false">IF(R148="","",IF(F148="BUY",R148-S148,S148-R148))</f>
        <v>1.10499999999956</v>
      </c>
      <c r="V148" s="39" t="n">
        <f aca="false">IF(F148="BUY",S148-J148,J148-S148)</f>
        <v>-3.89000000000033</v>
      </c>
      <c r="W148" s="6" t="n">
        <v>-70.02</v>
      </c>
      <c r="X148" s="26" t="n">
        <f aca="false">IFERROR(W148/N148,0)</f>
        <v>-2.59333333333333</v>
      </c>
      <c r="Y148" s="22" t="str">
        <f aca="false">IF(W148&gt;0,"Win",IF(W148&lt;0,"Loss","Flat"))</f>
        <v>Loss</v>
      </c>
      <c r="Z148" s="24" t="n">
        <f aca="false">Summary!$C$5+SUM(W$2:W148)</f>
        <v>2703.83</v>
      </c>
      <c r="AA148" s="24" t="n">
        <f aca="false">MAX(AA147,Z148)</f>
        <v>5026.73</v>
      </c>
      <c r="AB148" s="24" t="n">
        <f aca="false">AA148-Z148</f>
        <v>2322.9</v>
      </c>
      <c r="AC148" s="23" t="n">
        <f aca="false">IFERROR(AB148/AA148,0)</f>
        <v>0.462109562280051</v>
      </c>
      <c r="AD148" s="22" t="s">
        <v>343</v>
      </c>
    </row>
    <row r="149" customFormat="false" ht="15" hidden="false" customHeight="false" outlineLevel="0" collapsed="false">
      <c r="A149" s="22" t="n">
        <v>148</v>
      </c>
      <c r="B149" s="22" t="s">
        <v>126</v>
      </c>
      <c r="C149" s="37" t="n">
        <v>45994.6631597222</v>
      </c>
      <c r="D149" s="22" t="s">
        <v>164</v>
      </c>
      <c r="E149" s="22" t="n">
        <v>15</v>
      </c>
      <c r="F149" s="22" t="s">
        <v>142</v>
      </c>
      <c r="G149" s="22" t="s">
        <v>195</v>
      </c>
      <c r="H149" s="22" t="n">
        <v>0.18</v>
      </c>
      <c r="I149" s="38" t="n">
        <v>4235.85</v>
      </c>
      <c r="J149" s="38" t="n">
        <v>4235.875</v>
      </c>
      <c r="K149" s="39" t="n">
        <f aca="false">IF(F149="BUY",J149-I149,I149-J149)</f>
        <v>0.0249999999996362</v>
      </c>
      <c r="L149" s="38" t="n">
        <v>4234.35</v>
      </c>
      <c r="M149" s="39" t="n">
        <f aca="false">ABS(I149-L149)</f>
        <v>1.5</v>
      </c>
      <c r="N149" s="24" t="n">
        <f aca="false">M149*H149*Summary!$C$6</f>
        <v>27</v>
      </c>
      <c r="O149" s="37" t="n">
        <v>45994.6632175926</v>
      </c>
      <c r="P149" s="22" t="n">
        <f aca="false">ROUND((O149-C149)*86400,0)</f>
        <v>5</v>
      </c>
      <c r="Q149" s="22" t="str">
        <f aca="false">IF(P149&lt;10,"a) &lt;10s",IF(P149&lt;60,"b) 10-60s",IF(P149&lt;600,"c) 1-10min","d) &gt;10min")))</f>
        <v>a) &lt;10s</v>
      </c>
      <c r="R149" s="38" t="n">
        <v>4237.72</v>
      </c>
      <c r="S149" s="38" t="n">
        <v>4237.475</v>
      </c>
      <c r="T149" s="22" t="s">
        <v>149</v>
      </c>
      <c r="U149" s="39" t="n">
        <f aca="false">IF(R149="","",IF(F149="BUY",R149-S149,S149-R149))</f>
        <v>0.244999999999891</v>
      </c>
      <c r="V149" s="39" t="n">
        <f aca="false">IF(F149="BUY",S149-J149,J149-S149)</f>
        <v>1.60000000000036</v>
      </c>
      <c r="W149" s="6" t="n">
        <v>28.8</v>
      </c>
      <c r="X149" s="26" t="n">
        <f aca="false">IFERROR(W149/N149,0)</f>
        <v>1.06666666666667</v>
      </c>
      <c r="Y149" s="22" t="str">
        <f aca="false">IF(W149&gt;0,"Win",IF(W149&lt;0,"Loss","Flat"))</f>
        <v>Win</v>
      </c>
      <c r="Z149" s="24" t="n">
        <f aca="false">Summary!$C$5+SUM(W$2:W149)</f>
        <v>2732.63</v>
      </c>
      <c r="AA149" s="24" t="n">
        <f aca="false">MAX(AA148,Z149)</f>
        <v>5026.73</v>
      </c>
      <c r="AB149" s="24" t="n">
        <f aca="false">AA149-Z149</f>
        <v>2294.1</v>
      </c>
      <c r="AC149" s="23" t="n">
        <f aca="false">IFERROR(AB149/AA149,0)</f>
        <v>0.456380191496261</v>
      </c>
      <c r="AD149" s="22" t="s">
        <v>344</v>
      </c>
    </row>
    <row r="150" customFormat="false" ht="15" hidden="false" customHeight="false" outlineLevel="0" collapsed="false">
      <c r="A150" s="22" t="n">
        <v>149</v>
      </c>
      <c r="B150" s="22" t="s">
        <v>126</v>
      </c>
      <c r="C150" s="37" t="n">
        <v>45995.2099305556</v>
      </c>
      <c r="D150" s="22" t="s">
        <v>165</v>
      </c>
      <c r="E150" s="22" t="n">
        <v>5</v>
      </c>
      <c r="F150" s="22" t="s">
        <v>143</v>
      </c>
      <c r="G150" s="22" t="s">
        <v>197</v>
      </c>
      <c r="H150" s="22" t="n">
        <v>0.18</v>
      </c>
      <c r="I150" s="38" t="n">
        <v>4194.4</v>
      </c>
      <c r="J150" s="38" t="n">
        <v>4194.215</v>
      </c>
      <c r="K150" s="39" t="n">
        <f aca="false">IF(F150="BUY",J150-I150,I150-J150)</f>
        <v>0.184999999999491</v>
      </c>
      <c r="L150" s="38" t="n">
        <v>4195.9</v>
      </c>
      <c r="M150" s="39" t="n">
        <f aca="false">ABS(I150-L150)</f>
        <v>1.5</v>
      </c>
      <c r="N150" s="24" t="n">
        <f aca="false">M150*H150*Summary!$C$6</f>
        <v>27</v>
      </c>
      <c r="O150" s="37" t="n">
        <v>45995.2099305556</v>
      </c>
      <c r="P150" s="22" t="n">
        <f aca="false">ROUND((O150-C150)*86400,0)</f>
        <v>0</v>
      </c>
      <c r="Q150" s="22" t="str">
        <f aca="false">IF(P150&lt;10,"a) &lt;10s",IF(P150&lt;60,"b) 10-60s",IF(P150&lt;600,"c) 1-10min","d) &gt;10min")))</f>
        <v>a) &lt;10s</v>
      </c>
      <c r="R150" s="38" t="n">
        <v>4195.9</v>
      </c>
      <c r="S150" s="38" t="n">
        <v>4196.152</v>
      </c>
      <c r="T150" s="22" t="s">
        <v>148</v>
      </c>
      <c r="U150" s="39" t="n">
        <f aca="false">IF(R150="","",IF(F150="BUY",R150-S150,S150-R150))</f>
        <v>0.252000000000407</v>
      </c>
      <c r="V150" s="39" t="n">
        <f aca="false">IF(F150="BUY",S150-J150,J150-S150)</f>
        <v>-1.9369999999999</v>
      </c>
      <c r="W150" s="6" t="n">
        <v>-34.87</v>
      </c>
      <c r="X150" s="26" t="n">
        <f aca="false">IFERROR(W150/N150,0)</f>
        <v>-1.29148148148148</v>
      </c>
      <c r="Y150" s="22" t="str">
        <f aca="false">IF(W150&gt;0,"Win",IF(W150&lt;0,"Loss","Flat"))</f>
        <v>Loss</v>
      </c>
      <c r="Z150" s="24" t="n">
        <f aca="false">Summary!$C$5+SUM(W$2:W150)</f>
        <v>2697.76</v>
      </c>
      <c r="AA150" s="24" t="n">
        <f aca="false">MAX(AA149,Z150)</f>
        <v>5026.73</v>
      </c>
      <c r="AB150" s="24" t="n">
        <f aca="false">AA150-Z150</f>
        <v>2328.97</v>
      </c>
      <c r="AC150" s="23" t="n">
        <f aca="false">IFERROR(AB150/AA150,0)</f>
        <v>0.463317106747329</v>
      </c>
      <c r="AD150" s="22" t="s">
        <v>345</v>
      </c>
    </row>
    <row r="151" customFormat="false" ht="15" hidden="false" customHeight="false" outlineLevel="0" collapsed="false">
      <c r="A151" s="22" t="n">
        <v>150</v>
      </c>
      <c r="B151" s="22" t="s">
        <v>126</v>
      </c>
      <c r="C151" s="37" t="n">
        <v>45996.3114236111</v>
      </c>
      <c r="D151" s="22" t="s">
        <v>166</v>
      </c>
      <c r="E151" s="22" t="n">
        <v>7</v>
      </c>
      <c r="F151" s="22" t="s">
        <v>142</v>
      </c>
      <c r="G151" s="22" t="s">
        <v>195</v>
      </c>
      <c r="H151" s="22" t="n">
        <v>0.17</v>
      </c>
      <c r="I151" s="38" t="n">
        <v>4219.26</v>
      </c>
      <c r="J151" s="38" t="n">
        <v>4219.395</v>
      </c>
      <c r="K151" s="39" t="n">
        <f aca="false">IF(F151="BUY",J151-I151,I151-J151)</f>
        <v>0.135000000000218</v>
      </c>
      <c r="L151" s="38" t="n">
        <v>4217.76</v>
      </c>
      <c r="M151" s="39" t="n">
        <f aca="false">ABS(I151-L151)</f>
        <v>1.5</v>
      </c>
      <c r="N151" s="24" t="n">
        <f aca="false">M151*H151*Summary!$C$6</f>
        <v>25.5</v>
      </c>
      <c r="O151" s="37" t="n">
        <v>45996.3116087963</v>
      </c>
      <c r="P151" s="22" t="n">
        <f aca="false">ROUND((O151-C151)*86400,0)</f>
        <v>16</v>
      </c>
      <c r="Q151" s="22" t="str">
        <f aca="false">IF(P151&lt;10,"a) &lt;10s",IF(P151&lt;60,"b) 10-60s",IF(P151&lt;600,"c) 1-10min","d) &gt;10min")))</f>
        <v>b) 10-60s</v>
      </c>
      <c r="R151" s="38" t="n">
        <v>4219.4</v>
      </c>
      <c r="S151" s="38" t="n">
        <v>4219.375</v>
      </c>
      <c r="T151" s="22" t="s">
        <v>149</v>
      </c>
      <c r="U151" s="39" t="n">
        <f aca="false">IF(R151="","",IF(F151="BUY",R151-S151,S151-R151))</f>
        <v>0.0249999999996362</v>
      </c>
      <c r="V151" s="39" t="n">
        <f aca="false">IF(F151="BUY",S151-J151,J151-S151)</f>
        <v>-0.0200000000004366</v>
      </c>
      <c r="W151" s="6" t="n">
        <v>-0.34</v>
      </c>
      <c r="X151" s="26" t="n">
        <f aca="false">IFERROR(W151/N151,0)</f>
        <v>-0.0133333333333333</v>
      </c>
      <c r="Y151" s="22" t="str">
        <f aca="false">IF(W151&gt;0,"Win",IF(W151&lt;0,"Loss","Flat"))</f>
        <v>Loss</v>
      </c>
      <c r="Z151" s="24" t="n">
        <f aca="false">Summary!$C$5+SUM(W$2:W151)</f>
        <v>2697.42</v>
      </c>
      <c r="AA151" s="24" t="n">
        <f aca="false">MAX(AA150,Z151)</f>
        <v>5026.73</v>
      </c>
      <c r="AB151" s="24" t="n">
        <f aca="false">AA151-Z151</f>
        <v>2329.31</v>
      </c>
      <c r="AC151" s="23" t="n">
        <f aca="false">IFERROR(AB151/AA151,0)</f>
        <v>0.463384745152415</v>
      </c>
      <c r="AD151" s="22" t="s">
        <v>346</v>
      </c>
    </row>
    <row r="152" customFormat="false" ht="15" hidden="false" customHeight="false" outlineLevel="0" collapsed="false">
      <c r="A152" s="22" t="n">
        <v>151</v>
      </c>
      <c r="B152" s="22" t="s">
        <v>126</v>
      </c>
      <c r="C152" s="37" t="n">
        <v>45999.708912037</v>
      </c>
      <c r="D152" s="22" t="s">
        <v>162</v>
      </c>
      <c r="E152" s="22" t="n">
        <v>17</v>
      </c>
      <c r="F152" s="22" t="s">
        <v>143</v>
      </c>
      <c r="G152" s="22" t="s">
        <v>197</v>
      </c>
      <c r="H152" s="22" t="n">
        <v>0.17</v>
      </c>
      <c r="I152" s="38" t="n">
        <v>4191.81</v>
      </c>
      <c r="J152" s="38" t="n">
        <v>4191.685</v>
      </c>
      <c r="K152" s="39" t="n">
        <f aca="false">IF(F152="BUY",J152-I152,I152-J152)</f>
        <v>0.125</v>
      </c>
      <c r="L152" s="38" t="n">
        <v>4193.31</v>
      </c>
      <c r="M152" s="39" t="n">
        <f aca="false">ABS(I152-L152)</f>
        <v>1.5</v>
      </c>
      <c r="N152" s="24" t="n">
        <f aca="false">M152*H152*Summary!$C$6</f>
        <v>25.5</v>
      </c>
      <c r="O152" s="37" t="n">
        <v>45999.7089236111</v>
      </c>
      <c r="P152" s="22" t="n">
        <f aca="false">ROUND((O152-C152)*86400,0)</f>
        <v>1</v>
      </c>
      <c r="Q152" s="22" t="str">
        <f aca="false">IF(P152&lt;10,"a) &lt;10s",IF(P152&lt;60,"b) 10-60s",IF(P152&lt;600,"c) 1-10min","d) &gt;10min")))</f>
        <v>a) &lt;10s</v>
      </c>
      <c r="R152" s="38" t="n">
        <v>4191.14</v>
      </c>
      <c r="S152" s="38" t="n">
        <v>4191.195</v>
      </c>
      <c r="T152" s="22" t="s">
        <v>149</v>
      </c>
      <c r="U152" s="39" t="n">
        <f aca="false">IF(R152="","",IF(F152="BUY",R152-S152,S152-R152))</f>
        <v>0.0549999999993815</v>
      </c>
      <c r="V152" s="39" t="n">
        <f aca="false">IF(F152="BUY",S152-J152,J152-S152)</f>
        <v>0.490000000000691</v>
      </c>
      <c r="W152" s="6" t="n">
        <v>8.33</v>
      </c>
      <c r="X152" s="26" t="n">
        <f aca="false">IFERROR(W152/N152,0)</f>
        <v>0.326666666666667</v>
      </c>
      <c r="Y152" s="22" t="str">
        <f aca="false">IF(W152&gt;0,"Win",IF(W152&lt;0,"Loss","Flat"))</f>
        <v>Win</v>
      </c>
      <c r="Z152" s="24" t="n">
        <f aca="false">Summary!$C$5+SUM(W$2:W152)</f>
        <v>2705.75</v>
      </c>
      <c r="AA152" s="24" t="n">
        <f aca="false">MAX(AA151,Z152)</f>
        <v>5026.73</v>
      </c>
      <c r="AB152" s="24" t="n">
        <f aca="false">AA152-Z152</f>
        <v>2320.98</v>
      </c>
      <c r="AC152" s="23" t="n">
        <f aca="false">IFERROR(AB152/AA152,0)</f>
        <v>0.461727604227798</v>
      </c>
      <c r="AD152" s="22" t="s">
        <v>347</v>
      </c>
    </row>
    <row r="153" customFormat="false" ht="15" hidden="false" customHeight="false" outlineLevel="0" collapsed="false">
      <c r="A153" s="22" t="n">
        <v>152</v>
      </c>
      <c r="B153" s="22" t="s">
        <v>126</v>
      </c>
      <c r="C153" s="37" t="n">
        <v>46000.3399652778</v>
      </c>
      <c r="D153" s="22" t="s">
        <v>163</v>
      </c>
      <c r="E153" s="22" t="n">
        <v>8</v>
      </c>
      <c r="F153" s="22" t="s">
        <v>143</v>
      </c>
      <c r="G153" s="22" t="s">
        <v>197</v>
      </c>
      <c r="H153" s="22" t="n">
        <v>0.18</v>
      </c>
      <c r="I153" s="38" t="n">
        <v>4176</v>
      </c>
      <c r="J153" s="38" t="n">
        <v>4175.365</v>
      </c>
      <c r="K153" s="39" t="n">
        <f aca="false">IF(F153="BUY",J153-I153,I153-J153)</f>
        <v>0.635000000000218</v>
      </c>
      <c r="L153" s="38" t="n">
        <v>4177.5</v>
      </c>
      <c r="M153" s="39" t="n">
        <f aca="false">ABS(I153-L153)</f>
        <v>1.5</v>
      </c>
      <c r="N153" s="24" t="n">
        <f aca="false">M153*H153*Summary!$C$6</f>
        <v>27</v>
      </c>
      <c r="O153" s="37" t="n">
        <v>46000.3399652778</v>
      </c>
      <c r="P153" s="22" t="n">
        <f aca="false">ROUND((O153-C153)*86400,0)</f>
        <v>0</v>
      </c>
      <c r="Q153" s="22" t="str">
        <f aca="false">IF(P153&lt;10,"a) &lt;10s",IF(P153&lt;60,"b) 10-60s",IF(P153&lt;600,"c) 1-10min","d) &gt;10min")))</f>
        <v>a) &lt;10s</v>
      </c>
      <c r="R153" s="38" t="n">
        <v>4175.26</v>
      </c>
      <c r="S153" s="38" t="n">
        <v>4175.335</v>
      </c>
      <c r="T153" s="22" t="s">
        <v>149</v>
      </c>
      <c r="U153" s="39" t="n">
        <f aca="false">IF(R153="","",IF(F153="BUY",R153-S153,S153-R153))</f>
        <v>0.0749999999998181</v>
      </c>
      <c r="V153" s="39" t="n">
        <f aca="false">IF(F153="BUY",S153-J153,J153-S153)</f>
        <v>0.0299999999997453</v>
      </c>
      <c r="W153" s="6" t="n">
        <v>0.54</v>
      </c>
      <c r="X153" s="26" t="n">
        <f aca="false">IFERROR(W153/N153,0)</f>
        <v>0.02</v>
      </c>
      <c r="Y153" s="22" t="str">
        <f aca="false">IF(W153&gt;0,"Win",IF(W153&lt;0,"Loss","Flat"))</f>
        <v>Win</v>
      </c>
      <c r="Z153" s="24" t="n">
        <f aca="false">Summary!$C$5+SUM(W$2:W153)</f>
        <v>2706.29</v>
      </c>
      <c r="AA153" s="24" t="n">
        <f aca="false">MAX(AA152,Z153)</f>
        <v>5026.73</v>
      </c>
      <c r="AB153" s="24" t="n">
        <f aca="false">AA153-Z153</f>
        <v>2320.44</v>
      </c>
      <c r="AC153" s="23" t="n">
        <f aca="false">IFERROR(AB153/AA153,0)</f>
        <v>0.461620178525602</v>
      </c>
      <c r="AD153" s="22" t="s">
        <v>348</v>
      </c>
    </row>
    <row r="154" customFormat="false" ht="15" hidden="false" customHeight="false" outlineLevel="0" collapsed="false">
      <c r="A154" s="22" t="n">
        <v>153</v>
      </c>
      <c r="B154" s="22" t="s">
        <v>126</v>
      </c>
      <c r="C154" s="37" t="n">
        <v>46000.7577083333</v>
      </c>
      <c r="D154" s="22" t="s">
        <v>163</v>
      </c>
      <c r="E154" s="22" t="n">
        <v>18</v>
      </c>
      <c r="F154" s="22" t="s">
        <v>142</v>
      </c>
      <c r="G154" s="22" t="s">
        <v>195</v>
      </c>
      <c r="H154" s="22" t="n">
        <v>0.18</v>
      </c>
      <c r="I154" s="38" t="n">
        <v>4218.76</v>
      </c>
      <c r="J154" s="38" t="n">
        <v>4219.395</v>
      </c>
      <c r="K154" s="39" t="n">
        <f aca="false">IF(F154="BUY",J154-I154,I154-J154)</f>
        <v>0.635000000000218</v>
      </c>
      <c r="L154" s="38" t="n">
        <v>4217.26</v>
      </c>
      <c r="M154" s="39" t="n">
        <f aca="false">ABS(I154-L154)</f>
        <v>1.5</v>
      </c>
      <c r="N154" s="24" t="n">
        <f aca="false">M154*H154*Summary!$C$6</f>
        <v>27</v>
      </c>
      <c r="O154" s="37" t="n">
        <v>46000.7577314815</v>
      </c>
      <c r="P154" s="22" t="n">
        <f aca="false">ROUND((O154-C154)*86400,0)</f>
        <v>2</v>
      </c>
      <c r="Q154" s="22" t="str">
        <f aca="false">IF(P154&lt;10,"a) &lt;10s",IF(P154&lt;60,"b) 10-60s",IF(P154&lt;600,"c) 1-10min","d) &gt;10min")))</f>
        <v>a) &lt;10s</v>
      </c>
      <c r="R154" s="38" t="n">
        <v>4219.4</v>
      </c>
      <c r="S154" s="38" t="n">
        <v>4219.225</v>
      </c>
      <c r="T154" s="22" t="s">
        <v>149</v>
      </c>
      <c r="U154" s="39" t="n">
        <f aca="false">IF(R154="","",IF(F154="BUY",R154-S154,S154-R154))</f>
        <v>0.174999999999272</v>
      </c>
      <c r="V154" s="39" t="n">
        <f aca="false">IF(F154="BUY",S154-J154,J154-S154)</f>
        <v>-0.170000000000073</v>
      </c>
      <c r="W154" s="6" t="n">
        <v>-3.06</v>
      </c>
      <c r="X154" s="26" t="n">
        <f aca="false">IFERROR(W154/N154,0)</f>
        <v>-0.113333333333333</v>
      </c>
      <c r="Y154" s="22" t="str">
        <f aca="false">IF(W154&gt;0,"Win",IF(W154&lt;0,"Loss","Flat"))</f>
        <v>Loss</v>
      </c>
      <c r="Z154" s="24" t="n">
        <f aca="false">Summary!$C$5+SUM(W$2:W154)</f>
        <v>2703.23</v>
      </c>
      <c r="AA154" s="24" t="n">
        <f aca="false">MAX(AA153,Z154)</f>
        <v>5026.73</v>
      </c>
      <c r="AB154" s="24" t="n">
        <f aca="false">AA154-Z154</f>
        <v>2323.5</v>
      </c>
      <c r="AC154" s="23" t="n">
        <f aca="false">IFERROR(AB154/AA154,0)</f>
        <v>0.46222892417138</v>
      </c>
      <c r="AD154" s="22" t="s">
        <v>349</v>
      </c>
    </row>
    <row r="155" customFormat="false" ht="15" hidden="false" customHeight="false" outlineLevel="0" collapsed="false">
      <c r="A155" s="22" t="n">
        <v>154</v>
      </c>
      <c r="B155" s="22" t="s">
        <v>126</v>
      </c>
      <c r="C155" s="37" t="n">
        <v>46001.9196064815</v>
      </c>
      <c r="D155" s="22" t="s">
        <v>164</v>
      </c>
      <c r="E155" s="22" t="n">
        <v>22</v>
      </c>
      <c r="F155" s="22" t="s">
        <v>142</v>
      </c>
      <c r="G155" s="22" t="s">
        <v>195</v>
      </c>
      <c r="H155" s="22" t="n">
        <v>0.18</v>
      </c>
      <c r="I155" s="38" t="n">
        <v>4221.35</v>
      </c>
      <c r="J155" s="38" t="n">
        <v>4221.905</v>
      </c>
      <c r="K155" s="39" t="n">
        <f aca="false">IF(F155="BUY",J155-I155,I155-J155)</f>
        <v>0.554999999999382</v>
      </c>
      <c r="L155" s="38" t="n">
        <v>4219.85</v>
      </c>
      <c r="M155" s="39" t="n">
        <f aca="false">ABS(I155-L155)</f>
        <v>1.5</v>
      </c>
      <c r="N155" s="24" t="n">
        <f aca="false">M155*H155*Summary!$C$6</f>
        <v>27</v>
      </c>
      <c r="O155" s="37" t="n">
        <v>46001.9196180556</v>
      </c>
      <c r="P155" s="22" t="n">
        <f aca="false">ROUND((O155-C155)*86400,0)</f>
        <v>1</v>
      </c>
      <c r="Q155" s="22" t="str">
        <f aca="false">IF(P155&lt;10,"a) &lt;10s",IF(P155&lt;60,"b) 10-60s",IF(P155&lt;600,"c) 1-10min","d) &gt;10min")))</f>
        <v>a) &lt;10s</v>
      </c>
      <c r="R155" s="38" t="n">
        <v>4223.71</v>
      </c>
      <c r="S155" s="38" t="n">
        <v>4223.575</v>
      </c>
      <c r="T155" s="22" t="s">
        <v>149</v>
      </c>
      <c r="U155" s="39" t="n">
        <f aca="false">IF(R155="","",IF(F155="BUY",R155-S155,S155-R155))</f>
        <v>0.135000000000218</v>
      </c>
      <c r="V155" s="39" t="n">
        <f aca="false">IF(F155="BUY",S155-J155,J155-S155)</f>
        <v>1.67000000000007</v>
      </c>
      <c r="W155" s="6" t="n">
        <v>30.06</v>
      </c>
      <c r="X155" s="26" t="n">
        <f aca="false">IFERROR(W155/N155,0)</f>
        <v>1.11333333333333</v>
      </c>
      <c r="Y155" s="22" t="str">
        <f aca="false">IF(W155&gt;0,"Win",IF(W155&lt;0,"Loss","Flat"))</f>
        <v>Win</v>
      </c>
      <c r="Z155" s="24" t="n">
        <f aca="false">Summary!$C$5+SUM(W$2:W155)</f>
        <v>2733.29</v>
      </c>
      <c r="AA155" s="24" t="n">
        <f aca="false">MAX(AA154,Z155)</f>
        <v>5026.73</v>
      </c>
      <c r="AB155" s="24" t="n">
        <f aca="false">AA155-Z155</f>
        <v>2293.44</v>
      </c>
      <c r="AC155" s="23" t="n">
        <f aca="false">IFERROR(AB155/AA155,0)</f>
        <v>0.456248893415799</v>
      </c>
      <c r="AD155" s="22" t="s">
        <v>350</v>
      </c>
    </row>
    <row r="156" customFormat="false" ht="15" hidden="false" customHeight="false" outlineLevel="0" collapsed="false">
      <c r="A156" s="22" t="n">
        <v>155</v>
      </c>
      <c r="B156" s="22" t="s">
        <v>126</v>
      </c>
      <c r="C156" s="37" t="n">
        <v>46002.0916550926</v>
      </c>
      <c r="D156" s="22" t="s">
        <v>165</v>
      </c>
      <c r="E156" s="22" t="n">
        <v>2</v>
      </c>
      <c r="F156" s="22" t="s">
        <v>142</v>
      </c>
      <c r="G156" s="22" t="s">
        <v>195</v>
      </c>
      <c r="H156" s="22" t="n">
        <v>0.18</v>
      </c>
      <c r="I156" s="38" t="n">
        <v>4238.44</v>
      </c>
      <c r="J156" s="38" t="n">
        <v>4239.525</v>
      </c>
      <c r="K156" s="39" t="n">
        <f aca="false">IF(F156="BUY",J156-I156,I156-J156)</f>
        <v>1.08500000000004</v>
      </c>
      <c r="L156" s="38" t="n">
        <v>4236.94</v>
      </c>
      <c r="M156" s="39" t="n">
        <f aca="false">ABS(I156-L156)</f>
        <v>1.5</v>
      </c>
      <c r="N156" s="24" t="n">
        <f aca="false">M156*H156*Summary!$C$6</f>
        <v>27</v>
      </c>
      <c r="O156" s="37" t="n">
        <v>46002.0916782407</v>
      </c>
      <c r="P156" s="22" t="n">
        <f aca="false">ROUND((O156-C156)*86400,0)</f>
        <v>2</v>
      </c>
      <c r="Q156" s="22" t="str">
        <f aca="false">IF(P156&lt;10,"a) &lt;10s",IF(P156&lt;60,"b) 10-60s",IF(P156&lt;600,"c) 1-10min","d) &gt;10min")))</f>
        <v>a) &lt;10s</v>
      </c>
      <c r="R156" s="38" t="n">
        <v>4239.85</v>
      </c>
      <c r="S156" s="38" t="n">
        <v>4238.875</v>
      </c>
      <c r="T156" s="22" t="s">
        <v>149</v>
      </c>
      <c r="U156" s="39" t="n">
        <f aca="false">IF(R156="","",IF(F156="BUY",R156-S156,S156-R156))</f>
        <v>0.975000000000364</v>
      </c>
      <c r="V156" s="39" t="n">
        <f aca="false">IF(F156="BUY",S156-J156,J156-S156)</f>
        <v>-0.649999999999636</v>
      </c>
      <c r="W156" s="6" t="n">
        <v>-11.7</v>
      </c>
      <c r="X156" s="26" t="n">
        <f aca="false">IFERROR(W156/N156,0)</f>
        <v>-0.433333333333333</v>
      </c>
      <c r="Y156" s="22" t="str">
        <f aca="false">IF(W156&gt;0,"Win",IF(W156&lt;0,"Loss","Flat"))</f>
        <v>Loss</v>
      </c>
      <c r="Z156" s="24" t="n">
        <f aca="false">Summary!$C$5+SUM(W$2:W156)</f>
        <v>2721.59</v>
      </c>
      <c r="AA156" s="24" t="n">
        <f aca="false">MAX(AA155,Z156)</f>
        <v>5026.73</v>
      </c>
      <c r="AB156" s="24" t="n">
        <f aca="false">AA156-Z156</f>
        <v>2305.14</v>
      </c>
      <c r="AC156" s="23" t="n">
        <f aca="false">IFERROR(AB156/AA156,0)</f>
        <v>0.458576450296714</v>
      </c>
      <c r="AD156" s="22" t="s">
        <v>351</v>
      </c>
    </row>
    <row r="157" customFormat="false" ht="15" hidden="false" customHeight="false" outlineLevel="0" collapsed="false">
      <c r="A157" s="22" t="n">
        <v>156</v>
      </c>
      <c r="B157" s="22" t="s">
        <v>126</v>
      </c>
      <c r="C157" s="37" t="n">
        <v>46003.3799768519</v>
      </c>
      <c r="D157" s="22" t="s">
        <v>166</v>
      </c>
      <c r="E157" s="22" t="n">
        <v>9</v>
      </c>
      <c r="F157" s="22" t="s">
        <v>142</v>
      </c>
      <c r="G157" s="22" t="s">
        <v>195</v>
      </c>
      <c r="H157" s="22" t="n">
        <v>0.18</v>
      </c>
      <c r="I157" s="38" t="n">
        <v>4285.71</v>
      </c>
      <c r="J157" s="38" t="n">
        <v>4287.342</v>
      </c>
      <c r="K157" s="39" t="n">
        <f aca="false">IF(F157="BUY",J157-I157,I157-J157)</f>
        <v>1.63199999999961</v>
      </c>
      <c r="L157" s="38" t="n">
        <v>4284.21</v>
      </c>
      <c r="M157" s="39" t="n">
        <f aca="false">ABS(I157-L157)</f>
        <v>1.5</v>
      </c>
      <c r="N157" s="24" t="n">
        <f aca="false">M157*H157*Summary!$C$6</f>
        <v>27</v>
      </c>
      <c r="O157" s="37" t="n">
        <v>46003.3807523148</v>
      </c>
      <c r="P157" s="22" t="n">
        <f aca="false">ROUND((O157-C157)*86400,0)</f>
        <v>67</v>
      </c>
      <c r="Q157" s="22" t="str">
        <f aca="false">IF(P157&lt;10,"a) &lt;10s",IF(P157&lt;60,"b) 10-60s",IF(P157&lt;600,"c) 1-10min","d) &gt;10min")))</f>
        <v>c) 1-10min</v>
      </c>
      <c r="R157" s="38" t="n">
        <v>4287.25</v>
      </c>
      <c r="S157" s="38" t="n">
        <v>4287.135</v>
      </c>
      <c r="T157" s="22" t="s">
        <v>149</v>
      </c>
      <c r="U157" s="39" t="n">
        <f aca="false">IF(R157="","",IF(F157="BUY",R157-S157,S157-R157))</f>
        <v>0.114999999999782</v>
      </c>
      <c r="V157" s="39" t="n">
        <f aca="false">IF(F157="BUY",S157-J157,J157-S157)</f>
        <v>-0.206999999999425</v>
      </c>
      <c r="W157" s="6" t="n">
        <v>-3.73</v>
      </c>
      <c r="X157" s="26" t="n">
        <f aca="false">IFERROR(W157/N157,0)</f>
        <v>-0.138148148148148</v>
      </c>
      <c r="Y157" s="22" t="str">
        <f aca="false">IF(W157&gt;0,"Win",IF(W157&lt;0,"Loss","Flat"))</f>
        <v>Loss</v>
      </c>
      <c r="Z157" s="24" t="n">
        <f aca="false">Summary!$C$5+SUM(W$2:W157)</f>
        <v>2717.86</v>
      </c>
      <c r="AA157" s="24" t="n">
        <f aca="false">MAX(AA156,Z157)</f>
        <v>5026.73</v>
      </c>
      <c r="AB157" s="24" t="n">
        <f aca="false">AA157-Z157</f>
        <v>2308.87</v>
      </c>
      <c r="AC157" s="23" t="n">
        <f aca="false">IFERROR(AB157/AA157,0)</f>
        <v>0.459318483387809</v>
      </c>
      <c r="AD157" s="22" t="s">
        <v>352</v>
      </c>
    </row>
    <row r="158" customFormat="false" ht="15" hidden="false" customHeight="false" outlineLevel="0" collapsed="false">
      <c r="A158" s="22" t="n">
        <v>157</v>
      </c>
      <c r="B158" s="22" t="s">
        <v>126</v>
      </c>
      <c r="C158" s="37" t="n">
        <v>46007.2161805556</v>
      </c>
      <c r="D158" s="22" t="s">
        <v>163</v>
      </c>
      <c r="E158" s="22" t="n">
        <v>5</v>
      </c>
      <c r="F158" s="22" t="s">
        <v>143</v>
      </c>
      <c r="G158" s="22" t="s">
        <v>197</v>
      </c>
      <c r="H158" s="22" t="n">
        <v>0.18</v>
      </c>
      <c r="I158" s="38" t="n">
        <v>4285.06</v>
      </c>
      <c r="J158" s="38" t="n">
        <v>4284.685</v>
      </c>
      <c r="K158" s="39" t="n">
        <f aca="false">IF(F158="BUY",J158-I158,I158-J158)</f>
        <v>0.375</v>
      </c>
      <c r="L158" s="38" t="n">
        <v>4286.56</v>
      </c>
      <c r="M158" s="39" t="n">
        <f aca="false">ABS(I158-L158)</f>
        <v>1.5</v>
      </c>
      <c r="N158" s="24" t="n">
        <f aca="false">M158*H158*Summary!$C$6</f>
        <v>27</v>
      </c>
      <c r="O158" s="37" t="n">
        <v>46007.2162847222</v>
      </c>
      <c r="P158" s="22" t="n">
        <f aca="false">ROUND((O158-C158)*86400,0)</f>
        <v>9</v>
      </c>
      <c r="Q158" s="22" t="str">
        <f aca="false">IF(P158&lt;10,"a) &lt;10s",IF(P158&lt;60,"b) 10-60s",IF(P158&lt;600,"c) 1-10min","d) &gt;10min")))</f>
        <v>a) &lt;10s</v>
      </c>
      <c r="R158" s="38" t="n">
        <v>4284.41</v>
      </c>
      <c r="S158" s="38" t="n">
        <v>4284.435</v>
      </c>
      <c r="T158" s="22" t="s">
        <v>149</v>
      </c>
      <c r="U158" s="39" t="n">
        <f aca="false">IF(R158="","",IF(F158="BUY",R158-S158,S158-R158))</f>
        <v>0.0250000000005457</v>
      </c>
      <c r="V158" s="39" t="n">
        <f aca="false">IF(F158="BUY",S158-J158,J158-S158)</f>
        <v>0.25</v>
      </c>
      <c r="W158" s="6" t="n">
        <v>4.5</v>
      </c>
      <c r="X158" s="26" t="n">
        <f aca="false">IFERROR(W158/N158,0)</f>
        <v>0.166666666666667</v>
      </c>
      <c r="Y158" s="22" t="str">
        <f aca="false">IF(W158&gt;0,"Win",IF(W158&lt;0,"Loss","Flat"))</f>
        <v>Win</v>
      </c>
      <c r="Z158" s="24" t="n">
        <f aca="false">Summary!$C$5+SUM(W$2:W158)</f>
        <v>2722.36</v>
      </c>
      <c r="AA158" s="24" t="n">
        <f aca="false">MAX(AA157,Z158)</f>
        <v>5026.73</v>
      </c>
      <c r="AB158" s="24" t="n">
        <f aca="false">AA158-Z158</f>
        <v>2304.37</v>
      </c>
      <c r="AC158" s="23" t="n">
        <f aca="false">IFERROR(AB158/AA158,0)</f>
        <v>0.458423269202842</v>
      </c>
      <c r="AD158" s="22" t="s">
        <v>353</v>
      </c>
    </row>
    <row r="159" customFormat="false" ht="15" hidden="false" customHeight="false" outlineLevel="0" collapsed="false">
      <c r="A159" s="22" t="n">
        <v>158</v>
      </c>
      <c r="B159" s="22" t="s">
        <v>126</v>
      </c>
      <c r="C159" s="37" t="n">
        <v>46008.307025463</v>
      </c>
      <c r="D159" s="22" t="s">
        <v>164</v>
      </c>
      <c r="E159" s="22" t="n">
        <v>7</v>
      </c>
      <c r="F159" s="22" t="s">
        <v>142</v>
      </c>
      <c r="G159" s="22" t="s">
        <v>195</v>
      </c>
      <c r="H159" s="22" t="n">
        <v>0.18</v>
      </c>
      <c r="I159" s="38" t="n">
        <v>4334.94</v>
      </c>
      <c r="J159" s="38" t="n">
        <v>4335.115</v>
      </c>
      <c r="K159" s="39" t="n">
        <f aca="false">IF(F159="BUY",J159-I159,I159-J159)</f>
        <v>0.175000000000182</v>
      </c>
      <c r="L159" s="38" t="n">
        <v>4333.44</v>
      </c>
      <c r="M159" s="39" t="n">
        <f aca="false">ABS(I159-L159)</f>
        <v>1.5</v>
      </c>
      <c r="N159" s="24" t="n">
        <f aca="false">M159*H159*Summary!$C$6</f>
        <v>27</v>
      </c>
      <c r="O159" s="37" t="n">
        <v>46008.3077430556</v>
      </c>
      <c r="P159" s="22" t="n">
        <f aca="false">ROUND((O159-C159)*86400,0)</f>
        <v>62</v>
      </c>
      <c r="Q159" s="22" t="str">
        <f aca="false">IF(P159&lt;10,"a) &lt;10s",IF(P159&lt;60,"b) 10-60s",IF(P159&lt;600,"c) 1-10min","d) &gt;10min")))</f>
        <v>c) 1-10min</v>
      </c>
      <c r="R159" s="38" t="n">
        <v>4336.23</v>
      </c>
      <c r="S159" s="38" t="n">
        <v>4336.055</v>
      </c>
      <c r="T159" s="22" t="s">
        <v>149</v>
      </c>
      <c r="U159" s="39" t="n">
        <f aca="false">IF(R159="","",IF(F159="BUY",R159-S159,S159-R159))</f>
        <v>0.174999999999272</v>
      </c>
      <c r="V159" s="39" t="n">
        <f aca="false">IF(F159="BUY",S159-J159,J159-S159)</f>
        <v>0.940000000000509</v>
      </c>
      <c r="W159" s="6" t="n">
        <v>16.92</v>
      </c>
      <c r="X159" s="26" t="n">
        <f aca="false">IFERROR(W159/N159,0)</f>
        <v>0.626666666666667</v>
      </c>
      <c r="Y159" s="22" t="str">
        <f aca="false">IF(W159&gt;0,"Win",IF(W159&lt;0,"Loss","Flat"))</f>
        <v>Win</v>
      </c>
      <c r="Z159" s="24" t="n">
        <f aca="false">Summary!$C$5+SUM(W$2:W159)</f>
        <v>2739.28</v>
      </c>
      <c r="AA159" s="24" t="n">
        <f aca="false">MAX(AA158,Z159)</f>
        <v>5026.73</v>
      </c>
      <c r="AB159" s="24" t="n">
        <f aca="false">AA159-Z159</f>
        <v>2287.45</v>
      </c>
      <c r="AC159" s="23" t="n">
        <f aca="false">IFERROR(AB159/AA159,0)</f>
        <v>0.455057263867365</v>
      </c>
      <c r="AD159" s="22" t="s">
        <v>354</v>
      </c>
    </row>
    <row r="160" customFormat="false" ht="15" hidden="false" customHeight="false" outlineLevel="0" collapsed="false">
      <c r="A160" s="22" t="n">
        <v>159</v>
      </c>
      <c r="B160" s="22" t="s">
        <v>126</v>
      </c>
      <c r="C160" s="37" t="n">
        <v>46009.7571412037</v>
      </c>
      <c r="D160" s="22" t="s">
        <v>165</v>
      </c>
      <c r="E160" s="22" t="n">
        <v>18</v>
      </c>
      <c r="F160" s="22" t="s">
        <v>142</v>
      </c>
      <c r="G160" s="22" t="s">
        <v>195</v>
      </c>
      <c r="H160" s="22" t="n">
        <v>0.18</v>
      </c>
      <c r="I160" s="38" t="n">
        <v>4348.68</v>
      </c>
      <c r="J160" s="38" t="n">
        <v>4348.875</v>
      </c>
      <c r="K160" s="39" t="n">
        <f aca="false">IF(F160="BUY",J160-I160,I160-J160)</f>
        <v>0.194999999999709</v>
      </c>
      <c r="L160" s="38" t="n">
        <v>4347.18</v>
      </c>
      <c r="M160" s="39" t="n">
        <f aca="false">ABS(I160-L160)</f>
        <v>1.5</v>
      </c>
      <c r="N160" s="24" t="n">
        <f aca="false">M160*H160*Summary!$C$6</f>
        <v>27</v>
      </c>
      <c r="O160" s="37" t="n">
        <v>46009.7572106482</v>
      </c>
      <c r="P160" s="22" t="n">
        <f aca="false">ROUND((O160-C160)*86400,0)</f>
        <v>6</v>
      </c>
      <c r="Q160" s="22" t="str">
        <f aca="false">IF(P160&lt;10,"a) &lt;10s",IF(P160&lt;60,"b) 10-60s",IF(P160&lt;600,"c) 1-10min","d) &gt;10min")))</f>
        <v>a) &lt;10s</v>
      </c>
      <c r="R160" s="38" t="n">
        <v>4350.17</v>
      </c>
      <c r="S160" s="38" t="n">
        <v>4350.005</v>
      </c>
      <c r="T160" s="22" t="s">
        <v>149</v>
      </c>
      <c r="U160" s="39" t="n">
        <f aca="false">IF(R160="","",IF(F160="BUY",R160-S160,S160-R160))</f>
        <v>0.164999999999964</v>
      </c>
      <c r="V160" s="39" t="n">
        <f aca="false">IF(F160="BUY",S160-J160,J160-S160)</f>
        <v>1.13000000000011</v>
      </c>
      <c r="W160" s="6" t="n">
        <v>20.34</v>
      </c>
      <c r="X160" s="26" t="n">
        <f aca="false">IFERROR(W160/N160,0)</f>
        <v>0.753333333333333</v>
      </c>
      <c r="Y160" s="22" t="str">
        <f aca="false">IF(W160&gt;0,"Win",IF(W160&lt;0,"Loss","Flat"))</f>
        <v>Win</v>
      </c>
      <c r="Z160" s="24" t="n">
        <f aca="false">Summary!$C$5+SUM(W$2:W160)</f>
        <v>2759.62</v>
      </c>
      <c r="AA160" s="24" t="n">
        <f aca="false">MAX(AA159,Z160)</f>
        <v>5026.73</v>
      </c>
      <c r="AB160" s="24" t="n">
        <f aca="false">AA160-Z160</f>
        <v>2267.11</v>
      </c>
      <c r="AC160" s="23" t="n">
        <f aca="false">IFERROR(AB160/AA160,0)</f>
        <v>0.451010895751314</v>
      </c>
      <c r="AD160" s="22" t="s">
        <v>355</v>
      </c>
    </row>
    <row r="161" customFormat="false" ht="15" hidden="false" customHeight="false" outlineLevel="0" collapsed="false">
      <c r="A161" s="22" t="n">
        <v>160</v>
      </c>
      <c r="B161" s="22" t="s">
        <v>126</v>
      </c>
      <c r="C161" s="37" t="n">
        <v>46013.0760069444</v>
      </c>
      <c r="D161" s="22" t="s">
        <v>162</v>
      </c>
      <c r="E161" s="22" t="n">
        <v>1</v>
      </c>
      <c r="F161" s="22" t="s">
        <v>142</v>
      </c>
      <c r="G161" s="22" t="s">
        <v>195</v>
      </c>
      <c r="H161" s="22" t="n">
        <v>0.18</v>
      </c>
      <c r="I161" s="38" t="n">
        <v>4356.36</v>
      </c>
      <c r="J161" s="38" t="n">
        <v>4356.385</v>
      </c>
      <c r="K161" s="39" t="n">
        <f aca="false">IF(F161="BUY",J161-I161,I161-J161)</f>
        <v>0.0250000000005457</v>
      </c>
      <c r="L161" s="38" t="n">
        <v>4354.86</v>
      </c>
      <c r="M161" s="39" t="n">
        <f aca="false">ABS(I161-L161)</f>
        <v>1.5</v>
      </c>
      <c r="N161" s="24" t="n">
        <f aca="false">M161*H161*Summary!$C$6</f>
        <v>27</v>
      </c>
      <c r="O161" s="37" t="n">
        <v>46013.0760185185</v>
      </c>
      <c r="P161" s="22" t="n">
        <f aca="false">ROUND((O161-C161)*86400,0)</f>
        <v>1</v>
      </c>
      <c r="Q161" s="22" t="str">
        <f aca="false">IF(P161&lt;10,"a) &lt;10s",IF(P161&lt;60,"b) 10-60s",IF(P161&lt;600,"c) 1-10min","d) &gt;10min")))</f>
        <v>a) &lt;10s</v>
      </c>
      <c r="R161" s="38" t="n">
        <v>4354.86</v>
      </c>
      <c r="S161" s="38" t="n">
        <v>4354.595</v>
      </c>
      <c r="T161" s="22" t="s">
        <v>148</v>
      </c>
      <c r="U161" s="39" t="n">
        <f aca="false">IF(R161="","",IF(F161="BUY",R161-S161,S161-R161))</f>
        <v>0.264999999999418</v>
      </c>
      <c r="V161" s="39" t="n">
        <f aca="false">IF(F161="BUY",S161-J161,J161-S161)</f>
        <v>-1.78999999999996</v>
      </c>
      <c r="W161" s="6" t="n">
        <v>-32.22</v>
      </c>
      <c r="X161" s="26" t="n">
        <f aca="false">IFERROR(W161/N161,0)</f>
        <v>-1.19333333333333</v>
      </c>
      <c r="Y161" s="22" t="str">
        <f aca="false">IF(W161&gt;0,"Win",IF(W161&lt;0,"Loss","Flat"))</f>
        <v>Loss</v>
      </c>
      <c r="Z161" s="24" t="n">
        <f aca="false">Summary!$C$5+SUM(W$2:W161)</f>
        <v>2727.4</v>
      </c>
      <c r="AA161" s="24" t="n">
        <f aca="false">MAX(AA160,Z161)</f>
        <v>5026.73</v>
      </c>
      <c r="AB161" s="24" t="n">
        <f aca="false">AA161-Z161</f>
        <v>2299.33</v>
      </c>
      <c r="AC161" s="23" t="n">
        <f aca="false">IFERROR(AB161/AA161,0)</f>
        <v>0.457420629315678</v>
      </c>
      <c r="AD161" s="22" t="s">
        <v>356</v>
      </c>
    </row>
    <row r="162" customFormat="false" ht="15" hidden="false" customHeight="false" outlineLevel="0" collapsed="false">
      <c r="A162" s="22" t="n">
        <v>161</v>
      </c>
      <c r="B162" s="22" t="s">
        <v>126</v>
      </c>
      <c r="C162" s="37" t="n">
        <v>46015.0666435185</v>
      </c>
      <c r="D162" s="22" t="s">
        <v>164</v>
      </c>
      <c r="E162" s="22" t="n">
        <v>1</v>
      </c>
      <c r="F162" s="22" t="s">
        <v>142</v>
      </c>
      <c r="G162" s="22" t="s">
        <v>195</v>
      </c>
      <c r="H162" s="22" t="n">
        <v>0.18</v>
      </c>
      <c r="I162" s="38" t="n">
        <v>4499.67</v>
      </c>
      <c r="J162" s="38" t="n">
        <v>4499.705</v>
      </c>
      <c r="K162" s="39" t="n">
        <f aca="false">IF(F162="BUY",J162-I162,I162-J162)</f>
        <v>0.0349999999998545</v>
      </c>
      <c r="L162" s="38" t="n">
        <v>4498.17</v>
      </c>
      <c r="M162" s="39" t="n">
        <f aca="false">ABS(I162-L162)</f>
        <v>1.5</v>
      </c>
      <c r="N162" s="24" t="n">
        <f aca="false">M162*H162*Summary!$C$6</f>
        <v>27</v>
      </c>
      <c r="O162" s="37" t="n">
        <v>46015.0666782407</v>
      </c>
      <c r="P162" s="22" t="n">
        <f aca="false">ROUND((O162-C162)*86400,0)</f>
        <v>3</v>
      </c>
      <c r="Q162" s="22" t="str">
        <f aca="false">IF(P162&lt;10,"a) &lt;10s",IF(P162&lt;60,"b) 10-60s",IF(P162&lt;600,"c) 1-10min","d) &gt;10min")))</f>
        <v>a) &lt;10s</v>
      </c>
      <c r="R162" s="38" t="n">
        <v>4499.71</v>
      </c>
      <c r="S162" s="38" t="n">
        <v>4499.655</v>
      </c>
      <c r="T162" s="22" t="s">
        <v>149</v>
      </c>
      <c r="U162" s="39" t="n">
        <f aca="false">IF(R162="","",IF(F162="BUY",R162-S162,S162-R162))</f>
        <v>0.055000000000291</v>
      </c>
      <c r="V162" s="39" t="n">
        <f aca="false">IF(F162="BUY",S162-J162,J162-S162)</f>
        <v>-0.0500000000001819</v>
      </c>
      <c r="W162" s="6" t="n">
        <v>-0.9</v>
      </c>
      <c r="X162" s="26" t="n">
        <f aca="false">IFERROR(W162/N162,0)</f>
        <v>-0.0333333333333333</v>
      </c>
      <c r="Y162" s="22" t="str">
        <f aca="false">IF(W162&gt;0,"Win",IF(W162&lt;0,"Loss","Flat"))</f>
        <v>Loss</v>
      </c>
      <c r="Z162" s="24" t="n">
        <f aca="false">Summary!$C$5+SUM(W$2:W162)</f>
        <v>2726.5</v>
      </c>
      <c r="AA162" s="24" t="n">
        <f aca="false">MAX(AA161,Z162)</f>
        <v>5026.73</v>
      </c>
      <c r="AB162" s="24" t="n">
        <f aca="false">AA162-Z162</f>
        <v>2300.23</v>
      </c>
      <c r="AC162" s="23" t="n">
        <f aca="false">IFERROR(AB162/AA162,0)</f>
        <v>0.457599672152672</v>
      </c>
      <c r="AD162" s="22" t="s">
        <v>357</v>
      </c>
    </row>
    <row r="163" customFormat="false" ht="15" hidden="false" customHeight="false" outlineLevel="0" collapsed="false">
      <c r="A163" s="22" t="n">
        <v>162</v>
      </c>
      <c r="B163" s="22" t="s">
        <v>126</v>
      </c>
      <c r="C163" s="37" t="n">
        <v>46017.1283796296</v>
      </c>
      <c r="D163" s="22" t="s">
        <v>166</v>
      </c>
      <c r="E163" s="22" t="n">
        <v>3</v>
      </c>
      <c r="F163" s="22" t="s">
        <v>142</v>
      </c>
      <c r="G163" s="22" t="s">
        <v>195</v>
      </c>
      <c r="H163" s="22" t="n">
        <v>0.18</v>
      </c>
      <c r="I163" s="38" t="n">
        <v>4525.77</v>
      </c>
      <c r="J163" s="38" t="n">
        <v>4525.775</v>
      </c>
      <c r="K163" s="39" t="n">
        <f aca="false">IF(F163="BUY",J163-I163,I163-J163)</f>
        <v>0.00499999999919965</v>
      </c>
      <c r="L163" s="38" t="n">
        <v>4524.27</v>
      </c>
      <c r="M163" s="39" t="n">
        <f aca="false">ABS(I163-L163)</f>
        <v>1.5</v>
      </c>
      <c r="N163" s="24" t="n">
        <f aca="false">M163*H163*Summary!$C$6</f>
        <v>27</v>
      </c>
      <c r="O163" s="37" t="n">
        <v>46017.1284143519</v>
      </c>
      <c r="P163" s="22" t="n">
        <f aca="false">ROUND((O163-C163)*86400,0)</f>
        <v>3</v>
      </c>
      <c r="Q163" s="22" t="str">
        <f aca="false">IF(P163&lt;10,"a) &lt;10s",IF(P163&lt;60,"b) 10-60s",IF(P163&lt;600,"c) 1-10min","d) &gt;10min")))</f>
        <v>a) &lt;10s</v>
      </c>
      <c r="R163" s="38" t="n">
        <v>4525.92</v>
      </c>
      <c r="S163" s="38" t="n">
        <v>4525.908</v>
      </c>
      <c r="T163" s="22" t="s">
        <v>149</v>
      </c>
      <c r="U163" s="39" t="n">
        <f aca="false">IF(R163="","",IF(F163="BUY",R163-S163,S163-R163))</f>
        <v>0.0119999999997162</v>
      </c>
      <c r="V163" s="39" t="n">
        <f aca="false">IF(F163="BUY",S163-J163,J163-S163)</f>
        <v>0.13300000000072</v>
      </c>
      <c r="W163" s="6" t="n">
        <v>2.39</v>
      </c>
      <c r="X163" s="26" t="n">
        <f aca="false">IFERROR(W163/N163,0)</f>
        <v>0.0885185185185185</v>
      </c>
      <c r="Y163" s="22" t="str">
        <f aca="false">IF(W163&gt;0,"Win",IF(W163&lt;0,"Loss","Flat"))</f>
        <v>Win</v>
      </c>
      <c r="Z163" s="24" t="n">
        <f aca="false">Summary!$C$5+SUM(W$2:W163)</f>
        <v>2728.89</v>
      </c>
      <c r="AA163" s="24" t="n">
        <f aca="false">MAX(AA162,Z163)</f>
        <v>5026.73</v>
      </c>
      <c r="AB163" s="24" t="n">
        <f aca="false">AA163-Z163</f>
        <v>2297.84</v>
      </c>
      <c r="AC163" s="23" t="n">
        <f aca="false">IFERROR(AB163/AA163,0)</f>
        <v>0.457124213952212</v>
      </c>
      <c r="AD163" s="22" t="s">
        <v>358</v>
      </c>
    </row>
    <row r="164" customFormat="false" ht="15" hidden="false" customHeight="false" outlineLevel="0" collapsed="false">
      <c r="A164" s="22" t="n">
        <v>163</v>
      </c>
      <c r="B164" s="22" t="s">
        <v>126</v>
      </c>
      <c r="C164" s="37" t="n">
        <v>46020.1022916667</v>
      </c>
      <c r="D164" s="22" t="s">
        <v>162</v>
      </c>
      <c r="E164" s="22" t="n">
        <v>2</v>
      </c>
      <c r="F164" s="22" t="s">
        <v>143</v>
      </c>
      <c r="G164" s="22" t="s">
        <v>197</v>
      </c>
      <c r="H164" s="22" t="n">
        <v>0.18</v>
      </c>
      <c r="I164" s="38" t="n">
        <v>4482.65</v>
      </c>
      <c r="J164" s="38" t="n">
        <v>4482.498</v>
      </c>
      <c r="K164" s="39" t="n">
        <f aca="false">IF(F164="BUY",J164-I164,I164-J164)</f>
        <v>0.152000000000044</v>
      </c>
      <c r="L164" s="38" t="n">
        <v>4484.15</v>
      </c>
      <c r="M164" s="39" t="n">
        <f aca="false">ABS(I164-L164)</f>
        <v>1.5</v>
      </c>
      <c r="N164" s="24" t="n">
        <f aca="false">M164*H164*Summary!$C$6</f>
        <v>27</v>
      </c>
      <c r="O164" s="37" t="n">
        <v>46020.1022916667</v>
      </c>
      <c r="P164" s="22" t="n">
        <f aca="false">ROUND((O164-C164)*86400,0)</f>
        <v>0</v>
      </c>
      <c r="Q164" s="22" t="str">
        <f aca="false">IF(P164&lt;10,"a) &lt;10s",IF(P164&lt;60,"b) 10-60s",IF(P164&lt;600,"c) 1-10min","d) &gt;10min")))</f>
        <v>a) &lt;10s</v>
      </c>
      <c r="R164" s="38" t="n">
        <v>4484.15</v>
      </c>
      <c r="S164" s="38" t="n">
        <v>4484.561</v>
      </c>
      <c r="T164" s="22" t="s">
        <v>148</v>
      </c>
      <c r="U164" s="39" t="n">
        <f aca="false">IF(R164="","",IF(F164="BUY",R164-S164,S164-R164))</f>
        <v>0.411000000000058</v>
      </c>
      <c r="V164" s="39" t="n">
        <f aca="false">IF(F164="BUY",S164-J164,J164-S164)</f>
        <v>-2.0630000000001</v>
      </c>
      <c r="W164" s="6" t="n">
        <v>-37.13</v>
      </c>
      <c r="X164" s="26" t="n">
        <f aca="false">IFERROR(W164/N164,0)</f>
        <v>-1.37518518518519</v>
      </c>
      <c r="Y164" s="22" t="str">
        <f aca="false">IF(W164&gt;0,"Win",IF(W164&lt;0,"Loss","Flat"))</f>
        <v>Loss</v>
      </c>
      <c r="Z164" s="24" t="n">
        <f aca="false">Summary!$C$5+SUM(W$2:W164)</f>
        <v>2691.76</v>
      </c>
      <c r="AA164" s="24" t="n">
        <f aca="false">MAX(AA163,Z164)</f>
        <v>5026.73</v>
      </c>
      <c r="AB164" s="24" t="n">
        <f aca="false">AA164-Z164</f>
        <v>2334.97</v>
      </c>
      <c r="AC164" s="23" t="n">
        <f aca="false">IFERROR(AB164/AA164,0)</f>
        <v>0.464510725660618</v>
      </c>
      <c r="AD164" s="22" t="s">
        <v>359</v>
      </c>
    </row>
    <row r="165" customFormat="false" ht="15" hidden="false" customHeight="false" outlineLevel="0" collapsed="false">
      <c r="A165" s="22" t="n">
        <v>164</v>
      </c>
      <c r="B165" s="22" t="s">
        <v>126</v>
      </c>
      <c r="C165" s="37" t="n">
        <v>46022.3198032407</v>
      </c>
      <c r="D165" s="22" t="s">
        <v>164</v>
      </c>
      <c r="E165" s="22" t="n">
        <v>7</v>
      </c>
      <c r="F165" s="22" t="s">
        <v>143</v>
      </c>
      <c r="G165" s="22" t="s">
        <v>197</v>
      </c>
      <c r="H165" s="22" t="n">
        <v>0.17</v>
      </c>
      <c r="I165" s="38" t="n">
        <v>4322.97</v>
      </c>
      <c r="J165" s="38" t="n">
        <v>4317.798</v>
      </c>
      <c r="K165" s="39" t="n">
        <f aca="false">IF(F165="BUY",J165-I165,I165-J165)</f>
        <v>5.17200000000048</v>
      </c>
      <c r="L165" s="38" t="n">
        <v>4324.47</v>
      </c>
      <c r="M165" s="39" t="n">
        <f aca="false">ABS(I165-L165)</f>
        <v>1.5</v>
      </c>
      <c r="N165" s="24" t="n">
        <f aca="false">M165*H165*Summary!$C$6</f>
        <v>25.5</v>
      </c>
      <c r="O165" s="37" t="n">
        <v>46022.3198032407</v>
      </c>
      <c r="P165" s="22" t="n">
        <f aca="false">ROUND((O165-C165)*86400,0)</f>
        <v>0</v>
      </c>
      <c r="Q165" s="22" t="str">
        <f aca="false">IF(P165&lt;10,"a) &lt;10s",IF(P165&lt;60,"b) 10-60s",IF(P165&lt;600,"c) 1-10min","d) &gt;10min")))</f>
        <v>a) &lt;10s</v>
      </c>
      <c r="R165" s="38"/>
      <c r="S165" s="38" t="n">
        <v>4321.852</v>
      </c>
      <c r="T165" s="22" t="s">
        <v>151</v>
      </c>
      <c r="U165" s="39" t="str">
        <f aca="false">IF(R165="","",IF(F165="BUY",R165-S165,S165-R165))</f>
        <v/>
      </c>
      <c r="V165" s="39" t="n">
        <f aca="false">IF(F165="BUY",S165-J165,J165-S165)</f>
        <v>-4.05400000000009</v>
      </c>
      <c r="W165" s="6" t="n">
        <v>-68.92</v>
      </c>
      <c r="X165" s="26" t="n">
        <f aca="false">IFERROR(W165/N165,0)</f>
        <v>-2.70274509803922</v>
      </c>
      <c r="Y165" s="22" t="str">
        <f aca="false">IF(W165&gt;0,"Win",IF(W165&lt;0,"Loss","Flat"))</f>
        <v>Loss</v>
      </c>
      <c r="Z165" s="24" t="n">
        <f aca="false">Summary!$C$5+SUM(W$2:W165)</f>
        <v>2622.84</v>
      </c>
      <c r="AA165" s="24" t="n">
        <f aca="false">MAX(AA164,Z165)</f>
        <v>5026.73</v>
      </c>
      <c r="AB165" s="24" t="n">
        <f aca="false">AA165-Z165</f>
        <v>2403.89</v>
      </c>
      <c r="AC165" s="23" t="n">
        <f aca="false">IFERROR(AB165/AA165,0)</f>
        <v>0.478221428244604</v>
      </c>
      <c r="AD165" s="22" t="s">
        <v>360</v>
      </c>
    </row>
    <row r="166" customFormat="false" ht="15" hidden="false" customHeight="false" outlineLevel="0" collapsed="false">
      <c r="A166" s="22" t="n">
        <v>165</v>
      </c>
      <c r="B166" s="22" t="s">
        <v>127</v>
      </c>
      <c r="C166" s="37" t="n">
        <v>46024.232025463</v>
      </c>
      <c r="D166" s="22" t="s">
        <v>166</v>
      </c>
      <c r="E166" s="22" t="n">
        <v>5</v>
      </c>
      <c r="F166" s="22" t="s">
        <v>142</v>
      </c>
      <c r="G166" s="22" t="s">
        <v>195</v>
      </c>
      <c r="H166" s="22" t="n">
        <v>0.17</v>
      </c>
      <c r="I166" s="38" t="n">
        <v>4372.9</v>
      </c>
      <c r="J166" s="38" t="n">
        <v>4373.102</v>
      </c>
      <c r="K166" s="39" t="n">
        <f aca="false">IF(F166="BUY",J166-I166,I166-J166)</f>
        <v>0.202000000000226</v>
      </c>
      <c r="L166" s="38" t="n">
        <v>4371.4</v>
      </c>
      <c r="M166" s="39" t="n">
        <f aca="false">ABS(I166-L166)</f>
        <v>1.5</v>
      </c>
      <c r="N166" s="24" t="n">
        <f aca="false">M166*H166*Summary!$C$6</f>
        <v>25.5</v>
      </c>
      <c r="O166" s="37" t="n">
        <v>46024.232037037</v>
      </c>
      <c r="P166" s="22" t="n">
        <f aca="false">ROUND((O166-C166)*86400,0)</f>
        <v>1</v>
      </c>
      <c r="Q166" s="22" t="str">
        <f aca="false">IF(P166&lt;10,"a) &lt;10s",IF(P166&lt;60,"b) 10-60s",IF(P166&lt;600,"c) 1-10min","d) &gt;10min")))</f>
        <v>a) &lt;10s</v>
      </c>
      <c r="R166" s="38" t="n">
        <v>4371.4</v>
      </c>
      <c r="S166" s="38" t="n">
        <v>4371.348</v>
      </c>
      <c r="T166" s="22" t="s">
        <v>148</v>
      </c>
      <c r="U166" s="39" t="n">
        <f aca="false">IF(R166="","",IF(F166="BUY",R166-S166,S166-R166))</f>
        <v>0.0519999999996799</v>
      </c>
      <c r="V166" s="39" t="n">
        <f aca="false">IF(F166="BUY",S166-J166,J166-S166)</f>
        <v>-1.75399999999991</v>
      </c>
      <c r="W166" s="6" t="n">
        <v>-29.82</v>
      </c>
      <c r="X166" s="26" t="n">
        <f aca="false">IFERROR(W166/N166,0)</f>
        <v>-1.16941176470588</v>
      </c>
      <c r="Y166" s="22" t="str">
        <f aca="false">IF(W166&gt;0,"Win",IF(W166&lt;0,"Loss","Flat"))</f>
        <v>Loss</v>
      </c>
      <c r="Z166" s="24" t="n">
        <f aca="false">Summary!$C$5+SUM(W$2:W166)</f>
        <v>2593.02</v>
      </c>
      <c r="AA166" s="24" t="n">
        <f aca="false">MAX(AA165,Z166)</f>
        <v>5026.73</v>
      </c>
      <c r="AB166" s="24" t="n">
        <f aca="false">AA166-Z166</f>
        <v>2433.71</v>
      </c>
      <c r="AC166" s="23" t="n">
        <f aca="false">IFERROR(AB166/AA166,0)</f>
        <v>0.484153714243653</v>
      </c>
      <c r="AD166" s="22" t="s">
        <v>361</v>
      </c>
    </row>
    <row r="167" customFormat="false" ht="15" hidden="false" customHeight="false" outlineLevel="0" collapsed="false">
      <c r="A167" s="22" t="n">
        <v>166</v>
      </c>
      <c r="B167" s="22" t="s">
        <v>127</v>
      </c>
      <c r="C167" s="37" t="n">
        <v>46027.126400463</v>
      </c>
      <c r="D167" s="22" t="s">
        <v>162</v>
      </c>
      <c r="E167" s="22" t="n">
        <v>3</v>
      </c>
      <c r="F167" s="22" t="s">
        <v>142</v>
      </c>
      <c r="G167" s="22" t="s">
        <v>195</v>
      </c>
      <c r="H167" s="22" t="n">
        <v>0.17</v>
      </c>
      <c r="I167" s="38" t="n">
        <v>4401.93</v>
      </c>
      <c r="J167" s="38" t="n">
        <v>4402.085</v>
      </c>
      <c r="K167" s="39" t="n">
        <f aca="false">IF(F167="BUY",J167-I167,I167-J167)</f>
        <v>0.154999999999745</v>
      </c>
      <c r="L167" s="38" t="n">
        <v>4400.43</v>
      </c>
      <c r="M167" s="39" t="n">
        <f aca="false">ABS(I167-L167)</f>
        <v>1.5</v>
      </c>
      <c r="N167" s="24" t="n">
        <f aca="false">M167*H167*Summary!$C$6</f>
        <v>25.5</v>
      </c>
      <c r="O167" s="37" t="n">
        <v>46027.1264351852</v>
      </c>
      <c r="P167" s="22" t="n">
        <f aca="false">ROUND((O167-C167)*86400,0)</f>
        <v>3</v>
      </c>
      <c r="Q167" s="22" t="str">
        <f aca="false">IF(P167&lt;10,"a) &lt;10s",IF(P167&lt;60,"b) 10-60s",IF(P167&lt;600,"c) 1-10min","d) &gt;10min")))</f>
        <v>a) &lt;10s</v>
      </c>
      <c r="R167" s="38" t="n">
        <v>4400.43</v>
      </c>
      <c r="S167" s="38" t="n">
        <v>4400.325</v>
      </c>
      <c r="T167" s="22" t="s">
        <v>148</v>
      </c>
      <c r="U167" s="39" t="n">
        <f aca="false">IF(R167="","",IF(F167="BUY",R167-S167,S167-R167))</f>
        <v>0.105000000000473</v>
      </c>
      <c r="V167" s="39" t="n">
        <f aca="false">IF(F167="BUY",S167-J167,J167-S167)</f>
        <v>-1.76000000000022</v>
      </c>
      <c r="W167" s="6" t="n">
        <v>-29.92</v>
      </c>
      <c r="X167" s="26" t="n">
        <f aca="false">IFERROR(W167/N167,0)</f>
        <v>-1.17333333333333</v>
      </c>
      <c r="Y167" s="22" t="str">
        <f aca="false">IF(W167&gt;0,"Win",IF(W167&lt;0,"Loss","Flat"))</f>
        <v>Loss</v>
      </c>
      <c r="Z167" s="24" t="n">
        <f aca="false">Summary!$C$5+SUM(W$2:W167)</f>
        <v>2563.1</v>
      </c>
      <c r="AA167" s="24" t="n">
        <f aca="false">MAX(AA166,Z167)</f>
        <v>5026.73</v>
      </c>
      <c r="AB167" s="24" t="n">
        <f aca="false">AA167-Z167</f>
        <v>2463.63</v>
      </c>
      <c r="AC167" s="23" t="n">
        <f aca="false">IFERROR(AB167/AA167,0)</f>
        <v>0.490105893891257</v>
      </c>
      <c r="AD167" s="22" t="s">
        <v>362</v>
      </c>
    </row>
    <row r="168" customFormat="false" ht="15" hidden="false" customHeight="false" outlineLevel="0" collapsed="false">
      <c r="A168" s="22" t="n">
        <v>167</v>
      </c>
      <c r="B168" s="22" t="s">
        <v>127</v>
      </c>
      <c r="C168" s="37" t="n">
        <v>46028.1684143519</v>
      </c>
      <c r="D168" s="22" t="s">
        <v>163</v>
      </c>
      <c r="E168" s="22" t="n">
        <v>4</v>
      </c>
      <c r="F168" s="22" t="s">
        <v>142</v>
      </c>
      <c r="G168" s="22" t="s">
        <v>195</v>
      </c>
      <c r="H168" s="22" t="n">
        <v>0.17</v>
      </c>
      <c r="I168" s="38" t="n">
        <v>4455.43</v>
      </c>
      <c r="J168" s="38" t="n">
        <v>4455.435</v>
      </c>
      <c r="K168" s="39" t="n">
        <f aca="false">IF(F168="BUY",J168-I168,I168-J168)</f>
        <v>0.00500000000010914</v>
      </c>
      <c r="L168" s="38" t="n">
        <v>4453.93</v>
      </c>
      <c r="M168" s="39" t="n">
        <f aca="false">ABS(I168-L168)</f>
        <v>1.5</v>
      </c>
      <c r="N168" s="24" t="n">
        <f aca="false">M168*H168*Summary!$C$6</f>
        <v>25.5</v>
      </c>
      <c r="O168" s="37" t="n">
        <v>46028.1684953704</v>
      </c>
      <c r="P168" s="22" t="n">
        <f aca="false">ROUND((O168-C168)*86400,0)</f>
        <v>7</v>
      </c>
      <c r="Q168" s="22" t="str">
        <f aca="false">IF(P168&lt;10,"a) &lt;10s",IF(P168&lt;60,"b) 10-60s",IF(P168&lt;600,"c) 1-10min","d) &gt;10min")))</f>
        <v>a) &lt;10s</v>
      </c>
      <c r="R168" s="38" t="n">
        <v>4453.93</v>
      </c>
      <c r="S168" s="38" t="n">
        <v>4453.875</v>
      </c>
      <c r="T168" s="22" t="s">
        <v>148</v>
      </c>
      <c r="U168" s="39" t="n">
        <f aca="false">IF(R168="","",IF(F168="BUY",R168-S168,S168-R168))</f>
        <v>0.055000000000291</v>
      </c>
      <c r="V168" s="39" t="n">
        <f aca="false">IF(F168="BUY",S168-J168,J168-S168)</f>
        <v>-1.5600000000004</v>
      </c>
      <c r="W168" s="6" t="n">
        <v>-26.52</v>
      </c>
      <c r="X168" s="26" t="n">
        <f aca="false">IFERROR(W168/N168,0)</f>
        <v>-1.04</v>
      </c>
      <c r="Y168" s="22" t="str">
        <f aca="false">IF(W168&gt;0,"Win",IF(W168&lt;0,"Loss","Flat"))</f>
        <v>Loss</v>
      </c>
      <c r="Z168" s="24" t="n">
        <f aca="false">Summary!$C$5+SUM(W$2:W168)</f>
        <v>2536.58</v>
      </c>
      <c r="AA168" s="24" t="n">
        <f aca="false">MAX(AA167,Z168)</f>
        <v>5026.73</v>
      </c>
      <c r="AB168" s="24" t="n">
        <f aca="false">AA168-Z168</f>
        <v>2490.15</v>
      </c>
      <c r="AC168" s="23" t="n">
        <f aca="false">IFERROR(AB168/AA168,0)</f>
        <v>0.495381689487997</v>
      </c>
      <c r="AD168" s="22" t="s">
        <v>363</v>
      </c>
    </row>
    <row r="169" customFormat="false" ht="15" hidden="false" customHeight="false" outlineLevel="0" collapsed="false">
      <c r="A169" s="22" t="n">
        <v>168</v>
      </c>
      <c r="B169" s="22" t="s">
        <v>127</v>
      </c>
      <c r="C169" s="37" t="n">
        <v>46029.6319791667</v>
      </c>
      <c r="D169" s="22" t="s">
        <v>164</v>
      </c>
      <c r="E169" s="22" t="n">
        <v>15</v>
      </c>
      <c r="F169" s="22" t="s">
        <v>143</v>
      </c>
      <c r="G169" s="22" t="s">
        <v>197</v>
      </c>
      <c r="H169" s="22" t="n">
        <v>0.16</v>
      </c>
      <c r="I169" s="38" t="n">
        <v>4427.73</v>
      </c>
      <c r="J169" s="38" t="n">
        <v>4427.665</v>
      </c>
      <c r="K169" s="39" t="n">
        <f aca="false">IF(F169="BUY",J169-I169,I169-J169)</f>
        <v>0.0649999999995998</v>
      </c>
      <c r="L169" s="38" t="n">
        <v>4429.23</v>
      </c>
      <c r="M169" s="39" t="n">
        <f aca="false">ABS(I169-L169)</f>
        <v>1.5</v>
      </c>
      <c r="N169" s="24" t="n">
        <f aca="false">M169*H169*Summary!$C$6</f>
        <v>24</v>
      </c>
      <c r="O169" s="37" t="n">
        <v>46029.632037037</v>
      </c>
      <c r="P169" s="22" t="n">
        <f aca="false">ROUND((O169-C169)*86400,0)</f>
        <v>5</v>
      </c>
      <c r="Q169" s="22" t="str">
        <f aca="false">IF(P169&lt;10,"a) &lt;10s",IF(P169&lt;60,"b) 10-60s",IF(P169&lt;600,"c) 1-10min","d) &gt;10min")))</f>
        <v>a) &lt;10s</v>
      </c>
      <c r="R169" s="38" t="n">
        <v>4429.23</v>
      </c>
      <c r="S169" s="38" t="n">
        <v>4429.272</v>
      </c>
      <c r="T169" s="22" t="s">
        <v>148</v>
      </c>
      <c r="U169" s="39" t="n">
        <f aca="false">IF(R169="","",IF(F169="BUY",R169-S169,S169-R169))</f>
        <v>0.0420000000003711</v>
      </c>
      <c r="V169" s="39" t="n">
        <f aca="false">IF(F169="BUY",S169-J169,J169-S169)</f>
        <v>-1.60699999999997</v>
      </c>
      <c r="W169" s="6" t="n">
        <v>-25.71</v>
      </c>
      <c r="X169" s="26" t="n">
        <f aca="false">IFERROR(W169/N169,0)</f>
        <v>-1.07125</v>
      </c>
      <c r="Y169" s="22" t="str">
        <f aca="false">IF(W169&gt;0,"Win",IF(W169&lt;0,"Loss","Flat"))</f>
        <v>Loss</v>
      </c>
      <c r="Z169" s="24" t="n">
        <f aca="false">Summary!$C$5+SUM(W$2:W169)</f>
        <v>2510.87</v>
      </c>
      <c r="AA169" s="24" t="n">
        <f aca="false">MAX(AA168,Z169)</f>
        <v>5026.73</v>
      </c>
      <c r="AB169" s="24" t="n">
        <f aca="false">AA169-Z169</f>
        <v>2515.86</v>
      </c>
      <c r="AC169" s="23" t="n">
        <f aca="false">IFERROR(AB169/AA169,0)</f>
        <v>0.500496346531443</v>
      </c>
      <c r="AD169" s="22" t="s">
        <v>364</v>
      </c>
    </row>
    <row r="170" customFormat="false" ht="15" hidden="false" customHeight="false" outlineLevel="0" collapsed="false">
      <c r="A170" s="22" t="n">
        <v>169</v>
      </c>
      <c r="B170" s="22" t="s">
        <v>127</v>
      </c>
      <c r="C170" s="37" t="n">
        <v>46030.3031597222</v>
      </c>
      <c r="D170" s="22" t="s">
        <v>165</v>
      </c>
      <c r="E170" s="22" t="n">
        <v>7</v>
      </c>
      <c r="F170" s="22" t="s">
        <v>143</v>
      </c>
      <c r="G170" s="22" t="s">
        <v>197</v>
      </c>
      <c r="H170" s="22" t="n">
        <v>0.16</v>
      </c>
      <c r="I170" s="38" t="n">
        <v>4423.14</v>
      </c>
      <c r="J170" s="38" t="n">
        <v>4422.465</v>
      </c>
      <c r="K170" s="39" t="n">
        <f aca="false">IF(F170="BUY",J170-I170,I170-J170)</f>
        <v>0.675000000000182</v>
      </c>
      <c r="L170" s="38" t="n">
        <v>4424.64</v>
      </c>
      <c r="M170" s="39" t="n">
        <f aca="false">ABS(I170-L170)</f>
        <v>1.5</v>
      </c>
      <c r="N170" s="24" t="n">
        <f aca="false">M170*H170*Summary!$C$6</f>
        <v>24</v>
      </c>
      <c r="O170" s="37" t="n">
        <v>46030.3031828704</v>
      </c>
      <c r="P170" s="22" t="n">
        <f aca="false">ROUND((O170-C170)*86400,0)</f>
        <v>2</v>
      </c>
      <c r="Q170" s="22" t="str">
        <f aca="false">IF(P170&lt;10,"a) &lt;10s",IF(P170&lt;60,"b) 10-60s",IF(P170&lt;600,"c) 1-10min","d) &gt;10min")))</f>
        <v>a) &lt;10s</v>
      </c>
      <c r="R170" s="38" t="n">
        <v>4424.64</v>
      </c>
      <c r="S170" s="38" t="n">
        <v>4424.652</v>
      </c>
      <c r="T170" s="22" t="s">
        <v>148</v>
      </c>
      <c r="U170" s="39" t="n">
        <f aca="false">IF(R170="","",IF(F170="BUY",R170-S170,S170-R170))</f>
        <v>0.0119999999997162</v>
      </c>
      <c r="V170" s="39" t="n">
        <f aca="false">IF(F170="BUY",S170-J170,J170-S170)</f>
        <v>-2.1869999999999</v>
      </c>
      <c r="W170" s="6" t="n">
        <v>-34.99</v>
      </c>
      <c r="X170" s="26" t="n">
        <f aca="false">IFERROR(W170/N170,0)</f>
        <v>-1.45791666666667</v>
      </c>
      <c r="Y170" s="22" t="str">
        <f aca="false">IF(W170&gt;0,"Win",IF(W170&lt;0,"Loss","Flat"))</f>
        <v>Loss</v>
      </c>
      <c r="Z170" s="24" t="n">
        <f aca="false">Summary!$C$5+SUM(W$2:W170)</f>
        <v>2475.88</v>
      </c>
      <c r="AA170" s="24" t="n">
        <f aca="false">MAX(AA169,Z170)</f>
        <v>5026.73</v>
      </c>
      <c r="AB170" s="24" t="n">
        <f aca="false">AA170-Z170</f>
        <v>2550.85</v>
      </c>
      <c r="AC170" s="23" t="n">
        <f aca="false">IFERROR(AB170/AA170,0)</f>
        <v>0.507457134160776</v>
      </c>
      <c r="AD170" s="22" t="s">
        <v>365</v>
      </c>
    </row>
    <row r="171" customFormat="false" ht="15" hidden="false" customHeight="false" outlineLevel="0" collapsed="false">
      <c r="A171" s="22" t="n">
        <v>170</v>
      </c>
      <c r="B171" s="22" t="s">
        <v>127</v>
      </c>
      <c r="C171" s="37" t="n">
        <v>46031.5871875</v>
      </c>
      <c r="D171" s="22" t="s">
        <v>166</v>
      </c>
      <c r="E171" s="22" t="n">
        <v>14</v>
      </c>
      <c r="F171" s="22" t="s">
        <v>142</v>
      </c>
      <c r="G171" s="22" t="s">
        <v>195</v>
      </c>
      <c r="H171" s="22" t="n">
        <v>0.16</v>
      </c>
      <c r="I171" s="38" t="n">
        <v>4479.4</v>
      </c>
      <c r="J171" s="38" t="n">
        <v>4479.435</v>
      </c>
      <c r="K171" s="39" t="n">
        <f aca="false">IF(F171="BUY",J171-I171,I171-J171)</f>
        <v>0.035000000000764</v>
      </c>
      <c r="L171" s="38" t="n">
        <v>4477.9</v>
      </c>
      <c r="M171" s="39" t="n">
        <f aca="false">ABS(I171-L171)</f>
        <v>1.5</v>
      </c>
      <c r="N171" s="24" t="n">
        <f aca="false">M171*H171*Summary!$C$6</f>
        <v>24</v>
      </c>
      <c r="O171" s="37" t="n">
        <v>46031.5875231482</v>
      </c>
      <c r="P171" s="22" t="n">
        <f aca="false">ROUND((O171-C171)*86400,0)</f>
        <v>29</v>
      </c>
      <c r="Q171" s="22" t="str">
        <f aca="false">IF(P171&lt;10,"a) &lt;10s",IF(P171&lt;60,"b) 10-60s",IF(P171&lt;600,"c) 1-10min","d) &gt;10min")))</f>
        <v>b) 10-60s</v>
      </c>
      <c r="R171" s="38" t="n">
        <v>4479.81</v>
      </c>
      <c r="S171" s="38" t="n">
        <v>4479.765</v>
      </c>
      <c r="T171" s="22" t="s">
        <v>149</v>
      </c>
      <c r="U171" s="39" t="n">
        <f aca="false">IF(R171="","",IF(F171="BUY",R171-S171,S171-R171))</f>
        <v>0.0450000000000728</v>
      </c>
      <c r="V171" s="39" t="n">
        <f aca="false">IF(F171="BUY",S171-J171,J171-S171)</f>
        <v>0.329999999999927</v>
      </c>
      <c r="W171" s="6" t="n">
        <v>5.28</v>
      </c>
      <c r="X171" s="26" t="n">
        <f aca="false">IFERROR(W171/N171,0)</f>
        <v>0.22</v>
      </c>
      <c r="Y171" s="22" t="str">
        <f aca="false">IF(W171&gt;0,"Win",IF(W171&lt;0,"Loss","Flat"))</f>
        <v>Win</v>
      </c>
      <c r="Z171" s="24" t="n">
        <f aca="false">Summary!$C$5+SUM(W$2:W171)</f>
        <v>2481.16</v>
      </c>
      <c r="AA171" s="24" t="n">
        <f aca="false">MAX(AA170,Z171)</f>
        <v>5026.73</v>
      </c>
      <c r="AB171" s="24" t="n">
        <f aca="false">AA171-Z171</f>
        <v>2545.57</v>
      </c>
      <c r="AC171" s="23" t="n">
        <f aca="false">IFERROR(AB171/AA171,0)</f>
        <v>0.506406749517082</v>
      </c>
      <c r="AD171" s="22" t="s">
        <v>366</v>
      </c>
    </row>
    <row r="172" customFormat="false" ht="15" hidden="false" customHeight="false" outlineLevel="0" collapsed="false">
      <c r="A172" s="22" t="n">
        <v>171</v>
      </c>
      <c r="B172" s="22" t="s">
        <v>127</v>
      </c>
      <c r="C172" s="37" t="n">
        <v>46035.6993518519</v>
      </c>
      <c r="D172" s="22" t="s">
        <v>163</v>
      </c>
      <c r="E172" s="22" t="n">
        <v>16</v>
      </c>
      <c r="F172" s="22" t="s">
        <v>142</v>
      </c>
      <c r="G172" s="22" t="s">
        <v>195</v>
      </c>
      <c r="H172" s="22" t="n">
        <v>0.16</v>
      </c>
      <c r="I172" s="38" t="n">
        <v>4629.98</v>
      </c>
      <c r="J172" s="38" t="n">
        <v>4630.055</v>
      </c>
      <c r="K172" s="39" t="n">
        <f aca="false">IF(F172="BUY",J172-I172,I172-J172)</f>
        <v>0.0750000000007276</v>
      </c>
      <c r="L172" s="38" t="n">
        <v>4628.48</v>
      </c>
      <c r="M172" s="39" t="n">
        <f aca="false">ABS(I172-L172)</f>
        <v>1.5</v>
      </c>
      <c r="N172" s="24" t="n">
        <f aca="false">M172*H172*Summary!$C$6</f>
        <v>24</v>
      </c>
      <c r="O172" s="37" t="n">
        <v>46035.699375</v>
      </c>
      <c r="P172" s="22" t="n">
        <f aca="false">ROUND((O172-C172)*86400,0)</f>
        <v>2</v>
      </c>
      <c r="Q172" s="22" t="str">
        <f aca="false">IF(P172&lt;10,"a) &lt;10s",IF(P172&lt;60,"b) 10-60s",IF(P172&lt;600,"c) 1-10min","d) &gt;10min")))</f>
        <v>a) &lt;10s</v>
      </c>
      <c r="R172" s="38" t="n">
        <v>4628.48</v>
      </c>
      <c r="S172" s="38" t="n">
        <v>4628.415</v>
      </c>
      <c r="T172" s="22" t="s">
        <v>148</v>
      </c>
      <c r="U172" s="39" t="n">
        <f aca="false">IF(R172="","",IF(F172="BUY",R172-S172,S172-R172))</f>
        <v>0.0649999999995998</v>
      </c>
      <c r="V172" s="39" t="n">
        <f aca="false">IF(F172="BUY",S172-J172,J172-S172)</f>
        <v>-1.64000000000033</v>
      </c>
      <c r="W172" s="6" t="n">
        <v>-26.24</v>
      </c>
      <c r="X172" s="26" t="n">
        <f aca="false">IFERROR(W172/N172,0)</f>
        <v>-1.09333333333333</v>
      </c>
      <c r="Y172" s="22" t="str">
        <f aca="false">IF(W172&gt;0,"Win",IF(W172&lt;0,"Loss","Flat"))</f>
        <v>Loss</v>
      </c>
      <c r="Z172" s="24" t="n">
        <f aca="false">Summary!$C$5+SUM(W$2:W172)</f>
        <v>2454.92</v>
      </c>
      <c r="AA172" s="24" t="n">
        <f aca="false">MAX(AA171,Z172)</f>
        <v>5026.73</v>
      </c>
      <c r="AB172" s="24" t="n">
        <f aca="false">AA172-Z172</f>
        <v>2571.81</v>
      </c>
      <c r="AC172" s="23" t="n">
        <f aca="false">IFERROR(AB172/AA172,0)</f>
        <v>0.511626842897868</v>
      </c>
      <c r="AD172" s="22" t="s">
        <v>367</v>
      </c>
    </row>
    <row r="173" customFormat="false" ht="15" hidden="false" customHeight="false" outlineLevel="0" collapsed="false">
      <c r="A173" s="22" t="n">
        <v>172</v>
      </c>
      <c r="B173" s="22" t="s">
        <v>127</v>
      </c>
      <c r="C173" s="37" t="n">
        <v>46036.2929976852</v>
      </c>
      <c r="D173" s="22" t="s">
        <v>164</v>
      </c>
      <c r="E173" s="22" t="n">
        <v>7</v>
      </c>
      <c r="F173" s="22" t="s">
        <v>142</v>
      </c>
      <c r="G173" s="22" t="s">
        <v>195</v>
      </c>
      <c r="H173" s="22" t="n">
        <v>0.16</v>
      </c>
      <c r="I173" s="38" t="n">
        <v>4634.29</v>
      </c>
      <c r="J173" s="38" t="n">
        <v>4634.4</v>
      </c>
      <c r="K173" s="39" t="n">
        <f aca="false">IF(F173="BUY",J173-I173,I173-J173)</f>
        <v>0.109999999999673</v>
      </c>
      <c r="L173" s="38" t="n">
        <v>4632.79</v>
      </c>
      <c r="M173" s="39" t="n">
        <f aca="false">ABS(I173-L173)</f>
        <v>1.5</v>
      </c>
      <c r="N173" s="24" t="n">
        <f aca="false">M173*H173*Summary!$C$6</f>
        <v>24</v>
      </c>
      <c r="O173" s="37" t="n">
        <v>46036.2930208333</v>
      </c>
      <c r="P173" s="22" t="n">
        <f aca="false">ROUND((O173-C173)*86400,0)</f>
        <v>2</v>
      </c>
      <c r="Q173" s="22" t="str">
        <f aca="false">IF(P173&lt;10,"a) &lt;10s",IF(P173&lt;60,"b) 10-60s",IF(P173&lt;600,"c) 1-10min","d) &gt;10min")))</f>
        <v>a) &lt;10s</v>
      </c>
      <c r="R173" s="38" t="n">
        <v>4635.75</v>
      </c>
      <c r="S173" s="38" t="n">
        <v>4635.735</v>
      </c>
      <c r="T173" s="22" t="s">
        <v>149</v>
      </c>
      <c r="U173" s="39" t="n">
        <f aca="false">IF(R173="","",IF(F173="BUY",R173-S173,S173-R173))</f>
        <v>0.0150000000003274</v>
      </c>
      <c r="V173" s="39" t="n">
        <f aca="false">IF(F173="BUY",S173-J173,J173-S173)</f>
        <v>1.33500000000004</v>
      </c>
      <c r="W173" s="6" t="n">
        <v>21.36</v>
      </c>
      <c r="X173" s="26" t="n">
        <f aca="false">IFERROR(W173/N173,0)</f>
        <v>0.89</v>
      </c>
      <c r="Y173" s="22" t="str">
        <f aca="false">IF(W173&gt;0,"Win",IF(W173&lt;0,"Loss","Flat"))</f>
        <v>Win</v>
      </c>
      <c r="Z173" s="24" t="n">
        <f aca="false">Summary!$C$5+SUM(W$2:W173)</f>
        <v>2476.28</v>
      </c>
      <c r="AA173" s="24" t="n">
        <f aca="false">MAX(AA172,Z173)</f>
        <v>5026.73</v>
      </c>
      <c r="AB173" s="24" t="n">
        <f aca="false">AA173-Z173</f>
        <v>2550.45</v>
      </c>
      <c r="AC173" s="23" t="n">
        <f aca="false">IFERROR(AB173/AA173,0)</f>
        <v>0.507377559566557</v>
      </c>
      <c r="AD173" s="22" t="s">
        <v>368</v>
      </c>
    </row>
    <row r="174" customFormat="false" ht="15" hidden="false" customHeight="false" outlineLevel="0" collapsed="false">
      <c r="A174" s="22" t="n">
        <v>173</v>
      </c>
      <c r="B174" s="22" t="s">
        <v>127</v>
      </c>
      <c r="C174" s="37" t="n">
        <v>46037.1471180556</v>
      </c>
      <c r="D174" s="22" t="s">
        <v>165</v>
      </c>
      <c r="E174" s="22" t="n">
        <v>3</v>
      </c>
      <c r="F174" s="22" t="s">
        <v>143</v>
      </c>
      <c r="G174" s="22" t="s">
        <v>197</v>
      </c>
      <c r="H174" s="22" t="n">
        <v>0.16</v>
      </c>
      <c r="I174" s="38" t="n">
        <v>4586.17</v>
      </c>
      <c r="J174" s="38" t="n">
        <v>4586.168</v>
      </c>
      <c r="K174" s="39" t="n">
        <f aca="false">IF(F174="BUY",J174-I174,I174-J174)</f>
        <v>0.00200000000040745</v>
      </c>
      <c r="L174" s="38" t="n">
        <v>4587.67</v>
      </c>
      <c r="M174" s="39" t="n">
        <f aca="false">ABS(I174-L174)</f>
        <v>1.5</v>
      </c>
      <c r="N174" s="24" t="n">
        <f aca="false">M174*H174*Summary!$C$6</f>
        <v>24</v>
      </c>
      <c r="O174" s="37" t="n">
        <v>46037.1471527778</v>
      </c>
      <c r="P174" s="22" t="n">
        <f aca="false">ROUND((O174-C174)*86400,0)</f>
        <v>3</v>
      </c>
      <c r="Q174" s="22" t="str">
        <f aca="false">IF(P174&lt;10,"a) &lt;10s",IF(P174&lt;60,"b) 10-60s",IF(P174&lt;600,"c) 1-10min","d) &gt;10min")))</f>
        <v>a) &lt;10s</v>
      </c>
      <c r="R174" s="38" t="n">
        <v>4586.08</v>
      </c>
      <c r="S174" s="38" t="n">
        <v>4586.405</v>
      </c>
      <c r="T174" s="22" t="s">
        <v>149</v>
      </c>
      <c r="U174" s="39" t="n">
        <f aca="false">IF(R174="","",IF(F174="BUY",R174-S174,S174-R174))</f>
        <v>0.324999999999818</v>
      </c>
      <c r="V174" s="39" t="n">
        <f aca="false">IF(F174="BUY",S174-J174,J174-S174)</f>
        <v>-0.23700000000008</v>
      </c>
      <c r="W174" s="6" t="n">
        <v>-3.79</v>
      </c>
      <c r="X174" s="26" t="n">
        <f aca="false">IFERROR(W174/N174,0)</f>
        <v>-0.157916666666667</v>
      </c>
      <c r="Y174" s="22" t="str">
        <f aca="false">IF(W174&gt;0,"Win",IF(W174&lt;0,"Loss","Flat"))</f>
        <v>Loss</v>
      </c>
      <c r="Z174" s="24" t="n">
        <f aca="false">Summary!$C$5+SUM(W$2:W174)</f>
        <v>2472.49</v>
      </c>
      <c r="AA174" s="24" t="n">
        <f aca="false">MAX(AA173,Z174)</f>
        <v>5026.73</v>
      </c>
      <c r="AB174" s="24" t="n">
        <f aca="false">AA174-Z174</f>
        <v>2554.24</v>
      </c>
      <c r="AC174" s="23" t="n">
        <f aca="false">IFERROR(AB174/AA174,0)</f>
        <v>0.508131528846785</v>
      </c>
      <c r="AD174" s="22" t="s">
        <v>369</v>
      </c>
    </row>
    <row r="175" customFormat="false" ht="15" hidden="false" customHeight="false" outlineLevel="0" collapsed="false">
      <c r="A175" s="22" t="n">
        <v>174</v>
      </c>
      <c r="B175" s="22" t="s">
        <v>127</v>
      </c>
      <c r="C175" s="37" t="n">
        <v>46038.7271064815</v>
      </c>
      <c r="D175" s="22" t="s">
        <v>166</v>
      </c>
      <c r="E175" s="22" t="n">
        <v>17</v>
      </c>
      <c r="F175" s="22" t="s">
        <v>143</v>
      </c>
      <c r="G175" s="22" t="s">
        <v>197</v>
      </c>
      <c r="H175" s="22" t="n">
        <v>0.16</v>
      </c>
      <c r="I175" s="38" t="n">
        <v>4580.81</v>
      </c>
      <c r="J175" s="38" t="n">
        <v>4580.105</v>
      </c>
      <c r="K175" s="39" t="n">
        <f aca="false">IF(F175="BUY",J175-I175,I175-J175)</f>
        <v>0.705000000000837</v>
      </c>
      <c r="L175" s="38" t="n">
        <v>4582.31</v>
      </c>
      <c r="M175" s="39" t="n">
        <f aca="false">ABS(I175-L175)</f>
        <v>1.5</v>
      </c>
      <c r="N175" s="24" t="n">
        <f aca="false">M175*H175*Summary!$C$6</f>
        <v>24</v>
      </c>
      <c r="O175" s="37" t="n">
        <v>46038.7271064815</v>
      </c>
      <c r="P175" s="22" t="n">
        <f aca="false">ROUND((O175-C175)*86400,0)</f>
        <v>0</v>
      </c>
      <c r="Q175" s="22" t="str">
        <f aca="false">IF(P175&lt;10,"a) &lt;10s",IF(P175&lt;60,"b) 10-60s",IF(P175&lt;600,"c) 1-10min","d) &gt;10min")))</f>
        <v>a) &lt;10s</v>
      </c>
      <c r="R175" s="38" t="n">
        <v>4582.31</v>
      </c>
      <c r="S175" s="38" t="n">
        <v>4582.802</v>
      </c>
      <c r="T175" s="22" t="s">
        <v>148</v>
      </c>
      <c r="U175" s="39" t="n">
        <f aca="false">IF(R175="","",IF(F175="BUY",R175-S175,S175-R175))</f>
        <v>0.49199999999928</v>
      </c>
      <c r="V175" s="39" t="n">
        <f aca="false">IF(F175="BUY",S175-J175,J175-S175)</f>
        <v>-2.69700000000012</v>
      </c>
      <c r="W175" s="6" t="n">
        <v>-43.15</v>
      </c>
      <c r="X175" s="26" t="n">
        <f aca="false">IFERROR(W175/N175,0)</f>
        <v>-1.79791666666667</v>
      </c>
      <c r="Y175" s="22" t="str">
        <f aca="false">IF(W175&gt;0,"Win",IF(W175&lt;0,"Loss","Flat"))</f>
        <v>Loss</v>
      </c>
      <c r="Z175" s="24" t="n">
        <f aca="false">Summary!$C$5+SUM(W$2:W175)</f>
        <v>2429.34</v>
      </c>
      <c r="AA175" s="24" t="n">
        <f aca="false">MAX(AA174,Z175)</f>
        <v>5026.73</v>
      </c>
      <c r="AB175" s="24" t="n">
        <f aca="false">AA175-Z175</f>
        <v>2597.39</v>
      </c>
      <c r="AC175" s="23" t="n">
        <f aca="false">IFERROR(AB175/AA175,0)</f>
        <v>0.516715638198192</v>
      </c>
      <c r="AD175" s="22" t="s">
        <v>370</v>
      </c>
    </row>
    <row r="176" customFormat="false" ht="15" hidden="false" customHeight="false" outlineLevel="0" collapsed="false">
      <c r="A176" s="22" t="n">
        <v>175</v>
      </c>
      <c r="B176" s="22" t="s">
        <v>127</v>
      </c>
      <c r="C176" s="37" t="n">
        <v>46042.2747916667</v>
      </c>
      <c r="D176" s="22" t="s">
        <v>163</v>
      </c>
      <c r="E176" s="22" t="n">
        <v>6</v>
      </c>
      <c r="F176" s="22" t="s">
        <v>142</v>
      </c>
      <c r="G176" s="22" t="s">
        <v>195</v>
      </c>
      <c r="H176" s="22" t="n">
        <v>0.16</v>
      </c>
      <c r="I176" s="38" t="n">
        <v>4690.27</v>
      </c>
      <c r="J176" s="38" t="n">
        <v>4690.272</v>
      </c>
      <c r="K176" s="39" t="n">
        <f aca="false">IF(F176="BUY",J176-I176,I176-J176)</f>
        <v>0.00199999999949796</v>
      </c>
      <c r="L176" s="38" t="n">
        <v>4688.77</v>
      </c>
      <c r="M176" s="39" t="n">
        <f aca="false">ABS(I176-L176)</f>
        <v>1.5</v>
      </c>
      <c r="N176" s="24" t="n">
        <f aca="false">M176*H176*Summary!$C$6</f>
        <v>24</v>
      </c>
      <c r="O176" s="37" t="n">
        <v>46042.2748148148</v>
      </c>
      <c r="P176" s="22" t="n">
        <f aca="false">ROUND((O176-C176)*86400,0)</f>
        <v>2</v>
      </c>
      <c r="Q176" s="22" t="str">
        <f aca="false">IF(P176&lt;10,"a) &lt;10s",IF(P176&lt;60,"b) 10-60s",IF(P176&lt;600,"c) 1-10min","d) &gt;10min")))</f>
        <v>a) &lt;10s</v>
      </c>
      <c r="R176" s="38" t="n">
        <v>4691.07</v>
      </c>
      <c r="S176" s="38" t="n">
        <v>4691.048</v>
      </c>
      <c r="T176" s="22" t="s">
        <v>149</v>
      </c>
      <c r="U176" s="39" t="n">
        <f aca="false">IF(R176="","",IF(F176="BUY",R176-S176,S176-R176))</f>
        <v>0.0219999999999345</v>
      </c>
      <c r="V176" s="39" t="n">
        <f aca="false">IF(F176="BUY",S176-J176,J176-S176)</f>
        <v>0.77599999999984</v>
      </c>
      <c r="W176" s="6" t="n">
        <v>12.42</v>
      </c>
      <c r="X176" s="26" t="n">
        <f aca="false">IFERROR(W176/N176,0)</f>
        <v>0.5175</v>
      </c>
      <c r="Y176" s="22" t="str">
        <f aca="false">IF(W176&gt;0,"Win",IF(W176&lt;0,"Loss","Flat"))</f>
        <v>Win</v>
      </c>
      <c r="Z176" s="24" t="n">
        <f aca="false">Summary!$C$5+SUM(W$2:W176)</f>
        <v>2441.76</v>
      </c>
      <c r="AA176" s="24" t="n">
        <f aca="false">MAX(AA175,Z176)</f>
        <v>5026.73</v>
      </c>
      <c r="AB176" s="24" t="n">
        <f aca="false">AA176-Z176</f>
        <v>2584.97</v>
      </c>
      <c r="AC176" s="23" t="n">
        <f aca="false">IFERROR(AB176/AA176,0)</f>
        <v>0.514244847047683</v>
      </c>
      <c r="AD176" s="22" t="s">
        <v>371</v>
      </c>
    </row>
    <row r="177" customFormat="false" ht="15" hidden="false" customHeight="false" outlineLevel="0" collapsed="false">
      <c r="A177" s="22" t="n">
        <v>176</v>
      </c>
      <c r="B177" s="22" t="s">
        <v>127</v>
      </c>
      <c r="C177" s="37" t="n">
        <v>46043.0722222222</v>
      </c>
      <c r="D177" s="22" t="s">
        <v>164</v>
      </c>
      <c r="E177" s="22" t="n">
        <v>1</v>
      </c>
      <c r="F177" s="22" t="s">
        <v>142</v>
      </c>
      <c r="G177" s="22" t="s">
        <v>195</v>
      </c>
      <c r="H177" s="22" t="n">
        <v>0.16</v>
      </c>
      <c r="I177" s="38" t="n">
        <v>4766.15</v>
      </c>
      <c r="J177" s="38" t="n">
        <v>4766.315</v>
      </c>
      <c r="K177" s="39" t="n">
        <f aca="false">IF(F177="BUY",J177-I177,I177-J177)</f>
        <v>0.164999999999964</v>
      </c>
      <c r="L177" s="38" t="n">
        <v>4764.65</v>
      </c>
      <c r="M177" s="39" t="n">
        <f aca="false">ABS(I177-L177)</f>
        <v>1.5</v>
      </c>
      <c r="N177" s="24" t="n">
        <f aca="false">M177*H177*Summary!$C$6</f>
        <v>24</v>
      </c>
      <c r="O177" s="37" t="n">
        <v>46043.072337963</v>
      </c>
      <c r="P177" s="22" t="n">
        <f aca="false">ROUND((O177-C177)*86400,0)</f>
        <v>10</v>
      </c>
      <c r="Q177" s="22" t="str">
        <f aca="false">IF(P177&lt;10,"a) &lt;10s",IF(P177&lt;60,"b) 10-60s",IF(P177&lt;600,"c) 1-10min","d) &gt;10min")))</f>
        <v>b) 10-60s</v>
      </c>
      <c r="R177" s="38" t="n">
        <v>4766.31</v>
      </c>
      <c r="S177" s="38" t="n">
        <v>4766.175</v>
      </c>
      <c r="T177" s="22" t="s">
        <v>149</v>
      </c>
      <c r="U177" s="39" t="n">
        <f aca="false">IF(R177="","",IF(F177="BUY",R177-S177,S177-R177))</f>
        <v>0.135000000000218</v>
      </c>
      <c r="V177" s="39" t="n">
        <f aca="false">IF(F177="BUY",S177-J177,J177-S177)</f>
        <v>-0.139999999999418</v>
      </c>
      <c r="W177" s="6" t="n">
        <v>-2.24</v>
      </c>
      <c r="X177" s="26" t="n">
        <f aca="false">IFERROR(W177/N177,0)</f>
        <v>-0.0933333333333333</v>
      </c>
      <c r="Y177" s="22" t="str">
        <f aca="false">IF(W177&gt;0,"Win",IF(W177&lt;0,"Loss","Flat"))</f>
        <v>Loss</v>
      </c>
      <c r="Z177" s="24" t="n">
        <f aca="false">Summary!$C$5+SUM(W$2:W177)</f>
        <v>2439.52</v>
      </c>
      <c r="AA177" s="24" t="n">
        <f aca="false">MAX(AA176,Z177)</f>
        <v>5026.73</v>
      </c>
      <c r="AB177" s="24" t="n">
        <f aca="false">AA177-Z177</f>
        <v>2587.21</v>
      </c>
      <c r="AC177" s="23" t="n">
        <f aca="false">IFERROR(AB177/AA177,0)</f>
        <v>0.514690464775311</v>
      </c>
      <c r="AD177" s="22" t="s">
        <v>372</v>
      </c>
    </row>
    <row r="178" customFormat="false" ht="15" hidden="false" customHeight="false" outlineLevel="0" collapsed="false">
      <c r="A178" s="22" t="n">
        <v>177</v>
      </c>
      <c r="B178" s="22" t="s">
        <v>127</v>
      </c>
      <c r="C178" s="37" t="n">
        <v>46044.8075694444</v>
      </c>
      <c r="D178" s="22" t="s">
        <v>165</v>
      </c>
      <c r="E178" s="22" t="n">
        <v>19</v>
      </c>
      <c r="F178" s="22" t="s">
        <v>142</v>
      </c>
      <c r="G178" s="22" t="s">
        <v>195</v>
      </c>
      <c r="H178" s="22" t="n">
        <v>0.16</v>
      </c>
      <c r="I178" s="38" t="n">
        <v>4888.08</v>
      </c>
      <c r="J178" s="38" t="n">
        <v>4888.265</v>
      </c>
      <c r="K178" s="39" t="n">
        <f aca="false">IF(F178="BUY",J178-I178,I178-J178)</f>
        <v>0.1850000000004</v>
      </c>
      <c r="L178" s="38" t="n">
        <v>4886.58</v>
      </c>
      <c r="M178" s="39" t="n">
        <f aca="false">ABS(I178-L178)</f>
        <v>1.5</v>
      </c>
      <c r="N178" s="24" t="n">
        <f aca="false">M178*H178*Summary!$C$6</f>
        <v>24</v>
      </c>
      <c r="O178" s="37" t="n">
        <v>46044.8075694444</v>
      </c>
      <c r="P178" s="22" t="n">
        <f aca="false">ROUND((O178-C178)*86400,0)</f>
        <v>0</v>
      </c>
      <c r="Q178" s="22" t="str">
        <f aca="false">IF(P178&lt;10,"a) &lt;10s",IF(P178&lt;60,"b) 10-60s",IF(P178&lt;600,"c) 1-10min","d) &gt;10min")))</f>
        <v>a) &lt;10s</v>
      </c>
      <c r="R178" s="38" t="n">
        <v>4886.58</v>
      </c>
      <c r="S178" s="38" t="n">
        <v>4886.228</v>
      </c>
      <c r="T178" s="22" t="s">
        <v>148</v>
      </c>
      <c r="U178" s="39" t="n">
        <f aca="false">IF(R178="","",IF(F178="BUY",R178-S178,S178-R178))</f>
        <v>0.351999999999862</v>
      </c>
      <c r="V178" s="39" t="n">
        <f aca="false">IF(F178="BUY",S178-J178,J178-S178)</f>
        <v>-2.03700000000026</v>
      </c>
      <c r="W178" s="6" t="n">
        <v>-32.59</v>
      </c>
      <c r="X178" s="26" t="n">
        <f aca="false">IFERROR(W178/N178,0)</f>
        <v>-1.35791666666667</v>
      </c>
      <c r="Y178" s="22" t="str">
        <f aca="false">IF(W178&gt;0,"Win",IF(W178&lt;0,"Loss","Flat"))</f>
        <v>Loss</v>
      </c>
      <c r="Z178" s="24" t="n">
        <f aca="false">Summary!$C$5+SUM(W$2:W178)</f>
        <v>2406.93</v>
      </c>
      <c r="AA178" s="24" t="n">
        <f aca="false">MAX(AA177,Z178)</f>
        <v>5026.73</v>
      </c>
      <c r="AB178" s="24" t="n">
        <f aca="false">AA178-Z178</f>
        <v>2619.8</v>
      </c>
      <c r="AC178" s="23" t="n">
        <f aca="false">IFERROR(AB178/AA178,0)</f>
        <v>0.521173804839329</v>
      </c>
      <c r="AD178" s="22" t="s">
        <v>373</v>
      </c>
    </row>
    <row r="179" customFormat="false" ht="15" hidden="false" customHeight="false" outlineLevel="0" collapsed="false">
      <c r="A179" s="22" t="n">
        <v>178</v>
      </c>
      <c r="B179" s="22" t="s">
        <v>127</v>
      </c>
      <c r="C179" s="37" t="n">
        <v>46049.9190393519</v>
      </c>
      <c r="D179" s="22" t="s">
        <v>163</v>
      </c>
      <c r="E179" s="22" t="n">
        <v>22</v>
      </c>
      <c r="F179" s="22" t="s">
        <v>142</v>
      </c>
      <c r="G179" s="22" t="s">
        <v>195</v>
      </c>
      <c r="H179" s="22" t="n">
        <v>0.16</v>
      </c>
      <c r="I179" s="38" t="n">
        <v>5110.89</v>
      </c>
      <c r="J179" s="38" t="n">
        <v>5110.985</v>
      </c>
      <c r="K179" s="39" t="n">
        <f aca="false">IF(F179="BUY",J179-I179,I179-J179)</f>
        <v>0.0949999999993452</v>
      </c>
      <c r="L179" s="38" t="n">
        <v>5109.39</v>
      </c>
      <c r="M179" s="39" t="n">
        <f aca="false">ABS(I179-L179)</f>
        <v>1.5</v>
      </c>
      <c r="N179" s="24" t="n">
        <f aca="false">M179*H179*Summary!$C$6</f>
        <v>24</v>
      </c>
      <c r="O179" s="37" t="n">
        <v>46049.9190393519</v>
      </c>
      <c r="P179" s="22" t="n">
        <f aca="false">ROUND((O179-C179)*86400,0)</f>
        <v>0</v>
      </c>
      <c r="Q179" s="22" t="str">
        <f aca="false">IF(P179&lt;10,"a) &lt;10s",IF(P179&lt;60,"b) 10-60s",IF(P179&lt;600,"c) 1-10min","d) &gt;10min")))</f>
        <v>a) &lt;10s</v>
      </c>
      <c r="R179" s="38"/>
      <c r="S179" s="38" t="n">
        <v>5110.995</v>
      </c>
      <c r="T179" s="22" t="s">
        <v>151</v>
      </c>
      <c r="U179" s="39" t="str">
        <f aca="false">IF(R179="","",IF(F179="BUY",R179-S179,S179-R179))</f>
        <v/>
      </c>
      <c r="V179" s="39" t="n">
        <f aca="false">IF(F179="BUY",S179-J179,J179-S179)</f>
        <v>0.0100000000002183</v>
      </c>
      <c r="W179" s="6" t="n">
        <v>0.16</v>
      </c>
      <c r="X179" s="26" t="n">
        <f aca="false">IFERROR(W179/N179,0)</f>
        <v>0.00666666666666667</v>
      </c>
      <c r="Y179" s="22" t="str">
        <f aca="false">IF(W179&gt;0,"Win",IF(W179&lt;0,"Loss","Flat"))</f>
        <v>Win</v>
      </c>
      <c r="Z179" s="24" t="n">
        <f aca="false">Summary!$C$5+SUM(W$2:W179)</f>
        <v>2407.09</v>
      </c>
      <c r="AA179" s="24" t="n">
        <f aca="false">MAX(AA178,Z179)</f>
        <v>5026.73</v>
      </c>
      <c r="AB179" s="24" t="n">
        <f aca="false">AA179-Z179</f>
        <v>2619.64</v>
      </c>
      <c r="AC179" s="23" t="n">
        <f aca="false">IFERROR(AB179/AA179,0)</f>
        <v>0.521141975001641</v>
      </c>
      <c r="AD179" s="22" t="s">
        <v>374</v>
      </c>
    </row>
    <row r="180" customFormat="false" ht="15" hidden="false" customHeight="false" outlineLevel="0" collapsed="false">
      <c r="A180" s="22" t="n">
        <v>179</v>
      </c>
      <c r="B180" s="22" t="s">
        <v>127</v>
      </c>
      <c r="C180" s="37" t="n">
        <v>46050.1296412037</v>
      </c>
      <c r="D180" s="22" t="s">
        <v>164</v>
      </c>
      <c r="E180" s="22" t="n">
        <v>3</v>
      </c>
      <c r="F180" s="22" t="s">
        <v>142</v>
      </c>
      <c r="G180" s="22" t="s">
        <v>195</v>
      </c>
      <c r="H180" s="22" t="n">
        <v>0.16</v>
      </c>
      <c r="I180" s="38" t="n">
        <v>5190.23</v>
      </c>
      <c r="J180" s="38" t="n">
        <v>5191.325</v>
      </c>
      <c r="K180" s="39" t="n">
        <f aca="false">IF(F180="BUY",J180-I180,I180-J180)</f>
        <v>1.09500000000025</v>
      </c>
      <c r="L180" s="38" t="n">
        <v>5188.73</v>
      </c>
      <c r="M180" s="39" t="n">
        <f aca="false">ABS(I180-L180)</f>
        <v>1.5</v>
      </c>
      <c r="N180" s="24" t="n">
        <f aca="false">M180*H180*Summary!$C$6</f>
        <v>24</v>
      </c>
      <c r="O180" s="37" t="n">
        <v>46050.1296527778</v>
      </c>
      <c r="P180" s="22" t="n">
        <f aca="false">ROUND((O180-C180)*86400,0)</f>
        <v>1</v>
      </c>
      <c r="Q180" s="22" t="str">
        <f aca="false">IF(P180&lt;10,"a) &lt;10s",IF(P180&lt;60,"b) 10-60s",IF(P180&lt;600,"c) 1-10min","d) &gt;10min")))</f>
        <v>a) &lt;10s</v>
      </c>
      <c r="R180" s="38" t="n">
        <v>5191.3</v>
      </c>
      <c r="S180" s="38" t="n">
        <v>5191.215</v>
      </c>
      <c r="T180" s="22" t="s">
        <v>149</v>
      </c>
      <c r="U180" s="39" t="n">
        <f aca="false">IF(R180="","",IF(F180="BUY",R180-S180,S180-R180))</f>
        <v>0.0850000000000364</v>
      </c>
      <c r="V180" s="39" t="n">
        <f aca="false">IF(F180="BUY",S180-J180,J180-S180)</f>
        <v>-0.109999999999673</v>
      </c>
      <c r="W180" s="6" t="n">
        <v>-1.76</v>
      </c>
      <c r="X180" s="26" t="n">
        <f aca="false">IFERROR(W180/N180,0)</f>
        <v>-0.0733333333333333</v>
      </c>
      <c r="Y180" s="22" t="str">
        <f aca="false">IF(W180&gt;0,"Win",IF(W180&lt;0,"Loss","Flat"))</f>
        <v>Loss</v>
      </c>
      <c r="Z180" s="24" t="n">
        <f aca="false">Summary!$C$5+SUM(W$2:W180)</f>
        <v>2405.33</v>
      </c>
      <c r="AA180" s="24" t="n">
        <f aca="false">MAX(AA179,Z180)</f>
        <v>5026.73</v>
      </c>
      <c r="AB180" s="24" t="n">
        <f aca="false">AA180-Z180</f>
        <v>2621.4</v>
      </c>
      <c r="AC180" s="23" t="n">
        <f aca="false">IFERROR(AB180/AA180,0)</f>
        <v>0.521492103216206</v>
      </c>
      <c r="AD180" s="22" t="s">
        <v>375</v>
      </c>
    </row>
    <row r="181" customFormat="false" ht="15" hidden="false" customHeight="false" outlineLevel="0" collapsed="false">
      <c r="A181" s="22" t="n">
        <v>180</v>
      </c>
      <c r="B181" s="22" t="s">
        <v>127</v>
      </c>
      <c r="C181" s="37" t="n">
        <v>46051.7276736111</v>
      </c>
      <c r="D181" s="22" t="s">
        <v>165</v>
      </c>
      <c r="E181" s="22" t="n">
        <v>17</v>
      </c>
      <c r="F181" s="22" t="s">
        <v>143</v>
      </c>
      <c r="G181" s="22" t="s">
        <v>197</v>
      </c>
      <c r="H181" s="22" t="n">
        <v>0.16</v>
      </c>
      <c r="I181" s="38" t="n">
        <v>5157.11</v>
      </c>
      <c r="J181" s="38" t="n">
        <v>5152.048</v>
      </c>
      <c r="K181" s="39" t="n">
        <f aca="false">IF(F181="BUY",J181-I181,I181-J181)</f>
        <v>5.0619999999999</v>
      </c>
      <c r="L181" s="38" t="n">
        <v>5158.61</v>
      </c>
      <c r="M181" s="39" t="n">
        <f aca="false">ABS(I181-L181)</f>
        <v>1.5</v>
      </c>
      <c r="N181" s="24" t="n">
        <f aca="false">M181*H181*Summary!$C$6</f>
        <v>24</v>
      </c>
      <c r="O181" s="37" t="n">
        <v>46051.7276736111</v>
      </c>
      <c r="P181" s="22" t="n">
        <f aca="false">ROUND((O181-C181)*86400,0)</f>
        <v>0</v>
      </c>
      <c r="Q181" s="22" t="str">
        <f aca="false">IF(P181&lt;10,"a) &lt;10s",IF(P181&lt;60,"b) 10-60s",IF(P181&lt;600,"c) 1-10min","d) &gt;10min")))</f>
        <v>a) &lt;10s</v>
      </c>
      <c r="R181" s="38"/>
      <c r="S181" s="38" t="n">
        <v>5156.012</v>
      </c>
      <c r="T181" s="22" t="s">
        <v>151</v>
      </c>
      <c r="U181" s="39" t="str">
        <f aca="false">IF(R181="","",IF(F181="BUY",R181-S181,S181-R181))</f>
        <v/>
      </c>
      <c r="V181" s="39" t="n">
        <f aca="false">IF(F181="BUY",S181-J181,J181-S181)</f>
        <v>-3.96399999999994</v>
      </c>
      <c r="W181" s="6" t="n">
        <v>-63.42</v>
      </c>
      <c r="X181" s="26" t="n">
        <f aca="false">IFERROR(W181/N181,0)</f>
        <v>-2.6425</v>
      </c>
      <c r="Y181" s="22" t="str">
        <f aca="false">IF(W181&gt;0,"Win",IF(W181&lt;0,"Loss","Flat"))</f>
        <v>Loss</v>
      </c>
      <c r="Z181" s="24" t="n">
        <f aca="false">Summary!$C$5+SUM(W$2:W181)</f>
        <v>2341.91</v>
      </c>
      <c r="AA181" s="24" t="n">
        <f aca="false">MAX(AA180,Z181)</f>
        <v>5026.73</v>
      </c>
      <c r="AB181" s="24" t="n">
        <f aca="false">AA181-Z181</f>
        <v>2684.82</v>
      </c>
      <c r="AC181" s="23" t="n">
        <f aca="false">IFERROR(AB181/AA181,0)</f>
        <v>0.534108655129677</v>
      </c>
      <c r="AD181" s="22" t="s">
        <v>376</v>
      </c>
    </row>
    <row r="182" customFormat="false" ht="15" hidden="false" customHeight="false" outlineLevel="0" collapsed="false">
      <c r="A182" s="22" t="n">
        <v>181</v>
      </c>
      <c r="B182" s="22" t="s">
        <v>127</v>
      </c>
      <c r="C182" s="37" t="n">
        <v>46052.4399074074</v>
      </c>
      <c r="D182" s="22" t="s">
        <v>166</v>
      </c>
      <c r="E182" s="22" t="n">
        <v>10</v>
      </c>
      <c r="F182" s="22" t="s">
        <v>143</v>
      </c>
      <c r="G182" s="22" t="s">
        <v>197</v>
      </c>
      <c r="H182" s="22" t="n">
        <v>0.15</v>
      </c>
      <c r="I182" s="38" t="n">
        <v>5098.77</v>
      </c>
      <c r="J182" s="38" t="n">
        <v>5096.375</v>
      </c>
      <c r="K182" s="39" t="n">
        <f aca="false">IF(F182="BUY",J182-I182,I182-J182)</f>
        <v>2.39500000000044</v>
      </c>
      <c r="L182" s="38" t="n">
        <v>5100.27</v>
      </c>
      <c r="M182" s="39" t="n">
        <f aca="false">ABS(I182-L182)</f>
        <v>1.5</v>
      </c>
      <c r="N182" s="24" t="n">
        <f aca="false">M182*H182*Summary!$C$6</f>
        <v>22.5</v>
      </c>
      <c r="O182" s="37" t="n">
        <v>46052.4402893519</v>
      </c>
      <c r="P182" s="22" t="n">
        <f aca="false">ROUND((O182-C182)*86400,0)</f>
        <v>33</v>
      </c>
      <c r="Q182" s="22" t="str">
        <f aca="false">IF(P182&lt;10,"a) &lt;10s",IF(P182&lt;60,"b) 10-60s",IF(P182&lt;600,"c) 1-10min","d) &gt;10min")))</f>
        <v>b) 10-60s</v>
      </c>
      <c r="R182" s="38" t="n">
        <v>5064.4</v>
      </c>
      <c r="S182" s="38" t="n">
        <v>5067.702</v>
      </c>
      <c r="T182" s="22" t="s">
        <v>149</v>
      </c>
      <c r="U182" s="39" t="n">
        <f aca="false">IF(R182="","",IF(F182="BUY",R182-S182,S182-R182))</f>
        <v>3.30200000000059</v>
      </c>
      <c r="V182" s="39" t="n">
        <f aca="false">IF(F182="BUY",S182-J182,J182-S182)</f>
        <v>28.6729999999998</v>
      </c>
      <c r="W182" s="6" t="n">
        <v>430.1</v>
      </c>
      <c r="X182" s="26" t="n">
        <f aca="false">IFERROR(W182/N182,0)</f>
        <v>19.1155555555556</v>
      </c>
      <c r="Y182" s="22" t="str">
        <f aca="false">IF(W182&gt;0,"Win",IF(W182&lt;0,"Loss","Flat"))</f>
        <v>Win</v>
      </c>
      <c r="Z182" s="24" t="n">
        <f aca="false">Summary!$C$5+SUM(W$2:W182)</f>
        <v>2772.01</v>
      </c>
      <c r="AA182" s="24" t="n">
        <f aca="false">MAX(AA181,Z182)</f>
        <v>5026.73</v>
      </c>
      <c r="AB182" s="24" t="n">
        <f aca="false">AA182-Z182</f>
        <v>2254.72</v>
      </c>
      <c r="AC182" s="23" t="n">
        <f aca="false">IFERROR(AB182/AA182,0)</f>
        <v>0.44854607269537</v>
      </c>
      <c r="AD182" s="22" t="s">
        <v>377</v>
      </c>
    </row>
    <row r="183" customFormat="false" ht="15" hidden="false" customHeight="false" outlineLevel="0" collapsed="false">
      <c r="A183" s="22" t="n">
        <v>182</v>
      </c>
      <c r="B183" s="22" t="s">
        <v>128</v>
      </c>
      <c r="C183" s="37" t="n">
        <v>46055.1315277778</v>
      </c>
      <c r="D183" s="22" t="s">
        <v>162</v>
      </c>
      <c r="E183" s="22" t="n">
        <v>3</v>
      </c>
      <c r="F183" s="22" t="s">
        <v>143</v>
      </c>
      <c r="G183" s="22" t="s">
        <v>197</v>
      </c>
      <c r="H183" s="22" t="n">
        <v>0.18</v>
      </c>
      <c r="I183" s="38" t="n">
        <v>4679.73</v>
      </c>
      <c r="J183" s="38" t="n">
        <v>4670.995</v>
      </c>
      <c r="K183" s="39" t="n">
        <f aca="false">IF(F183="BUY",J183-I183,I183-J183)</f>
        <v>8.73499999999967</v>
      </c>
      <c r="L183" s="38" t="n">
        <v>4681.23</v>
      </c>
      <c r="M183" s="39" t="n">
        <f aca="false">ABS(I183-L183)</f>
        <v>1.5</v>
      </c>
      <c r="N183" s="24" t="n">
        <f aca="false">M183*H183*Summary!$C$6</f>
        <v>27</v>
      </c>
      <c r="O183" s="37" t="n">
        <v>46055.1315393519</v>
      </c>
      <c r="P183" s="22" t="n">
        <f aca="false">ROUND((O183-C183)*86400,0)</f>
        <v>1</v>
      </c>
      <c r="Q183" s="22" t="str">
        <f aca="false">IF(P183&lt;10,"a) &lt;10s",IF(P183&lt;60,"b) 10-60s",IF(P183&lt;600,"c) 1-10min","d) &gt;10min")))</f>
        <v>a) &lt;10s</v>
      </c>
      <c r="R183" s="38"/>
      <c r="S183" s="38" t="n">
        <v>4678.145</v>
      </c>
      <c r="T183" s="22" t="s">
        <v>151</v>
      </c>
      <c r="U183" s="39" t="str">
        <f aca="false">IF(R183="","",IF(F183="BUY",R183-S183,S183-R183))</f>
        <v/>
      </c>
      <c r="V183" s="39" t="n">
        <f aca="false">IF(F183="BUY",S183-J183,J183-S183)</f>
        <v>-7.15000000000055</v>
      </c>
      <c r="W183" s="6" t="n">
        <v>-128.7</v>
      </c>
      <c r="X183" s="26" t="n">
        <f aca="false">IFERROR(W183/N183,0)</f>
        <v>-4.76666666666667</v>
      </c>
      <c r="Y183" s="22" t="str">
        <f aca="false">IF(W183&gt;0,"Win",IF(W183&lt;0,"Loss","Flat"))</f>
        <v>Loss</v>
      </c>
      <c r="Z183" s="24" t="n">
        <f aca="false">Summary!$C$5+SUM(W$2:W183)</f>
        <v>2643.31</v>
      </c>
      <c r="AA183" s="24" t="n">
        <f aca="false">MAX(AA182,Z183)</f>
        <v>5026.73</v>
      </c>
      <c r="AB183" s="24" t="n">
        <f aca="false">AA183-Z183</f>
        <v>2383.42</v>
      </c>
      <c r="AC183" s="23" t="n">
        <f aca="false">IFERROR(AB183/AA183,0)</f>
        <v>0.474149198385431</v>
      </c>
      <c r="AD183" s="22" t="s">
        <v>378</v>
      </c>
    </row>
    <row r="184" customFormat="false" ht="15" hidden="false" customHeight="false" outlineLevel="0" collapsed="false">
      <c r="A184" s="22" t="n">
        <v>183</v>
      </c>
      <c r="B184" s="22" t="s">
        <v>128</v>
      </c>
      <c r="C184" s="37" t="n">
        <v>46056.3617013889</v>
      </c>
      <c r="D184" s="22" t="s">
        <v>163</v>
      </c>
      <c r="E184" s="22" t="n">
        <v>8</v>
      </c>
      <c r="F184" s="22" t="s">
        <v>142</v>
      </c>
      <c r="G184" s="22" t="s">
        <v>195</v>
      </c>
      <c r="H184" s="22" t="n">
        <v>0.17</v>
      </c>
      <c r="I184" s="38" t="n">
        <v>4884.25</v>
      </c>
      <c r="J184" s="38" t="n">
        <v>4886.555</v>
      </c>
      <c r="K184" s="39" t="n">
        <f aca="false">IF(F184="BUY",J184-I184,I184-J184)</f>
        <v>2.30500000000029</v>
      </c>
      <c r="L184" s="38" t="n">
        <v>4882.75</v>
      </c>
      <c r="M184" s="39" t="n">
        <f aca="false">ABS(I184-L184)</f>
        <v>1.5</v>
      </c>
      <c r="N184" s="24" t="n">
        <f aca="false">M184*H184*Summary!$C$6</f>
        <v>25.5</v>
      </c>
      <c r="O184" s="37" t="n">
        <v>46056.3617013889</v>
      </c>
      <c r="P184" s="22" t="n">
        <f aca="false">ROUND((O184-C184)*86400,0)</f>
        <v>0</v>
      </c>
      <c r="Q184" s="22" t="str">
        <f aca="false">IF(P184&lt;10,"a) &lt;10s",IF(P184&lt;60,"b) 10-60s",IF(P184&lt;600,"c) 1-10min","d) &gt;10min")))</f>
        <v>a) &lt;10s</v>
      </c>
      <c r="R184" s="38"/>
      <c r="S184" s="38" t="n">
        <v>4883.388</v>
      </c>
      <c r="T184" s="22" t="s">
        <v>151</v>
      </c>
      <c r="U184" s="39" t="str">
        <f aca="false">IF(R184="","",IF(F184="BUY",R184-S184,S184-R184))</f>
        <v/>
      </c>
      <c r="V184" s="39" t="n">
        <f aca="false">IF(F184="BUY",S184-J184,J184-S184)</f>
        <v>-3.16700000000037</v>
      </c>
      <c r="W184" s="6" t="n">
        <v>-53.84</v>
      </c>
      <c r="X184" s="26" t="n">
        <f aca="false">IFERROR(W184/N184,0)</f>
        <v>-2.11137254901961</v>
      </c>
      <c r="Y184" s="22" t="str">
        <f aca="false">IF(W184&gt;0,"Win",IF(W184&lt;0,"Loss","Flat"))</f>
        <v>Loss</v>
      </c>
      <c r="Z184" s="24" t="n">
        <f aca="false">Summary!$C$5+SUM(W$2:W184)</f>
        <v>2589.47</v>
      </c>
      <c r="AA184" s="24" t="n">
        <f aca="false">MAX(AA183,Z184)</f>
        <v>5026.73</v>
      </c>
      <c r="AB184" s="24" t="n">
        <f aca="false">AA184-Z184</f>
        <v>2437.26</v>
      </c>
      <c r="AC184" s="23" t="n">
        <f aca="false">IFERROR(AB184/AA184,0)</f>
        <v>0.48485993876735</v>
      </c>
      <c r="AD184" s="22" t="s">
        <v>379</v>
      </c>
    </row>
    <row r="185" customFormat="false" ht="15" hidden="false" customHeight="false" outlineLevel="0" collapsed="false">
      <c r="A185" s="22" t="n">
        <v>184</v>
      </c>
      <c r="B185" s="22" t="s">
        <v>128</v>
      </c>
      <c r="C185" s="37" t="n">
        <v>46057.0942939815</v>
      </c>
      <c r="D185" s="22" t="s">
        <v>164</v>
      </c>
      <c r="E185" s="22" t="n">
        <v>2</v>
      </c>
      <c r="F185" s="22" t="s">
        <v>142</v>
      </c>
      <c r="G185" s="22" t="s">
        <v>195</v>
      </c>
      <c r="H185" s="22" t="n">
        <v>0.17</v>
      </c>
      <c r="I185" s="38" t="n">
        <v>4993.46</v>
      </c>
      <c r="J185" s="38" t="n">
        <v>4993.945</v>
      </c>
      <c r="K185" s="39" t="n">
        <f aca="false">IF(F185="BUY",J185-I185,I185-J185)</f>
        <v>0.484999999999673</v>
      </c>
      <c r="L185" s="38" t="n">
        <v>4991.96</v>
      </c>
      <c r="M185" s="39" t="n">
        <f aca="false">ABS(I185-L185)</f>
        <v>1.5</v>
      </c>
      <c r="N185" s="24" t="n">
        <f aca="false">M185*H185*Summary!$C$6</f>
        <v>25.5</v>
      </c>
      <c r="O185" s="37" t="n">
        <v>46057.0943865741</v>
      </c>
      <c r="P185" s="22" t="n">
        <f aca="false">ROUND((O185-C185)*86400,0)</f>
        <v>8</v>
      </c>
      <c r="Q185" s="22" t="str">
        <f aca="false">IF(P185&lt;10,"a) &lt;10s",IF(P185&lt;60,"b) 10-60s",IF(P185&lt;600,"c) 1-10min","d) &gt;10min")))</f>
        <v>a) &lt;10s</v>
      </c>
      <c r="R185" s="38" t="n">
        <v>4991.96</v>
      </c>
      <c r="S185" s="38" t="n">
        <v>4991.705</v>
      </c>
      <c r="T185" s="22" t="s">
        <v>148</v>
      </c>
      <c r="U185" s="39" t="n">
        <f aca="false">IF(R185="","",IF(F185="BUY",R185-S185,S185-R185))</f>
        <v>0.255000000000109</v>
      </c>
      <c r="V185" s="39" t="n">
        <f aca="false">IF(F185="BUY",S185-J185,J185-S185)</f>
        <v>-2.23999999999978</v>
      </c>
      <c r="W185" s="6" t="n">
        <v>-38.08</v>
      </c>
      <c r="X185" s="26" t="n">
        <f aca="false">IFERROR(W185/N185,0)</f>
        <v>-1.49333333333333</v>
      </c>
      <c r="Y185" s="22" t="str">
        <f aca="false">IF(W185&gt;0,"Win",IF(W185&lt;0,"Loss","Flat"))</f>
        <v>Loss</v>
      </c>
      <c r="Z185" s="24" t="n">
        <f aca="false">Summary!$C$5+SUM(W$2:W185)</f>
        <v>2551.39</v>
      </c>
      <c r="AA185" s="24" t="n">
        <f aca="false">MAX(AA184,Z185)</f>
        <v>5026.73</v>
      </c>
      <c r="AB185" s="24" t="n">
        <f aca="false">AA185-Z185</f>
        <v>2475.34</v>
      </c>
      <c r="AC185" s="23" t="n">
        <f aca="false">IFERROR(AB185/AA185,0)</f>
        <v>0.492435440137027</v>
      </c>
      <c r="AD185" s="22" t="s">
        <v>380</v>
      </c>
    </row>
    <row r="186" customFormat="false" ht="15" hidden="false" customHeight="false" outlineLevel="0" collapsed="false">
      <c r="A186" s="22" t="n">
        <v>185</v>
      </c>
      <c r="B186" s="22" t="s">
        <v>128</v>
      </c>
      <c r="C186" s="37" t="n">
        <v>46058.1998611111</v>
      </c>
      <c r="D186" s="22" t="s">
        <v>165</v>
      </c>
      <c r="E186" s="22" t="n">
        <v>4</v>
      </c>
      <c r="F186" s="22" t="s">
        <v>143</v>
      </c>
      <c r="G186" s="22" t="s">
        <v>197</v>
      </c>
      <c r="H186" s="22" t="n">
        <v>0.17</v>
      </c>
      <c r="I186" s="38" t="n">
        <v>4844.17</v>
      </c>
      <c r="J186" s="38" t="n">
        <v>4838.785</v>
      </c>
      <c r="K186" s="39" t="n">
        <f aca="false">IF(F186="BUY",J186-I186,I186-J186)</f>
        <v>5.38500000000022</v>
      </c>
      <c r="L186" s="38" t="n">
        <v>4845.67</v>
      </c>
      <c r="M186" s="39" t="n">
        <f aca="false">ABS(I186-L186)</f>
        <v>1.5</v>
      </c>
      <c r="N186" s="24" t="n">
        <f aca="false">M186*H186*Summary!$C$6</f>
        <v>25.5</v>
      </c>
      <c r="O186" s="37" t="n">
        <v>46058.1998611111</v>
      </c>
      <c r="P186" s="22" t="n">
        <f aca="false">ROUND((O186-C186)*86400,0)</f>
        <v>0</v>
      </c>
      <c r="Q186" s="22" t="str">
        <f aca="false">IF(P186&lt;10,"a) &lt;10s",IF(P186&lt;60,"b) 10-60s",IF(P186&lt;600,"c) 1-10min","d) &gt;10min")))</f>
        <v>a) &lt;10s</v>
      </c>
      <c r="R186" s="38" t="n">
        <v>4845.67</v>
      </c>
      <c r="S186" s="38" t="n">
        <v>4852.595</v>
      </c>
      <c r="T186" s="22" t="s">
        <v>148</v>
      </c>
      <c r="U186" s="39" t="n">
        <f aca="false">IF(R186="","",IF(F186="BUY",R186-S186,S186-R186))</f>
        <v>6.92500000000018</v>
      </c>
      <c r="V186" s="39" t="n">
        <f aca="false">IF(F186="BUY",S186-J186,J186-S186)</f>
        <v>-13.8100000000004</v>
      </c>
      <c r="W186" s="6" t="n">
        <v>-234.77</v>
      </c>
      <c r="X186" s="26" t="n">
        <f aca="false">IFERROR(W186/N186,0)</f>
        <v>-9.20666666666667</v>
      </c>
      <c r="Y186" s="22" t="str">
        <f aca="false">IF(W186&gt;0,"Win",IF(W186&lt;0,"Loss","Flat"))</f>
        <v>Loss</v>
      </c>
      <c r="Z186" s="24" t="n">
        <f aca="false">Summary!$C$5+SUM(W$2:W186)</f>
        <v>2316.62</v>
      </c>
      <c r="AA186" s="24" t="n">
        <f aca="false">MAX(AA185,Z186)</f>
        <v>5026.73</v>
      </c>
      <c r="AB186" s="24" t="n">
        <f aca="false">AA186-Z186</f>
        <v>2710.11</v>
      </c>
      <c r="AC186" s="23" t="n">
        <f aca="false">IFERROR(AB186/AA186,0)</f>
        <v>0.539139758849192</v>
      </c>
      <c r="AD186" s="22" t="s">
        <v>381</v>
      </c>
    </row>
    <row r="187" customFormat="false" ht="15" hidden="false" customHeight="false" outlineLevel="0" collapsed="false">
      <c r="A187" s="22" t="n">
        <v>186</v>
      </c>
      <c r="B187" s="22" t="s">
        <v>128</v>
      </c>
      <c r="C187" s="37" t="n">
        <v>46059.0568518519</v>
      </c>
      <c r="D187" s="22" t="s">
        <v>166</v>
      </c>
      <c r="E187" s="22" t="n">
        <v>1</v>
      </c>
      <c r="F187" s="22" t="s">
        <v>143</v>
      </c>
      <c r="G187" s="22" t="s">
        <v>197</v>
      </c>
      <c r="H187" s="22" t="n">
        <v>0.15</v>
      </c>
      <c r="I187" s="38" t="n">
        <v>4759.36</v>
      </c>
      <c r="J187" s="38" t="n">
        <v>4759.205</v>
      </c>
      <c r="K187" s="39" t="n">
        <f aca="false">IF(F187="BUY",J187-I187,I187-J187)</f>
        <v>0.154999999999745</v>
      </c>
      <c r="L187" s="38" t="n">
        <v>4760.86</v>
      </c>
      <c r="M187" s="39" t="n">
        <f aca="false">ABS(I187-L187)</f>
        <v>1.5</v>
      </c>
      <c r="N187" s="24" t="n">
        <f aca="false">M187*H187*Summary!$C$6</f>
        <v>22.5</v>
      </c>
      <c r="O187" s="37" t="n">
        <v>46059.0568865741</v>
      </c>
      <c r="P187" s="22" t="n">
        <f aca="false">ROUND((O187-C187)*86400,0)</f>
        <v>3</v>
      </c>
      <c r="Q187" s="22" t="str">
        <f aca="false">IF(P187&lt;10,"a) &lt;10s",IF(P187&lt;60,"b) 10-60s",IF(P187&lt;600,"c) 1-10min","d) &gt;10min")))</f>
        <v>a) &lt;10s</v>
      </c>
      <c r="R187" s="38" t="n">
        <v>4760.86</v>
      </c>
      <c r="S187" s="38" t="n">
        <v>4760.865</v>
      </c>
      <c r="T187" s="22" t="s">
        <v>148</v>
      </c>
      <c r="U187" s="39" t="n">
        <f aca="false">IF(R187="","",IF(F187="BUY",R187-S187,S187-R187))</f>
        <v>0.00500000000010914</v>
      </c>
      <c r="V187" s="39" t="n">
        <f aca="false">IF(F187="BUY",S187-J187,J187-S187)</f>
        <v>-1.65999999999985</v>
      </c>
      <c r="W187" s="6" t="n">
        <v>-24.9</v>
      </c>
      <c r="X187" s="26" t="n">
        <f aca="false">IFERROR(W187/N187,0)</f>
        <v>-1.10666666666667</v>
      </c>
      <c r="Y187" s="22" t="str">
        <f aca="false">IF(W187&gt;0,"Win",IF(W187&lt;0,"Loss","Flat"))</f>
        <v>Loss</v>
      </c>
      <c r="Z187" s="24" t="n">
        <f aca="false">Summary!$C$5+SUM(W$2:W187)</f>
        <v>2291.72</v>
      </c>
      <c r="AA187" s="24" t="n">
        <f aca="false">MAX(AA186,Z187)</f>
        <v>5026.73</v>
      </c>
      <c r="AB187" s="24" t="n">
        <f aca="false">AA187-Z187</f>
        <v>2735.01</v>
      </c>
      <c r="AC187" s="23" t="n">
        <f aca="false">IFERROR(AB187/AA187,0)</f>
        <v>0.544093277339344</v>
      </c>
      <c r="AD187" s="22" t="s">
        <v>382</v>
      </c>
    </row>
    <row r="188" customFormat="false" ht="15" hidden="false" customHeight="false" outlineLevel="0" collapsed="false">
      <c r="A188" s="22" t="n">
        <v>187</v>
      </c>
      <c r="B188" s="22" t="s">
        <v>128</v>
      </c>
      <c r="C188" s="37" t="n">
        <v>46064.5283796296</v>
      </c>
      <c r="D188" s="22" t="s">
        <v>164</v>
      </c>
      <c r="E188" s="22" t="n">
        <v>12</v>
      </c>
      <c r="F188" s="22" t="s">
        <v>142</v>
      </c>
      <c r="G188" s="22" t="s">
        <v>195</v>
      </c>
      <c r="H188" s="22" t="n">
        <v>0.15</v>
      </c>
      <c r="I188" s="38" t="n">
        <v>5078.48</v>
      </c>
      <c r="J188" s="38" t="n">
        <v>5083.025</v>
      </c>
      <c r="K188" s="39" t="n">
        <f aca="false">IF(F188="BUY",J188-I188,I188-J188)</f>
        <v>4.54500000000007</v>
      </c>
      <c r="L188" s="38" t="n">
        <v>5076.98</v>
      </c>
      <c r="M188" s="39" t="n">
        <f aca="false">ABS(I188-L188)</f>
        <v>1.5</v>
      </c>
      <c r="N188" s="24" t="n">
        <f aca="false">M188*H188*Summary!$C$6</f>
        <v>22.5</v>
      </c>
      <c r="O188" s="37" t="n">
        <v>46064.5283796296</v>
      </c>
      <c r="P188" s="22" t="n">
        <f aca="false">ROUND((O188-C188)*86400,0)</f>
        <v>0</v>
      </c>
      <c r="Q188" s="22" t="str">
        <f aca="false">IF(P188&lt;10,"a) &lt;10s",IF(P188&lt;60,"b) 10-60s",IF(P188&lt;600,"c) 1-10min","d) &gt;10min")))</f>
        <v>a) &lt;10s</v>
      </c>
      <c r="R188" s="38"/>
      <c r="S188" s="38" t="n">
        <v>5079.098</v>
      </c>
      <c r="T188" s="22" t="s">
        <v>151</v>
      </c>
      <c r="U188" s="39" t="str">
        <f aca="false">IF(R188="","",IF(F188="BUY",R188-S188,S188-R188))</f>
        <v/>
      </c>
      <c r="V188" s="39" t="n">
        <f aca="false">IF(F188="BUY",S188-J188,J188-S188)</f>
        <v>-3.92699999999968</v>
      </c>
      <c r="W188" s="6" t="n">
        <v>-58.91</v>
      </c>
      <c r="X188" s="26" t="n">
        <f aca="false">IFERROR(W188/N188,0)</f>
        <v>-2.61822222222222</v>
      </c>
      <c r="Y188" s="22" t="str">
        <f aca="false">IF(W188&gt;0,"Win",IF(W188&lt;0,"Loss","Flat"))</f>
        <v>Loss</v>
      </c>
      <c r="Z188" s="24" t="n">
        <f aca="false">Summary!$C$5+SUM(W$2:W188)</f>
        <v>2232.81</v>
      </c>
      <c r="AA188" s="24" t="n">
        <f aca="false">MAX(AA187,Z188)</f>
        <v>5026.73</v>
      </c>
      <c r="AB188" s="24" t="n">
        <f aca="false">AA188-Z188</f>
        <v>2793.92</v>
      </c>
      <c r="AC188" s="23" t="n">
        <f aca="false">IFERROR(AB188/AA188,0)</f>
        <v>0.555812625702992</v>
      </c>
      <c r="AD188" s="22" t="s">
        <v>383</v>
      </c>
    </row>
    <row r="189" customFormat="false" ht="15" hidden="false" customHeight="false" outlineLevel="0" collapsed="false">
      <c r="A189" s="22" t="n">
        <v>188</v>
      </c>
      <c r="B189" s="22" t="s">
        <v>128</v>
      </c>
      <c r="C189" s="37" t="n">
        <v>46065.7580787037</v>
      </c>
      <c r="D189" s="22" t="s">
        <v>165</v>
      </c>
      <c r="E189" s="22" t="n">
        <v>18</v>
      </c>
      <c r="F189" s="22" t="s">
        <v>143</v>
      </c>
      <c r="G189" s="22" t="s">
        <v>197</v>
      </c>
      <c r="H189" s="22" t="n">
        <v>0.14</v>
      </c>
      <c r="I189" s="38" t="n">
        <v>5018</v>
      </c>
      <c r="J189" s="38" t="n">
        <v>5017.518</v>
      </c>
      <c r="K189" s="39" t="n">
        <f aca="false">IF(F189="BUY",J189-I189,I189-J189)</f>
        <v>0.481999999999971</v>
      </c>
      <c r="L189" s="38" t="n">
        <v>5019.5</v>
      </c>
      <c r="M189" s="39" t="n">
        <f aca="false">ABS(I189-L189)</f>
        <v>1.5</v>
      </c>
      <c r="N189" s="24" t="n">
        <f aca="false">M189*H189*Summary!$C$6</f>
        <v>21</v>
      </c>
      <c r="O189" s="37" t="n">
        <v>46065.7580787037</v>
      </c>
      <c r="P189" s="22" t="n">
        <f aca="false">ROUND((O189-C189)*86400,0)</f>
        <v>0</v>
      </c>
      <c r="Q189" s="22" t="str">
        <f aca="false">IF(P189&lt;10,"a) &lt;10s",IF(P189&lt;60,"b) 10-60s",IF(P189&lt;600,"c) 1-10min","d) &gt;10min")))</f>
        <v>a) &lt;10s</v>
      </c>
      <c r="R189" s="38" t="n">
        <v>5019.5</v>
      </c>
      <c r="S189" s="38" t="n">
        <v>5020.665</v>
      </c>
      <c r="T189" s="22" t="s">
        <v>148</v>
      </c>
      <c r="U189" s="39" t="n">
        <f aca="false">IF(R189="","",IF(F189="BUY",R189-S189,S189-R189))</f>
        <v>1.16499999999996</v>
      </c>
      <c r="V189" s="39" t="n">
        <f aca="false">IF(F189="BUY",S189-J189,J189-S189)</f>
        <v>-3.14699999999993</v>
      </c>
      <c r="W189" s="6" t="n">
        <v>-44.06</v>
      </c>
      <c r="X189" s="26" t="n">
        <f aca="false">IFERROR(W189/N189,0)</f>
        <v>-2.09809523809524</v>
      </c>
      <c r="Y189" s="22" t="str">
        <f aca="false">IF(W189&gt;0,"Win",IF(W189&lt;0,"Loss","Flat"))</f>
        <v>Loss</v>
      </c>
      <c r="Z189" s="24" t="n">
        <f aca="false">Summary!$C$5+SUM(W$2:W189)</f>
        <v>2188.75</v>
      </c>
      <c r="AA189" s="24" t="n">
        <f aca="false">MAX(AA188,Z189)</f>
        <v>5026.73</v>
      </c>
      <c r="AB189" s="24" t="n">
        <f aca="false">AA189-Z189</f>
        <v>2837.98</v>
      </c>
      <c r="AC189" s="23" t="n">
        <f aca="false">IFERROR(AB189/AA189,0)</f>
        <v>0.564577767256248</v>
      </c>
      <c r="AD189" s="22" t="s">
        <v>384</v>
      </c>
    </row>
    <row r="190" customFormat="false" ht="15" hidden="false" customHeight="false" outlineLevel="0" collapsed="false">
      <c r="A190" s="22" t="n">
        <v>189</v>
      </c>
      <c r="B190" s="22" t="s">
        <v>128</v>
      </c>
      <c r="C190" s="37" t="n">
        <v>46070.1196180556</v>
      </c>
      <c r="D190" s="22" t="s">
        <v>163</v>
      </c>
      <c r="E190" s="22" t="n">
        <v>2</v>
      </c>
      <c r="F190" s="22" t="s">
        <v>143</v>
      </c>
      <c r="G190" s="22" t="s">
        <v>197</v>
      </c>
      <c r="H190" s="22" t="n">
        <v>0.14</v>
      </c>
      <c r="I190" s="38" t="n">
        <v>4964.87</v>
      </c>
      <c r="J190" s="38" t="n">
        <v>4960.805</v>
      </c>
      <c r="K190" s="39" t="n">
        <f aca="false">IF(F190="BUY",J190-I190,I190-J190)</f>
        <v>4.0649999999996</v>
      </c>
      <c r="L190" s="38" t="n">
        <v>4966.37</v>
      </c>
      <c r="M190" s="39" t="n">
        <f aca="false">ABS(I190-L190)</f>
        <v>1.5</v>
      </c>
      <c r="N190" s="24" t="n">
        <f aca="false">M190*H190*Summary!$C$6</f>
        <v>21</v>
      </c>
      <c r="O190" s="37" t="n">
        <v>46070.1196412037</v>
      </c>
      <c r="P190" s="22" t="n">
        <f aca="false">ROUND((O190-C190)*86400,0)</f>
        <v>2</v>
      </c>
      <c r="Q190" s="22" t="str">
        <f aca="false">IF(P190&lt;10,"a) &lt;10s",IF(P190&lt;60,"b) 10-60s",IF(P190&lt;600,"c) 1-10min","d) &gt;10min")))</f>
        <v>a) &lt;10s</v>
      </c>
      <c r="R190" s="38" t="n">
        <v>4954.57</v>
      </c>
      <c r="S190" s="38" t="n">
        <v>4954.805</v>
      </c>
      <c r="T190" s="22" t="s">
        <v>149</v>
      </c>
      <c r="U190" s="39" t="n">
        <f aca="false">IF(R190="","",IF(F190="BUY",R190-S190,S190-R190))</f>
        <v>0.235000000000582</v>
      </c>
      <c r="V190" s="39" t="n">
        <f aca="false">IF(F190="BUY",S190-J190,J190-S190)</f>
        <v>6</v>
      </c>
      <c r="W190" s="6" t="n">
        <v>84</v>
      </c>
      <c r="X190" s="26" t="n">
        <f aca="false">IFERROR(W190/N190,0)</f>
        <v>4</v>
      </c>
      <c r="Y190" s="22" t="str">
        <f aca="false">IF(W190&gt;0,"Win",IF(W190&lt;0,"Loss","Flat"))</f>
        <v>Win</v>
      </c>
      <c r="Z190" s="24" t="n">
        <f aca="false">Summary!$C$5+SUM(W$2:W190)</f>
        <v>2272.75</v>
      </c>
      <c r="AA190" s="24" t="n">
        <f aca="false">MAX(AA189,Z190)</f>
        <v>5026.73</v>
      </c>
      <c r="AB190" s="24" t="n">
        <f aca="false">AA190-Z190</f>
        <v>2753.98</v>
      </c>
      <c r="AC190" s="23" t="n">
        <f aca="false">IFERROR(AB190/AA190,0)</f>
        <v>0.547867102470194</v>
      </c>
      <c r="AD190" s="22" t="s">
        <v>385</v>
      </c>
    </row>
    <row r="191" customFormat="false" ht="15" hidden="false" customHeight="false" outlineLevel="0" collapsed="false">
      <c r="A191" s="22" t="n">
        <v>190</v>
      </c>
      <c r="B191" s="22" t="s">
        <v>128</v>
      </c>
      <c r="C191" s="37" t="n">
        <v>46071.7096875</v>
      </c>
      <c r="D191" s="22" t="s">
        <v>164</v>
      </c>
      <c r="E191" s="22" t="n">
        <v>17</v>
      </c>
      <c r="F191" s="22" t="s">
        <v>142</v>
      </c>
      <c r="G191" s="22" t="s">
        <v>195</v>
      </c>
      <c r="H191" s="22" t="n">
        <v>0.15</v>
      </c>
      <c r="I191" s="38" t="n">
        <v>5000.65</v>
      </c>
      <c r="J191" s="38" t="n">
        <v>5000.765</v>
      </c>
      <c r="K191" s="39" t="n">
        <f aca="false">IF(F191="BUY",J191-I191,I191-J191)</f>
        <v>0.115000000000691</v>
      </c>
      <c r="L191" s="38" t="n">
        <v>4999.15</v>
      </c>
      <c r="M191" s="39" t="n">
        <f aca="false">ABS(I191-L191)</f>
        <v>1.5</v>
      </c>
      <c r="N191" s="24" t="n">
        <f aca="false">M191*H191*Summary!$C$6</f>
        <v>22.5</v>
      </c>
      <c r="O191" s="37" t="n">
        <v>46071.7097106482</v>
      </c>
      <c r="P191" s="22" t="n">
        <f aca="false">ROUND((O191-C191)*86400,0)</f>
        <v>2</v>
      </c>
      <c r="Q191" s="22" t="str">
        <f aca="false">IF(P191&lt;10,"a) &lt;10s",IF(P191&lt;60,"b) 10-60s",IF(P191&lt;600,"c) 1-10min","d) &gt;10min")))</f>
        <v>a) &lt;10s</v>
      </c>
      <c r="R191" s="38" t="n">
        <v>4999.15</v>
      </c>
      <c r="S191" s="38" t="n">
        <v>4999.098</v>
      </c>
      <c r="T191" s="22" t="s">
        <v>148</v>
      </c>
      <c r="U191" s="39" t="n">
        <f aca="false">IF(R191="","",IF(F191="BUY",R191-S191,S191-R191))</f>
        <v>0.0519999999996799</v>
      </c>
      <c r="V191" s="39" t="n">
        <f aca="false">IF(F191="BUY",S191-J191,J191-S191)</f>
        <v>-1.66700000000037</v>
      </c>
      <c r="W191" s="6" t="n">
        <v>-25.01</v>
      </c>
      <c r="X191" s="26" t="n">
        <f aca="false">IFERROR(W191/N191,0)</f>
        <v>-1.11155555555556</v>
      </c>
      <c r="Y191" s="22" t="str">
        <f aca="false">IF(W191&gt;0,"Win",IF(W191&lt;0,"Loss","Flat"))</f>
        <v>Loss</v>
      </c>
      <c r="Z191" s="24" t="n">
        <f aca="false">Summary!$C$5+SUM(W$2:W191)</f>
        <v>2247.74</v>
      </c>
      <c r="AA191" s="24" t="n">
        <f aca="false">MAX(AA190,Z191)</f>
        <v>5026.73</v>
      </c>
      <c r="AB191" s="24" t="n">
        <f aca="false">AA191-Z191</f>
        <v>2778.99</v>
      </c>
      <c r="AC191" s="23" t="n">
        <f aca="false">IFERROR(AB191/AA191,0)</f>
        <v>0.552842503973756</v>
      </c>
      <c r="AD191" s="22" t="s">
        <v>386</v>
      </c>
    </row>
    <row r="192" customFormat="false" ht="15" hidden="false" customHeight="false" outlineLevel="0" collapsed="false">
      <c r="A192" s="22" t="n">
        <v>191</v>
      </c>
      <c r="B192" s="22" t="s">
        <v>128</v>
      </c>
      <c r="C192" s="37" t="n">
        <v>46072.3622453704</v>
      </c>
      <c r="D192" s="22" t="s">
        <v>165</v>
      </c>
      <c r="E192" s="22" t="n">
        <v>8</v>
      </c>
      <c r="F192" s="22" t="s">
        <v>142</v>
      </c>
      <c r="G192" s="22" t="s">
        <v>195</v>
      </c>
      <c r="H192" s="22" t="n">
        <v>0.14</v>
      </c>
      <c r="I192" s="38" t="n">
        <v>5010.81</v>
      </c>
      <c r="J192" s="38" t="n">
        <v>5011.055</v>
      </c>
      <c r="K192" s="39" t="n">
        <f aca="false">IF(F192="BUY",J192-I192,I192-J192)</f>
        <v>0.244999999999891</v>
      </c>
      <c r="L192" s="38" t="n">
        <v>5009.31</v>
      </c>
      <c r="M192" s="39" t="n">
        <f aca="false">ABS(I192-L192)</f>
        <v>1.5</v>
      </c>
      <c r="N192" s="24" t="n">
        <f aca="false">M192*H192*Summary!$C$6</f>
        <v>21</v>
      </c>
      <c r="O192" s="37" t="n">
        <v>46072.3625</v>
      </c>
      <c r="P192" s="22" t="n">
        <f aca="false">ROUND((O192-C192)*86400,0)</f>
        <v>22</v>
      </c>
      <c r="Q192" s="22" t="str">
        <f aca="false">IF(P192&lt;10,"a) &lt;10s",IF(P192&lt;60,"b) 10-60s",IF(P192&lt;600,"c) 1-10min","d) &gt;10min")))</f>
        <v>b) 10-60s</v>
      </c>
      <c r="R192" s="38" t="n">
        <v>5009.31</v>
      </c>
      <c r="S192" s="38" t="n">
        <v>5009.165</v>
      </c>
      <c r="T192" s="22" t="s">
        <v>148</v>
      </c>
      <c r="U192" s="39" t="n">
        <f aca="false">IF(R192="","",IF(F192="BUY",R192-S192,S192-R192))</f>
        <v>0.145000000000437</v>
      </c>
      <c r="V192" s="39" t="n">
        <f aca="false">IF(F192="BUY",S192-J192,J192-S192)</f>
        <v>-1.89000000000033</v>
      </c>
      <c r="W192" s="6" t="n">
        <v>-26.46</v>
      </c>
      <c r="X192" s="26" t="n">
        <f aca="false">IFERROR(W192/N192,0)</f>
        <v>-1.26</v>
      </c>
      <c r="Y192" s="22" t="str">
        <f aca="false">IF(W192&gt;0,"Win",IF(W192&lt;0,"Loss","Flat"))</f>
        <v>Loss</v>
      </c>
      <c r="Z192" s="24" t="n">
        <f aca="false">Summary!$C$5+SUM(W$2:W192)</f>
        <v>2221.28</v>
      </c>
      <c r="AA192" s="24" t="n">
        <f aca="false">MAX(AA191,Z192)</f>
        <v>5026.73</v>
      </c>
      <c r="AB192" s="24" t="n">
        <f aca="false">AA192-Z192</f>
        <v>2805.45</v>
      </c>
      <c r="AC192" s="23" t="n">
        <f aca="false">IFERROR(AB192/AA192,0)</f>
        <v>0.558106363381363</v>
      </c>
      <c r="AD192" s="22" t="s">
        <v>387</v>
      </c>
    </row>
    <row r="193" customFormat="false" ht="15" hidden="false" customHeight="false" outlineLevel="0" collapsed="false">
      <c r="A193" s="22" t="n">
        <v>192</v>
      </c>
      <c r="B193" s="22" t="s">
        <v>128</v>
      </c>
      <c r="C193" s="37" t="n">
        <v>46073.3493634259</v>
      </c>
      <c r="D193" s="22" t="s">
        <v>166</v>
      </c>
      <c r="E193" s="22" t="n">
        <v>8</v>
      </c>
      <c r="F193" s="22" t="s">
        <v>142</v>
      </c>
      <c r="G193" s="22" t="s">
        <v>195</v>
      </c>
      <c r="H193" s="22" t="n">
        <v>0.14</v>
      </c>
      <c r="I193" s="38" t="n">
        <v>5022.02</v>
      </c>
      <c r="J193" s="38" t="n">
        <v>5022.055</v>
      </c>
      <c r="K193" s="39" t="n">
        <f aca="false">IF(F193="BUY",J193-I193,I193-J193)</f>
        <v>0.0349999999998545</v>
      </c>
      <c r="L193" s="38" t="n">
        <v>5020.52</v>
      </c>
      <c r="M193" s="39" t="n">
        <f aca="false">ABS(I193-L193)</f>
        <v>1.5</v>
      </c>
      <c r="N193" s="24" t="n">
        <f aca="false">M193*H193*Summary!$C$6</f>
        <v>21</v>
      </c>
      <c r="O193" s="37" t="n">
        <v>46073.3495833333</v>
      </c>
      <c r="P193" s="22" t="n">
        <f aca="false">ROUND((O193-C193)*86400,0)</f>
        <v>19</v>
      </c>
      <c r="Q193" s="22" t="str">
        <f aca="false">IF(P193&lt;10,"a) &lt;10s",IF(P193&lt;60,"b) 10-60s",IF(P193&lt;600,"c) 1-10min","d) &gt;10min")))</f>
        <v>b) 10-60s</v>
      </c>
      <c r="R193" s="38" t="n">
        <v>5022.06</v>
      </c>
      <c r="S193" s="38" t="n">
        <v>5022.035</v>
      </c>
      <c r="T193" s="22" t="s">
        <v>149</v>
      </c>
      <c r="U193" s="39" t="n">
        <f aca="false">IF(R193="","",IF(F193="BUY",R193-S193,S193-R193))</f>
        <v>0.0250000000005457</v>
      </c>
      <c r="V193" s="39" t="n">
        <f aca="false">IF(F193="BUY",S193-J193,J193-S193)</f>
        <v>-0.0200000000004366</v>
      </c>
      <c r="W193" s="6" t="n">
        <v>-0.28</v>
      </c>
      <c r="X193" s="26" t="n">
        <f aca="false">IFERROR(W193/N193,0)</f>
        <v>-0.0133333333333333</v>
      </c>
      <c r="Y193" s="22" t="str">
        <f aca="false">IF(W193&gt;0,"Win",IF(W193&lt;0,"Loss","Flat"))</f>
        <v>Loss</v>
      </c>
      <c r="Z193" s="24" t="n">
        <f aca="false">Summary!$C$5+SUM(W$2:W193)</f>
        <v>2221</v>
      </c>
      <c r="AA193" s="24" t="n">
        <f aca="false">MAX(AA192,Z193)</f>
        <v>5026.73</v>
      </c>
      <c r="AB193" s="24" t="n">
        <f aca="false">AA193-Z193</f>
        <v>2805.73</v>
      </c>
      <c r="AC193" s="23" t="n">
        <f aca="false">IFERROR(AB193/AA193,0)</f>
        <v>0.558162065597317</v>
      </c>
      <c r="AD193" s="22" t="s">
        <v>388</v>
      </c>
    </row>
    <row r="194" customFormat="false" ht="15" hidden="false" customHeight="false" outlineLevel="0" collapsed="false">
      <c r="A194" s="22" t="n">
        <v>193</v>
      </c>
      <c r="B194" s="22" t="s">
        <v>128</v>
      </c>
      <c r="C194" s="37" t="n">
        <v>46077.6761111111</v>
      </c>
      <c r="D194" s="22" t="s">
        <v>163</v>
      </c>
      <c r="E194" s="22" t="n">
        <v>16</v>
      </c>
      <c r="F194" s="22" t="s">
        <v>143</v>
      </c>
      <c r="G194" s="22" t="s">
        <v>197</v>
      </c>
      <c r="H194" s="22" t="n">
        <v>0.14</v>
      </c>
      <c r="I194" s="38" t="n">
        <v>5096.96</v>
      </c>
      <c r="J194" s="38" t="n">
        <v>5094.526</v>
      </c>
      <c r="K194" s="39" t="n">
        <f aca="false">IF(F194="BUY",J194-I194,I194-J194)</f>
        <v>2.4340000000002</v>
      </c>
      <c r="L194" s="38" t="n">
        <v>5098.46</v>
      </c>
      <c r="M194" s="39" t="n">
        <f aca="false">ABS(I194-L194)</f>
        <v>1.5</v>
      </c>
      <c r="N194" s="24" t="n">
        <f aca="false">M194*H194*Summary!$C$6</f>
        <v>21</v>
      </c>
      <c r="O194" s="37" t="n">
        <v>46077.6761226852</v>
      </c>
      <c r="P194" s="22" t="n">
        <f aca="false">ROUND((O194-C194)*86400,0)</f>
        <v>1</v>
      </c>
      <c r="Q194" s="22" t="str">
        <f aca="false">IF(P194&lt;10,"a) &lt;10s",IF(P194&lt;60,"b) 10-60s",IF(P194&lt;600,"c) 1-10min","d) &gt;10min")))</f>
        <v>a) &lt;10s</v>
      </c>
      <c r="R194" s="38" t="n">
        <v>5095.06</v>
      </c>
      <c r="S194" s="38" t="n">
        <v>5095.382</v>
      </c>
      <c r="T194" s="22" t="s">
        <v>149</v>
      </c>
      <c r="U194" s="39" t="n">
        <f aca="false">IF(R194="","",IF(F194="BUY",R194-S194,S194-R194))</f>
        <v>0.321999999999207</v>
      </c>
      <c r="V194" s="39" t="n">
        <f aca="false">IF(F194="BUY",S194-J194,J194-S194)</f>
        <v>-0.855999999999767</v>
      </c>
      <c r="W194" s="6" t="n">
        <v>-11.98</v>
      </c>
      <c r="X194" s="26" t="n">
        <f aca="false">IFERROR(W194/N194,0)</f>
        <v>-0.57047619047619</v>
      </c>
      <c r="Y194" s="22" t="str">
        <f aca="false">IF(W194&gt;0,"Win",IF(W194&lt;0,"Loss","Flat"))</f>
        <v>Loss</v>
      </c>
      <c r="Z194" s="24" t="n">
        <f aca="false">Summary!$C$5+SUM(W$2:W194)</f>
        <v>2209.02</v>
      </c>
      <c r="AA194" s="24" t="n">
        <f aca="false">MAX(AA193,Z194)</f>
        <v>5026.73</v>
      </c>
      <c r="AB194" s="24" t="n">
        <f aca="false">AA194-Z194</f>
        <v>2817.71</v>
      </c>
      <c r="AC194" s="23" t="n">
        <f aca="false">IFERROR(AB194/AA194,0)</f>
        <v>0.560545324694185</v>
      </c>
      <c r="AD194" s="22" t="s">
        <v>389</v>
      </c>
    </row>
    <row r="195" customFormat="false" ht="15" hidden="false" customHeight="false" outlineLevel="0" collapsed="false">
      <c r="A195" s="22" t="n">
        <v>194</v>
      </c>
      <c r="B195" s="22" t="s">
        <v>128</v>
      </c>
      <c r="C195" s="37" t="n">
        <v>46080.6303240741</v>
      </c>
      <c r="D195" s="22" t="s">
        <v>166</v>
      </c>
      <c r="E195" s="22" t="n">
        <v>15</v>
      </c>
      <c r="F195" s="22" t="s">
        <v>142</v>
      </c>
      <c r="G195" s="22" t="s">
        <v>195</v>
      </c>
      <c r="H195" s="22" t="n">
        <v>0.14</v>
      </c>
      <c r="I195" s="38" t="n">
        <v>5205.22</v>
      </c>
      <c r="J195" s="38" t="n">
        <v>5205.535</v>
      </c>
      <c r="K195" s="39" t="n">
        <f aca="false">IF(F195="BUY",J195-I195,I195-J195)</f>
        <v>0.3149999999996</v>
      </c>
      <c r="L195" s="38" t="n">
        <v>5203.72</v>
      </c>
      <c r="M195" s="39" t="n">
        <f aca="false">ABS(I195-L195)</f>
        <v>1.5</v>
      </c>
      <c r="N195" s="24" t="n">
        <f aca="false">M195*H195*Summary!$C$6</f>
        <v>21</v>
      </c>
      <c r="O195" s="37" t="n">
        <v>46080.6303356482</v>
      </c>
      <c r="P195" s="22" t="n">
        <f aca="false">ROUND((O195-C195)*86400,0)</f>
        <v>1</v>
      </c>
      <c r="Q195" s="22" t="str">
        <f aca="false">IF(P195&lt;10,"a) &lt;10s",IF(P195&lt;60,"b) 10-60s",IF(P195&lt;600,"c) 1-10min","d) &gt;10min")))</f>
        <v>a) &lt;10s</v>
      </c>
      <c r="R195" s="38" t="n">
        <v>5205.54</v>
      </c>
      <c r="S195" s="38" t="n">
        <v>5205.358</v>
      </c>
      <c r="T195" s="22" t="s">
        <v>149</v>
      </c>
      <c r="U195" s="39" t="n">
        <f aca="false">IF(R195="","",IF(F195="BUY",R195-S195,S195-R195))</f>
        <v>0.181999999999789</v>
      </c>
      <c r="V195" s="39" t="n">
        <f aca="false">IF(F195="BUY",S195-J195,J195-S195)</f>
        <v>-0.17699999999968</v>
      </c>
      <c r="W195" s="6" t="n">
        <v>-2.48</v>
      </c>
      <c r="X195" s="26" t="n">
        <f aca="false">IFERROR(W195/N195,0)</f>
        <v>-0.118095238095238</v>
      </c>
      <c r="Y195" s="22" t="str">
        <f aca="false">IF(W195&gt;0,"Win",IF(W195&lt;0,"Loss","Flat"))</f>
        <v>Loss</v>
      </c>
      <c r="Z195" s="24" t="n">
        <f aca="false">Summary!$C$5+SUM(W$2:W195)</f>
        <v>2206.54</v>
      </c>
      <c r="AA195" s="24" t="n">
        <f aca="false">MAX(AA194,Z195)</f>
        <v>5026.73</v>
      </c>
      <c r="AB195" s="24" t="n">
        <f aca="false">AA195-Z195</f>
        <v>2820.19</v>
      </c>
      <c r="AC195" s="23" t="n">
        <f aca="false">IFERROR(AB195/AA195,0)</f>
        <v>0.561038687178345</v>
      </c>
      <c r="AD195" s="22" t="s">
        <v>390</v>
      </c>
    </row>
    <row r="196" customFormat="false" ht="15" hidden="false" customHeight="false" outlineLevel="0" collapsed="false">
      <c r="A196" s="22" t="n">
        <v>195</v>
      </c>
      <c r="B196" s="22" t="s">
        <v>129</v>
      </c>
      <c r="C196" s="37" t="n">
        <v>46084.4759953704</v>
      </c>
      <c r="D196" s="22" t="s">
        <v>163</v>
      </c>
      <c r="E196" s="22" t="n">
        <v>11</v>
      </c>
      <c r="F196" s="22" t="s">
        <v>143</v>
      </c>
      <c r="G196" s="22" t="s">
        <v>197</v>
      </c>
      <c r="H196" s="22" t="n">
        <v>0.14</v>
      </c>
      <c r="I196" s="38" t="n">
        <v>5260.1</v>
      </c>
      <c r="J196" s="38" t="n">
        <v>5257.695</v>
      </c>
      <c r="K196" s="39" t="n">
        <f aca="false">IF(F196="BUY",J196-I196,I196-J196)</f>
        <v>2.40500000000066</v>
      </c>
      <c r="L196" s="38" t="n">
        <v>5261.6</v>
      </c>
      <c r="M196" s="39" t="n">
        <f aca="false">ABS(I196-L196)</f>
        <v>1.5</v>
      </c>
      <c r="N196" s="24" t="n">
        <f aca="false">M196*H196*Summary!$C$6</f>
        <v>21</v>
      </c>
      <c r="O196" s="37" t="n">
        <v>46084.4759953704</v>
      </c>
      <c r="P196" s="22" t="n">
        <f aca="false">ROUND((O196-C196)*86400,0)</f>
        <v>0</v>
      </c>
      <c r="Q196" s="22" t="str">
        <f aca="false">IF(P196&lt;10,"a) &lt;10s",IF(P196&lt;60,"b) 10-60s",IF(P196&lt;600,"c) 1-10min","d) &gt;10min")))</f>
        <v>a) &lt;10s</v>
      </c>
      <c r="R196" s="38" t="n">
        <v>5261.6</v>
      </c>
      <c r="S196" s="38" t="n">
        <v>5267.625</v>
      </c>
      <c r="T196" s="22" t="s">
        <v>148</v>
      </c>
      <c r="U196" s="39" t="n">
        <f aca="false">IF(R196="","",IF(F196="BUY",R196-S196,S196-R196))</f>
        <v>6.02499999999964</v>
      </c>
      <c r="V196" s="39" t="n">
        <f aca="false">IF(F196="BUY",S196-J196,J196-S196)</f>
        <v>-9.93000000000029</v>
      </c>
      <c r="W196" s="6" t="n">
        <v>-139.02</v>
      </c>
      <c r="X196" s="26" t="n">
        <f aca="false">IFERROR(W196/N196,0)</f>
        <v>-6.62</v>
      </c>
      <c r="Y196" s="22" t="str">
        <f aca="false">IF(W196&gt;0,"Win",IF(W196&lt;0,"Loss","Flat"))</f>
        <v>Loss</v>
      </c>
      <c r="Z196" s="24" t="n">
        <f aca="false">Summary!$C$5+SUM(W$2:W196)</f>
        <v>2067.52</v>
      </c>
      <c r="AA196" s="24" t="n">
        <f aca="false">MAX(AA195,Z196)</f>
        <v>5026.73</v>
      </c>
      <c r="AB196" s="24" t="n">
        <f aca="false">AA196-Z196</f>
        <v>2959.21</v>
      </c>
      <c r="AC196" s="23" t="n">
        <f aca="false">IFERROR(AB196/AA196,0)</f>
        <v>0.588694837399264</v>
      </c>
      <c r="AD196" s="22" t="s">
        <v>391</v>
      </c>
    </row>
    <row r="197" customFormat="false" ht="15" hidden="false" customHeight="false" outlineLevel="0" collapsed="false">
      <c r="A197" s="22" t="n">
        <v>196</v>
      </c>
      <c r="B197" s="22" t="s">
        <v>129</v>
      </c>
      <c r="C197" s="37" t="n">
        <v>46086.641099537</v>
      </c>
      <c r="D197" s="22" t="s">
        <v>165</v>
      </c>
      <c r="E197" s="22" t="n">
        <v>15</v>
      </c>
      <c r="F197" s="22" t="s">
        <v>143</v>
      </c>
      <c r="G197" s="22" t="s">
        <v>197</v>
      </c>
      <c r="H197" s="22" t="n">
        <v>0.13</v>
      </c>
      <c r="I197" s="38" t="n">
        <v>5086.87</v>
      </c>
      <c r="J197" s="38" t="n">
        <v>5083.705</v>
      </c>
      <c r="K197" s="39" t="n">
        <f aca="false">IF(F197="BUY",J197-I197,I197-J197)</f>
        <v>3.16499999999996</v>
      </c>
      <c r="L197" s="38" t="n">
        <v>5088.37</v>
      </c>
      <c r="M197" s="39" t="n">
        <f aca="false">ABS(I197-L197)</f>
        <v>1.5</v>
      </c>
      <c r="N197" s="24" t="n">
        <f aca="false">M197*H197*Summary!$C$6</f>
        <v>19.5</v>
      </c>
      <c r="O197" s="37" t="n">
        <v>46086.641099537</v>
      </c>
      <c r="P197" s="22" t="n">
        <f aca="false">ROUND((O197-C197)*86400,0)</f>
        <v>0</v>
      </c>
      <c r="Q197" s="22" t="str">
        <f aca="false">IF(P197&lt;10,"a) &lt;10s",IF(P197&lt;60,"b) 10-60s",IF(P197&lt;600,"c) 1-10min","d) &gt;10min")))</f>
        <v>a) &lt;10s</v>
      </c>
      <c r="R197" s="38"/>
      <c r="S197" s="38" t="n">
        <v>5095.455</v>
      </c>
      <c r="T197" s="22" t="s">
        <v>151</v>
      </c>
      <c r="U197" s="39" t="str">
        <f aca="false">IF(R197="","",IF(F197="BUY",R197-S197,S197-R197))</f>
        <v/>
      </c>
      <c r="V197" s="39" t="n">
        <f aca="false">IF(F197="BUY",S197-J197,J197-S197)</f>
        <v>-11.75</v>
      </c>
      <c r="W197" s="6" t="n">
        <v>-152.75</v>
      </c>
      <c r="X197" s="26" t="n">
        <f aca="false">IFERROR(W197/N197,0)</f>
        <v>-7.83333333333333</v>
      </c>
      <c r="Y197" s="22" t="str">
        <f aca="false">IF(W197&gt;0,"Win",IF(W197&lt;0,"Loss","Flat"))</f>
        <v>Loss</v>
      </c>
      <c r="Z197" s="24" t="n">
        <f aca="false">Summary!$C$5+SUM(W$2:W197)</f>
        <v>1914.77</v>
      </c>
      <c r="AA197" s="24" t="n">
        <f aca="false">MAX(AA196,Z197)</f>
        <v>5026.73</v>
      </c>
      <c r="AB197" s="24" t="n">
        <f aca="false">AA197-Z197</f>
        <v>3111.96</v>
      </c>
      <c r="AC197" s="23" t="n">
        <f aca="false">IFERROR(AB197/AA197,0)</f>
        <v>0.61908238556676</v>
      </c>
      <c r="AD197" s="22" t="s">
        <v>392</v>
      </c>
    </row>
    <row r="198" customFormat="false" ht="15" hidden="false" customHeight="false" outlineLevel="0" collapsed="false">
      <c r="A198" s="22" t="n">
        <v>197</v>
      </c>
      <c r="B198" s="22" t="s">
        <v>129</v>
      </c>
      <c r="C198" s="37" t="n">
        <v>46090.1131365741</v>
      </c>
      <c r="D198" s="22" t="s">
        <v>162</v>
      </c>
      <c r="E198" s="22" t="n">
        <v>2</v>
      </c>
      <c r="F198" s="22" t="s">
        <v>143</v>
      </c>
      <c r="G198" s="22" t="s">
        <v>197</v>
      </c>
      <c r="H198" s="22" t="n">
        <v>0.12</v>
      </c>
      <c r="I198" s="38" t="n">
        <v>5062.13</v>
      </c>
      <c r="J198" s="38" t="n">
        <v>5061.705</v>
      </c>
      <c r="K198" s="39" t="n">
        <f aca="false">IF(F198="BUY",J198-I198,I198-J198)</f>
        <v>0.425000000000182</v>
      </c>
      <c r="L198" s="38" t="n">
        <v>5063.63</v>
      </c>
      <c r="M198" s="39" t="n">
        <f aca="false">ABS(I198-L198)</f>
        <v>1.5</v>
      </c>
      <c r="N198" s="24" t="n">
        <f aca="false">M198*H198*Summary!$C$6</f>
        <v>18</v>
      </c>
      <c r="O198" s="37" t="n">
        <v>46090.1132060185</v>
      </c>
      <c r="P198" s="22" t="n">
        <f aca="false">ROUND((O198-C198)*86400,0)</f>
        <v>6</v>
      </c>
      <c r="Q198" s="22" t="str">
        <f aca="false">IF(P198&lt;10,"a) &lt;10s",IF(P198&lt;60,"b) 10-60s",IF(P198&lt;600,"c) 1-10min","d) &gt;10min")))</f>
        <v>a) &lt;10s</v>
      </c>
      <c r="R198" s="38" t="n">
        <v>5046.52</v>
      </c>
      <c r="S198" s="38" t="n">
        <v>5046.652</v>
      </c>
      <c r="T198" s="22" t="s">
        <v>149</v>
      </c>
      <c r="U198" s="39" t="n">
        <f aca="false">IF(R198="","",IF(F198="BUY",R198-S198,S198-R198))</f>
        <v>0.131999999999607</v>
      </c>
      <c r="V198" s="39" t="n">
        <f aca="false">IF(F198="BUY",S198-J198,J198-S198)</f>
        <v>15.0529999999999</v>
      </c>
      <c r="W198" s="6" t="n">
        <v>180.64</v>
      </c>
      <c r="X198" s="26" t="n">
        <f aca="false">IFERROR(W198/N198,0)</f>
        <v>10.0355555555556</v>
      </c>
      <c r="Y198" s="22" t="str">
        <f aca="false">IF(W198&gt;0,"Win",IF(W198&lt;0,"Loss","Flat"))</f>
        <v>Win</v>
      </c>
      <c r="Z198" s="24" t="n">
        <f aca="false">Summary!$C$5+SUM(W$2:W198)</f>
        <v>2095.41</v>
      </c>
      <c r="AA198" s="24" t="n">
        <f aca="false">MAX(AA197,Z198)</f>
        <v>5026.73</v>
      </c>
      <c r="AB198" s="24" t="n">
        <f aca="false">AA198-Z198</f>
        <v>2931.32</v>
      </c>
      <c r="AC198" s="23" t="n">
        <f aca="false">IFERROR(AB198/AA198,0)</f>
        <v>0.583146498817323</v>
      </c>
      <c r="AD198" s="22" t="s">
        <v>393</v>
      </c>
    </row>
    <row r="199" customFormat="false" ht="15" hidden="false" customHeight="false" outlineLevel="0" collapsed="false">
      <c r="A199" s="22" t="n">
        <v>198</v>
      </c>
      <c r="B199" s="22" t="s">
        <v>129</v>
      </c>
      <c r="C199" s="37" t="n">
        <v>46091.6674768519</v>
      </c>
      <c r="D199" s="22" t="s">
        <v>163</v>
      </c>
      <c r="E199" s="22" t="n">
        <v>16</v>
      </c>
      <c r="F199" s="22" t="s">
        <v>142</v>
      </c>
      <c r="G199" s="22" t="s">
        <v>195</v>
      </c>
      <c r="H199" s="22" t="n">
        <v>0.13</v>
      </c>
      <c r="I199" s="38" t="n">
        <v>5196.7</v>
      </c>
      <c r="J199" s="38" t="n">
        <v>5196.865</v>
      </c>
      <c r="K199" s="39" t="n">
        <f aca="false">IF(F199="BUY",J199-I199,I199-J199)</f>
        <v>0.164999999999964</v>
      </c>
      <c r="L199" s="38" t="n">
        <v>5195.2</v>
      </c>
      <c r="M199" s="39" t="n">
        <f aca="false">ABS(I199-L199)</f>
        <v>1.5</v>
      </c>
      <c r="N199" s="24" t="n">
        <f aca="false">M199*H199*Summary!$C$6</f>
        <v>19.5</v>
      </c>
      <c r="O199" s="37" t="n">
        <v>46091.6675810185</v>
      </c>
      <c r="P199" s="22" t="n">
        <f aca="false">ROUND((O199-C199)*86400,0)</f>
        <v>9</v>
      </c>
      <c r="Q199" s="22" t="str">
        <f aca="false">IF(P199&lt;10,"a) &lt;10s",IF(P199&lt;60,"b) 10-60s",IF(P199&lt;600,"c) 1-10min","d) &gt;10min")))</f>
        <v>a) &lt;10s</v>
      </c>
      <c r="R199" s="38" t="n">
        <v>5197.3</v>
      </c>
      <c r="S199" s="38" t="n">
        <v>5197.285</v>
      </c>
      <c r="T199" s="22" t="s">
        <v>149</v>
      </c>
      <c r="U199" s="39" t="n">
        <f aca="false">IF(R199="","",IF(F199="BUY",R199-S199,S199-R199))</f>
        <v>0.0150000000003274</v>
      </c>
      <c r="V199" s="39" t="n">
        <f aca="false">IF(F199="BUY",S199-J199,J199-S199)</f>
        <v>0.420000000000073</v>
      </c>
      <c r="W199" s="6" t="n">
        <v>5.46</v>
      </c>
      <c r="X199" s="26" t="n">
        <f aca="false">IFERROR(W199/N199,0)</f>
        <v>0.28</v>
      </c>
      <c r="Y199" s="22" t="str">
        <f aca="false">IF(W199&gt;0,"Win",IF(W199&lt;0,"Loss","Flat"))</f>
        <v>Win</v>
      </c>
      <c r="Z199" s="24" t="n">
        <f aca="false">Summary!$C$5+SUM(W$2:W199)</f>
        <v>2100.87</v>
      </c>
      <c r="AA199" s="24" t="n">
        <f aca="false">MAX(AA198,Z199)</f>
        <v>5026.73</v>
      </c>
      <c r="AB199" s="24" t="n">
        <f aca="false">AA199-Z199</f>
        <v>2925.86</v>
      </c>
      <c r="AC199" s="23" t="n">
        <f aca="false">IFERROR(AB199/AA199,0)</f>
        <v>0.582060305606229</v>
      </c>
      <c r="AD199" s="22" t="s">
        <v>394</v>
      </c>
    </row>
    <row r="200" customFormat="false" ht="15" hidden="false" customHeight="false" outlineLevel="0" collapsed="false">
      <c r="A200" s="22" t="n">
        <v>199</v>
      </c>
      <c r="B200" s="22" t="s">
        <v>129</v>
      </c>
      <c r="C200" s="37" t="n">
        <v>46093.0808333333</v>
      </c>
      <c r="D200" s="22" t="s">
        <v>165</v>
      </c>
      <c r="E200" s="22" t="n">
        <v>1</v>
      </c>
      <c r="F200" s="22" t="s">
        <v>143</v>
      </c>
      <c r="G200" s="22" t="s">
        <v>197</v>
      </c>
      <c r="H200" s="22" t="n">
        <v>0.14</v>
      </c>
      <c r="I200" s="38" t="n">
        <v>5149.06</v>
      </c>
      <c r="J200" s="38" t="n">
        <v>5148.385</v>
      </c>
      <c r="K200" s="39" t="n">
        <f aca="false">IF(F200="BUY",J200-I200,I200-J200)</f>
        <v>0.675000000000182</v>
      </c>
      <c r="L200" s="38" t="n">
        <v>5150.56</v>
      </c>
      <c r="M200" s="39" t="n">
        <f aca="false">ABS(I200-L200)</f>
        <v>1.5</v>
      </c>
      <c r="N200" s="24" t="n">
        <f aca="false">M200*H200*Summary!$C$6</f>
        <v>21</v>
      </c>
      <c r="O200" s="37" t="n">
        <v>46093.0808564815</v>
      </c>
      <c r="P200" s="22" t="n">
        <f aca="false">ROUND((O200-C200)*86400,0)</f>
        <v>2</v>
      </c>
      <c r="Q200" s="22" t="str">
        <f aca="false">IF(P200&lt;10,"a) &lt;10s",IF(P200&lt;60,"b) 10-60s",IF(P200&lt;600,"c) 1-10min","d) &gt;10min")))</f>
        <v>a) &lt;10s</v>
      </c>
      <c r="R200" s="38" t="n">
        <v>5146.44</v>
      </c>
      <c r="S200" s="38" t="n">
        <v>5146.625</v>
      </c>
      <c r="T200" s="22" t="s">
        <v>149</v>
      </c>
      <c r="U200" s="39" t="n">
        <f aca="false">IF(R200="","",IF(F200="BUY",R200-S200,S200-R200))</f>
        <v>0.1850000000004</v>
      </c>
      <c r="V200" s="39" t="n">
        <f aca="false">IF(F200="BUY",S200-J200,J200-S200)</f>
        <v>1.76000000000022</v>
      </c>
      <c r="W200" s="6" t="n">
        <v>24.64</v>
      </c>
      <c r="X200" s="26" t="n">
        <f aca="false">IFERROR(W200/N200,0)</f>
        <v>1.17333333333333</v>
      </c>
      <c r="Y200" s="22" t="str">
        <f aca="false">IF(W200&gt;0,"Win",IF(W200&lt;0,"Loss","Flat"))</f>
        <v>Win</v>
      </c>
      <c r="Z200" s="24" t="n">
        <f aca="false">Summary!$C$5+SUM(W$2:W200)</f>
        <v>2125.51</v>
      </c>
      <c r="AA200" s="24" t="n">
        <f aca="false">MAX(AA199,Z200)</f>
        <v>5026.73</v>
      </c>
      <c r="AB200" s="24" t="n">
        <f aca="false">AA200-Z200</f>
        <v>2901.22</v>
      </c>
      <c r="AC200" s="23" t="n">
        <f aca="false">IFERROR(AB200/AA200,0)</f>
        <v>0.57715851060232</v>
      </c>
      <c r="AD200" s="22" t="s">
        <v>395</v>
      </c>
    </row>
    <row r="201" customFormat="false" ht="15" hidden="false" customHeight="false" outlineLevel="0" collapsed="false">
      <c r="A201" s="22" t="n">
        <v>200</v>
      </c>
      <c r="B201" s="22" t="s">
        <v>129</v>
      </c>
      <c r="C201" s="37" t="n">
        <v>46094.7467939815</v>
      </c>
      <c r="D201" s="22" t="s">
        <v>166</v>
      </c>
      <c r="E201" s="22" t="n">
        <v>17</v>
      </c>
      <c r="F201" s="22" t="s">
        <v>143</v>
      </c>
      <c r="G201" s="22" t="s">
        <v>197</v>
      </c>
      <c r="H201" s="22" t="n">
        <v>0.14</v>
      </c>
      <c r="I201" s="38" t="n">
        <v>5054.8</v>
      </c>
      <c r="J201" s="38" t="n">
        <v>5054.005</v>
      </c>
      <c r="K201" s="39" t="n">
        <f aca="false">IF(F201="BUY",J201-I201,I201-J201)</f>
        <v>0.795000000000073</v>
      </c>
      <c r="L201" s="38" t="n">
        <v>5056.3</v>
      </c>
      <c r="M201" s="39" t="n">
        <f aca="false">ABS(I201-L201)</f>
        <v>1.5</v>
      </c>
      <c r="N201" s="24" t="n">
        <f aca="false">M201*H201*Summary!$C$6</f>
        <v>21</v>
      </c>
      <c r="O201" s="37" t="n">
        <v>46094.7468171296</v>
      </c>
      <c r="P201" s="22" t="n">
        <f aca="false">ROUND((O201-C201)*86400,0)</f>
        <v>2</v>
      </c>
      <c r="Q201" s="22" t="str">
        <f aca="false">IF(P201&lt;10,"a) &lt;10s",IF(P201&lt;60,"b) 10-60s",IF(P201&lt;600,"c) 1-10min","d) &gt;10min")))</f>
        <v>a) &lt;10s</v>
      </c>
      <c r="R201" s="38" t="n">
        <v>5052.48</v>
      </c>
      <c r="S201" s="38" t="n">
        <v>5052.725</v>
      </c>
      <c r="T201" s="22" t="s">
        <v>149</v>
      </c>
      <c r="U201" s="39" t="n">
        <f aca="false">IF(R201="","",IF(F201="BUY",R201-S201,S201-R201))</f>
        <v>0.2450000000008</v>
      </c>
      <c r="V201" s="39" t="n">
        <f aca="false">IF(F201="BUY",S201-J201,J201-S201)</f>
        <v>1.27999999999975</v>
      </c>
      <c r="W201" s="6" t="n">
        <v>17.92</v>
      </c>
      <c r="X201" s="26" t="n">
        <f aca="false">IFERROR(W201/N201,0)</f>
        <v>0.853333333333333</v>
      </c>
      <c r="Y201" s="22" t="str">
        <f aca="false">IF(W201&gt;0,"Win",IF(W201&lt;0,"Loss","Flat"))</f>
        <v>Win</v>
      </c>
      <c r="Z201" s="24" t="n">
        <f aca="false">Summary!$C$5+SUM(W$2:W201)</f>
        <v>2143.43</v>
      </c>
      <c r="AA201" s="24" t="n">
        <f aca="false">MAX(AA200,Z201)</f>
        <v>5026.73</v>
      </c>
      <c r="AB201" s="24" t="n">
        <f aca="false">AA201-Z201</f>
        <v>2883.3</v>
      </c>
      <c r="AC201" s="23" t="n">
        <f aca="false">IFERROR(AB201/AA201,0)</f>
        <v>0.573593568781295</v>
      </c>
      <c r="AD201" s="22" t="s">
        <v>396</v>
      </c>
    </row>
    <row r="202" customFormat="false" ht="15" hidden="false" customHeight="false" outlineLevel="0" collapsed="false">
      <c r="A202" s="22" t="n">
        <v>201</v>
      </c>
      <c r="B202" s="22" t="s">
        <v>129</v>
      </c>
      <c r="C202" s="37" t="n">
        <v>46097.0548263889</v>
      </c>
      <c r="D202" s="22" t="s">
        <v>162</v>
      </c>
      <c r="E202" s="22" t="n">
        <v>1</v>
      </c>
      <c r="F202" s="22" t="s">
        <v>143</v>
      </c>
      <c r="G202" s="22" t="s">
        <v>197</v>
      </c>
      <c r="H202" s="22" t="n">
        <v>0.14</v>
      </c>
      <c r="I202" s="38" t="n">
        <v>5009.5</v>
      </c>
      <c r="J202" s="38" t="n">
        <v>5009.415</v>
      </c>
      <c r="K202" s="39" t="n">
        <f aca="false">IF(F202="BUY",J202-I202,I202-J202)</f>
        <v>0.0850000000000364</v>
      </c>
      <c r="L202" s="38" t="n">
        <v>5011</v>
      </c>
      <c r="M202" s="39" t="n">
        <f aca="false">ABS(I202-L202)</f>
        <v>1.5</v>
      </c>
      <c r="N202" s="24" t="n">
        <f aca="false">M202*H202*Summary!$C$6</f>
        <v>21</v>
      </c>
      <c r="O202" s="37" t="n">
        <v>46097.054849537</v>
      </c>
      <c r="P202" s="22" t="n">
        <f aca="false">ROUND((O202-C202)*86400,0)</f>
        <v>2</v>
      </c>
      <c r="Q202" s="22" t="str">
        <f aca="false">IF(P202&lt;10,"a) &lt;10s",IF(P202&lt;60,"b) 10-60s",IF(P202&lt;600,"c) 1-10min","d) &gt;10min")))</f>
        <v>a) &lt;10s</v>
      </c>
      <c r="R202" s="38" t="n">
        <v>5008.28</v>
      </c>
      <c r="S202" s="38" t="n">
        <v>5008.385</v>
      </c>
      <c r="T202" s="22" t="s">
        <v>149</v>
      </c>
      <c r="U202" s="39" t="n">
        <f aca="false">IF(R202="","",IF(F202="BUY",R202-S202,S202-R202))</f>
        <v>0.105000000000473</v>
      </c>
      <c r="V202" s="39" t="n">
        <f aca="false">IF(F202="BUY",S202-J202,J202-S202)</f>
        <v>1.02999999999975</v>
      </c>
      <c r="W202" s="6" t="n">
        <v>14.42</v>
      </c>
      <c r="X202" s="26" t="n">
        <f aca="false">IFERROR(W202/N202,0)</f>
        <v>0.686666666666667</v>
      </c>
      <c r="Y202" s="22" t="str">
        <f aca="false">IF(W202&gt;0,"Win",IF(W202&lt;0,"Loss","Flat"))</f>
        <v>Win</v>
      </c>
      <c r="Z202" s="24" t="n">
        <f aca="false">Summary!$C$5+SUM(W$2:W202)</f>
        <v>2157.85</v>
      </c>
      <c r="AA202" s="24" t="n">
        <f aca="false">MAX(AA201,Z202)</f>
        <v>5026.73</v>
      </c>
      <c r="AB202" s="24" t="n">
        <f aca="false">AA202-Z202</f>
        <v>2868.88</v>
      </c>
      <c r="AC202" s="23" t="n">
        <f aca="false">IFERROR(AB202/AA202,0)</f>
        <v>0.570724904659689</v>
      </c>
      <c r="AD202" s="22" t="s">
        <v>397</v>
      </c>
    </row>
    <row r="203" customFormat="false" ht="15" hidden="false" customHeight="false" outlineLevel="0" collapsed="false">
      <c r="A203" s="22" t="n">
        <v>202</v>
      </c>
      <c r="B203" s="22" t="s">
        <v>129</v>
      </c>
      <c r="C203" s="37" t="n">
        <v>46098.3227314815</v>
      </c>
      <c r="D203" s="22" t="s">
        <v>163</v>
      </c>
      <c r="E203" s="22" t="n">
        <v>7</v>
      </c>
      <c r="F203" s="22" t="s">
        <v>142</v>
      </c>
      <c r="G203" s="22" t="s">
        <v>195</v>
      </c>
      <c r="H203" s="22" t="n">
        <v>0.14</v>
      </c>
      <c r="I203" s="38" t="n">
        <v>5037.72</v>
      </c>
      <c r="J203" s="38" t="n">
        <v>5038.052</v>
      </c>
      <c r="K203" s="39" t="n">
        <f aca="false">IF(F203="BUY",J203-I203,I203-J203)</f>
        <v>0.331999999999425</v>
      </c>
      <c r="L203" s="38" t="n">
        <v>5036.22</v>
      </c>
      <c r="M203" s="39" t="n">
        <f aca="false">ABS(I203-L203)</f>
        <v>1.5</v>
      </c>
      <c r="N203" s="24" t="n">
        <f aca="false">M203*H203*Summary!$C$6</f>
        <v>21</v>
      </c>
      <c r="O203" s="37" t="n">
        <v>46098.3227662037</v>
      </c>
      <c r="P203" s="22" t="n">
        <f aca="false">ROUND((O203-C203)*86400,0)</f>
        <v>3</v>
      </c>
      <c r="Q203" s="22" t="str">
        <f aca="false">IF(P203&lt;10,"a) &lt;10s",IF(P203&lt;60,"b) 10-60s",IF(P203&lt;600,"c) 1-10min","d) &gt;10min")))</f>
        <v>a) &lt;10s</v>
      </c>
      <c r="R203" s="38" t="n">
        <v>5039.44</v>
      </c>
      <c r="S203" s="38" t="n">
        <v>5039.085</v>
      </c>
      <c r="T203" s="22" t="s">
        <v>149</v>
      </c>
      <c r="U203" s="39" t="n">
        <f aca="false">IF(R203="","",IF(F203="BUY",R203-S203,S203-R203))</f>
        <v>0.354999999999563</v>
      </c>
      <c r="V203" s="39" t="n">
        <f aca="false">IF(F203="BUY",S203-J203,J203-S203)</f>
        <v>1.03300000000036</v>
      </c>
      <c r="W203" s="6" t="n">
        <v>14.46</v>
      </c>
      <c r="X203" s="26" t="n">
        <f aca="false">IFERROR(W203/N203,0)</f>
        <v>0.688571428571429</v>
      </c>
      <c r="Y203" s="22" t="str">
        <f aca="false">IF(W203&gt;0,"Win",IF(W203&lt;0,"Loss","Flat"))</f>
        <v>Win</v>
      </c>
      <c r="Z203" s="24" t="n">
        <f aca="false">Summary!$C$5+SUM(W$2:W203)</f>
        <v>2172.31</v>
      </c>
      <c r="AA203" s="24" t="n">
        <f aca="false">MAX(AA202,Z203)</f>
        <v>5026.73</v>
      </c>
      <c r="AB203" s="24" t="n">
        <f aca="false">AA203-Z203</f>
        <v>2854.42</v>
      </c>
      <c r="AC203" s="23" t="n">
        <f aca="false">IFERROR(AB203/AA203,0)</f>
        <v>0.567848283078661</v>
      </c>
      <c r="AD203" s="22" t="s">
        <v>398</v>
      </c>
    </row>
    <row r="204" customFormat="false" ht="15" hidden="false" customHeight="false" outlineLevel="0" collapsed="false">
      <c r="A204" s="22" t="n">
        <v>203</v>
      </c>
      <c r="B204" s="22" t="s">
        <v>129</v>
      </c>
      <c r="C204" s="37" t="n">
        <v>46099.5663657407</v>
      </c>
      <c r="D204" s="22" t="s">
        <v>164</v>
      </c>
      <c r="E204" s="22" t="n">
        <v>13</v>
      </c>
      <c r="F204" s="22" t="s">
        <v>143</v>
      </c>
      <c r="G204" s="22" t="s">
        <v>197</v>
      </c>
      <c r="H204" s="22" t="n">
        <v>0.14</v>
      </c>
      <c r="I204" s="38" t="n">
        <v>4973.5</v>
      </c>
      <c r="J204" s="38" t="n">
        <v>4972.058</v>
      </c>
      <c r="K204" s="39" t="n">
        <f aca="false">IF(F204="BUY",J204-I204,I204-J204)</f>
        <v>1.44200000000001</v>
      </c>
      <c r="L204" s="38" t="n">
        <v>4975</v>
      </c>
      <c r="M204" s="39" t="n">
        <f aca="false">ABS(I204-L204)</f>
        <v>1.5</v>
      </c>
      <c r="N204" s="24" t="n">
        <f aca="false">M204*H204*Summary!$C$6</f>
        <v>21</v>
      </c>
      <c r="O204" s="37" t="n">
        <v>46099.566412037</v>
      </c>
      <c r="P204" s="22" t="n">
        <f aca="false">ROUND((O204-C204)*86400,0)</f>
        <v>4</v>
      </c>
      <c r="Q204" s="22" t="str">
        <f aca="false">IF(P204&lt;10,"a) &lt;10s",IF(P204&lt;60,"b) 10-60s",IF(P204&lt;600,"c) 1-10min","d) &gt;10min")))</f>
        <v>a) &lt;10s</v>
      </c>
      <c r="R204" s="38" t="n">
        <v>4961.84</v>
      </c>
      <c r="S204" s="38" t="n">
        <v>4962.605</v>
      </c>
      <c r="T204" s="22" t="s">
        <v>149</v>
      </c>
      <c r="U204" s="39" t="n">
        <f aca="false">IF(R204="","",IF(F204="BUY",R204-S204,S204-R204))</f>
        <v>0.764999999999418</v>
      </c>
      <c r="V204" s="39" t="n">
        <f aca="false">IF(F204="BUY",S204-J204,J204-S204)</f>
        <v>9.45300000000043</v>
      </c>
      <c r="W204" s="6" t="n">
        <v>132.34</v>
      </c>
      <c r="X204" s="26" t="n">
        <f aca="false">IFERROR(W204/N204,0)</f>
        <v>6.30190476190476</v>
      </c>
      <c r="Y204" s="22" t="str">
        <f aca="false">IF(W204&gt;0,"Win",IF(W204&lt;0,"Loss","Flat"))</f>
        <v>Win</v>
      </c>
      <c r="Z204" s="24" t="n">
        <f aca="false">Summary!$C$5+SUM(W$2:W204)</f>
        <v>2304.65</v>
      </c>
      <c r="AA204" s="24" t="n">
        <f aca="false">MAX(AA203,Z204)</f>
        <v>5026.73</v>
      </c>
      <c r="AB204" s="24" t="n">
        <f aca="false">AA204-Z204</f>
        <v>2722.08</v>
      </c>
      <c r="AC204" s="23" t="n">
        <f aca="false">IFERROR(AB204/AA204,0)</f>
        <v>0.541521028581205</v>
      </c>
      <c r="AD204" s="22" t="s">
        <v>399</v>
      </c>
    </row>
    <row r="205" customFormat="false" ht="15" hidden="false" customHeight="false" outlineLevel="0" collapsed="false">
      <c r="A205" s="22" t="n">
        <v>204</v>
      </c>
      <c r="B205" s="22" t="s">
        <v>129</v>
      </c>
      <c r="C205" s="37" t="n">
        <v>46100.0564236111</v>
      </c>
      <c r="D205" s="22" t="s">
        <v>165</v>
      </c>
      <c r="E205" s="22" t="n">
        <v>1</v>
      </c>
      <c r="F205" s="22" t="s">
        <v>143</v>
      </c>
      <c r="G205" s="22" t="s">
        <v>197</v>
      </c>
      <c r="H205" s="22" t="n">
        <v>0.15</v>
      </c>
      <c r="I205" s="38" t="n">
        <v>4806.68</v>
      </c>
      <c r="J205" s="38" t="n">
        <v>4806.599</v>
      </c>
      <c r="K205" s="39" t="n">
        <f aca="false">IF(F205="BUY",J205-I205,I205-J205)</f>
        <v>0.081000000000131</v>
      </c>
      <c r="L205" s="38" t="n">
        <v>4808.18</v>
      </c>
      <c r="M205" s="39" t="n">
        <f aca="false">ABS(I205-L205)</f>
        <v>1.5</v>
      </c>
      <c r="N205" s="24" t="n">
        <f aca="false">M205*H205*Summary!$C$6</f>
        <v>22.5</v>
      </c>
      <c r="O205" s="37" t="n">
        <v>46100.0564351852</v>
      </c>
      <c r="P205" s="22" t="n">
        <f aca="false">ROUND((O205-C205)*86400,0)</f>
        <v>1</v>
      </c>
      <c r="Q205" s="22" t="str">
        <f aca="false">IF(P205&lt;10,"a) &lt;10s",IF(P205&lt;60,"b) 10-60s",IF(P205&lt;600,"c) 1-10min","d) &gt;10min")))</f>
        <v>a) &lt;10s</v>
      </c>
      <c r="R205" s="38" t="n">
        <v>4805.53</v>
      </c>
      <c r="S205" s="38" t="n">
        <v>4805.935</v>
      </c>
      <c r="T205" s="22" t="s">
        <v>149</v>
      </c>
      <c r="U205" s="39" t="n">
        <f aca="false">IF(R205="","",IF(F205="BUY",R205-S205,S205-R205))</f>
        <v>0.405000000000655</v>
      </c>
      <c r="V205" s="39" t="n">
        <f aca="false">IF(F205="BUY",S205-J205,J205-S205)</f>
        <v>0.66399999999976</v>
      </c>
      <c r="W205" s="6" t="n">
        <v>9.96</v>
      </c>
      <c r="X205" s="26" t="n">
        <f aca="false">IFERROR(W205/N205,0)</f>
        <v>0.442666666666667</v>
      </c>
      <c r="Y205" s="22" t="str">
        <f aca="false">IF(W205&gt;0,"Win",IF(W205&lt;0,"Loss","Flat"))</f>
        <v>Win</v>
      </c>
      <c r="Z205" s="24" t="n">
        <f aca="false">Summary!$C$5+SUM(W$2:W205)</f>
        <v>2314.61</v>
      </c>
      <c r="AA205" s="24" t="n">
        <f aca="false">MAX(AA204,Z205)</f>
        <v>5026.73</v>
      </c>
      <c r="AB205" s="24" t="n">
        <f aca="false">AA205-Z205</f>
        <v>2712.12</v>
      </c>
      <c r="AC205" s="23" t="n">
        <f aca="false">IFERROR(AB205/AA205,0)</f>
        <v>0.539539621185144</v>
      </c>
      <c r="AD205" s="22" t="s">
        <v>400</v>
      </c>
    </row>
    <row r="206" customFormat="false" ht="15" hidden="false" customHeight="false" outlineLevel="0" collapsed="false">
      <c r="A206" s="22" t="n">
        <v>205</v>
      </c>
      <c r="B206" s="22" t="s">
        <v>129</v>
      </c>
      <c r="C206" s="37" t="n">
        <v>46101.9101157407</v>
      </c>
      <c r="D206" s="22" t="s">
        <v>166</v>
      </c>
      <c r="E206" s="22" t="n">
        <v>21</v>
      </c>
      <c r="F206" s="22" t="s">
        <v>143</v>
      </c>
      <c r="G206" s="22" t="s">
        <v>197</v>
      </c>
      <c r="H206" s="22" t="n">
        <v>0.15</v>
      </c>
      <c r="I206" s="38" t="n">
        <v>4502.11</v>
      </c>
      <c r="J206" s="38" t="n">
        <v>4501.605</v>
      </c>
      <c r="K206" s="39" t="n">
        <f aca="false">IF(F206="BUY",J206-I206,I206-J206)</f>
        <v>0.505000000000109</v>
      </c>
      <c r="L206" s="38" t="n">
        <v>4503.61</v>
      </c>
      <c r="M206" s="39" t="n">
        <f aca="false">ABS(I206-L206)</f>
        <v>1.5</v>
      </c>
      <c r="N206" s="24" t="n">
        <f aca="false">M206*H206*Summary!$C$6</f>
        <v>22.5</v>
      </c>
      <c r="O206" s="37" t="n">
        <v>46101.9101273148</v>
      </c>
      <c r="P206" s="22" t="n">
        <f aca="false">ROUND((O206-C206)*86400,0)</f>
        <v>1</v>
      </c>
      <c r="Q206" s="22" t="str">
        <f aca="false">IF(P206&lt;10,"a) &lt;10s",IF(P206&lt;60,"b) 10-60s",IF(P206&lt;600,"c) 1-10min","d) &gt;10min")))</f>
        <v>a) &lt;10s</v>
      </c>
      <c r="R206" s="38" t="n">
        <v>4501.6</v>
      </c>
      <c r="S206" s="38" t="n">
        <v>4501.645</v>
      </c>
      <c r="T206" s="22" t="s">
        <v>149</v>
      </c>
      <c r="U206" s="39" t="n">
        <f aca="false">IF(R206="","",IF(F206="BUY",R206-S206,S206-R206))</f>
        <v>0.0450000000000728</v>
      </c>
      <c r="V206" s="39" t="n">
        <f aca="false">IF(F206="BUY",S206-J206,J206-S206)</f>
        <v>-0.0400000000008731</v>
      </c>
      <c r="W206" s="6" t="n">
        <v>-0.6</v>
      </c>
      <c r="X206" s="26" t="n">
        <f aca="false">IFERROR(W206/N206,0)</f>
        <v>-0.0266666666666667</v>
      </c>
      <c r="Y206" s="22" t="str">
        <f aca="false">IF(W206&gt;0,"Win",IF(W206&lt;0,"Loss","Flat"))</f>
        <v>Loss</v>
      </c>
      <c r="Z206" s="24" t="n">
        <f aca="false">Summary!$C$5+SUM(W$2:W206)</f>
        <v>2314.01</v>
      </c>
      <c r="AA206" s="24" t="n">
        <f aca="false">MAX(AA205,Z206)</f>
        <v>5026.73</v>
      </c>
      <c r="AB206" s="24" t="n">
        <f aca="false">AA206-Z206</f>
        <v>2712.72</v>
      </c>
      <c r="AC206" s="23" t="n">
        <f aca="false">IFERROR(AB206/AA206,0)</f>
        <v>0.539658983076473</v>
      </c>
      <c r="AD206" s="22" t="s">
        <v>401</v>
      </c>
    </row>
    <row r="207" customFormat="false" ht="15" hidden="false" customHeight="false" outlineLevel="0" collapsed="false">
      <c r="A207" s="22" t="n">
        <v>206</v>
      </c>
      <c r="B207" s="22" t="s">
        <v>129</v>
      </c>
      <c r="C207" s="37" t="n">
        <v>46104.1084375</v>
      </c>
      <c r="D207" s="22" t="s">
        <v>162</v>
      </c>
      <c r="E207" s="22" t="n">
        <v>2</v>
      </c>
      <c r="F207" s="22" t="s">
        <v>143</v>
      </c>
      <c r="G207" s="22" t="s">
        <v>197</v>
      </c>
      <c r="H207" s="22" t="n">
        <v>0.15</v>
      </c>
      <c r="I207" s="38" t="n">
        <v>4477.13</v>
      </c>
      <c r="J207" s="38" t="n">
        <v>4476.845</v>
      </c>
      <c r="K207" s="39" t="n">
        <f aca="false">IF(F207="BUY",J207-I207,I207-J207)</f>
        <v>0.284999999999855</v>
      </c>
      <c r="L207" s="38" t="n">
        <v>4478.63</v>
      </c>
      <c r="M207" s="39" t="n">
        <f aca="false">ABS(I207-L207)</f>
        <v>1.5</v>
      </c>
      <c r="N207" s="24" t="n">
        <f aca="false">M207*H207*Summary!$C$6</f>
        <v>22.5</v>
      </c>
      <c r="O207" s="37" t="n">
        <v>46104.1084490741</v>
      </c>
      <c r="P207" s="22" t="n">
        <f aca="false">ROUND((O207-C207)*86400,0)</f>
        <v>1</v>
      </c>
      <c r="Q207" s="22" t="str">
        <f aca="false">IF(P207&lt;10,"a) &lt;10s",IF(P207&lt;60,"b) 10-60s",IF(P207&lt;600,"c) 1-10min","d) &gt;10min")))</f>
        <v>a) &lt;10s</v>
      </c>
      <c r="R207" s="38" t="n">
        <v>4476.6</v>
      </c>
      <c r="S207" s="38" t="n">
        <v>4476.755</v>
      </c>
      <c r="T207" s="22" t="s">
        <v>149</v>
      </c>
      <c r="U207" s="39" t="n">
        <f aca="false">IF(R207="","",IF(F207="BUY",R207-S207,S207-R207))</f>
        <v>0.154999999999745</v>
      </c>
      <c r="V207" s="39" t="n">
        <f aca="false">IF(F207="BUY",S207-J207,J207-S207)</f>
        <v>0.0900000000001455</v>
      </c>
      <c r="W207" s="6" t="n">
        <v>1.35</v>
      </c>
      <c r="X207" s="26" t="n">
        <f aca="false">IFERROR(W207/N207,0)</f>
        <v>0.06</v>
      </c>
      <c r="Y207" s="22" t="str">
        <f aca="false">IF(W207&gt;0,"Win",IF(W207&lt;0,"Loss","Flat"))</f>
        <v>Win</v>
      </c>
      <c r="Z207" s="24" t="n">
        <f aca="false">Summary!$C$5+SUM(W$2:W207)</f>
        <v>2315.36</v>
      </c>
      <c r="AA207" s="24" t="n">
        <f aca="false">MAX(AA206,Z207)</f>
        <v>5026.73</v>
      </c>
      <c r="AB207" s="24" t="n">
        <f aca="false">AA207-Z207</f>
        <v>2711.37</v>
      </c>
      <c r="AC207" s="23" t="n">
        <f aca="false">IFERROR(AB207/AA207,0)</f>
        <v>0.539390418820983</v>
      </c>
      <c r="AD207" s="22" t="s">
        <v>402</v>
      </c>
    </row>
    <row r="208" customFormat="false" ht="15" hidden="false" customHeight="false" outlineLevel="0" collapsed="false">
      <c r="A208" s="22" t="n">
        <v>207</v>
      </c>
      <c r="B208" s="22" t="s">
        <v>129</v>
      </c>
      <c r="C208" s="37" t="n">
        <v>46106.0534722222</v>
      </c>
      <c r="D208" s="22" t="s">
        <v>164</v>
      </c>
      <c r="E208" s="22" t="n">
        <v>1</v>
      </c>
      <c r="F208" s="22" t="s">
        <v>142</v>
      </c>
      <c r="G208" s="22" t="s">
        <v>195</v>
      </c>
      <c r="H208" s="22" t="n">
        <v>0.15</v>
      </c>
      <c r="I208" s="38" t="n">
        <v>4483.94</v>
      </c>
      <c r="J208" s="38" t="n">
        <v>4484.255</v>
      </c>
      <c r="K208" s="39" t="n">
        <f aca="false">IF(F208="BUY",J208-I208,I208-J208)</f>
        <v>0.315000000000509</v>
      </c>
      <c r="L208" s="38" t="n">
        <v>4482.44</v>
      </c>
      <c r="M208" s="39" t="n">
        <f aca="false">ABS(I208-L208)</f>
        <v>1.5</v>
      </c>
      <c r="N208" s="24" t="n">
        <f aca="false">M208*H208*Summary!$C$6</f>
        <v>22.5</v>
      </c>
      <c r="O208" s="37" t="n">
        <v>46106.0535069444</v>
      </c>
      <c r="P208" s="22" t="n">
        <f aca="false">ROUND((O208-C208)*86400,0)</f>
        <v>3</v>
      </c>
      <c r="Q208" s="22" t="str">
        <f aca="false">IF(P208&lt;10,"a) &lt;10s",IF(P208&lt;60,"b) 10-60s",IF(P208&lt;600,"c) 1-10min","d) &gt;10min")))</f>
        <v>a) &lt;10s</v>
      </c>
      <c r="R208" s="38" t="n">
        <v>4482.44</v>
      </c>
      <c r="S208" s="38" t="n">
        <v>4482.406</v>
      </c>
      <c r="T208" s="22" t="s">
        <v>148</v>
      </c>
      <c r="U208" s="39" t="n">
        <f aca="false">IF(R208="","",IF(F208="BUY",R208-S208,S208-R208))</f>
        <v>0.0339999999996508</v>
      </c>
      <c r="V208" s="39" t="n">
        <f aca="false">IF(F208="BUY",S208-J208,J208-S208)</f>
        <v>-1.84900000000016</v>
      </c>
      <c r="W208" s="6" t="n">
        <v>-27.74</v>
      </c>
      <c r="X208" s="26" t="n">
        <f aca="false">IFERROR(W208/N208,0)</f>
        <v>-1.23288888888889</v>
      </c>
      <c r="Y208" s="22" t="str">
        <f aca="false">IF(W208&gt;0,"Win",IF(W208&lt;0,"Loss","Flat"))</f>
        <v>Loss</v>
      </c>
      <c r="Z208" s="24" t="n">
        <f aca="false">Summary!$C$5+SUM(W$2:W208)</f>
        <v>2287.62</v>
      </c>
      <c r="AA208" s="24" t="n">
        <f aca="false">MAX(AA207,Z208)</f>
        <v>5026.73</v>
      </c>
      <c r="AB208" s="24" t="n">
        <f aca="false">AA208-Z208</f>
        <v>2739.11</v>
      </c>
      <c r="AC208" s="23" t="n">
        <f aca="false">IFERROR(AB208/AA208,0)</f>
        <v>0.544908916930092</v>
      </c>
      <c r="AD208" s="22" t="s">
        <v>403</v>
      </c>
    </row>
    <row r="209" customFormat="false" ht="15" hidden="false" customHeight="false" outlineLevel="0" collapsed="false">
      <c r="A209" s="22" t="n">
        <v>208</v>
      </c>
      <c r="B209" s="22" t="s">
        <v>129</v>
      </c>
      <c r="C209" s="37" t="n">
        <v>46107.3725231482</v>
      </c>
      <c r="D209" s="22" t="s">
        <v>165</v>
      </c>
      <c r="E209" s="22" t="n">
        <v>8</v>
      </c>
      <c r="F209" s="22" t="s">
        <v>143</v>
      </c>
      <c r="G209" s="22" t="s">
        <v>197</v>
      </c>
      <c r="H209" s="22" t="n">
        <v>0.15</v>
      </c>
      <c r="I209" s="38" t="n">
        <v>4455.26</v>
      </c>
      <c r="J209" s="38" t="n">
        <v>4454.865</v>
      </c>
      <c r="K209" s="39" t="n">
        <f aca="false">IF(F209="BUY",J209-I209,I209-J209)</f>
        <v>0.395000000000437</v>
      </c>
      <c r="L209" s="38" t="n">
        <v>4456.76</v>
      </c>
      <c r="M209" s="39" t="n">
        <f aca="false">ABS(I209-L209)</f>
        <v>1.5</v>
      </c>
      <c r="N209" s="24" t="n">
        <f aca="false">M209*H209*Summary!$C$6</f>
        <v>22.5</v>
      </c>
      <c r="O209" s="37" t="n">
        <v>46107.3725347222</v>
      </c>
      <c r="P209" s="22" t="n">
        <f aca="false">ROUND((O209-C209)*86400,0)</f>
        <v>1</v>
      </c>
      <c r="Q209" s="22" t="str">
        <f aca="false">IF(P209&lt;10,"a) &lt;10s",IF(P209&lt;60,"b) 10-60s",IF(P209&lt;600,"c) 1-10min","d) &gt;10min")))</f>
        <v>a) &lt;10s</v>
      </c>
      <c r="R209" s="38" t="n">
        <v>4452.09</v>
      </c>
      <c r="S209" s="38" t="n">
        <v>4452.575</v>
      </c>
      <c r="T209" s="22" t="s">
        <v>149</v>
      </c>
      <c r="U209" s="39" t="n">
        <f aca="false">IF(R209="","",IF(F209="BUY",R209-S209,S209-R209))</f>
        <v>0.484999999999673</v>
      </c>
      <c r="V209" s="39" t="n">
        <f aca="false">IF(F209="BUY",S209-J209,J209-S209)</f>
        <v>2.28999999999996</v>
      </c>
      <c r="W209" s="6" t="n">
        <v>34.35</v>
      </c>
      <c r="X209" s="26" t="n">
        <f aca="false">IFERROR(W209/N209,0)</f>
        <v>1.52666666666667</v>
      </c>
      <c r="Y209" s="22" t="str">
        <f aca="false">IF(W209&gt;0,"Win",IF(W209&lt;0,"Loss","Flat"))</f>
        <v>Win</v>
      </c>
      <c r="Z209" s="24" t="n">
        <f aca="false">Summary!$C$5+SUM(W$2:W209)</f>
        <v>2321.97</v>
      </c>
      <c r="AA209" s="24" t="n">
        <f aca="false">MAX(AA208,Z209)</f>
        <v>5026.73</v>
      </c>
      <c r="AB209" s="24" t="n">
        <f aca="false">AA209-Z209</f>
        <v>2704.76</v>
      </c>
      <c r="AC209" s="23" t="n">
        <f aca="false">IFERROR(AB209/AA209,0)</f>
        <v>0.538075448651509</v>
      </c>
      <c r="AD209" s="22" t="s">
        <v>404</v>
      </c>
    </row>
    <row r="210" customFormat="false" ht="15" hidden="false" customHeight="false" outlineLevel="0" collapsed="false">
      <c r="A210" s="22" t="n">
        <v>209</v>
      </c>
      <c r="B210" s="22" t="s">
        <v>129</v>
      </c>
      <c r="C210" s="37" t="n">
        <v>46108.7649884259</v>
      </c>
      <c r="D210" s="22" t="s">
        <v>166</v>
      </c>
      <c r="E210" s="22" t="n">
        <v>18</v>
      </c>
      <c r="F210" s="22" t="s">
        <v>142</v>
      </c>
      <c r="G210" s="22" t="s">
        <v>195</v>
      </c>
      <c r="H210" s="22" t="n">
        <v>0.15</v>
      </c>
      <c r="I210" s="38" t="n">
        <v>4544.27</v>
      </c>
      <c r="J210" s="38" t="n">
        <v>4544.325</v>
      </c>
      <c r="K210" s="39" t="n">
        <f aca="false">IF(F210="BUY",J210-I210,I210-J210)</f>
        <v>0.0549999999993815</v>
      </c>
      <c r="L210" s="38" t="n">
        <v>4542.77</v>
      </c>
      <c r="M210" s="39" t="n">
        <f aca="false">ABS(I210-L210)</f>
        <v>1.5</v>
      </c>
      <c r="N210" s="24" t="n">
        <f aca="false">M210*H210*Summary!$C$6</f>
        <v>22.5</v>
      </c>
      <c r="O210" s="37" t="n">
        <v>46108.765</v>
      </c>
      <c r="P210" s="22" t="n">
        <f aca="false">ROUND((O210-C210)*86400,0)</f>
        <v>1</v>
      </c>
      <c r="Q210" s="22" t="str">
        <f aca="false">IF(P210&lt;10,"a) &lt;10s",IF(P210&lt;60,"b) 10-60s",IF(P210&lt;600,"c) 1-10min","d) &gt;10min")))</f>
        <v>a) &lt;10s</v>
      </c>
      <c r="R210" s="38" t="n">
        <v>4547.42</v>
      </c>
      <c r="S210" s="38" t="n">
        <v>4545.178</v>
      </c>
      <c r="T210" s="22" t="s">
        <v>149</v>
      </c>
      <c r="U210" s="39" t="n">
        <f aca="false">IF(R210="","",IF(F210="BUY",R210-S210,S210-R210))</f>
        <v>2.24200000000019</v>
      </c>
      <c r="V210" s="39" t="n">
        <f aca="false">IF(F210="BUY",S210-J210,J210-S210)</f>
        <v>0.853000000000066</v>
      </c>
      <c r="W210" s="6" t="n">
        <v>12.8</v>
      </c>
      <c r="X210" s="26" t="n">
        <f aca="false">IFERROR(W210/N210,0)</f>
        <v>0.568888888888889</v>
      </c>
      <c r="Y210" s="22" t="str">
        <f aca="false">IF(W210&gt;0,"Win",IF(W210&lt;0,"Loss","Flat"))</f>
        <v>Win</v>
      </c>
      <c r="Z210" s="24" t="n">
        <f aca="false">Summary!$C$5+SUM(W$2:W210)</f>
        <v>2334.77</v>
      </c>
      <c r="AA210" s="24" t="n">
        <f aca="false">MAX(AA209,Z210)</f>
        <v>5026.73</v>
      </c>
      <c r="AB210" s="24" t="n">
        <f aca="false">AA210-Z210</f>
        <v>2691.96</v>
      </c>
      <c r="AC210" s="23" t="n">
        <f aca="false">IFERROR(AB210/AA210,0)</f>
        <v>0.535529061636491</v>
      </c>
      <c r="AD210" s="22" t="s">
        <v>405</v>
      </c>
    </row>
    <row r="211" customFormat="false" ht="15" hidden="false" customHeight="false" outlineLevel="0" collapsed="false">
      <c r="A211" s="22" t="n">
        <v>210</v>
      </c>
      <c r="B211" s="22" t="s">
        <v>129</v>
      </c>
      <c r="C211" s="37" t="n">
        <v>46111.6144675926</v>
      </c>
      <c r="D211" s="22" t="s">
        <v>162</v>
      </c>
      <c r="E211" s="22" t="n">
        <v>14</v>
      </c>
      <c r="F211" s="22" t="s">
        <v>142</v>
      </c>
      <c r="G211" s="22" t="s">
        <v>195</v>
      </c>
      <c r="H211" s="22" t="n">
        <v>0.15</v>
      </c>
      <c r="I211" s="38" t="n">
        <v>4554.97</v>
      </c>
      <c r="J211" s="38" t="n">
        <v>4556.845</v>
      </c>
      <c r="K211" s="39" t="n">
        <f aca="false">IF(F211="BUY",J211-I211,I211-J211)</f>
        <v>1.875</v>
      </c>
      <c r="L211" s="38" t="n">
        <v>4553.47</v>
      </c>
      <c r="M211" s="39" t="n">
        <f aca="false">ABS(I211-L211)</f>
        <v>1.5</v>
      </c>
      <c r="N211" s="24" t="n">
        <f aca="false">M211*H211*Summary!$C$6</f>
        <v>22.5</v>
      </c>
      <c r="O211" s="37" t="n">
        <v>46111.6144907407</v>
      </c>
      <c r="P211" s="22" t="n">
        <f aca="false">ROUND((O211-C211)*86400,0)</f>
        <v>2</v>
      </c>
      <c r="Q211" s="22" t="str">
        <f aca="false">IF(P211&lt;10,"a) &lt;10s",IF(P211&lt;60,"b) 10-60s",IF(P211&lt;600,"c) 1-10min","d) &gt;10min")))</f>
        <v>a) &lt;10s</v>
      </c>
      <c r="R211" s="38" t="n">
        <v>4559.79</v>
      </c>
      <c r="S211" s="38" t="n">
        <v>4559.775</v>
      </c>
      <c r="T211" s="22" t="s">
        <v>149</v>
      </c>
      <c r="U211" s="39" t="n">
        <f aca="false">IF(R211="","",IF(F211="BUY",R211-S211,S211-R211))</f>
        <v>0.0150000000003274</v>
      </c>
      <c r="V211" s="39" t="n">
        <f aca="false">IF(F211="BUY",S211-J211,J211-S211)</f>
        <v>2.92999999999938</v>
      </c>
      <c r="W211" s="6" t="n">
        <v>43.95</v>
      </c>
      <c r="X211" s="26" t="n">
        <f aca="false">IFERROR(W211/N211,0)</f>
        <v>1.95333333333333</v>
      </c>
      <c r="Y211" s="22" t="str">
        <f aca="false">IF(W211&gt;0,"Win",IF(W211&lt;0,"Loss","Flat"))</f>
        <v>Win</v>
      </c>
      <c r="Z211" s="24" t="n">
        <f aca="false">Summary!$C$5+SUM(W$2:W211)</f>
        <v>2378.72</v>
      </c>
      <c r="AA211" s="24" t="n">
        <f aca="false">MAX(AA210,Z211)</f>
        <v>5026.73</v>
      </c>
      <c r="AB211" s="24" t="n">
        <f aca="false">AA211-Z211</f>
        <v>2648.01</v>
      </c>
      <c r="AC211" s="23" t="n">
        <f aca="false">IFERROR(AB211/AA211,0)</f>
        <v>0.526785803096645</v>
      </c>
      <c r="AD211" s="22" t="s">
        <v>406</v>
      </c>
    </row>
    <row r="212" customFormat="false" ht="15" hidden="false" customHeight="false" outlineLevel="0" collapsed="false">
      <c r="A212" s="22" t="n">
        <v>211</v>
      </c>
      <c r="B212" s="22" t="s">
        <v>129</v>
      </c>
      <c r="C212" s="37" t="n">
        <v>46112.1839699074</v>
      </c>
      <c r="D212" s="22" t="s">
        <v>163</v>
      </c>
      <c r="E212" s="22" t="n">
        <v>4</v>
      </c>
      <c r="F212" s="22" t="s">
        <v>142</v>
      </c>
      <c r="G212" s="22" t="s">
        <v>195</v>
      </c>
      <c r="H212" s="22" t="n">
        <v>0.15</v>
      </c>
      <c r="I212" s="38" t="n">
        <v>4580.47</v>
      </c>
      <c r="J212" s="38" t="n">
        <v>4580.945</v>
      </c>
      <c r="K212" s="39" t="n">
        <f aca="false">IF(F212="BUY",J212-I212,I212-J212)</f>
        <v>0.474999999999454</v>
      </c>
      <c r="L212" s="38" t="n">
        <v>4578.97</v>
      </c>
      <c r="M212" s="39" t="n">
        <f aca="false">ABS(I212-L212)</f>
        <v>1.5</v>
      </c>
      <c r="N212" s="24" t="n">
        <f aca="false">M212*H212*Summary!$C$6</f>
        <v>22.5</v>
      </c>
      <c r="O212" s="37" t="n">
        <v>46112.1839814815</v>
      </c>
      <c r="P212" s="22" t="n">
        <f aca="false">ROUND((O212-C212)*86400,0)</f>
        <v>1</v>
      </c>
      <c r="Q212" s="22" t="str">
        <f aca="false">IF(P212&lt;10,"a) &lt;10s",IF(P212&lt;60,"b) 10-60s",IF(P212&lt;600,"c) 1-10min","d) &gt;10min")))</f>
        <v>a) &lt;10s</v>
      </c>
      <c r="R212" s="38" t="n">
        <v>4584.42</v>
      </c>
      <c r="S212" s="38" t="n">
        <v>4584.005</v>
      </c>
      <c r="T212" s="22" t="s">
        <v>149</v>
      </c>
      <c r="U212" s="39" t="n">
        <f aca="false">IF(R212="","",IF(F212="BUY",R212-S212,S212-R212))</f>
        <v>0.414999999999964</v>
      </c>
      <c r="V212" s="39" t="n">
        <f aca="false">IF(F212="BUY",S212-J212,J212-S212)</f>
        <v>3.0600000000004</v>
      </c>
      <c r="W212" s="6" t="n">
        <v>45.9</v>
      </c>
      <c r="X212" s="26" t="n">
        <f aca="false">IFERROR(W212/N212,0)</f>
        <v>2.04</v>
      </c>
      <c r="Y212" s="22" t="str">
        <f aca="false">IF(W212&gt;0,"Win",IF(W212&lt;0,"Loss","Flat"))</f>
        <v>Win</v>
      </c>
      <c r="Z212" s="24" t="n">
        <f aca="false">Summary!$C$5+SUM(W$2:W212)</f>
        <v>2424.62</v>
      </c>
      <c r="AA212" s="24" t="n">
        <f aca="false">MAX(AA211,Z212)</f>
        <v>5026.73</v>
      </c>
      <c r="AB212" s="24" t="n">
        <f aca="false">AA212-Z212</f>
        <v>2602.11</v>
      </c>
      <c r="AC212" s="23" t="n">
        <f aca="false">IFERROR(AB212/AA212,0)</f>
        <v>0.51765461840998</v>
      </c>
      <c r="AD212" s="22" t="s">
        <v>407</v>
      </c>
    </row>
    <row r="213" customFormat="false" ht="15" hidden="false" customHeight="false" outlineLevel="0" collapsed="false">
      <c r="A213" s="22" t="n">
        <v>212</v>
      </c>
      <c r="B213" s="22" t="s">
        <v>130</v>
      </c>
      <c r="C213" s="37" t="n">
        <v>46113.0682523148</v>
      </c>
      <c r="D213" s="22" t="s">
        <v>164</v>
      </c>
      <c r="E213" s="22" t="n">
        <v>1</v>
      </c>
      <c r="F213" s="22" t="s">
        <v>142</v>
      </c>
      <c r="G213" s="22" t="s">
        <v>195</v>
      </c>
      <c r="H213" s="22" t="n">
        <v>0.16</v>
      </c>
      <c r="I213" s="38" t="n">
        <v>4686.94</v>
      </c>
      <c r="J213" s="38" t="n">
        <v>4687.315</v>
      </c>
      <c r="K213" s="39" t="n">
        <f aca="false">IF(F213="BUY",J213-I213,I213-J213)</f>
        <v>0.375</v>
      </c>
      <c r="L213" s="38" t="n">
        <v>4685.44</v>
      </c>
      <c r="M213" s="39" t="n">
        <f aca="false">ABS(I213-L213)</f>
        <v>1.5</v>
      </c>
      <c r="N213" s="24" t="n">
        <f aca="false">M213*H213*Summary!$C$6</f>
        <v>24</v>
      </c>
      <c r="O213" s="37" t="n">
        <v>46113.068287037</v>
      </c>
      <c r="P213" s="22" t="n">
        <f aca="false">ROUND((O213-C213)*86400,0)</f>
        <v>3</v>
      </c>
      <c r="Q213" s="22" t="str">
        <f aca="false">IF(P213&lt;10,"a) &lt;10s",IF(P213&lt;60,"b) 10-60s",IF(P213&lt;600,"c) 1-10min","d) &gt;10min")))</f>
        <v>a) &lt;10s</v>
      </c>
      <c r="R213" s="38" t="n">
        <v>4688.13</v>
      </c>
      <c r="S213" s="38" t="n">
        <v>4687.855</v>
      </c>
      <c r="T213" s="22" t="s">
        <v>149</v>
      </c>
      <c r="U213" s="39" t="n">
        <f aca="false">IF(R213="","",IF(F213="BUY",R213-S213,S213-R213))</f>
        <v>0.275000000000546</v>
      </c>
      <c r="V213" s="39" t="n">
        <f aca="false">IF(F213="BUY",S213-J213,J213-S213)</f>
        <v>0.539999999999964</v>
      </c>
      <c r="W213" s="6" t="n">
        <v>8.64</v>
      </c>
      <c r="X213" s="26" t="n">
        <f aca="false">IFERROR(W213/N213,0)</f>
        <v>0.36</v>
      </c>
      <c r="Y213" s="22" t="str">
        <f aca="false">IF(W213&gt;0,"Win",IF(W213&lt;0,"Loss","Flat"))</f>
        <v>Win</v>
      </c>
      <c r="Z213" s="24" t="n">
        <f aca="false">Summary!$C$5+SUM(W$2:W213)</f>
        <v>2433.26</v>
      </c>
      <c r="AA213" s="24" t="n">
        <f aca="false">MAX(AA212,Z213)</f>
        <v>5026.73</v>
      </c>
      <c r="AB213" s="24" t="n">
        <f aca="false">AA213-Z213</f>
        <v>2593.47</v>
      </c>
      <c r="AC213" s="23" t="n">
        <f aca="false">IFERROR(AB213/AA213,0)</f>
        <v>0.515935807174843</v>
      </c>
      <c r="AD213" s="22" t="s">
        <v>408</v>
      </c>
    </row>
    <row r="214" customFormat="false" ht="15" hidden="false" customHeight="false" outlineLevel="0" collapsed="false">
      <c r="A214" s="22" t="n">
        <v>213</v>
      </c>
      <c r="B214" s="22" t="s">
        <v>130</v>
      </c>
      <c r="C214" s="37" t="n">
        <v>46114.0938657407</v>
      </c>
      <c r="D214" s="22" t="s">
        <v>165</v>
      </c>
      <c r="E214" s="22" t="n">
        <v>2</v>
      </c>
      <c r="F214" s="22" t="s">
        <v>142</v>
      </c>
      <c r="G214" s="22" t="s">
        <v>195</v>
      </c>
      <c r="H214" s="22" t="n">
        <v>0.16</v>
      </c>
      <c r="I214" s="38" t="n">
        <v>4793.14</v>
      </c>
      <c r="J214" s="38" t="n">
        <v>4793.212</v>
      </c>
      <c r="K214" s="39" t="n">
        <f aca="false">IF(F214="BUY",J214-I214,I214-J214)</f>
        <v>0.0720000000001164</v>
      </c>
      <c r="L214" s="38" t="n">
        <v>4791.64</v>
      </c>
      <c r="M214" s="39" t="n">
        <f aca="false">ABS(I214-L214)</f>
        <v>1.5</v>
      </c>
      <c r="N214" s="24" t="n">
        <f aca="false">M214*H214*Summary!$C$6</f>
        <v>24</v>
      </c>
      <c r="O214" s="37" t="n">
        <v>46114.093900463</v>
      </c>
      <c r="P214" s="22" t="n">
        <f aca="false">ROUND((O214-C214)*86400,0)</f>
        <v>3</v>
      </c>
      <c r="Q214" s="22" t="str">
        <f aca="false">IF(P214&lt;10,"a) &lt;10s",IF(P214&lt;60,"b) 10-60s",IF(P214&lt;600,"c) 1-10min","d) &gt;10min")))</f>
        <v>a) &lt;10s</v>
      </c>
      <c r="R214" s="38" t="n">
        <v>4793.47</v>
      </c>
      <c r="S214" s="38" t="n">
        <v>4793.365</v>
      </c>
      <c r="T214" s="22" t="s">
        <v>149</v>
      </c>
      <c r="U214" s="39" t="n">
        <f aca="false">IF(R214="","",IF(F214="BUY",R214-S214,S214-R214))</f>
        <v>0.105000000000473</v>
      </c>
      <c r="V214" s="39" t="n">
        <f aca="false">IF(F214="BUY",S214-J214,J214-S214)</f>
        <v>0.152999999999338</v>
      </c>
      <c r="W214" s="6" t="n">
        <v>2.45</v>
      </c>
      <c r="X214" s="26" t="n">
        <f aca="false">IFERROR(W214/N214,0)</f>
        <v>0.102083333333333</v>
      </c>
      <c r="Y214" s="22" t="str">
        <f aca="false">IF(W214&gt;0,"Win",IF(W214&lt;0,"Loss","Flat"))</f>
        <v>Win</v>
      </c>
      <c r="Z214" s="24" t="n">
        <f aca="false">Summary!$C$5+SUM(W$2:W214)</f>
        <v>2435.71</v>
      </c>
      <c r="AA214" s="24" t="n">
        <f aca="false">MAX(AA213,Z214)</f>
        <v>5026.73</v>
      </c>
      <c r="AB214" s="24" t="n">
        <f aca="false">AA214-Z214</f>
        <v>2591.02</v>
      </c>
      <c r="AC214" s="23" t="n">
        <f aca="false">IFERROR(AB214/AA214,0)</f>
        <v>0.51544841278525</v>
      </c>
      <c r="AD214" s="22" t="s">
        <v>409</v>
      </c>
    </row>
    <row r="215" customFormat="false" ht="15" hidden="false" customHeight="false" outlineLevel="0" collapsed="false">
      <c r="A215" s="22" t="n">
        <v>214</v>
      </c>
      <c r="B215" s="22" t="s">
        <v>130</v>
      </c>
      <c r="C215" s="37" t="n">
        <v>46114.1890740741</v>
      </c>
      <c r="D215" s="22" t="s">
        <v>165</v>
      </c>
      <c r="E215" s="22" t="n">
        <v>4</v>
      </c>
      <c r="F215" s="22" t="s">
        <v>143</v>
      </c>
      <c r="G215" s="22" t="s">
        <v>197</v>
      </c>
      <c r="H215" s="22" t="n">
        <v>0.16</v>
      </c>
      <c r="I215" s="38" t="n">
        <v>4661.63</v>
      </c>
      <c r="J215" s="38" t="n">
        <v>4661.414</v>
      </c>
      <c r="K215" s="39" t="n">
        <f aca="false">IF(F215="BUY",J215-I215,I215-J215)</f>
        <v>0.216000000000349</v>
      </c>
      <c r="L215" s="38" t="n">
        <v>4663.13</v>
      </c>
      <c r="M215" s="39" t="n">
        <f aca="false">ABS(I215-L215)</f>
        <v>1.5</v>
      </c>
      <c r="N215" s="24" t="n">
        <f aca="false">M215*H215*Summary!$C$6</f>
        <v>24</v>
      </c>
      <c r="O215" s="37" t="n">
        <v>46114.1890972222</v>
      </c>
      <c r="P215" s="22" t="n">
        <f aca="false">ROUND((O215-C215)*86400,0)</f>
        <v>2</v>
      </c>
      <c r="Q215" s="22" t="str">
        <f aca="false">IF(P215&lt;10,"a) &lt;10s",IF(P215&lt;60,"b) 10-60s",IF(P215&lt;600,"c) 1-10min","d) &gt;10min")))</f>
        <v>a) &lt;10s</v>
      </c>
      <c r="R215" s="38" t="n">
        <v>4661.15</v>
      </c>
      <c r="S215" s="38" t="n">
        <v>4661.625</v>
      </c>
      <c r="T215" s="22" t="s">
        <v>149</v>
      </c>
      <c r="U215" s="39" t="n">
        <f aca="false">IF(R215="","",IF(F215="BUY",R215-S215,S215-R215))</f>
        <v>0.475000000000364</v>
      </c>
      <c r="V215" s="39" t="n">
        <f aca="false">IF(F215="BUY",S215-J215,J215-S215)</f>
        <v>-0.21100000000024</v>
      </c>
      <c r="W215" s="6" t="n">
        <v>-3.38</v>
      </c>
      <c r="X215" s="26" t="n">
        <f aca="false">IFERROR(W215/N215,0)</f>
        <v>-0.140833333333333</v>
      </c>
      <c r="Y215" s="22" t="str">
        <f aca="false">IF(W215&gt;0,"Win",IF(W215&lt;0,"Loss","Flat"))</f>
        <v>Loss</v>
      </c>
      <c r="Z215" s="24" t="n">
        <f aca="false">Summary!$C$5+SUM(W$2:W215)</f>
        <v>2432.33</v>
      </c>
      <c r="AA215" s="24" t="n">
        <f aca="false">MAX(AA214,Z215)</f>
        <v>5026.73</v>
      </c>
      <c r="AB215" s="24" t="n">
        <f aca="false">AA215-Z215</f>
        <v>2594.4</v>
      </c>
      <c r="AC215" s="23" t="n">
        <f aca="false">IFERROR(AB215/AA215,0)</f>
        <v>0.516120818106403</v>
      </c>
      <c r="AD215" s="22" t="s">
        <v>410</v>
      </c>
    </row>
    <row r="216" customFormat="false" ht="15" hidden="false" customHeight="false" outlineLevel="0" collapsed="false">
      <c r="A216" s="22" t="n">
        <v>215</v>
      </c>
      <c r="B216" s="22" t="s">
        <v>130</v>
      </c>
      <c r="C216" s="37" t="n">
        <v>46121.1302430556</v>
      </c>
      <c r="D216" s="22" t="s">
        <v>165</v>
      </c>
      <c r="E216" s="22" t="n">
        <v>3</v>
      </c>
      <c r="F216" s="22" t="s">
        <v>143</v>
      </c>
      <c r="G216" s="22" t="s">
        <v>197</v>
      </c>
      <c r="H216" s="22" t="n">
        <v>0.16</v>
      </c>
      <c r="I216" s="38" t="n">
        <v>4699.23</v>
      </c>
      <c r="J216" s="38" t="n">
        <v>4698.875</v>
      </c>
      <c r="K216" s="39" t="n">
        <f aca="false">IF(F216="BUY",J216-I216,I216-J216)</f>
        <v>0.354999999999563</v>
      </c>
      <c r="L216" s="38" t="n">
        <v>4700.73</v>
      </c>
      <c r="M216" s="39" t="n">
        <f aca="false">ABS(I216-L216)</f>
        <v>1.5</v>
      </c>
      <c r="N216" s="24" t="n">
        <f aca="false">M216*H216*Summary!$C$6</f>
        <v>24</v>
      </c>
      <c r="O216" s="37" t="n">
        <v>46121.1302546296</v>
      </c>
      <c r="P216" s="22" t="n">
        <f aca="false">ROUND((O216-C216)*86400,0)</f>
        <v>1</v>
      </c>
      <c r="Q216" s="22" t="str">
        <f aca="false">IF(P216&lt;10,"a) &lt;10s",IF(P216&lt;60,"b) 10-60s",IF(P216&lt;600,"c) 1-10min","d) &gt;10min")))</f>
        <v>a) &lt;10s</v>
      </c>
      <c r="R216" s="38" t="n">
        <v>4700.73</v>
      </c>
      <c r="S216" s="38" t="n">
        <v>4700.955</v>
      </c>
      <c r="T216" s="22" t="s">
        <v>148</v>
      </c>
      <c r="U216" s="39" t="n">
        <f aca="false">IF(R216="","",IF(F216="BUY",R216-S216,S216-R216))</f>
        <v>0.225000000000364</v>
      </c>
      <c r="V216" s="39" t="n">
        <f aca="false">IF(F216="BUY",S216-J216,J216-S216)</f>
        <v>-2.07999999999993</v>
      </c>
      <c r="W216" s="6" t="n">
        <v>-33.28</v>
      </c>
      <c r="X216" s="26" t="n">
        <f aca="false">IFERROR(W216/N216,0)</f>
        <v>-1.38666666666667</v>
      </c>
      <c r="Y216" s="22" t="str">
        <f aca="false">IF(W216&gt;0,"Win",IF(W216&lt;0,"Loss","Flat"))</f>
        <v>Loss</v>
      </c>
      <c r="Z216" s="24" t="n">
        <f aca="false">Summary!$C$5+SUM(W$2:W216)</f>
        <v>2399.05</v>
      </c>
      <c r="AA216" s="24" t="n">
        <f aca="false">MAX(AA215,Z216)</f>
        <v>5026.73</v>
      </c>
      <c r="AB216" s="24" t="n">
        <f aca="false">AA216-Z216</f>
        <v>2627.68</v>
      </c>
      <c r="AC216" s="23" t="n">
        <f aca="false">IFERROR(AB216/AA216,0)</f>
        <v>0.522741424345449</v>
      </c>
      <c r="AD216" s="22" t="s">
        <v>411</v>
      </c>
    </row>
    <row r="217" customFormat="false" ht="15" hidden="false" customHeight="false" outlineLevel="0" collapsed="false">
      <c r="A217" s="22" t="n">
        <v>216</v>
      </c>
      <c r="B217" s="22" t="s">
        <v>130</v>
      </c>
      <c r="C217" s="37" t="n">
        <v>46127.0522106482</v>
      </c>
      <c r="D217" s="22" t="s">
        <v>164</v>
      </c>
      <c r="E217" s="22" t="n">
        <v>1</v>
      </c>
      <c r="F217" s="22" t="s">
        <v>142</v>
      </c>
      <c r="G217" s="22" t="s">
        <v>195</v>
      </c>
      <c r="H217" s="22" t="n">
        <v>0.15</v>
      </c>
      <c r="I217" s="38" t="n">
        <v>4846.1</v>
      </c>
      <c r="J217" s="38" t="n">
        <v>4846.302</v>
      </c>
      <c r="K217" s="39" t="n">
        <f aca="false">IF(F217="BUY",J217-I217,I217-J217)</f>
        <v>0.201999999999316</v>
      </c>
      <c r="L217" s="38" t="n">
        <v>4844.6</v>
      </c>
      <c r="M217" s="39" t="n">
        <f aca="false">ABS(I217-L217)</f>
        <v>1.5</v>
      </c>
      <c r="N217" s="24" t="n">
        <f aca="false">M217*H217*Summary!$C$6</f>
        <v>22.5</v>
      </c>
      <c r="O217" s="37" t="n">
        <v>46127.0524074074</v>
      </c>
      <c r="P217" s="22" t="n">
        <f aca="false">ROUND((O217-C217)*86400,0)</f>
        <v>17</v>
      </c>
      <c r="Q217" s="22" t="str">
        <f aca="false">IF(P217&lt;10,"a) &lt;10s",IF(P217&lt;60,"b) 10-60s",IF(P217&lt;600,"c) 1-10min","d) &gt;10min")))</f>
        <v>b) 10-60s</v>
      </c>
      <c r="R217" s="38" t="n">
        <v>4846.3</v>
      </c>
      <c r="S217" s="38" t="n">
        <v>4846.285</v>
      </c>
      <c r="T217" s="22" t="s">
        <v>149</v>
      </c>
      <c r="U217" s="39" t="n">
        <f aca="false">IF(R217="","",IF(F217="BUY",R217-S217,S217-R217))</f>
        <v>0.0150000000003274</v>
      </c>
      <c r="V217" s="39" t="n">
        <f aca="false">IF(F217="BUY",S217-J217,J217-S217)</f>
        <v>-0.0169999999998254</v>
      </c>
      <c r="W217" s="6" t="n">
        <v>-0.26</v>
      </c>
      <c r="X217" s="26" t="n">
        <f aca="false">IFERROR(W217/N217,0)</f>
        <v>-0.0115555555555556</v>
      </c>
      <c r="Y217" s="22" t="str">
        <f aca="false">IF(W217&gt;0,"Win",IF(W217&lt;0,"Loss","Flat"))</f>
        <v>Loss</v>
      </c>
      <c r="Z217" s="24" t="n">
        <f aca="false">Summary!$C$5+SUM(W$2:W217)</f>
        <v>2398.79</v>
      </c>
      <c r="AA217" s="24" t="n">
        <f aca="false">MAX(AA216,Z217)</f>
        <v>5026.73</v>
      </c>
      <c r="AB217" s="24" t="n">
        <f aca="false">AA217-Z217</f>
        <v>2627.94</v>
      </c>
      <c r="AC217" s="23" t="n">
        <f aca="false">IFERROR(AB217/AA217,0)</f>
        <v>0.522793147831692</v>
      </c>
      <c r="AD217" s="22" t="s">
        <v>412</v>
      </c>
    </row>
    <row r="218" customFormat="false" ht="15" hidden="false" customHeight="false" outlineLevel="0" collapsed="false">
      <c r="A218" s="22" t="n">
        <v>217</v>
      </c>
      <c r="B218" s="22" t="s">
        <v>130</v>
      </c>
      <c r="C218" s="37" t="n">
        <v>46128.7051388889</v>
      </c>
      <c r="D218" s="22" t="s">
        <v>165</v>
      </c>
      <c r="E218" s="22" t="n">
        <v>16</v>
      </c>
      <c r="F218" s="22" t="s">
        <v>143</v>
      </c>
      <c r="G218" s="22" t="s">
        <v>197</v>
      </c>
      <c r="H218" s="22" t="n">
        <v>0.15</v>
      </c>
      <c r="I218" s="38" t="n">
        <v>4785.89</v>
      </c>
      <c r="J218" s="38" t="n">
        <v>4785.025</v>
      </c>
      <c r="K218" s="39" t="n">
        <f aca="false">IF(F218="BUY",J218-I218,I218-J218)</f>
        <v>0.865000000000691</v>
      </c>
      <c r="L218" s="38" t="n">
        <v>4787.39</v>
      </c>
      <c r="M218" s="39" t="n">
        <f aca="false">ABS(I218-L218)</f>
        <v>1.5</v>
      </c>
      <c r="N218" s="24" t="n">
        <f aca="false">M218*H218*Summary!$C$6</f>
        <v>22.5</v>
      </c>
      <c r="O218" s="37" t="n">
        <v>46128.705162037</v>
      </c>
      <c r="P218" s="22" t="n">
        <f aca="false">ROUND((O218-C218)*86400,0)</f>
        <v>2</v>
      </c>
      <c r="Q218" s="22" t="str">
        <f aca="false">IF(P218&lt;10,"a) &lt;10s",IF(P218&lt;60,"b) 10-60s",IF(P218&lt;600,"c) 1-10min","d) &gt;10min")))</f>
        <v>a) &lt;10s</v>
      </c>
      <c r="R218" s="38" t="n">
        <v>4787.39</v>
      </c>
      <c r="S218" s="38" t="n">
        <v>4787.575</v>
      </c>
      <c r="T218" s="22" t="s">
        <v>148</v>
      </c>
      <c r="U218" s="39" t="n">
        <f aca="false">IF(R218="","",IF(F218="BUY",R218-S218,S218-R218))</f>
        <v>0.184999999999491</v>
      </c>
      <c r="V218" s="39" t="n">
        <f aca="false">IF(F218="BUY",S218-J218,J218-S218)</f>
        <v>-2.55000000000018</v>
      </c>
      <c r="W218" s="6" t="n">
        <v>-38.25</v>
      </c>
      <c r="X218" s="26" t="n">
        <f aca="false">IFERROR(W218/N218,0)</f>
        <v>-1.7</v>
      </c>
      <c r="Y218" s="22" t="str">
        <f aca="false">IF(W218&gt;0,"Win",IF(W218&lt;0,"Loss","Flat"))</f>
        <v>Loss</v>
      </c>
      <c r="Z218" s="24" t="n">
        <f aca="false">Summary!$C$5+SUM(W$2:W218)</f>
        <v>2360.54</v>
      </c>
      <c r="AA218" s="24" t="n">
        <f aca="false">MAX(AA217,Z218)</f>
        <v>5026.73</v>
      </c>
      <c r="AB218" s="24" t="n">
        <f aca="false">AA218-Z218</f>
        <v>2666.19</v>
      </c>
      <c r="AC218" s="23" t="n">
        <f aca="false">IFERROR(AB218/AA218,0)</f>
        <v>0.530402468403913</v>
      </c>
      <c r="AD218" s="22" t="s">
        <v>413</v>
      </c>
    </row>
    <row r="219" customFormat="false" ht="15" hidden="false" customHeight="false" outlineLevel="0" collapsed="false">
      <c r="A219" s="22" t="n">
        <v>218</v>
      </c>
      <c r="B219" s="22" t="s">
        <v>130</v>
      </c>
      <c r="C219" s="37" t="n">
        <v>46129.1752314815</v>
      </c>
      <c r="D219" s="22" t="s">
        <v>166</v>
      </c>
      <c r="E219" s="22" t="n">
        <v>4</v>
      </c>
      <c r="F219" s="22" t="s">
        <v>143</v>
      </c>
      <c r="G219" s="22" t="s">
        <v>197</v>
      </c>
      <c r="H219" s="22" t="n">
        <v>0.15</v>
      </c>
      <c r="I219" s="38" t="n">
        <v>4772.9</v>
      </c>
      <c r="J219" s="38" t="n">
        <v>4769.375</v>
      </c>
      <c r="K219" s="39" t="n">
        <f aca="false">IF(F219="BUY",J219-I219,I219-J219)</f>
        <v>3.52499999999964</v>
      </c>
      <c r="L219" s="38" t="n">
        <v>4774.4</v>
      </c>
      <c r="M219" s="39" t="n">
        <f aca="false">ABS(I219-L219)</f>
        <v>1.5</v>
      </c>
      <c r="N219" s="24" t="n">
        <f aca="false">M219*H219*Summary!$C$6</f>
        <v>22.5</v>
      </c>
      <c r="O219" s="37" t="n">
        <v>46129.1753125</v>
      </c>
      <c r="P219" s="22" t="n">
        <f aca="false">ROUND((O219-C219)*86400,0)</f>
        <v>7</v>
      </c>
      <c r="Q219" s="22" t="str">
        <f aca="false">IF(P219&lt;10,"a) &lt;10s",IF(P219&lt;60,"b) 10-60s",IF(P219&lt;600,"c) 1-10min","d) &gt;10min")))</f>
        <v>a) &lt;10s</v>
      </c>
      <c r="R219" s="38"/>
      <c r="S219" s="38" t="n">
        <v>4774.095</v>
      </c>
      <c r="T219" s="22" t="s">
        <v>151</v>
      </c>
      <c r="U219" s="39" t="str">
        <f aca="false">IF(R219="","",IF(F219="BUY",R219-S219,S219-R219))</f>
        <v/>
      </c>
      <c r="V219" s="39" t="n">
        <f aca="false">IF(F219="BUY",S219-J219,J219-S219)</f>
        <v>-4.72000000000026</v>
      </c>
      <c r="W219" s="6" t="n">
        <v>-70.8</v>
      </c>
      <c r="X219" s="26" t="n">
        <f aca="false">IFERROR(W219/N219,0)</f>
        <v>-3.14666666666667</v>
      </c>
      <c r="Y219" s="22" t="str">
        <f aca="false">IF(W219&gt;0,"Win",IF(W219&lt;0,"Loss","Flat"))</f>
        <v>Loss</v>
      </c>
      <c r="Z219" s="24" t="n">
        <f aca="false">Summary!$C$5+SUM(W$2:W219)</f>
        <v>2289.74</v>
      </c>
      <c r="AA219" s="24" t="n">
        <f aca="false">MAX(AA218,Z219)</f>
        <v>5026.73</v>
      </c>
      <c r="AB219" s="24" t="n">
        <f aca="false">AA219-Z219</f>
        <v>2736.99</v>
      </c>
      <c r="AC219" s="23" t="n">
        <f aca="false">IFERROR(AB219/AA219,0)</f>
        <v>0.54448717158073</v>
      </c>
      <c r="AD219" s="22" t="s">
        <v>414</v>
      </c>
    </row>
    <row r="220" customFormat="false" ht="15" hidden="false" customHeight="false" outlineLevel="0" collapsed="false">
      <c r="A220" s="22" t="n">
        <v>219</v>
      </c>
      <c r="B220" s="22" t="s">
        <v>130</v>
      </c>
      <c r="C220" s="37" t="n">
        <v>46132.1040162037</v>
      </c>
      <c r="D220" s="22" t="s">
        <v>162</v>
      </c>
      <c r="E220" s="22" t="n">
        <v>2</v>
      </c>
      <c r="F220" s="22" t="s">
        <v>143</v>
      </c>
      <c r="G220" s="22" t="s">
        <v>197</v>
      </c>
      <c r="H220" s="22" t="n">
        <v>0.15</v>
      </c>
      <c r="I220" s="38" t="n">
        <v>4768</v>
      </c>
      <c r="J220" s="38" t="n">
        <v>4767.975</v>
      </c>
      <c r="K220" s="39" t="n">
        <f aca="false">IF(F220="BUY",J220-I220,I220-J220)</f>
        <v>0.0249999999996362</v>
      </c>
      <c r="L220" s="38" t="n">
        <v>4769.5</v>
      </c>
      <c r="M220" s="39" t="n">
        <f aca="false">ABS(I220-L220)</f>
        <v>1.5</v>
      </c>
      <c r="N220" s="24" t="n">
        <f aca="false">M220*H220*Summary!$C$6</f>
        <v>22.5</v>
      </c>
      <c r="O220" s="37" t="n">
        <v>46132.1041435185</v>
      </c>
      <c r="P220" s="22" t="n">
        <f aca="false">ROUND((O220-C220)*86400,0)</f>
        <v>11</v>
      </c>
      <c r="Q220" s="22" t="str">
        <f aca="false">IF(P220&lt;10,"a) &lt;10s",IF(P220&lt;60,"b) 10-60s",IF(P220&lt;600,"c) 1-10min","d) &gt;10min")))</f>
        <v>b) 10-60s</v>
      </c>
      <c r="R220" s="38" t="n">
        <v>4769.5</v>
      </c>
      <c r="S220" s="38" t="n">
        <v>4769.535</v>
      </c>
      <c r="T220" s="22" t="s">
        <v>148</v>
      </c>
      <c r="U220" s="39" t="n">
        <f aca="false">IF(R220="","",IF(F220="BUY",R220-S220,S220-R220))</f>
        <v>0.0349999999998545</v>
      </c>
      <c r="V220" s="39" t="n">
        <f aca="false">IF(F220="BUY",S220-J220,J220-S220)</f>
        <v>-1.55999999999949</v>
      </c>
      <c r="W220" s="6" t="n">
        <v>-23.4</v>
      </c>
      <c r="X220" s="26" t="n">
        <f aca="false">IFERROR(W220/N220,0)</f>
        <v>-1.04</v>
      </c>
      <c r="Y220" s="22" t="str">
        <f aca="false">IF(W220&gt;0,"Win",IF(W220&lt;0,"Loss","Flat"))</f>
        <v>Loss</v>
      </c>
      <c r="Z220" s="24" t="n">
        <f aca="false">Summary!$C$5+SUM(W$2:W220)</f>
        <v>2266.34</v>
      </c>
      <c r="AA220" s="24" t="n">
        <f aca="false">MAX(AA219,Z220)</f>
        <v>5026.73</v>
      </c>
      <c r="AB220" s="24" t="n">
        <f aca="false">AA220-Z220</f>
        <v>2760.39</v>
      </c>
      <c r="AC220" s="23" t="n">
        <f aca="false">IFERROR(AB220/AA220,0)</f>
        <v>0.549142285342559</v>
      </c>
      <c r="AD220" s="22" t="s">
        <v>415</v>
      </c>
    </row>
    <row r="221" customFormat="false" ht="15" hidden="false" customHeight="false" outlineLevel="0" collapsed="false">
      <c r="A221" s="22" t="n">
        <v>220</v>
      </c>
      <c r="B221" s="22" t="s">
        <v>130</v>
      </c>
      <c r="C221" s="37" t="n">
        <v>46133.7407291667</v>
      </c>
      <c r="D221" s="22" t="s">
        <v>163</v>
      </c>
      <c r="E221" s="22" t="n">
        <v>17</v>
      </c>
      <c r="F221" s="22" t="s">
        <v>143</v>
      </c>
      <c r="G221" s="22" t="s">
        <v>197</v>
      </c>
      <c r="H221" s="22" t="n">
        <v>0.15</v>
      </c>
      <c r="I221" s="38" t="n">
        <v>4736.64</v>
      </c>
      <c r="J221" s="38" t="n">
        <v>4735.805</v>
      </c>
      <c r="K221" s="39" t="n">
        <f aca="false">IF(F221="BUY",J221-I221,I221-J221)</f>
        <v>0.835000000000036</v>
      </c>
      <c r="L221" s="38" t="n">
        <v>4738.14</v>
      </c>
      <c r="M221" s="39" t="n">
        <f aca="false">ABS(I221-L221)</f>
        <v>1.5</v>
      </c>
      <c r="N221" s="24" t="n">
        <f aca="false">M221*H221*Summary!$C$6</f>
        <v>22.5</v>
      </c>
      <c r="O221" s="37" t="n">
        <v>46133.7407407407</v>
      </c>
      <c r="P221" s="22" t="n">
        <f aca="false">ROUND((O221-C221)*86400,0)</f>
        <v>1</v>
      </c>
      <c r="Q221" s="22" t="str">
        <f aca="false">IF(P221&lt;10,"a) &lt;10s",IF(P221&lt;60,"b) 10-60s",IF(P221&lt;600,"c) 1-10min","d) &gt;10min")))</f>
        <v>a) &lt;10s</v>
      </c>
      <c r="R221" s="38"/>
      <c r="S221" s="38" t="n">
        <v>4735.995</v>
      </c>
      <c r="T221" s="22" t="s">
        <v>151</v>
      </c>
      <c r="U221" s="39" t="str">
        <f aca="false">IF(R221="","",IF(F221="BUY",R221-S221,S221-R221))</f>
        <v/>
      </c>
      <c r="V221" s="39" t="n">
        <f aca="false">IF(F221="BUY",S221-J221,J221-S221)</f>
        <v>-0.1899999999996</v>
      </c>
      <c r="W221" s="6" t="n">
        <v>-2.85</v>
      </c>
      <c r="X221" s="26" t="n">
        <f aca="false">IFERROR(W221/N221,0)</f>
        <v>-0.126666666666667</v>
      </c>
      <c r="Y221" s="22" t="str">
        <f aca="false">IF(W221&gt;0,"Win",IF(W221&lt;0,"Loss","Flat"))</f>
        <v>Loss</v>
      </c>
      <c r="Z221" s="24" t="n">
        <f aca="false">Summary!$C$5+SUM(W$2:W221)</f>
        <v>2263.49</v>
      </c>
      <c r="AA221" s="24" t="n">
        <f aca="false">MAX(AA220,Z221)</f>
        <v>5026.73</v>
      </c>
      <c r="AB221" s="24" t="n">
        <f aca="false">AA221-Z221</f>
        <v>2763.24</v>
      </c>
      <c r="AC221" s="23" t="n">
        <f aca="false">IFERROR(AB221/AA221,0)</f>
        <v>0.549709254326371</v>
      </c>
      <c r="AD221" s="22" t="s">
        <v>416</v>
      </c>
    </row>
    <row r="222" customFormat="false" ht="15" hidden="false" customHeight="false" outlineLevel="0" collapsed="false">
      <c r="A222" s="22" t="n">
        <v>221</v>
      </c>
      <c r="B222" s="22" t="s">
        <v>130</v>
      </c>
      <c r="C222" s="37" t="n">
        <v>46135.1316898148</v>
      </c>
      <c r="D222" s="22" t="s">
        <v>165</v>
      </c>
      <c r="E222" s="22" t="n">
        <v>3</v>
      </c>
      <c r="F222" s="22" t="s">
        <v>143</v>
      </c>
      <c r="G222" s="22" t="s">
        <v>197</v>
      </c>
      <c r="H222" s="22" t="n">
        <v>0.15</v>
      </c>
      <c r="I222" s="38" t="n">
        <v>4715.06</v>
      </c>
      <c r="J222" s="38" t="n">
        <v>4714.355</v>
      </c>
      <c r="K222" s="39" t="n">
        <f aca="false">IF(F222="BUY",J222-I222,I222-J222)</f>
        <v>0.705000000000837</v>
      </c>
      <c r="L222" s="38" t="n">
        <v>4716.56</v>
      </c>
      <c r="M222" s="39" t="n">
        <f aca="false">ABS(I222-L222)</f>
        <v>1.5</v>
      </c>
      <c r="N222" s="24" t="n">
        <f aca="false">M222*H222*Summary!$C$6</f>
        <v>22.5</v>
      </c>
      <c r="O222" s="37" t="n">
        <v>46135.1316898148</v>
      </c>
      <c r="P222" s="22" t="n">
        <f aca="false">ROUND((O222-C222)*86400,0)</f>
        <v>0</v>
      </c>
      <c r="Q222" s="22" t="str">
        <f aca="false">IF(P222&lt;10,"a) &lt;10s",IF(P222&lt;60,"b) 10-60s",IF(P222&lt;600,"c) 1-10min","d) &gt;10min")))</f>
        <v>a) &lt;10s</v>
      </c>
      <c r="R222" s="38" t="n">
        <v>4716.56</v>
      </c>
      <c r="S222" s="38" t="n">
        <v>4717.415</v>
      </c>
      <c r="T222" s="22" t="s">
        <v>148</v>
      </c>
      <c r="U222" s="39" t="n">
        <f aca="false">IF(R222="","",IF(F222="BUY",R222-S222,S222-R222))</f>
        <v>0.854999999999563</v>
      </c>
      <c r="V222" s="39" t="n">
        <f aca="false">IF(F222="BUY",S222-J222,J222-S222)</f>
        <v>-3.0600000000004</v>
      </c>
      <c r="W222" s="6" t="n">
        <v>-45.9</v>
      </c>
      <c r="X222" s="26" t="n">
        <f aca="false">IFERROR(W222/N222,0)</f>
        <v>-2.04</v>
      </c>
      <c r="Y222" s="22" t="str">
        <f aca="false">IF(W222&gt;0,"Win",IF(W222&lt;0,"Loss","Flat"))</f>
        <v>Loss</v>
      </c>
      <c r="Z222" s="24" t="n">
        <f aca="false">Summary!$C$5+SUM(W$2:W222)</f>
        <v>2217.59</v>
      </c>
      <c r="AA222" s="24" t="n">
        <f aca="false">MAX(AA221,Z222)</f>
        <v>5026.73</v>
      </c>
      <c r="AB222" s="24" t="n">
        <f aca="false">AA222-Z222</f>
        <v>2809.14</v>
      </c>
      <c r="AC222" s="23" t="n">
        <f aca="false">IFERROR(AB222/AA222,0)</f>
        <v>0.558840439013036</v>
      </c>
      <c r="AD222" s="22" t="s">
        <v>417</v>
      </c>
    </row>
    <row r="223" customFormat="false" ht="15" hidden="false" customHeight="false" outlineLevel="0" collapsed="false">
      <c r="A223" s="22" t="n">
        <v>222</v>
      </c>
      <c r="B223" s="22" t="s">
        <v>130</v>
      </c>
      <c r="C223" s="37" t="n">
        <v>46136.3070486111</v>
      </c>
      <c r="D223" s="22" t="s">
        <v>166</v>
      </c>
      <c r="E223" s="22" t="n">
        <v>7</v>
      </c>
      <c r="F223" s="22" t="s">
        <v>143</v>
      </c>
      <c r="G223" s="22" t="s">
        <v>197</v>
      </c>
      <c r="H223" s="22" t="n">
        <v>0.14</v>
      </c>
      <c r="I223" s="38" t="n">
        <v>4664.05</v>
      </c>
      <c r="J223" s="38" t="n">
        <v>4663.735</v>
      </c>
      <c r="K223" s="39" t="n">
        <f aca="false">IF(F223="BUY",J223-I223,I223-J223)</f>
        <v>0.315000000000509</v>
      </c>
      <c r="L223" s="38" t="n">
        <v>4665.55</v>
      </c>
      <c r="M223" s="39" t="n">
        <f aca="false">ABS(I223-L223)</f>
        <v>1.5</v>
      </c>
      <c r="N223" s="24" t="n">
        <f aca="false">M223*H223*Summary!$C$6</f>
        <v>21</v>
      </c>
      <c r="O223" s="37" t="n">
        <v>46136.3070486111</v>
      </c>
      <c r="P223" s="22" t="n">
        <f aca="false">ROUND((O223-C223)*86400,0)</f>
        <v>0</v>
      </c>
      <c r="Q223" s="22" t="str">
        <f aca="false">IF(P223&lt;10,"a) &lt;10s",IF(P223&lt;60,"b) 10-60s",IF(P223&lt;600,"c) 1-10min","d) &gt;10min")))</f>
        <v>a) &lt;10s</v>
      </c>
      <c r="R223" s="38" t="n">
        <v>4663.43</v>
      </c>
      <c r="S223" s="38" t="n">
        <v>4664.175</v>
      </c>
      <c r="T223" s="22" t="s">
        <v>149</v>
      </c>
      <c r="U223" s="39" t="n">
        <f aca="false">IF(R223="","",IF(F223="BUY",R223-S223,S223-R223))</f>
        <v>0.744999999999891</v>
      </c>
      <c r="V223" s="39" t="n">
        <f aca="false">IF(F223="BUY",S223-J223,J223-S223)</f>
        <v>-0.440000000000509</v>
      </c>
      <c r="W223" s="6" t="n">
        <v>-6.16</v>
      </c>
      <c r="X223" s="26" t="n">
        <f aca="false">IFERROR(W223/N223,0)</f>
        <v>-0.293333333333333</v>
      </c>
      <c r="Y223" s="22" t="str">
        <f aca="false">IF(W223&gt;0,"Win",IF(W223&lt;0,"Loss","Flat"))</f>
        <v>Loss</v>
      </c>
      <c r="Z223" s="24" t="n">
        <f aca="false">Summary!$C$5+SUM(W$2:W223)</f>
        <v>2211.43</v>
      </c>
      <c r="AA223" s="24" t="n">
        <f aca="false">MAX(AA222,Z223)</f>
        <v>5026.73</v>
      </c>
      <c r="AB223" s="24" t="n">
        <f aca="false">AA223-Z223</f>
        <v>2815.3</v>
      </c>
      <c r="AC223" s="23" t="n">
        <f aca="false">IFERROR(AB223/AA223,0)</f>
        <v>0.560065887764014</v>
      </c>
      <c r="AD223" s="22" t="s">
        <v>418</v>
      </c>
    </row>
    <row r="224" customFormat="false" ht="15" hidden="false" customHeight="false" outlineLevel="0" collapsed="false">
      <c r="A224" s="22" t="n">
        <v>223</v>
      </c>
      <c r="B224" s="22" t="s">
        <v>130</v>
      </c>
      <c r="C224" s="37" t="n">
        <v>46140.2084027778</v>
      </c>
      <c r="D224" s="22" t="s">
        <v>163</v>
      </c>
      <c r="E224" s="22" t="n">
        <v>5</v>
      </c>
      <c r="F224" s="22" t="s">
        <v>143</v>
      </c>
      <c r="G224" s="22" t="s">
        <v>197</v>
      </c>
      <c r="H224" s="22" t="n">
        <v>0.14</v>
      </c>
      <c r="I224" s="38" t="n">
        <v>4667.06</v>
      </c>
      <c r="J224" s="38" t="n">
        <v>4667.035</v>
      </c>
      <c r="K224" s="39" t="n">
        <f aca="false">IF(F224="BUY",J224-I224,I224-J224)</f>
        <v>0.0250000000005457</v>
      </c>
      <c r="L224" s="38" t="n">
        <v>4668.56</v>
      </c>
      <c r="M224" s="39" t="n">
        <f aca="false">ABS(I224-L224)</f>
        <v>1.5</v>
      </c>
      <c r="N224" s="24" t="n">
        <f aca="false">M224*H224*Summary!$C$6</f>
        <v>21</v>
      </c>
      <c r="O224" s="37" t="n">
        <v>46140.2085185185</v>
      </c>
      <c r="P224" s="22" t="n">
        <f aca="false">ROUND((O224-C224)*86400,0)</f>
        <v>10</v>
      </c>
      <c r="Q224" s="22" t="str">
        <f aca="false">IF(P224&lt;10,"a) &lt;10s",IF(P224&lt;60,"b) 10-60s",IF(P224&lt;600,"c) 1-10min","d) &gt;10min")))</f>
        <v>b) 10-60s</v>
      </c>
      <c r="R224" s="38" t="n">
        <v>4668.56</v>
      </c>
      <c r="S224" s="38" t="n">
        <v>4668.615</v>
      </c>
      <c r="T224" s="22" t="s">
        <v>148</v>
      </c>
      <c r="U224" s="39" t="n">
        <f aca="false">IF(R224="","",IF(F224="BUY",R224-S224,S224-R224))</f>
        <v>0.0549999999993815</v>
      </c>
      <c r="V224" s="39" t="n">
        <f aca="false">IF(F224="BUY",S224-J224,J224-S224)</f>
        <v>-1.57999999999993</v>
      </c>
      <c r="W224" s="6" t="n">
        <v>-22.12</v>
      </c>
      <c r="X224" s="26" t="n">
        <f aca="false">IFERROR(W224/N224,0)</f>
        <v>-1.05333333333333</v>
      </c>
      <c r="Y224" s="22" t="str">
        <f aca="false">IF(W224&gt;0,"Win",IF(W224&lt;0,"Loss","Flat"))</f>
        <v>Loss</v>
      </c>
      <c r="Z224" s="24" t="n">
        <f aca="false">Summary!$C$5+SUM(W$2:W224)</f>
        <v>2189.31</v>
      </c>
      <c r="AA224" s="24" t="n">
        <f aca="false">MAX(AA223,Z224)</f>
        <v>5026.73</v>
      </c>
      <c r="AB224" s="24" t="n">
        <f aca="false">AA224-Z224</f>
        <v>2837.42</v>
      </c>
      <c r="AC224" s="23" t="n">
        <f aca="false">IFERROR(AB224/AA224,0)</f>
        <v>0.564466362824341</v>
      </c>
      <c r="AD224" s="22" t="s">
        <v>419</v>
      </c>
    </row>
    <row r="225" customFormat="false" ht="15" hidden="false" customHeight="false" outlineLevel="0" collapsed="false">
      <c r="A225" s="22" t="n">
        <v>224</v>
      </c>
      <c r="B225" s="22" t="s">
        <v>130</v>
      </c>
      <c r="C225" s="37" t="n">
        <v>46141.5349768519</v>
      </c>
      <c r="D225" s="22" t="s">
        <v>164</v>
      </c>
      <c r="E225" s="22" t="n">
        <v>12</v>
      </c>
      <c r="F225" s="22" t="s">
        <v>143</v>
      </c>
      <c r="G225" s="22" t="s">
        <v>197</v>
      </c>
      <c r="H225" s="22" t="n">
        <v>0.14</v>
      </c>
      <c r="I225" s="38" t="n">
        <v>4554.68</v>
      </c>
      <c r="J225" s="38" t="n">
        <v>4554.635</v>
      </c>
      <c r="K225" s="39" t="n">
        <f aca="false">IF(F225="BUY",J225-I225,I225-J225)</f>
        <v>0.0450000000000728</v>
      </c>
      <c r="L225" s="38" t="n">
        <v>4556.18</v>
      </c>
      <c r="M225" s="39" t="n">
        <f aca="false">ABS(I225-L225)</f>
        <v>1.5</v>
      </c>
      <c r="N225" s="24" t="n">
        <f aca="false">M225*H225*Summary!$C$6</f>
        <v>21</v>
      </c>
      <c r="O225" s="37" t="n">
        <v>46141.535</v>
      </c>
      <c r="P225" s="22" t="n">
        <f aca="false">ROUND((O225-C225)*86400,0)</f>
        <v>2</v>
      </c>
      <c r="Q225" s="22" t="str">
        <f aca="false">IF(P225&lt;10,"a) &lt;10s",IF(P225&lt;60,"b) 10-60s",IF(P225&lt;600,"c) 1-10min","d) &gt;10min")))</f>
        <v>a) &lt;10s</v>
      </c>
      <c r="R225" s="38" t="n">
        <v>4552.76</v>
      </c>
      <c r="S225" s="38" t="n">
        <v>4553.065</v>
      </c>
      <c r="T225" s="22" t="s">
        <v>149</v>
      </c>
      <c r="U225" s="39" t="n">
        <f aca="false">IF(R225="","",IF(F225="BUY",R225-S225,S225-R225))</f>
        <v>0.304999999999382</v>
      </c>
      <c r="V225" s="39" t="n">
        <f aca="false">IF(F225="BUY",S225-J225,J225-S225)</f>
        <v>1.57000000000062</v>
      </c>
      <c r="W225" s="6" t="n">
        <v>21.98</v>
      </c>
      <c r="X225" s="26" t="n">
        <f aca="false">IFERROR(W225/N225,0)</f>
        <v>1.04666666666667</v>
      </c>
      <c r="Y225" s="22" t="str">
        <f aca="false">IF(W225&gt;0,"Win",IF(W225&lt;0,"Loss","Flat"))</f>
        <v>Win</v>
      </c>
      <c r="Z225" s="24" t="n">
        <f aca="false">Summary!$C$5+SUM(W$2:W225)</f>
        <v>2211.29</v>
      </c>
      <c r="AA225" s="24" t="n">
        <f aca="false">MAX(AA224,Z225)</f>
        <v>5026.73</v>
      </c>
      <c r="AB225" s="24" t="n">
        <f aca="false">AA225-Z225</f>
        <v>2815.44</v>
      </c>
      <c r="AC225" s="23" t="n">
        <f aca="false">IFERROR(AB225/AA225,0)</f>
        <v>0.56009373887199</v>
      </c>
      <c r="AD225" s="22" t="s">
        <v>420</v>
      </c>
    </row>
    <row r="226" customFormat="false" ht="15" hidden="false" customHeight="false" outlineLevel="0" collapsed="false">
      <c r="A226" s="22" t="n">
        <v>225</v>
      </c>
      <c r="B226" s="22" t="s">
        <v>130</v>
      </c>
      <c r="C226" s="37" t="n">
        <v>46142.4611689815</v>
      </c>
      <c r="D226" s="22" t="s">
        <v>165</v>
      </c>
      <c r="E226" s="22" t="n">
        <v>11</v>
      </c>
      <c r="F226" s="22" t="s">
        <v>142</v>
      </c>
      <c r="G226" s="22" t="s">
        <v>195</v>
      </c>
      <c r="H226" s="22" t="n">
        <v>0.14</v>
      </c>
      <c r="I226" s="38" t="n">
        <v>4610.19</v>
      </c>
      <c r="J226" s="38" t="n">
        <v>4610.355</v>
      </c>
      <c r="K226" s="39" t="n">
        <f aca="false">IF(F226="BUY",J226-I226,I226-J226)</f>
        <v>0.164999999999964</v>
      </c>
      <c r="L226" s="38" t="n">
        <v>4608.69</v>
      </c>
      <c r="M226" s="39" t="n">
        <f aca="false">ABS(I226-L226)</f>
        <v>1.5</v>
      </c>
      <c r="N226" s="24" t="n">
        <f aca="false">M226*H226*Summary!$C$6</f>
        <v>21</v>
      </c>
      <c r="O226" s="37" t="n">
        <v>46142.4611921296</v>
      </c>
      <c r="P226" s="22" t="n">
        <f aca="false">ROUND((O226-C226)*86400,0)</f>
        <v>2</v>
      </c>
      <c r="Q226" s="22" t="str">
        <f aca="false">IF(P226&lt;10,"a) &lt;10s",IF(P226&lt;60,"b) 10-60s",IF(P226&lt;600,"c) 1-10min","d) &gt;10min")))</f>
        <v>a) &lt;10s</v>
      </c>
      <c r="R226" s="38" t="n">
        <v>4612.8</v>
      </c>
      <c r="S226" s="38" t="n">
        <v>4612.635</v>
      </c>
      <c r="T226" s="22" t="s">
        <v>149</v>
      </c>
      <c r="U226" s="39" t="n">
        <f aca="false">IF(R226="","",IF(F226="BUY",R226-S226,S226-R226))</f>
        <v>0.164999999999964</v>
      </c>
      <c r="V226" s="39" t="n">
        <f aca="false">IF(F226="BUY",S226-J226,J226-S226)</f>
        <v>2.28000000000066</v>
      </c>
      <c r="W226" s="6" t="n">
        <v>31.92</v>
      </c>
      <c r="X226" s="26" t="n">
        <f aca="false">IFERROR(W226/N226,0)</f>
        <v>1.52</v>
      </c>
      <c r="Y226" s="22" t="str">
        <f aca="false">IF(W226&gt;0,"Win",IF(W226&lt;0,"Loss","Flat"))</f>
        <v>Win</v>
      </c>
      <c r="Z226" s="24" t="n">
        <f aca="false">Summary!$C$5+SUM(W$2:W226)</f>
        <v>2243.21</v>
      </c>
      <c r="AA226" s="24" t="n">
        <f aca="false">MAX(AA225,Z226)</f>
        <v>5026.73</v>
      </c>
      <c r="AB226" s="24" t="n">
        <f aca="false">AA226-Z226</f>
        <v>2783.52</v>
      </c>
      <c r="AC226" s="23" t="n">
        <f aca="false">IFERROR(AB226/AA226,0)</f>
        <v>0.55374368625329</v>
      </c>
      <c r="AD226" s="22" t="s">
        <v>421</v>
      </c>
    </row>
    <row r="227" customFormat="false" ht="15" hidden="false" customHeight="false" outlineLevel="0" collapsed="false">
      <c r="A227" s="22" t="n">
        <v>226</v>
      </c>
      <c r="B227" s="22" t="s">
        <v>131</v>
      </c>
      <c r="C227" s="37" t="n">
        <v>46143.716875</v>
      </c>
      <c r="D227" s="22" t="s">
        <v>166</v>
      </c>
      <c r="E227" s="22" t="n">
        <v>17</v>
      </c>
      <c r="F227" s="22" t="s">
        <v>142</v>
      </c>
      <c r="G227" s="22" t="s">
        <v>195</v>
      </c>
      <c r="H227" s="22" t="n">
        <v>0.14</v>
      </c>
      <c r="I227" s="38" t="n">
        <v>4646.71</v>
      </c>
      <c r="J227" s="38" t="n">
        <v>4646.845</v>
      </c>
      <c r="K227" s="39" t="n">
        <f aca="false">IF(F227="BUY",J227-I227,I227-J227)</f>
        <v>0.135000000000218</v>
      </c>
      <c r="L227" s="38" t="n">
        <v>4645.21</v>
      </c>
      <c r="M227" s="39" t="n">
        <f aca="false">ABS(I227-L227)</f>
        <v>1.5</v>
      </c>
      <c r="N227" s="24" t="n">
        <f aca="false">M227*H227*Summary!$C$6</f>
        <v>21</v>
      </c>
      <c r="O227" s="37" t="n">
        <v>46143.7168981481</v>
      </c>
      <c r="P227" s="22" t="n">
        <f aca="false">ROUND((O227-C227)*86400,0)</f>
        <v>2</v>
      </c>
      <c r="Q227" s="22" t="str">
        <f aca="false">IF(P227&lt;10,"a) &lt;10s",IF(P227&lt;60,"b) 10-60s",IF(P227&lt;600,"c) 1-10min","d) &gt;10min")))</f>
        <v>a) &lt;10s</v>
      </c>
      <c r="R227" s="38" t="n">
        <v>4649.75</v>
      </c>
      <c r="S227" s="38" t="n">
        <v>4649.735</v>
      </c>
      <c r="T227" s="22" t="s">
        <v>149</v>
      </c>
      <c r="U227" s="39" t="n">
        <f aca="false">IF(R227="","",IF(F227="BUY",R227-S227,S227-R227))</f>
        <v>0.0150000000003274</v>
      </c>
      <c r="V227" s="39" t="n">
        <f aca="false">IF(F227="BUY",S227-J227,J227-S227)</f>
        <v>2.88999999999942</v>
      </c>
      <c r="W227" s="6" t="n">
        <v>40.46</v>
      </c>
      <c r="X227" s="26" t="n">
        <f aca="false">IFERROR(W227/N227,0)</f>
        <v>1.92666666666667</v>
      </c>
      <c r="Y227" s="22" t="str">
        <f aca="false">IF(W227&gt;0,"Win",IF(W227&lt;0,"Loss","Flat"))</f>
        <v>Win</v>
      </c>
      <c r="Z227" s="24" t="n">
        <f aca="false">Summary!$C$5+SUM(W$2:W227)</f>
        <v>2283.67</v>
      </c>
      <c r="AA227" s="24" t="n">
        <f aca="false">MAX(AA226,Z227)</f>
        <v>5026.73</v>
      </c>
      <c r="AB227" s="24" t="n">
        <f aca="false">AA227-Z227</f>
        <v>2743.06</v>
      </c>
      <c r="AC227" s="23" t="n">
        <f aca="false">IFERROR(AB227/AA227,0)</f>
        <v>0.545694716048007</v>
      </c>
      <c r="AD227" s="22" t="s">
        <v>422</v>
      </c>
    </row>
    <row r="228" customFormat="false" ht="15" hidden="false" customHeight="false" outlineLevel="0" collapsed="false">
      <c r="A228" s="22" t="n">
        <v>227</v>
      </c>
      <c r="B228" s="22" t="s">
        <v>131</v>
      </c>
      <c r="C228" s="37" t="n">
        <v>46146.5443518519</v>
      </c>
      <c r="D228" s="22" t="s">
        <v>162</v>
      </c>
      <c r="E228" s="22" t="n">
        <v>13</v>
      </c>
      <c r="F228" s="22" t="s">
        <v>143</v>
      </c>
      <c r="G228" s="22" t="s">
        <v>197</v>
      </c>
      <c r="H228" s="22" t="n">
        <v>0.15</v>
      </c>
      <c r="I228" s="38" t="n">
        <v>4560.05</v>
      </c>
      <c r="J228" s="38" t="n">
        <v>4558.305</v>
      </c>
      <c r="K228" s="39" t="n">
        <f aca="false">IF(F228="BUY",J228-I228,I228-J228)</f>
        <v>1.74499999999989</v>
      </c>
      <c r="L228" s="38" t="n">
        <v>4561.55</v>
      </c>
      <c r="M228" s="39" t="n">
        <f aca="false">ABS(I228-L228)</f>
        <v>1.5</v>
      </c>
      <c r="N228" s="24" t="n">
        <f aca="false">M228*H228*Summary!$C$6</f>
        <v>22.5</v>
      </c>
      <c r="O228" s="37" t="n">
        <v>46146.5443634259</v>
      </c>
      <c r="P228" s="22" t="n">
        <f aca="false">ROUND((O228-C228)*86400,0)</f>
        <v>1</v>
      </c>
      <c r="Q228" s="22" t="str">
        <f aca="false">IF(P228&lt;10,"a) &lt;10s",IF(P228&lt;60,"b) 10-60s",IF(P228&lt;600,"c) 1-10min","d) &gt;10min")))</f>
        <v>a) &lt;10s</v>
      </c>
      <c r="R228" s="38" t="n">
        <v>4558.31</v>
      </c>
      <c r="S228" s="38" t="n">
        <v>4558.655</v>
      </c>
      <c r="T228" s="22" t="s">
        <v>149</v>
      </c>
      <c r="U228" s="39" t="n">
        <f aca="false">IF(R228="","",IF(F228="BUY",R228-S228,S228-R228))</f>
        <v>0.344999999999345</v>
      </c>
      <c r="V228" s="39" t="n">
        <f aca="false">IF(F228="BUY",S228-J228,J228-S228)</f>
        <v>-0.349999999999454</v>
      </c>
      <c r="W228" s="6" t="n">
        <v>-5.25</v>
      </c>
      <c r="X228" s="26" t="n">
        <f aca="false">IFERROR(W228/N228,0)</f>
        <v>-0.233333333333333</v>
      </c>
      <c r="Y228" s="22" t="str">
        <f aca="false">IF(W228&gt;0,"Win",IF(W228&lt;0,"Loss","Flat"))</f>
        <v>Loss</v>
      </c>
      <c r="Z228" s="24" t="n">
        <f aca="false">Summary!$C$5+SUM(W$2:W228)</f>
        <v>2278.42</v>
      </c>
      <c r="AA228" s="24" t="n">
        <f aca="false">MAX(AA227,Z228)</f>
        <v>5026.73</v>
      </c>
      <c r="AB228" s="24" t="n">
        <f aca="false">AA228-Z228</f>
        <v>2748.31</v>
      </c>
      <c r="AC228" s="23" t="n">
        <f aca="false">IFERROR(AB228/AA228,0)</f>
        <v>0.546739132597136</v>
      </c>
      <c r="AD228" s="22" t="s">
        <v>423</v>
      </c>
    </row>
    <row r="229" customFormat="false" ht="15" hidden="false" customHeight="false" outlineLevel="0" collapsed="false">
      <c r="A229" s="22" t="n">
        <v>228</v>
      </c>
      <c r="B229" s="22" t="s">
        <v>131</v>
      </c>
      <c r="C229" s="37" t="n">
        <v>46148.0922453704</v>
      </c>
      <c r="D229" s="22" t="s">
        <v>164</v>
      </c>
      <c r="E229" s="22" t="n">
        <v>2</v>
      </c>
      <c r="F229" s="22" t="s">
        <v>142</v>
      </c>
      <c r="G229" s="22" t="s">
        <v>195</v>
      </c>
      <c r="H229" s="22" t="n">
        <v>0.15</v>
      </c>
      <c r="I229" s="38" t="n">
        <v>4586.42</v>
      </c>
      <c r="J229" s="38" t="n">
        <v>4587.702</v>
      </c>
      <c r="K229" s="39" t="n">
        <f aca="false">IF(F229="BUY",J229-I229,I229-J229)</f>
        <v>1.28200000000015</v>
      </c>
      <c r="L229" s="38" t="n">
        <v>4584.92</v>
      </c>
      <c r="M229" s="39" t="n">
        <f aca="false">ABS(I229-L229)</f>
        <v>1.5</v>
      </c>
      <c r="N229" s="24" t="n">
        <f aca="false">M229*H229*Summary!$C$6</f>
        <v>22.5</v>
      </c>
      <c r="O229" s="37" t="n">
        <v>46148.0923842593</v>
      </c>
      <c r="P229" s="22" t="n">
        <f aca="false">ROUND((O229-C229)*86400,0)</f>
        <v>12</v>
      </c>
      <c r="Q229" s="22" t="str">
        <f aca="false">IF(P229&lt;10,"a) &lt;10s",IF(P229&lt;60,"b) 10-60s",IF(P229&lt;600,"c) 1-10min","d) &gt;10min")))</f>
        <v>b) 10-60s</v>
      </c>
      <c r="R229" s="38" t="n">
        <v>4584.92</v>
      </c>
      <c r="S229" s="38" t="n">
        <v>4584.775</v>
      </c>
      <c r="T229" s="22" t="s">
        <v>148</v>
      </c>
      <c r="U229" s="39" t="n">
        <f aca="false">IF(R229="","",IF(F229="BUY",R229-S229,S229-R229))</f>
        <v>0.145000000000437</v>
      </c>
      <c r="V229" s="39" t="n">
        <f aca="false">IF(F229="BUY",S229-J229,J229-S229)</f>
        <v>-2.92700000000059</v>
      </c>
      <c r="W229" s="6" t="n">
        <v>-43.91</v>
      </c>
      <c r="X229" s="26" t="n">
        <f aca="false">IFERROR(W229/N229,0)</f>
        <v>-1.95155555555556</v>
      </c>
      <c r="Y229" s="22" t="str">
        <f aca="false">IF(W229&gt;0,"Win",IF(W229&lt;0,"Loss","Flat"))</f>
        <v>Loss</v>
      </c>
      <c r="Z229" s="24" t="n">
        <f aca="false">Summary!$C$5+SUM(W$2:W229)</f>
        <v>2234.51</v>
      </c>
      <c r="AA229" s="24" t="n">
        <f aca="false">MAX(AA228,Z229)</f>
        <v>5026.73</v>
      </c>
      <c r="AB229" s="24" t="n">
        <f aca="false">AA229-Z229</f>
        <v>2792.22</v>
      </c>
      <c r="AC229" s="23" t="n">
        <f aca="false">IFERROR(AB229/AA229,0)</f>
        <v>0.55547443367756</v>
      </c>
      <c r="AD229" s="22" t="s">
        <v>424</v>
      </c>
    </row>
    <row r="230" customFormat="false" ht="15" hidden="false" customHeight="false" outlineLevel="0" collapsed="false">
      <c r="A230" s="22" t="n">
        <v>229</v>
      </c>
      <c r="B230" s="22" t="s">
        <v>131</v>
      </c>
      <c r="C230" s="37" t="n">
        <v>46149.3968865741</v>
      </c>
      <c r="D230" s="22" t="s">
        <v>165</v>
      </c>
      <c r="E230" s="22" t="n">
        <v>9</v>
      </c>
      <c r="F230" s="22" t="s">
        <v>142</v>
      </c>
      <c r="G230" s="22" t="s">
        <v>195</v>
      </c>
      <c r="H230" s="22" t="n">
        <v>0.14</v>
      </c>
      <c r="I230" s="38" t="n">
        <v>4722.83</v>
      </c>
      <c r="J230" s="38" t="n">
        <v>4722.845</v>
      </c>
      <c r="K230" s="39" t="n">
        <f aca="false">IF(F230="BUY",J230-I230,I230-J230)</f>
        <v>0.0150000000003274</v>
      </c>
      <c r="L230" s="38" t="n">
        <v>4721.33</v>
      </c>
      <c r="M230" s="39" t="n">
        <f aca="false">ABS(I230-L230)</f>
        <v>1.5</v>
      </c>
      <c r="N230" s="24" t="n">
        <f aca="false">M230*H230*Summary!$C$6</f>
        <v>21</v>
      </c>
      <c r="O230" s="37" t="n">
        <v>46149.3968981481</v>
      </c>
      <c r="P230" s="22" t="n">
        <f aca="false">ROUND((O230-C230)*86400,0)</f>
        <v>1</v>
      </c>
      <c r="Q230" s="22" t="str">
        <f aca="false">IF(P230&lt;10,"a) &lt;10s",IF(P230&lt;60,"b) 10-60s",IF(P230&lt;600,"c) 1-10min","d) &gt;10min")))</f>
        <v>a) &lt;10s</v>
      </c>
      <c r="R230" s="38" t="n">
        <v>4723.89</v>
      </c>
      <c r="S230" s="38" t="n">
        <v>4723.795</v>
      </c>
      <c r="T230" s="22" t="s">
        <v>149</v>
      </c>
      <c r="U230" s="39" t="n">
        <f aca="false">IF(R230="","",IF(F230="BUY",R230-S230,S230-R230))</f>
        <v>0.0950000000002547</v>
      </c>
      <c r="V230" s="39" t="n">
        <f aca="false">IF(F230="BUY",S230-J230,J230-S230)</f>
        <v>0.949999999999818</v>
      </c>
      <c r="W230" s="6" t="n">
        <v>13.3</v>
      </c>
      <c r="X230" s="26" t="n">
        <f aca="false">IFERROR(W230/N230,0)</f>
        <v>0.633333333333333</v>
      </c>
      <c r="Y230" s="22" t="str">
        <f aca="false">IF(W230&gt;0,"Win",IF(W230&lt;0,"Loss","Flat"))</f>
        <v>Win</v>
      </c>
      <c r="Z230" s="24" t="n">
        <f aca="false">Summary!$C$5+SUM(W$2:W230)</f>
        <v>2247.81</v>
      </c>
      <c r="AA230" s="24" t="n">
        <f aca="false">MAX(AA229,Z230)</f>
        <v>5026.73</v>
      </c>
      <c r="AB230" s="24" t="n">
        <f aca="false">AA230-Z230</f>
        <v>2778.92</v>
      </c>
      <c r="AC230" s="23" t="n">
        <f aca="false">IFERROR(AB230/AA230,0)</f>
        <v>0.552828578419768</v>
      </c>
      <c r="AD230" s="22" t="s">
        <v>425</v>
      </c>
    </row>
    <row r="231" customFormat="false" ht="15" hidden="false" customHeight="false" outlineLevel="0" collapsed="false">
      <c r="A231" s="22" t="n">
        <v>230</v>
      </c>
      <c r="B231" s="22" t="s">
        <v>131</v>
      </c>
      <c r="C231" s="37" t="n">
        <v>46150.073287037</v>
      </c>
      <c r="D231" s="22" t="s">
        <v>166</v>
      </c>
      <c r="E231" s="22" t="n">
        <v>1</v>
      </c>
      <c r="F231" s="22" t="s">
        <v>143</v>
      </c>
      <c r="G231" s="22" t="s">
        <v>197</v>
      </c>
      <c r="H231" s="22" t="n">
        <v>0.14</v>
      </c>
      <c r="I231" s="38" t="n">
        <v>4684.58</v>
      </c>
      <c r="J231" s="38" t="n">
        <v>4684.505</v>
      </c>
      <c r="K231" s="39" t="n">
        <f aca="false">IF(F231="BUY",J231-I231,I231-J231)</f>
        <v>0.0749999999998181</v>
      </c>
      <c r="L231" s="38" t="n">
        <v>4686.08</v>
      </c>
      <c r="M231" s="39" t="n">
        <f aca="false">ABS(I231-L231)</f>
        <v>1.5</v>
      </c>
      <c r="N231" s="24" t="n">
        <f aca="false">M231*H231*Summary!$C$6</f>
        <v>21</v>
      </c>
      <c r="O231" s="37" t="n">
        <v>46150.0734027778</v>
      </c>
      <c r="P231" s="22" t="n">
        <f aca="false">ROUND((O231-C231)*86400,0)</f>
        <v>10</v>
      </c>
      <c r="Q231" s="22" t="str">
        <f aca="false">IF(P231&lt;10,"a) &lt;10s",IF(P231&lt;60,"b) 10-60s",IF(P231&lt;600,"c) 1-10min","d) &gt;10min")))</f>
        <v>b) 10-60s</v>
      </c>
      <c r="R231" s="38" t="n">
        <v>4684.19</v>
      </c>
      <c r="S231" s="38" t="n">
        <v>4684.422</v>
      </c>
      <c r="T231" s="22" t="s">
        <v>149</v>
      </c>
      <c r="U231" s="39" t="n">
        <f aca="false">IF(R231="","",IF(F231="BUY",R231-S231,S231-R231))</f>
        <v>0.231999999999971</v>
      </c>
      <c r="V231" s="39" t="n">
        <f aca="false">IF(F231="BUY",S231-J231,J231-S231)</f>
        <v>0.0830000000005384</v>
      </c>
      <c r="W231" s="6" t="n">
        <v>1.16</v>
      </c>
      <c r="X231" s="26" t="n">
        <f aca="false">IFERROR(W231/N231,0)</f>
        <v>0.0552380952380952</v>
      </c>
      <c r="Y231" s="22" t="str">
        <f aca="false">IF(W231&gt;0,"Win",IF(W231&lt;0,"Loss","Flat"))</f>
        <v>Win</v>
      </c>
      <c r="Z231" s="24" t="n">
        <f aca="false">Summary!$C$5+SUM(W$2:W231)</f>
        <v>2248.97</v>
      </c>
      <c r="AA231" s="24" t="n">
        <f aca="false">MAX(AA230,Z231)</f>
        <v>5026.73</v>
      </c>
      <c r="AB231" s="24" t="n">
        <f aca="false">AA231-Z231</f>
        <v>2777.76</v>
      </c>
      <c r="AC231" s="23" t="n">
        <f aca="false">IFERROR(AB231/AA231,0)</f>
        <v>0.552597812096532</v>
      </c>
      <c r="AD231" s="22" t="s">
        <v>426</v>
      </c>
    </row>
    <row r="232" customFormat="false" ht="15" hidden="false" customHeight="false" outlineLevel="0" collapsed="false">
      <c r="A232" s="22" t="n">
        <v>231</v>
      </c>
      <c r="B232" s="22" t="s">
        <v>131</v>
      </c>
      <c r="C232" s="37" t="n">
        <v>46153.1390393519</v>
      </c>
      <c r="D232" s="22" t="s">
        <v>162</v>
      </c>
      <c r="E232" s="22" t="n">
        <v>3</v>
      </c>
      <c r="F232" s="22" t="s">
        <v>143</v>
      </c>
      <c r="G232" s="22" t="s">
        <v>197</v>
      </c>
      <c r="H232" s="22" t="n">
        <v>0.14</v>
      </c>
      <c r="I232" s="38" t="n">
        <v>4675.65</v>
      </c>
      <c r="J232" s="38" t="n">
        <v>4675.645</v>
      </c>
      <c r="K232" s="39" t="n">
        <f aca="false">IF(F232="BUY",J232-I232,I232-J232)</f>
        <v>0.00499999999919965</v>
      </c>
      <c r="L232" s="38" t="n">
        <v>4677.15</v>
      </c>
      <c r="M232" s="39" t="n">
        <f aca="false">ABS(I232-L232)</f>
        <v>1.5</v>
      </c>
      <c r="N232" s="24" t="n">
        <f aca="false">M232*H232*Summary!$C$6</f>
        <v>21</v>
      </c>
      <c r="O232" s="37" t="n">
        <v>46153.1390625</v>
      </c>
      <c r="P232" s="22" t="n">
        <f aca="false">ROUND((O232-C232)*86400,0)</f>
        <v>2</v>
      </c>
      <c r="Q232" s="22" t="str">
        <f aca="false">IF(P232&lt;10,"a) &lt;10s",IF(P232&lt;60,"b) 10-60s",IF(P232&lt;600,"c) 1-10min","d) &gt;10min")))</f>
        <v>a) &lt;10s</v>
      </c>
      <c r="R232" s="38" t="n">
        <v>4677.15</v>
      </c>
      <c r="S232" s="38" t="n">
        <v>4677.285</v>
      </c>
      <c r="T232" s="22" t="s">
        <v>148</v>
      </c>
      <c r="U232" s="39" t="n">
        <f aca="false">IF(R232="","",IF(F232="BUY",R232-S232,S232-R232))</f>
        <v>0.135000000000218</v>
      </c>
      <c r="V232" s="39" t="n">
        <f aca="false">IF(F232="BUY",S232-J232,J232-S232)</f>
        <v>-1.63999999999942</v>
      </c>
      <c r="W232" s="6" t="n">
        <v>-22.96</v>
      </c>
      <c r="X232" s="26" t="n">
        <f aca="false">IFERROR(W232/N232,0)</f>
        <v>-1.09333333333333</v>
      </c>
      <c r="Y232" s="22" t="str">
        <f aca="false">IF(W232&gt;0,"Win",IF(W232&lt;0,"Loss","Flat"))</f>
        <v>Loss</v>
      </c>
      <c r="Z232" s="24" t="n">
        <f aca="false">Summary!$C$5+SUM(W$2:W232)</f>
        <v>2226.01</v>
      </c>
      <c r="AA232" s="24" t="n">
        <f aca="false">MAX(AA231,Z232)</f>
        <v>5026.73</v>
      </c>
      <c r="AB232" s="24" t="n">
        <f aca="false">AA232-Z232</f>
        <v>2800.72</v>
      </c>
      <c r="AC232" s="23" t="n">
        <f aca="false">IFERROR(AB232/AA232,0)</f>
        <v>0.55716539380472</v>
      </c>
      <c r="AD232" s="22" t="s">
        <v>427</v>
      </c>
    </row>
    <row r="233" customFormat="false" ht="15" hidden="false" customHeight="false" outlineLevel="0" collapsed="false">
      <c r="A233" s="22" t="n">
        <v>232</v>
      </c>
      <c r="B233" s="22" t="s">
        <v>131</v>
      </c>
      <c r="C233" s="37" t="n">
        <v>46154.073900463</v>
      </c>
      <c r="D233" s="22" t="s">
        <v>163</v>
      </c>
      <c r="E233" s="22" t="n">
        <v>1</v>
      </c>
      <c r="F233" s="22" t="s">
        <v>142</v>
      </c>
      <c r="G233" s="22" t="s">
        <v>195</v>
      </c>
      <c r="H233" s="22" t="n">
        <v>0.14</v>
      </c>
      <c r="I233" s="38" t="n">
        <v>4748.48</v>
      </c>
      <c r="J233" s="38" t="n">
        <v>4754.295</v>
      </c>
      <c r="K233" s="39" t="n">
        <f aca="false">IF(F233="BUY",J233-I233,I233-J233)</f>
        <v>5.81500000000051</v>
      </c>
      <c r="L233" s="38" t="n">
        <v>4746.98</v>
      </c>
      <c r="M233" s="39" t="n">
        <f aca="false">ABS(I233-L233)</f>
        <v>1.5</v>
      </c>
      <c r="N233" s="24" t="n">
        <f aca="false">M233*H233*Summary!$C$6</f>
        <v>21</v>
      </c>
      <c r="O233" s="37" t="n">
        <v>46154.0743055556</v>
      </c>
      <c r="P233" s="22" t="n">
        <f aca="false">ROUND((O233-C233)*86400,0)</f>
        <v>35</v>
      </c>
      <c r="Q233" s="22" t="str">
        <f aca="false">IF(P233&lt;10,"a) &lt;10s",IF(P233&lt;60,"b) 10-60s",IF(P233&lt;600,"c) 1-10min","d) &gt;10min")))</f>
        <v>b) 10-60s</v>
      </c>
      <c r="R233" s="38" t="n">
        <v>4754.81</v>
      </c>
      <c r="S233" s="38" t="n">
        <v>4754.198</v>
      </c>
      <c r="T233" s="22" t="s">
        <v>149</v>
      </c>
      <c r="U233" s="39" t="n">
        <f aca="false">IF(R233="","",IF(F233="BUY",R233-S233,S233-R233))</f>
        <v>0.61200000000008</v>
      </c>
      <c r="V233" s="39" t="n">
        <f aca="false">IF(F233="BUY",S233-J233,J233-S233)</f>
        <v>-0.0969999999997526</v>
      </c>
      <c r="W233" s="6" t="n">
        <v>-1.36</v>
      </c>
      <c r="X233" s="26" t="n">
        <f aca="false">IFERROR(W233/N233,0)</f>
        <v>-0.0647619047619048</v>
      </c>
      <c r="Y233" s="22" t="str">
        <f aca="false">IF(W233&gt;0,"Win",IF(W233&lt;0,"Loss","Flat"))</f>
        <v>Loss</v>
      </c>
      <c r="Z233" s="24" t="n">
        <f aca="false">Summary!$C$5+SUM(W$2:W233)</f>
        <v>2224.65</v>
      </c>
      <c r="AA233" s="24" t="n">
        <f aca="false">MAX(AA232,Z233)</f>
        <v>5026.73</v>
      </c>
      <c r="AB233" s="24" t="n">
        <f aca="false">AA233-Z233</f>
        <v>2802.08</v>
      </c>
      <c r="AC233" s="23" t="n">
        <f aca="false">IFERROR(AB233/AA233,0)</f>
        <v>0.557435947425066</v>
      </c>
      <c r="AD233" s="22" t="s">
        <v>428</v>
      </c>
    </row>
    <row r="234" customFormat="false" ht="15" hidden="false" customHeight="false" outlineLevel="0" collapsed="false">
      <c r="A234" s="22" t="n">
        <v>233</v>
      </c>
      <c r="B234" s="22" t="s">
        <v>131</v>
      </c>
      <c r="C234" s="37" t="n">
        <v>46154.7658217593</v>
      </c>
      <c r="D234" s="22" t="s">
        <v>163</v>
      </c>
      <c r="E234" s="22" t="n">
        <v>18</v>
      </c>
      <c r="F234" s="22" t="s">
        <v>143</v>
      </c>
      <c r="G234" s="22" t="s">
        <v>197</v>
      </c>
      <c r="H234" s="22" t="n">
        <v>0.14</v>
      </c>
      <c r="I234" s="38" t="n">
        <v>4647.83</v>
      </c>
      <c r="J234" s="38" t="n">
        <v>4647.205</v>
      </c>
      <c r="K234" s="39" t="n">
        <f aca="false">IF(F234="BUY",J234-I234,I234-J234)</f>
        <v>0.625</v>
      </c>
      <c r="L234" s="38" t="n">
        <v>4649.33</v>
      </c>
      <c r="M234" s="39" t="n">
        <f aca="false">ABS(I234-L234)</f>
        <v>1.5</v>
      </c>
      <c r="N234" s="24" t="n">
        <f aca="false">M234*H234*Summary!$C$6</f>
        <v>21</v>
      </c>
      <c r="O234" s="37" t="n">
        <v>46154.7658449074</v>
      </c>
      <c r="P234" s="22" t="n">
        <f aca="false">ROUND((O234-C234)*86400,0)</f>
        <v>2</v>
      </c>
      <c r="Q234" s="22" t="str">
        <f aca="false">IF(P234&lt;10,"a) &lt;10s",IF(P234&lt;60,"b) 10-60s",IF(P234&lt;600,"c) 1-10min","d) &gt;10min")))</f>
        <v>a) &lt;10s</v>
      </c>
      <c r="R234" s="38" t="n">
        <v>4649.33</v>
      </c>
      <c r="S234" s="38" t="n">
        <v>4649.725</v>
      </c>
      <c r="T234" s="22" t="s">
        <v>148</v>
      </c>
      <c r="U234" s="39" t="n">
        <f aca="false">IF(R234="","",IF(F234="BUY",R234-S234,S234-R234))</f>
        <v>0.395000000000437</v>
      </c>
      <c r="V234" s="39" t="n">
        <f aca="false">IF(F234="BUY",S234-J234,J234-S234)</f>
        <v>-2.52000000000044</v>
      </c>
      <c r="W234" s="6" t="n">
        <v>-35.28</v>
      </c>
      <c r="X234" s="26" t="n">
        <f aca="false">IFERROR(W234/N234,0)</f>
        <v>-1.68</v>
      </c>
      <c r="Y234" s="22" t="str">
        <f aca="false">IF(W234&gt;0,"Win",IF(W234&lt;0,"Loss","Flat"))</f>
        <v>Loss</v>
      </c>
      <c r="Z234" s="24" t="n">
        <f aca="false">Summary!$C$5+SUM(W$2:W234)</f>
        <v>2189.37</v>
      </c>
      <c r="AA234" s="24" t="n">
        <f aca="false">MAX(AA233,Z234)</f>
        <v>5026.73</v>
      </c>
      <c r="AB234" s="24" t="n">
        <f aca="false">AA234-Z234</f>
        <v>2837.36</v>
      </c>
      <c r="AC234" s="23" t="n">
        <f aca="false">IFERROR(AB234/AA234,0)</f>
        <v>0.564454426635208</v>
      </c>
      <c r="AD234" s="22" t="s">
        <v>429</v>
      </c>
    </row>
    <row r="235" customFormat="false" ht="15" hidden="false" customHeight="false" outlineLevel="0" collapsed="false">
      <c r="A235" s="22" t="n">
        <v>234</v>
      </c>
      <c r="B235" s="22" t="s">
        <v>131</v>
      </c>
      <c r="C235" s="37" t="n">
        <v>46156.2921064815</v>
      </c>
      <c r="D235" s="22" t="s">
        <v>165</v>
      </c>
      <c r="E235" s="22" t="n">
        <v>7</v>
      </c>
      <c r="F235" s="22" t="s">
        <v>143</v>
      </c>
      <c r="G235" s="22" t="s">
        <v>197</v>
      </c>
      <c r="H235" s="22" t="n">
        <v>0.14</v>
      </c>
      <c r="I235" s="38" t="n">
        <v>4669.42</v>
      </c>
      <c r="J235" s="38" t="n">
        <v>4668.165</v>
      </c>
      <c r="K235" s="39" t="n">
        <f aca="false">IF(F235="BUY",J235-I235,I235-J235)</f>
        <v>1.25500000000011</v>
      </c>
      <c r="L235" s="38" t="n">
        <v>4670.92</v>
      </c>
      <c r="M235" s="39" t="n">
        <f aca="false">ABS(I235-L235)</f>
        <v>1.5</v>
      </c>
      <c r="N235" s="24" t="n">
        <f aca="false">M235*H235*Summary!$C$6</f>
        <v>21</v>
      </c>
      <c r="O235" s="37" t="n">
        <v>46156.2921296296</v>
      </c>
      <c r="P235" s="22" t="n">
        <f aca="false">ROUND((O235-C235)*86400,0)</f>
        <v>2</v>
      </c>
      <c r="Q235" s="22" t="str">
        <f aca="false">IF(P235&lt;10,"a) &lt;10s",IF(P235&lt;60,"b) 10-60s",IF(P235&lt;600,"c) 1-10min","d) &gt;10min")))</f>
        <v>a) &lt;10s</v>
      </c>
      <c r="R235" s="38" t="n">
        <v>4670.92</v>
      </c>
      <c r="S235" s="38" t="n">
        <v>4670.995</v>
      </c>
      <c r="T235" s="22" t="s">
        <v>148</v>
      </c>
      <c r="U235" s="39" t="n">
        <f aca="false">IF(R235="","",IF(F235="BUY",R235-S235,S235-R235))</f>
        <v>0.0749999999998181</v>
      </c>
      <c r="V235" s="39" t="n">
        <f aca="false">IF(F235="BUY",S235-J235,J235-S235)</f>
        <v>-2.82999999999993</v>
      </c>
      <c r="W235" s="6" t="n">
        <v>-39.62</v>
      </c>
      <c r="X235" s="26" t="n">
        <f aca="false">IFERROR(W235/N235,0)</f>
        <v>-1.88666666666667</v>
      </c>
      <c r="Y235" s="22" t="str">
        <f aca="false">IF(W235&gt;0,"Win",IF(W235&lt;0,"Loss","Flat"))</f>
        <v>Loss</v>
      </c>
      <c r="Z235" s="24" t="n">
        <f aca="false">Summary!$C$5+SUM(W$2:W235)</f>
        <v>2149.75</v>
      </c>
      <c r="AA235" s="24" t="n">
        <f aca="false">MAX(AA234,Z235)</f>
        <v>5026.73</v>
      </c>
      <c r="AB235" s="24" t="n">
        <f aca="false">AA235-Z235</f>
        <v>2876.98</v>
      </c>
      <c r="AC235" s="23" t="n">
        <f aca="false">IFERROR(AB235/AA235,0)</f>
        <v>0.57233629019263</v>
      </c>
      <c r="AD235" s="22" t="s">
        <v>430</v>
      </c>
    </row>
    <row r="236" customFormat="false" ht="15" hidden="false" customHeight="false" outlineLevel="0" collapsed="false">
      <c r="A236" s="22" t="n">
        <v>235</v>
      </c>
      <c r="B236" s="22" t="s">
        <v>131</v>
      </c>
      <c r="C236" s="37" t="n">
        <v>46157.1263657407</v>
      </c>
      <c r="D236" s="22" t="s">
        <v>166</v>
      </c>
      <c r="E236" s="22" t="n">
        <v>3</v>
      </c>
      <c r="F236" s="22" t="s">
        <v>143</v>
      </c>
      <c r="G236" s="22" t="s">
        <v>197</v>
      </c>
      <c r="H236" s="22" t="n">
        <v>0.14</v>
      </c>
      <c r="I236" s="38" t="n">
        <v>4643.97</v>
      </c>
      <c r="J236" s="38" t="n">
        <v>4642.735</v>
      </c>
      <c r="K236" s="39" t="n">
        <f aca="false">IF(F236="BUY",J236-I236,I236-J236)</f>
        <v>1.23500000000058</v>
      </c>
      <c r="L236" s="38" t="n">
        <v>4645.47</v>
      </c>
      <c r="M236" s="39" t="n">
        <f aca="false">ABS(I236-L236)</f>
        <v>1.5</v>
      </c>
      <c r="N236" s="24" t="n">
        <f aca="false">M236*H236*Summary!$C$6</f>
        <v>21</v>
      </c>
      <c r="O236" s="37" t="n">
        <v>46157.1263773148</v>
      </c>
      <c r="P236" s="22" t="n">
        <f aca="false">ROUND((O236-C236)*86400,0)</f>
        <v>1</v>
      </c>
      <c r="Q236" s="22" t="str">
        <f aca="false">IF(P236&lt;10,"a) &lt;10s",IF(P236&lt;60,"b) 10-60s",IF(P236&lt;600,"c) 1-10min","d) &gt;10min")))</f>
        <v>a) &lt;10s</v>
      </c>
      <c r="R236" s="38" t="n">
        <v>4645.47</v>
      </c>
      <c r="S236" s="38" t="n">
        <v>4645.525</v>
      </c>
      <c r="T236" s="22" t="s">
        <v>148</v>
      </c>
      <c r="U236" s="39" t="n">
        <f aca="false">IF(R236="","",IF(F236="BUY",R236-S236,S236-R236))</f>
        <v>0.0549999999993815</v>
      </c>
      <c r="V236" s="39" t="n">
        <f aca="false">IF(F236="BUY",S236-J236,J236-S236)</f>
        <v>-2.78999999999996</v>
      </c>
      <c r="W236" s="6" t="n">
        <v>-39.06</v>
      </c>
      <c r="X236" s="26" t="n">
        <f aca="false">IFERROR(W236/N236,0)</f>
        <v>-1.86</v>
      </c>
      <c r="Y236" s="22" t="str">
        <f aca="false">IF(W236&gt;0,"Win",IF(W236&lt;0,"Loss","Flat"))</f>
        <v>Loss</v>
      </c>
      <c r="Z236" s="24" t="n">
        <f aca="false">Summary!$C$5+SUM(W$2:W236)</f>
        <v>2110.69</v>
      </c>
      <c r="AA236" s="24" t="n">
        <f aca="false">MAX(AA235,Z236)</f>
        <v>5026.73</v>
      </c>
      <c r="AB236" s="24" t="n">
        <f aca="false">AA236-Z236</f>
        <v>2916.04</v>
      </c>
      <c r="AC236" s="23" t="n">
        <f aca="false">IFERROR(AB236/AA236,0)</f>
        <v>0.580106749318145</v>
      </c>
      <c r="AD236" s="22" t="s">
        <v>431</v>
      </c>
    </row>
    <row r="237" customFormat="false" ht="15" hidden="false" customHeight="false" outlineLevel="0" collapsed="false">
      <c r="A237" s="22" t="n">
        <v>236</v>
      </c>
      <c r="B237" s="22" t="s">
        <v>131</v>
      </c>
      <c r="C237" s="37" t="n">
        <v>46160.1481365741</v>
      </c>
      <c r="D237" s="22" t="s">
        <v>162</v>
      </c>
      <c r="E237" s="22" t="n">
        <v>3</v>
      </c>
      <c r="F237" s="22" t="s">
        <v>143</v>
      </c>
      <c r="G237" s="22" t="s">
        <v>197</v>
      </c>
      <c r="H237" s="22" t="n">
        <v>0.14</v>
      </c>
      <c r="I237" s="38" t="n">
        <v>4511.22</v>
      </c>
      <c r="J237" s="38" t="n">
        <v>4510.305</v>
      </c>
      <c r="K237" s="39" t="n">
        <f aca="false">IF(F237="BUY",J237-I237,I237-J237)</f>
        <v>0.914999999999964</v>
      </c>
      <c r="L237" s="38" t="n">
        <v>4512.72</v>
      </c>
      <c r="M237" s="39" t="n">
        <f aca="false">ABS(I237-L237)</f>
        <v>1.5</v>
      </c>
      <c r="N237" s="24" t="n">
        <f aca="false">M237*H237*Summary!$C$6</f>
        <v>21</v>
      </c>
      <c r="O237" s="37" t="n">
        <v>46160.1481365741</v>
      </c>
      <c r="P237" s="22" t="n">
        <f aca="false">ROUND((O237-C237)*86400,0)</f>
        <v>0</v>
      </c>
      <c r="Q237" s="22" t="str">
        <f aca="false">IF(P237&lt;10,"a) &lt;10s",IF(P237&lt;60,"b) 10-60s",IF(P237&lt;600,"c) 1-10min","d) &gt;10min")))</f>
        <v>a) &lt;10s</v>
      </c>
      <c r="R237" s="38"/>
      <c r="S237" s="38" t="n">
        <v>4511.505</v>
      </c>
      <c r="T237" s="22" t="s">
        <v>151</v>
      </c>
      <c r="U237" s="39" t="str">
        <f aca="false">IF(R237="","",IF(F237="BUY",R237-S237,S237-R237))</f>
        <v/>
      </c>
      <c r="V237" s="39" t="n">
        <f aca="false">IF(F237="BUY",S237-J237,J237-S237)</f>
        <v>-1.19999999999982</v>
      </c>
      <c r="W237" s="6" t="n">
        <v>-16.8</v>
      </c>
      <c r="X237" s="26" t="n">
        <f aca="false">IFERROR(W237/N237,0)</f>
        <v>-0.8</v>
      </c>
      <c r="Y237" s="22" t="str">
        <f aca="false">IF(W237&gt;0,"Win",IF(W237&lt;0,"Loss","Flat"))</f>
        <v>Loss</v>
      </c>
      <c r="Z237" s="24" t="n">
        <f aca="false">Summary!$C$5+SUM(W$2:W237)</f>
        <v>2093.89</v>
      </c>
      <c r="AA237" s="24" t="n">
        <f aca="false">MAX(AA236,Z237)</f>
        <v>5026.73</v>
      </c>
      <c r="AB237" s="24" t="n">
        <f aca="false">AA237-Z237</f>
        <v>2932.84</v>
      </c>
      <c r="AC237" s="23" t="n">
        <f aca="false">IFERROR(AB237/AA237,0)</f>
        <v>0.583448882275356</v>
      </c>
      <c r="AD237" s="22" t="s">
        <v>432</v>
      </c>
    </row>
    <row r="238" customFormat="false" ht="15" hidden="false" customHeight="false" outlineLevel="0" collapsed="false">
      <c r="A238" s="22" t="n">
        <v>237</v>
      </c>
      <c r="B238" s="22" t="s">
        <v>131</v>
      </c>
      <c r="C238" s="37" t="n">
        <v>46161.0929050926</v>
      </c>
      <c r="D238" s="22" t="s">
        <v>163</v>
      </c>
      <c r="E238" s="22" t="n">
        <v>2</v>
      </c>
      <c r="F238" s="22" t="s">
        <v>142</v>
      </c>
      <c r="G238" s="22" t="s">
        <v>195</v>
      </c>
      <c r="H238" s="22" t="n">
        <v>0.13</v>
      </c>
      <c r="I238" s="38" t="n">
        <v>4584.02</v>
      </c>
      <c r="J238" s="38" t="n">
        <v>4584.415</v>
      </c>
      <c r="K238" s="39" t="n">
        <f aca="false">IF(F238="BUY",J238-I238,I238-J238)</f>
        <v>0.394999999999527</v>
      </c>
      <c r="L238" s="38" t="n">
        <v>4582.52</v>
      </c>
      <c r="M238" s="39" t="n">
        <f aca="false">ABS(I238-L238)</f>
        <v>1.5</v>
      </c>
      <c r="N238" s="24" t="n">
        <f aca="false">M238*H238*Summary!$C$6</f>
        <v>19.5</v>
      </c>
      <c r="O238" s="37" t="n">
        <v>46161.0929282407</v>
      </c>
      <c r="P238" s="22" t="n">
        <f aca="false">ROUND((O238-C238)*86400,0)</f>
        <v>2</v>
      </c>
      <c r="Q238" s="22" t="str">
        <f aca="false">IF(P238&lt;10,"a) &lt;10s",IF(P238&lt;60,"b) 10-60s",IF(P238&lt;600,"c) 1-10min","d) &gt;10min")))</f>
        <v>a) &lt;10s</v>
      </c>
      <c r="R238" s="38" t="n">
        <v>4586.34</v>
      </c>
      <c r="S238" s="38" t="n">
        <v>4586.165</v>
      </c>
      <c r="T238" s="22" t="s">
        <v>149</v>
      </c>
      <c r="U238" s="39" t="n">
        <f aca="false">IF(R238="","",IF(F238="BUY",R238-S238,S238-R238))</f>
        <v>0.175000000000182</v>
      </c>
      <c r="V238" s="39" t="n">
        <f aca="false">IF(F238="BUY",S238-J238,J238-S238)</f>
        <v>1.75</v>
      </c>
      <c r="W238" s="6" t="n">
        <v>22.75</v>
      </c>
      <c r="X238" s="26" t="n">
        <f aca="false">IFERROR(W238/N238,0)</f>
        <v>1.16666666666667</v>
      </c>
      <c r="Y238" s="22" t="str">
        <f aca="false">IF(W238&gt;0,"Win",IF(W238&lt;0,"Loss","Flat"))</f>
        <v>Win</v>
      </c>
      <c r="Z238" s="24" t="n">
        <f aca="false">Summary!$C$5+SUM(W$2:W238)</f>
        <v>2116.64</v>
      </c>
      <c r="AA238" s="24" t="n">
        <f aca="false">MAX(AA237,Z238)</f>
        <v>5026.73</v>
      </c>
      <c r="AB238" s="24" t="n">
        <f aca="false">AA238-Z238</f>
        <v>2910.09</v>
      </c>
      <c r="AC238" s="23" t="n">
        <f aca="false">IFERROR(AB238/AA238,0)</f>
        <v>0.578923077229133</v>
      </c>
      <c r="AD238" s="22" t="s">
        <v>433</v>
      </c>
    </row>
    <row r="239" customFormat="false" ht="15" hidden="false" customHeight="false" outlineLevel="0" collapsed="false">
      <c r="A239" s="22" t="n">
        <v>238</v>
      </c>
      <c r="B239" s="22" t="s">
        <v>131</v>
      </c>
      <c r="C239" s="37" t="n">
        <v>46161.6884490741</v>
      </c>
      <c r="D239" s="22" t="s">
        <v>163</v>
      </c>
      <c r="E239" s="22" t="n">
        <v>16</v>
      </c>
      <c r="F239" s="22" t="s">
        <v>143</v>
      </c>
      <c r="G239" s="22" t="s">
        <v>197</v>
      </c>
      <c r="H239" s="22" t="n">
        <v>0.13</v>
      </c>
      <c r="I239" s="38" t="n">
        <v>4480.06</v>
      </c>
      <c r="J239" s="38" t="n">
        <v>4479.185</v>
      </c>
      <c r="K239" s="39" t="n">
        <f aca="false">IF(F239="BUY",J239-I239,I239-J239)</f>
        <v>0.875</v>
      </c>
      <c r="L239" s="38" t="n">
        <v>4481.56</v>
      </c>
      <c r="M239" s="39" t="n">
        <f aca="false">ABS(I239-L239)</f>
        <v>1.5</v>
      </c>
      <c r="N239" s="24" t="n">
        <f aca="false">M239*H239*Summary!$C$6</f>
        <v>19.5</v>
      </c>
      <c r="O239" s="37" t="n">
        <v>46161.6884606482</v>
      </c>
      <c r="P239" s="22" t="n">
        <f aca="false">ROUND((O239-C239)*86400,0)</f>
        <v>1</v>
      </c>
      <c r="Q239" s="22" t="str">
        <f aca="false">IF(P239&lt;10,"a) &lt;10s",IF(P239&lt;60,"b) 10-60s",IF(P239&lt;600,"c) 1-10min","d) &gt;10min")))</f>
        <v>a) &lt;10s</v>
      </c>
      <c r="R239" s="38" t="n">
        <v>4477.66</v>
      </c>
      <c r="S239" s="38" t="n">
        <v>4477.675</v>
      </c>
      <c r="T239" s="22" t="s">
        <v>149</v>
      </c>
      <c r="U239" s="39" t="n">
        <f aca="false">IF(R239="","",IF(F239="BUY",R239-S239,S239-R239))</f>
        <v>0.0150000000003274</v>
      </c>
      <c r="V239" s="39" t="n">
        <f aca="false">IF(F239="BUY",S239-J239,J239-S239)</f>
        <v>1.51000000000022</v>
      </c>
      <c r="W239" s="6" t="n">
        <v>19.63</v>
      </c>
      <c r="X239" s="26" t="n">
        <f aca="false">IFERROR(W239/N239,0)</f>
        <v>1.00666666666667</v>
      </c>
      <c r="Y239" s="22" t="str">
        <f aca="false">IF(W239&gt;0,"Win",IF(W239&lt;0,"Loss","Flat"))</f>
        <v>Win</v>
      </c>
      <c r="Z239" s="24" t="n">
        <f aca="false">Summary!$C$5+SUM(W$2:W239)</f>
        <v>2136.27</v>
      </c>
      <c r="AA239" s="24" t="n">
        <f aca="false">MAX(AA238,Z239)</f>
        <v>5026.73</v>
      </c>
      <c r="AB239" s="24" t="n">
        <f aca="false">AA239-Z239</f>
        <v>2890.46</v>
      </c>
      <c r="AC239" s="23" t="n">
        <f aca="false">IFERROR(AB239/AA239,0)</f>
        <v>0.575017954017821</v>
      </c>
      <c r="AD239" s="22" t="s">
        <v>434</v>
      </c>
    </row>
    <row r="240" customFormat="false" ht="15" hidden="false" customHeight="false" outlineLevel="0" collapsed="false">
      <c r="A240" s="22" t="n">
        <v>239</v>
      </c>
      <c r="B240" s="22" t="s">
        <v>131</v>
      </c>
      <c r="C240" s="37" t="n">
        <v>46162.1917708333</v>
      </c>
      <c r="D240" s="22" t="s">
        <v>164</v>
      </c>
      <c r="E240" s="22" t="n">
        <v>4</v>
      </c>
      <c r="F240" s="22" t="s">
        <v>143</v>
      </c>
      <c r="G240" s="22" t="s">
        <v>197</v>
      </c>
      <c r="H240" s="22" t="n">
        <v>0.14</v>
      </c>
      <c r="I240" s="38" t="n">
        <v>4464.61</v>
      </c>
      <c r="J240" s="38" t="n">
        <v>4464.295</v>
      </c>
      <c r="K240" s="39" t="n">
        <f aca="false">IF(F240="BUY",J240-I240,I240-J240)</f>
        <v>0.3149999999996</v>
      </c>
      <c r="L240" s="38" t="n">
        <v>4466.11</v>
      </c>
      <c r="M240" s="39" t="n">
        <f aca="false">ABS(I240-L240)</f>
        <v>1.5</v>
      </c>
      <c r="N240" s="24" t="n">
        <f aca="false">M240*H240*Summary!$C$6</f>
        <v>21</v>
      </c>
      <c r="O240" s="37" t="n">
        <v>46162.1917708333</v>
      </c>
      <c r="P240" s="22" t="n">
        <f aca="false">ROUND((O240-C240)*86400,0)</f>
        <v>0</v>
      </c>
      <c r="Q240" s="22" t="str">
        <f aca="false">IF(P240&lt;10,"a) &lt;10s",IF(P240&lt;60,"b) 10-60s",IF(P240&lt;600,"c) 1-10min","d) &gt;10min")))</f>
        <v>a) &lt;10s</v>
      </c>
      <c r="R240" s="38" t="n">
        <v>4464.3</v>
      </c>
      <c r="S240" s="38" t="n">
        <v>4464.315</v>
      </c>
      <c r="T240" s="22" t="s">
        <v>149</v>
      </c>
      <c r="U240" s="39" t="n">
        <f aca="false">IF(R240="","",IF(F240="BUY",R240-S240,S240-R240))</f>
        <v>0.0149999999994179</v>
      </c>
      <c r="V240" s="39" t="n">
        <f aca="false">IF(F240="BUY",S240-J240,J240-S240)</f>
        <v>-0.0199999999995271</v>
      </c>
      <c r="W240" s="6" t="n">
        <v>-0.28</v>
      </c>
      <c r="X240" s="26" t="n">
        <f aca="false">IFERROR(W240/N240,0)</f>
        <v>-0.0133333333333333</v>
      </c>
      <c r="Y240" s="22" t="str">
        <f aca="false">IF(W240&gt;0,"Win",IF(W240&lt;0,"Loss","Flat"))</f>
        <v>Loss</v>
      </c>
      <c r="Z240" s="24" t="n">
        <f aca="false">Summary!$C$5+SUM(W$2:W240)</f>
        <v>2135.99</v>
      </c>
      <c r="AA240" s="24" t="n">
        <f aca="false">MAX(AA239,Z240)</f>
        <v>5026.73</v>
      </c>
      <c r="AB240" s="24" t="n">
        <f aca="false">AA240-Z240</f>
        <v>2890.74</v>
      </c>
      <c r="AC240" s="23" t="n">
        <f aca="false">IFERROR(AB240/AA240,0)</f>
        <v>0.575073656233774</v>
      </c>
      <c r="AD240" s="22" t="s">
        <v>435</v>
      </c>
    </row>
    <row r="241" customFormat="false" ht="15" hidden="false" customHeight="false" outlineLevel="0" collapsed="false">
      <c r="A241" s="22" t="n">
        <v>240</v>
      </c>
      <c r="B241" s="22" t="s">
        <v>131</v>
      </c>
      <c r="C241" s="37" t="n">
        <v>46163.1358101852</v>
      </c>
      <c r="D241" s="22" t="s">
        <v>165</v>
      </c>
      <c r="E241" s="22" t="n">
        <v>3</v>
      </c>
      <c r="F241" s="22" t="s">
        <v>142</v>
      </c>
      <c r="G241" s="22" t="s">
        <v>195</v>
      </c>
      <c r="H241" s="22" t="n">
        <v>0.14</v>
      </c>
      <c r="I241" s="38" t="n">
        <v>4552.59</v>
      </c>
      <c r="J241" s="38" t="n">
        <v>4552.865</v>
      </c>
      <c r="K241" s="39" t="n">
        <f aca="false">IF(F241="BUY",J241-I241,I241-J241)</f>
        <v>0.274999999999636</v>
      </c>
      <c r="L241" s="38" t="n">
        <v>4551.09</v>
      </c>
      <c r="M241" s="39" t="n">
        <f aca="false">ABS(I241-L241)</f>
        <v>1.5</v>
      </c>
      <c r="N241" s="24" t="n">
        <f aca="false">M241*H241*Summary!$C$6</f>
        <v>21</v>
      </c>
      <c r="O241" s="37" t="n">
        <v>46163.1358333333</v>
      </c>
      <c r="P241" s="22" t="n">
        <f aca="false">ROUND((O241-C241)*86400,0)</f>
        <v>2</v>
      </c>
      <c r="Q241" s="22" t="str">
        <f aca="false">IF(P241&lt;10,"a) &lt;10s",IF(P241&lt;60,"b) 10-60s",IF(P241&lt;600,"c) 1-10min","d) &gt;10min")))</f>
        <v>a) &lt;10s</v>
      </c>
      <c r="R241" s="38" t="n">
        <v>4552.86</v>
      </c>
      <c r="S241" s="38" t="n">
        <v>4552.825</v>
      </c>
      <c r="T241" s="22" t="s">
        <v>149</v>
      </c>
      <c r="U241" s="39" t="n">
        <f aca="false">IF(R241="","",IF(F241="BUY",R241-S241,S241-R241))</f>
        <v>0.0349999999998545</v>
      </c>
      <c r="V241" s="39" t="n">
        <f aca="false">IF(F241="BUY",S241-J241,J241-S241)</f>
        <v>-0.0399999999999636</v>
      </c>
      <c r="W241" s="6" t="n">
        <v>-0.56</v>
      </c>
      <c r="X241" s="26" t="n">
        <f aca="false">IFERROR(W241/N241,0)</f>
        <v>-0.0266666666666667</v>
      </c>
      <c r="Y241" s="22" t="str">
        <f aca="false">IF(W241&gt;0,"Win",IF(W241&lt;0,"Loss","Flat"))</f>
        <v>Loss</v>
      </c>
      <c r="Z241" s="24" t="n">
        <f aca="false">Summary!$C$5+SUM(W$2:W241)</f>
        <v>2135.43</v>
      </c>
      <c r="AA241" s="24" t="n">
        <f aca="false">MAX(AA240,Z241)</f>
        <v>5026.73</v>
      </c>
      <c r="AB241" s="24" t="n">
        <f aca="false">AA241-Z241</f>
        <v>2891.3</v>
      </c>
      <c r="AC241" s="23" t="n">
        <f aca="false">IFERROR(AB241/AA241,0)</f>
        <v>0.575185060665681</v>
      </c>
      <c r="AD241" s="22" t="s">
        <v>436</v>
      </c>
    </row>
    <row r="242" customFormat="false" ht="15" hidden="false" customHeight="false" outlineLevel="0" collapsed="false">
      <c r="A242" s="22" t="n">
        <v>241</v>
      </c>
      <c r="B242" s="22" t="s">
        <v>131</v>
      </c>
      <c r="C242" s="37" t="n">
        <v>46168.0960185185</v>
      </c>
      <c r="D242" s="22" t="s">
        <v>163</v>
      </c>
      <c r="E242" s="22" t="n">
        <v>2</v>
      </c>
      <c r="F242" s="22" t="s">
        <v>142</v>
      </c>
      <c r="G242" s="22" t="s">
        <v>195</v>
      </c>
      <c r="H242" s="22" t="n">
        <v>0.14</v>
      </c>
      <c r="I242" s="38" t="n">
        <v>4580</v>
      </c>
      <c r="J242" s="38" t="n">
        <v>4580.015</v>
      </c>
      <c r="K242" s="39" t="n">
        <f aca="false">IF(F242="BUY",J242-I242,I242-J242)</f>
        <v>0.0150000000003274</v>
      </c>
      <c r="L242" s="38" t="n">
        <v>4578.5</v>
      </c>
      <c r="M242" s="39" t="n">
        <f aca="false">ABS(I242-L242)</f>
        <v>1.5</v>
      </c>
      <c r="N242" s="24" t="n">
        <f aca="false">M242*H242*Summary!$C$6</f>
        <v>21</v>
      </c>
      <c r="O242" s="37" t="n">
        <v>46168.0965625</v>
      </c>
      <c r="P242" s="22" t="n">
        <f aca="false">ROUND((O242-C242)*86400,0)</f>
        <v>47</v>
      </c>
      <c r="Q242" s="22" t="str">
        <f aca="false">IF(P242&lt;10,"a) &lt;10s",IF(P242&lt;60,"b) 10-60s",IF(P242&lt;600,"c) 1-10min","d) &gt;10min")))</f>
        <v>b) 10-60s</v>
      </c>
      <c r="R242" s="38" t="n">
        <v>4578.5</v>
      </c>
      <c r="S242" s="38" t="n">
        <v>4578.315</v>
      </c>
      <c r="T242" s="22" t="s">
        <v>148</v>
      </c>
      <c r="U242" s="39" t="n">
        <f aca="false">IF(R242="","",IF(F242="BUY",R242-S242,S242-R242))</f>
        <v>0.1850000000004</v>
      </c>
      <c r="V242" s="39" t="n">
        <f aca="false">IF(F242="BUY",S242-J242,J242-S242)</f>
        <v>-1.70000000000073</v>
      </c>
      <c r="W242" s="6" t="n">
        <v>-23.8</v>
      </c>
      <c r="X242" s="26" t="n">
        <f aca="false">IFERROR(W242/N242,0)</f>
        <v>-1.13333333333333</v>
      </c>
      <c r="Y242" s="22" t="str">
        <f aca="false">IF(W242&gt;0,"Win",IF(W242&lt;0,"Loss","Flat"))</f>
        <v>Loss</v>
      </c>
      <c r="Z242" s="24" t="n">
        <f aca="false">Summary!$C$5+SUM(W$2:W242)</f>
        <v>2111.63</v>
      </c>
      <c r="AA242" s="24" t="n">
        <f aca="false">MAX(AA241,Z242)</f>
        <v>5026.73</v>
      </c>
      <c r="AB242" s="24" t="n">
        <f aca="false">AA242-Z242</f>
        <v>2915.1</v>
      </c>
      <c r="AC242" s="23" t="n">
        <f aca="false">IFERROR(AB242/AA242,0)</f>
        <v>0.57991974902173</v>
      </c>
      <c r="AD242" s="22" t="s">
        <v>437</v>
      </c>
    </row>
    <row r="243" customFormat="false" ht="15" hidden="false" customHeight="false" outlineLevel="0" collapsed="false">
      <c r="A243" s="22" t="n">
        <v>242</v>
      </c>
      <c r="B243" s="22" t="s">
        <v>131</v>
      </c>
      <c r="C243" s="37" t="n">
        <v>46168.193287037</v>
      </c>
      <c r="D243" s="22" t="s">
        <v>163</v>
      </c>
      <c r="E243" s="22" t="n">
        <v>4</v>
      </c>
      <c r="F243" s="22" t="s">
        <v>143</v>
      </c>
      <c r="G243" s="22" t="s">
        <v>197</v>
      </c>
      <c r="H243" s="22" t="n">
        <v>0.14</v>
      </c>
      <c r="I243" s="38" t="n">
        <v>4532.89</v>
      </c>
      <c r="J243" s="38" t="n">
        <v>4532.865</v>
      </c>
      <c r="K243" s="39" t="n">
        <f aca="false">IF(F243="BUY",J243-I243,I243-J243)</f>
        <v>0.0250000000005457</v>
      </c>
      <c r="L243" s="38" t="n">
        <v>4534.39</v>
      </c>
      <c r="M243" s="39" t="n">
        <f aca="false">ABS(I243-L243)</f>
        <v>1.5</v>
      </c>
      <c r="N243" s="24" t="n">
        <f aca="false">M243*H243*Summary!$C$6</f>
        <v>21</v>
      </c>
      <c r="O243" s="37" t="n">
        <v>46168.1933101852</v>
      </c>
      <c r="P243" s="22" t="n">
        <f aca="false">ROUND((O243-C243)*86400,0)</f>
        <v>2</v>
      </c>
      <c r="Q243" s="22" t="str">
        <f aca="false">IF(P243&lt;10,"a) &lt;10s",IF(P243&lt;60,"b) 10-60s",IF(P243&lt;600,"c) 1-10min","d) &gt;10min")))</f>
        <v>a) &lt;10s</v>
      </c>
      <c r="R243" s="38" t="n">
        <v>4532.86</v>
      </c>
      <c r="S243" s="38" t="n">
        <v>4533.035</v>
      </c>
      <c r="T243" s="22" t="s">
        <v>149</v>
      </c>
      <c r="U243" s="39" t="n">
        <f aca="false">IF(R243="","",IF(F243="BUY",R243-S243,S243-R243))</f>
        <v>0.175000000000182</v>
      </c>
      <c r="V243" s="39" t="n">
        <f aca="false">IF(F243="BUY",S243-J243,J243-S243)</f>
        <v>-0.170000000000073</v>
      </c>
      <c r="W243" s="6" t="n">
        <v>-2.38</v>
      </c>
      <c r="X243" s="26" t="n">
        <f aca="false">IFERROR(W243/N243,0)</f>
        <v>-0.113333333333333</v>
      </c>
      <c r="Y243" s="22" t="str">
        <f aca="false">IF(W243&gt;0,"Win",IF(W243&lt;0,"Loss","Flat"))</f>
        <v>Loss</v>
      </c>
      <c r="Z243" s="24" t="n">
        <f aca="false">Summary!$C$5+SUM(W$2:W243)</f>
        <v>2109.25</v>
      </c>
      <c r="AA243" s="24" t="n">
        <f aca="false">MAX(AA242,Z243)</f>
        <v>5026.73</v>
      </c>
      <c r="AB243" s="24" t="n">
        <f aca="false">AA243-Z243</f>
        <v>2917.48</v>
      </c>
      <c r="AC243" s="23" t="n">
        <f aca="false">IFERROR(AB243/AA243,0)</f>
        <v>0.580393217857335</v>
      </c>
      <c r="AD243" s="22" t="s">
        <v>438</v>
      </c>
    </row>
    <row r="244" customFormat="false" ht="15" hidden="false" customHeight="false" outlineLevel="0" collapsed="false">
      <c r="A244" s="22" t="n">
        <v>243</v>
      </c>
      <c r="B244" s="22" t="s">
        <v>131</v>
      </c>
      <c r="C244" s="37" t="n">
        <v>46169.3967708333</v>
      </c>
      <c r="D244" s="22" t="s">
        <v>164</v>
      </c>
      <c r="E244" s="22" t="n">
        <v>9</v>
      </c>
      <c r="F244" s="22" t="s">
        <v>143</v>
      </c>
      <c r="G244" s="22" t="s">
        <v>197</v>
      </c>
      <c r="H244" s="22" t="n">
        <v>0.14</v>
      </c>
      <c r="I244" s="38" t="n">
        <v>4482.36</v>
      </c>
      <c r="J244" s="38" t="n">
        <v>4482.295</v>
      </c>
      <c r="K244" s="39" t="n">
        <f aca="false">IF(F244="BUY",J244-I244,I244-J244)</f>
        <v>0.0649999999995998</v>
      </c>
      <c r="L244" s="38" t="n">
        <v>4483.86</v>
      </c>
      <c r="M244" s="39" t="n">
        <f aca="false">ABS(I244-L244)</f>
        <v>1.5</v>
      </c>
      <c r="N244" s="24" t="n">
        <f aca="false">M244*H244*Summary!$C$6</f>
        <v>21</v>
      </c>
      <c r="O244" s="37" t="n">
        <v>46169.3968055556</v>
      </c>
      <c r="P244" s="22" t="n">
        <f aca="false">ROUND((O244-C244)*86400,0)</f>
        <v>3</v>
      </c>
      <c r="Q244" s="22" t="str">
        <f aca="false">IF(P244&lt;10,"a) &lt;10s",IF(P244&lt;60,"b) 10-60s",IF(P244&lt;600,"c) 1-10min","d) &gt;10min")))</f>
        <v>a) &lt;10s</v>
      </c>
      <c r="R244" s="38" t="n">
        <v>4480.57</v>
      </c>
      <c r="S244" s="38" t="n">
        <v>4480.605</v>
      </c>
      <c r="T244" s="22" t="s">
        <v>149</v>
      </c>
      <c r="U244" s="39" t="n">
        <f aca="false">IF(R244="","",IF(F244="BUY",R244-S244,S244-R244))</f>
        <v>0.0349999999998545</v>
      </c>
      <c r="V244" s="39" t="n">
        <f aca="false">IF(F244="BUY",S244-J244,J244-S244)</f>
        <v>1.69000000000051</v>
      </c>
      <c r="W244" s="6" t="n">
        <v>23.66</v>
      </c>
      <c r="X244" s="26" t="n">
        <f aca="false">IFERROR(W244/N244,0)</f>
        <v>1.12666666666667</v>
      </c>
      <c r="Y244" s="22" t="str">
        <f aca="false">IF(W244&gt;0,"Win",IF(W244&lt;0,"Loss","Flat"))</f>
        <v>Win</v>
      </c>
      <c r="Z244" s="24" t="n">
        <f aca="false">Summary!$C$5+SUM(W$2:W244)</f>
        <v>2132.91</v>
      </c>
      <c r="AA244" s="24" t="n">
        <f aca="false">MAX(AA243,Z244)</f>
        <v>5026.73</v>
      </c>
      <c r="AB244" s="24" t="n">
        <f aca="false">AA244-Z244</f>
        <v>2893.82</v>
      </c>
      <c r="AC244" s="23" t="n">
        <f aca="false">IFERROR(AB244/AA244,0)</f>
        <v>0.575686380609263</v>
      </c>
      <c r="AD244" s="22" t="s">
        <v>439</v>
      </c>
    </row>
    <row r="245" customFormat="false" ht="15" hidden="false" customHeight="false" outlineLevel="0" collapsed="false">
      <c r="A245" s="22" t="n">
        <v>244</v>
      </c>
      <c r="B245" s="22" t="s">
        <v>131</v>
      </c>
      <c r="C245" s="37" t="n">
        <v>46170.2172222222</v>
      </c>
      <c r="D245" s="22" t="s">
        <v>165</v>
      </c>
      <c r="E245" s="22" t="n">
        <v>5</v>
      </c>
      <c r="F245" s="22" t="s">
        <v>143</v>
      </c>
      <c r="G245" s="22" t="s">
        <v>197</v>
      </c>
      <c r="H245" s="22" t="n">
        <v>0.14</v>
      </c>
      <c r="I245" s="38" t="n">
        <v>4401.33</v>
      </c>
      <c r="J245" s="38" t="n">
        <v>4401.288</v>
      </c>
      <c r="K245" s="39" t="n">
        <f aca="false">IF(F245="BUY",J245-I245,I245-J245)</f>
        <v>0.0420000000003711</v>
      </c>
      <c r="L245" s="38" t="n">
        <v>4402.83</v>
      </c>
      <c r="M245" s="39" t="n">
        <f aca="false">ABS(I245-L245)</f>
        <v>1.5</v>
      </c>
      <c r="N245" s="24" t="n">
        <f aca="false">M245*H245*Summary!$C$6</f>
        <v>21</v>
      </c>
      <c r="O245" s="37" t="n">
        <v>46170.2172569444</v>
      </c>
      <c r="P245" s="22" t="n">
        <f aca="false">ROUND((O245-C245)*86400,0)</f>
        <v>3</v>
      </c>
      <c r="Q245" s="22" t="str">
        <f aca="false">IF(P245&lt;10,"a) &lt;10s",IF(P245&lt;60,"b) 10-60s",IF(P245&lt;600,"c) 1-10min","d) &gt;10min")))</f>
        <v>a) &lt;10s</v>
      </c>
      <c r="R245" s="38" t="n">
        <v>4402.83</v>
      </c>
      <c r="S245" s="38" t="n">
        <v>4402.925</v>
      </c>
      <c r="T245" s="22" t="s">
        <v>148</v>
      </c>
      <c r="U245" s="39" t="n">
        <f aca="false">IF(R245="","",IF(F245="BUY",R245-S245,S245-R245))</f>
        <v>0.0950000000002547</v>
      </c>
      <c r="V245" s="39" t="n">
        <f aca="false">IF(F245="BUY",S245-J245,J245-S245)</f>
        <v>-1.63700000000063</v>
      </c>
      <c r="W245" s="6" t="n">
        <v>-22.92</v>
      </c>
      <c r="X245" s="26" t="n">
        <f aca="false">IFERROR(W245/N245,0)</f>
        <v>-1.09142857142857</v>
      </c>
      <c r="Y245" s="22" t="str">
        <f aca="false">IF(W245&gt;0,"Win",IF(W245&lt;0,"Loss","Flat"))</f>
        <v>Loss</v>
      </c>
      <c r="Z245" s="24" t="n">
        <f aca="false">Summary!$C$5+SUM(W$2:W245)</f>
        <v>2109.99</v>
      </c>
      <c r="AA245" s="24" t="n">
        <f aca="false">MAX(AA244,Z245)</f>
        <v>5026.73</v>
      </c>
      <c r="AB245" s="24" t="n">
        <f aca="false">AA245-Z245</f>
        <v>2916.74</v>
      </c>
      <c r="AC245" s="23" t="n">
        <f aca="false">IFERROR(AB245/AA245,0)</f>
        <v>0.580246004858029</v>
      </c>
      <c r="AD245" s="22" t="s">
        <v>440</v>
      </c>
    </row>
    <row r="246" customFormat="false" ht="15" hidden="false" customHeight="false" outlineLevel="0" collapsed="false">
      <c r="A246" s="22" t="n">
        <v>245</v>
      </c>
      <c r="B246" s="22" t="s">
        <v>131</v>
      </c>
      <c r="C246" s="37" t="n">
        <v>46171.1772800926</v>
      </c>
      <c r="D246" s="22" t="s">
        <v>166</v>
      </c>
      <c r="E246" s="22" t="n">
        <v>4</v>
      </c>
      <c r="F246" s="22" t="s">
        <v>142</v>
      </c>
      <c r="G246" s="22" t="s">
        <v>195</v>
      </c>
      <c r="H246" s="22" t="n">
        <v>0.14</v>
      </c>
      <c r="I246" s="38" t="n">
        <v>4516.32</v>
      </c>
      <c r="J246" s="38" t="n">
        <v>4516.485</v>
      </c>
      <c r="K246" s="39" t="n">
        <f aca="false">IF(F246="BUY",J246-I246,I246-J246)</f>
        <v>0.164999999999964</v>
      </c>
      <c r="L246" s="38" t="n">
        <v>4514.82</v>
      </c>
      <c r="M246" s="39" t="n">
        <f aca="false">ABS(I246-L246)</f>
        <v>1.5</v>
      </c>
      <c r="N246" s="24" t="n">
        <f aca="false">M246*H246*Summary!$C$6</f>
        <v>21</v>
      </c>
      <c r="O246" s="37" t="n">
        <v>46171.1773032407</v>
      </c>
      <c r="P246" s="22" t="n">
        <f aca="false">ROUND((O246-C246)*86400,0)</f>
        <v>2</v>
      </c>
      <c r="Q246" s="22" t="str">
        <f aca="false">IF(P246&lt;10,"a) &lt;10s",IF(P246&lt;60,"b) 10-60s",IF(P246&lt;600,"c) 1-10min","d) &gt;10min")))</f>
        <v>a) &lt;10s</v>
      </c>
      <c r="R246" s="38" t="n">
        <v>4516.88</v>
      </c>
      <c r="S246" s="38" t="n">
        <v>4516.815</v>
      </c>
      <c r="T246" s="22" t="s">
        <v>149</v>
      </c>
      <c r="U246" s="39" t="n">
        <f aca="false">IF(R246="","",IF(F246="BUY",R246-S246,S246-R246))</f>
        <v>0.0650000000005093</v>
      </c>
      <c r="V246" s="39" t="n">
        <f aca="false">IF(F246="BUY",S246-J246,J246-S246)</f>
        <v>0.329999999999927</v>
      </c>
      <c r="W246" s="6" t="n">
        <v>4.62</v>
      </c>
      <c r="X246" s="26" t="n">
        <f aca="false">IFERROR(W246/N246,0)</f>
        <v>0.22</v>
      </c>
      <c r="Y246" s="22" t="str">
        <f aca="false">IF(W246&gt;0,"Win",IF(W246&lt;0,"Loss","Flat"))</f>
        <v>Win</v>
      </c>
      <c r="Z246" s="24" t="n">
        <f aca="false">Summary!$C$5+SUM(W$2:W246)</f>
        <v>2114.61</v>
      </c>
      <c r="AA246" s="24" t="n">
        <f aca="false">MAX(AA245,Z246)</f>
        <v>5026.73</v>
      </c>
      <c r="AB246" s="24" t="n">
        <f aca="false">AA246-Z246</f>
        <v>2912.12</v>
      </c>
      <c r="AC246" s="23" t="n">
        <f aca="false">IFERROR(AB246/AA246,0)</f>
        <v>0.579326918294796</v>
      </c>
      <c r="AD246" s="22" t="s">
        <v>441</v>
      </c>
    </row>
    <row r="247" customFormat="false" ht="15" hidden="false" customHeight="false" outlineLevel="0" collapsed="false">
      <c r="A247" s="22" t="n">
        <v>246</v>
      </c>
      <c r="B247" s="22" t="s">
        <v>132</v>
      </c>
      <c r="C247" s="37" t="n">
        <v>46174.6745717593</v>
      </c>
      <c r="D247" s="22" t="s">
        <v>162</v>
      </c>
      <c r="E247" s="22" t="n">
        <v>16</v>
      </c>
      <c r="F247" s="22" t="s">
        <v>143</v>
      </c>
      <c r="G247" s="22" t="s">
        <v>197</v>
      </c>
      <c r="H247" s="22" t="n">
        <v>0.14</v>
      </c>
      <c r="I247" s="38" t="n">
        <v>4488.69</v>
      </c>
      <c r="J247" s="38" t="n">
        <v>4488.635</v>
      </c>
      <c r="K247" s="39" t="n">
        <f aca="false">IF(F247="BUY",J247-I247,I247-J247)</f>
        <v>0.0549999999993815</v>
      </c>
      <c r="L247" s="38" t="n">
        <v>4490.19</v>
      </c>
      <c r="M247" s="39" t="n">
        <f aca="false">ABS(I247-L247)</f>
        <v>1.5</v>
      </c>
      <c r="N247" s="24" t="n">
        <f aca="false">M247*H247*Summary!$C$6</f>
        <v>21</v>
      </c>
      <c r="O247" s="37" t="n">
        <v>46174.6745949074</v>
      </c>
      <c r="P247" s="22" t="n">
        <f aca="false">ROUND((O247-C247)*86400,0)</f>
        <v>2</v>
      </c>
      <c r="Q247" s="22" t="str">
        <f aca="false">IF(P247&lt;10,"a) &lt;10s",IF(P247&lt;60,"b) 10-60s",IF(P247&lt;600,"c) 1-10min","d) &gt;10min")))</f>
        <v>a) &lt;10s</v>
      </c>
      <c r="R247" s="38" t="n">
        <v>4486.38</v>
      </c>
      <c r="S247" s="38" t="n">
        <v>4486.502</v>
      </c>
      <c r="T247" s="22" t="s">
        <v>149</v>
      </c>
      <c r="U247" s="39" t="n">
        <f aca="false">IF(R247="","",IF(F247="BUY",R247-S247,S247-R247))</f>
        <v>0.122000000000298</v>
      </c>
      <c r="V247" s="39" t="n">
        <f aca="false">IF(F247="BUY",S247-J247,J247-S247)</f>
        <v>2.13299999999981</v>
      </c>
      <c r="W247" s="6" t="n">
        <v>29.86</v>
      </c>
      <c r="X247" s="26" t="n">
        <f aca="false">IFERROR(W247/N247,0)</f>
        <v>1.42190476190476</v>
      </c>
      <c r="Y247" s="22" t="str">
        <f aca="false">IF(W247&gt;0,"Win",IF(W247&lt;0,"Loss","Flat"))</f>
        <v>Win</v>
      </c>
      <c r="Z247" s="24" t="n">
        <f aca="false">Summary!$C$5+SUM(W$2:W247)</f>
        <v>2144.47</v>
      </c>
      <c r="AA247" s="24" t="n">
        <f aca="false">MAX(AA246,Z247)</f>
        <v>5026.73</v>
      </c>
      <c r="AB247" s="24" t="n">
        <f aca="false">AA247-Z247</f>
        <v>2882.26</v>
      </c>
      <c r="AC247" s="23" t="n">
        <f aca="false">IFERROR(AB247/AA247,0)</f>
        <v>0.573386674836325</v>
      </c>
      <c r="AD247" s="22" t="s">
        <v>442</v>
      </c>
    </row>
    <row r="248" customFormat="false" ht="15" hidden="false" customHeight="false" outlineLevel="0" collapsed="false">
      <c r="A248" s="22" t="n">
        <v>247</v>
      </c>
      <c r="B248" s="22" t="s">
        <v>132</v>
      </c>
      <c r="C248" s="37" t="n">
        <v>46176.1033101852</v>
      </c>
      <c r="D248" s="22" t="s">
        <v>164</v>
      </c>
      <c r="E248" s="22" t="n">
        <v>2</v>
      </c>
      <c r="F248" s="22" t="s">
        <v>143</v>
      </c>
      <c r="G248" s="22" t="s">
        <v>197</v>
      </c>
      <c r="H248" s="22" t="n">
        <v>0.14</v>
      </c>
      <c r="I248" s="38" t="n">
        <v>4462.66</v>
      </c>
      <c r="J248" s="38" t="n">
        <v>4462.088</v>
      </c>
      <c r="K248" s="39" t="n">
        <f aca="false">IF(F248="BUY",J248-I248,I248-J248)</f>
        <v>0.572000000000116</v>
      </c>
      <c r="L248" s="38" t="n">
        <v>4464.16</v>
      </c>
      <c r="M248" s="39" t="n">
        <f aca="false">ABS(I248-L248)</f>
        <v>1.5</v>
      </c>
      <c r="N248" s="24" t="n">
        <f aca="false">M248*H248*Summary!$C$6</f>
        <v>21</v>
      </c>
      <c r="O248" s="37" t="n">
        <v>46176.1033101852</v>
      </c>
      <c r="P248" s="22" t="n">
        <f aca="false">ROUND((O248-C248)*86400,0)</f>
        <v>0</v>
      </c>
      <c r="Q248" s="22" t="str">
        <f aca="false">IF(P248&lt;10,"a) &lt;10s",IF(P248&lt;60,"b) 10-60s",IF(P248&lt;600,"c) 1-10min","d) &gt;10min")))</f>
        <v>a) &lt;10s</v>
      </c>
      <c r="R248" s="38" t="n">
        <v>4464.16</v>
      </c>
      <c r="S248" s="38" t="n">
        <v>4464.425</v>
      </c>
      <c r="T248" s="22" t="s">
        <v>148</v>
      </c>
      <c r="U248" s="39" t="n">
        <f aca="false">IF(R248="","",IF(F248="BUY",R248-S248,S248-R248))</f>
        <v>0.265000000000327</v>
      </c>
      <c r="V248" s="39" t="n">
        <f aca="false">IF(F248="BUY",S248-J248,J248-S248)</f>
        <v>-2.33700000000044</v>
      </c>
      <c r="W248" s="6" t="n">
        <v>-32.72</v>
      </c>
      <c r="X248" s="26" t="n">
        <f aca="false">IFERROR(W248/N248,0)</f>
        <v>-1.55809523809524</v>
      </c>
      <c r="Y248" s="22" t="str">
        <f aca="false">IF(W248&gt;0,"Win",IF(W248&lt;0,"Loss","Flat"))</f>
        <v>Loss</v>
      </c>
      <c r="Z248" s="24" t="n">
        <f aca="false">Summary!$C$5+SUM(W$2:W248)</f>
        <v>2111.75</v>
      </c>
      <c r="AA248" s="24" t="n">
        <f aca="false">MAX(AA247,Z248)</f>
        <v>5026.73</v>
      </c>
      <c r="AB248" s="24" t="n">
        <f aca="false">AA248-Z248</f>
        <v>2914.98</v>
      </c>
      <c r="AC248" s="23" t="n">
        <f aca="false">IFERROR(AB248/AA248,0)</f>
        <v>0.579895876643464</v>
      </c>
      <c r="AD248" s="22" t="s">
        <v>443</v>
      </c>
    </row>
    <row r="249" customFormat="false" ht="15" hidden="false" customHeight="false" outlineLevel="0" collapsed="false">
      <c r="A249" s="22" t="n">
        <v>248</v>
      </c>
      <c r="B249" s="22" t="s">
        <v>132</v>
      </c>
      <c r="C249" s="37" t="n">
        <v>46177.0529166667</v>
      </c>
      <c r="D249" s="22" t="s">
        <v>165</v>
      </c>
      <c r="E249" s="22" t="n">
        <v>1</v>
      </c>
      <c r="F249" s="22" t="s">
        <v>143</v>
      </c>
      <c r="G249" s="22" t="s">
        <v>197</v>
      </c>
      <c r="H249" s="22" t="n">
        <v>0.14</v>
      </c>
      <c r="I249" s="38" t="n">
        <v>4426.19</v>
      </c>
      <c r="J249" s="38" t="n">
        <v>4426.065</v>
      </c>
      <c r="K249" s="39" t="n">
        <f aca="false">IF(F249="BUY",J249-I249,I249-J249)</f>
        <v>0.125</v>
      </c>
      <c r="L249" s="38" t="n">
        <v>4427.69</v>
      </c>
      <c r="M249" s="39" t="n">
        <f aca="false">ABS(I249-L249)</f>
        <v>1.5</v>
      </c>
      <c r="N249" s="24" t="n">
        <f aca="false">M249*H249*Summary!$C$6</f>
        <v>21</v>
      </c>
      <c r="O249" s="37" t="n">
        <v>46177.0529282407</v>
      </c>
      <c r="P249" s="22" t="n">
        <f aca="false">ROUND((O249-C249)*86400,0)</f>
        <v>1</v>
      </c>
      <c r="Q249" s="22" t="str">
        <f aca="false">IF(P249&lt;10,"a) &lt;10s",IF(P249&lt;60,"b) 10-60s",IF(P249&lt;600,"c) 1-10min","d) &gt;10min")))</f>
        <v>a) &lt;10s</v>
      </c>
      <c r="R249" s="38" t="n">
        <v>4424.7</v>
      </c>
      <c r="S249" s="38" t="n">
        <v>4424.985</v>
      </c>
      <c r="T249" s="22" t="s">
        <v>149</v>
      </c>
      <c r="U249" s="39" t="n">
        <f aca="false">IF(R249="","",IF(F249="BUY",R249-S249,S249-R249))</f>
        <v>0.284999999999855</v>
      </c>
      <c r="V249" s="39" t="n">
        <f aca="false">IF(F249="BUY",S249-J249,J249-S249)</f>
        <v>1.07999999999993</v>
      </c>
      <c r="W249" s="6" t="n">
        <v>15.12</v>
      </c>
      <c r="X249" s="26" t="n">
        <f aca="false">IFERROR(W249/N249,0)</f>
        <v>0.72</v>
      </c>
      <c r="Y249" s="22" t="str">
        <f aca="false">IF(W249&gt;0,"Win",IF(W249&lt;0,"Loss","Flat"))</f>
        <v>Win</v>
      </c>
      <c r="Z249" s="24" t="n">
        <f aca="false">Summary!$C$5+SUM(W$2:W249)</f>
        <v>2126.87</v>
      </c>
      <c r="AA249" s="24" t="n">
        <f aca="false">MAX(AA248,Z249)</f>
        <v>5026.73</v>
      </c>
      <c r="AB249" s="24" t="n">
        <f aca="false">AA249-Z249</f>
        <v>2899.86</v>
      </c>
      <c r="AC249" s="23" t="n">
        <f aca="false">IFERROR(AB249/AA249,0)</f>
        <v>0.576887956981974</v>
      </c>
      <c r="AD249" s="22" t="s">
        <v>444</v>
      </c>
    </row>
    <row r="250" customFormat="false" ht="15" hidden="false" customHeight="false" outlineLevel="0" collapsed="false">
      <c r="A250" s="22" t="n">
        <v>249</v>
      </c>
      <c r="B250" s="22" t="s">
        <v>132</v>
      </c>
      <c r="C250" s="37" t="n">
        <v>46177.6156134259</v>
      </c>
      <c r="D250" s="22" t="s">
        <v>165</v>
      </c>
      <c r="E250" s="22" t="n">
        <v>14</v>
      </c>
      <c r="F250" s="22" t="s">
        <v>142</v>
      </c>
      <c r="G250" s="22" t="s">
        <v>195</v>
      </c>
      <c r="H250" s="22" t="n">
        <v>0.14</v>
      </c>
      <c r="I250" s="38" t="n">
        <v>4496.52</v>
      </c>
      <c r="J250" s="38" t="n">
        <v>4496.815</v>
      </c>
      <c r="K250" s="39" t="n">
        <f aca="false">IF(F250="BUY",J250-I250,I250-J250)</f>
        <v>0.294999999999163</v>
      </c>
      <c r="L250" s="38" t="n">
        <v>4495.02</v>
      </c>
      <c r="M250" s="39" t="n">
        <f aca="false">ABS(I250-L250)</f>
        <v>1.5</v>
      </c>
      <c r="N250" s="24" t="n">
        <f aca="false">M250*H250*Summary!$C$6</f>
        <v>21</v>
      </c>
      <c r="O250" s="37" t="n">
        <v>46177.615625</v>
      </c>
      <c r="P250" s="22" t="n">
        <f aca="false">ROUND((O250-C250)*86400,0)</f>
        <v>1</v>
      </c>
      <c r="Q250" s="22" t="str">
        <f aca="false">IF(P250&lt;10,"a) &lt;10s",IF(P250&lt;60,"b) 10-60s",IF(P250&lt;600,"c) 1-10min","d) &gt;10min")))</f>
        <v>a) &lt;10s</v>
      </c>
      <c r="R250" s="38" t="n">
        <v>4497.5</v>
      </c>
      <c r="S250" s="38" t="n">
        <v>4497.375</v>
      </c>
      <c r="T250" s="22" t="s">
        <v>149</v>
      </c>
      <c r="U250" s="39" t="n">
        <f aca="false">IF(R250="","",IF(F250="BUY",R250-S250,S250-R250))</f>
        <v>0.125</v>
      </c>
      <c r="V250" s="39" t="n">
        <f aca="false">IF(F250="BUY",S250-J250,J250-S250)</f>
        <v>0.5600000000004</v>
      </c>
      <c r="W250" s="6" t="n">
        <v>7.84</v>
      </c>
      <c r="X250" s="26" t="n">
        <f aca="false">IFERROR(W250/N250,0)</f>
        <v>0.373333333333333</v>
      </c>
      <c r="Y250" s="22" t="str">
        <f aca="false">IF(W250&gt;0,"Win",IF(W250&lt;0,"Loss","Flat"))</f>
        <v>Win</v>
      </c>
      <c r="Z250" s="24" t="n">
        <f aca="false">Summary!$C$5+SUM(W$2:W250)</f>
        <v>2134.71</v>
      </c>
      <c r="AA250" s="24" t="n">
        <f aca="false">MAX(AA249,Z250)</f>
        <v>5026.73</v>
      </c>
      <c r="AB250" s="24" t="n">
        <f aca="false">AA250-Z250</f>
        <v>2892.02</v>
      </c>
      <c r="AC250" s="23" t="n">
        <f aca="false">IFERROR(AB250/AA250,0)</f>
        <v>0.575328294935276</v>
      </c>
      <c r="AD250" s="22" t="s">
        <v>445</v>
      </c>
    </row>
    <row r="251" customFormat="false" ht="15" hidden="false" customHeight="false" outlineLevel="0" collapsed="false">
      <c r="A251" s="22" t="n">
        <v>250</v>
      </c>
      <c r="B251" s="22" t="s">
        <v>132</v>
      </c>
      <c r="C251" s="37" t="n">
        <v>46178.6615625</v>
      </c>
      <c r="D251" s="22" t="s">
        <v>166</v>
      </c>
      <c r="E251" s="22" t="n">
        <v>15</v>
      </c>
      <c r="F251" s="22" t="s">
        <v>143</v>
      </c>
      <c r="G251" s="22" t="s">
        <v>197</v>
      </c>
      <c r="H251" s="22" t="n">
        <v>0.14</v>
      </c>
      <c r="I251" s="38" t="n">
        <v>4423.69</v>
      </c>
      <c r="J251" s="38" t="n">
        <v>4422.595</v>
      </c>
      <c r="K251" s="39" t="n">
        <f aca="false">IF(F251="BUY",J251-I251,I251-J251)</f>
        <v>1.09499999999935</v>
      </c>
      <c r="L251" s="38" t="n">
        <v>4425.19</v>
      </c>
      <c r="M251" s="39" t="n">
        <f aca="false">ABS(I251-L251)</f>
        <v>1.5</v>
      </c>
      <c r="N251" s="24" t="n">
        <f aca="false">M251*H251*Summary!$C$6</f>
        <v>21</v>
      </c>
      <c r="O251" s="37" t="n">
        <v>46178.6616666667</v>
      </c>
      <c r="P251" s="22" t="n">
        <f aca="false">ROUND((O251-C251)*86400,0)</f>
        <v>9</v>
      </c>
      <c r="Q251" s="22" t="str">
        <f aca="false">IF(P251&lt;10,"a) &lt;10s",IF(P251&lt;60,"b) 10-60s",IF(P251&lt;600,"c) 1-10min","d) &gt;10min")))</f>
        <v>a) &lt;10s</v>
      </c>
      <c r="R251" s="38" t="n">
        <v>4422.24</v>
      </c>
      <c r="S251" s="38" t="n">
        <v>4422.465</v>
      </c>
      <c r="T251" s="22" t="s">
        <v>149</v>
      </c>
      <c r="U251" s="39" t="n">
        <f aca="false">IF(R251="","",IF(F251="BUY",R251-S251,S251-R251))</f>
        <v>0.225000000000364</v>
      </c>
      <c r="V251" s="39" t="n">
        <f aca="false">IF(F251="BUY",S251-J251,J251-S251)</f>
        <v>0.130000000000109</v>
      </c>
      <c r="W251" s="6" t="n">
        <v>1.82</v>
      </c>
      <c r="X251" s="26" t="n">
        <f aca="false">IFERROR(W251/N251,0)</f>
        <v>0.0866666666666667</v>
      </c>
      <c r="Y251" s="22" t="str">
        <f aca="false">IF(W251&gt;0,"Win",IF(W251&lt;0,"Loss","Flat"))</f>
        <v>Win</v>
      </c>
      <c r="Z251" s="24" t="n">
        <f aca="false">Summary!$C$5+SUM(W$2:W251)</f>
        <v>2136.53</v>
      </c>
      <c r="AA251" s="24" t="n">
        <f aca="false">MAX(AA250,Z251)</f>
        <v>5026.73</v>
      </c>
      <c r="AB251" s="24" t="n">
        <f aca="false">AA251-Z251</f>
        <v>2890.2</v>
      </c>
      <c r="AC251" s="23" t="n">
        <f aca="false">IFERROR(AB251/AA251,0)</f>
        <v>0.574966230531578</v>
      </c>
      <c r="AD251" s="22" t="s">
        <v>446</v>
      </c>
    </row>
    <row r="252" customFormat="false" ht="15" hidden="false" customHeight="false" outlineLevel="0" collapsed="false">
      <c r="A252" s="22" t="n">
        <v>251</v>
      </c>
      <c r="B252" s="22" t="s">
        <v>132</v>
      </c>
      <c r="C252" s="37" t="n">
        <v>46181.1814467593</v>
      </c>
      <c r="D252" s="22" t="s">
        <v>162</v>
      </c>
      <c r="E252" s="22" t="n">
        <v>4</v>
      </c>
      <c r="F252" s="22" t="s">
        <v>143</v>
      </c>
      <c r="G252" s="22" t="s">
        <v>197</v>
      </c>
      <c r="H252" s="22" t="n">
        <v>0.14</v>
      </c>
      <c r="I252" s="38" t="n">
        <v>4311.5</v>
      </c>
      <c r="J252" s="38" t="n">
        <v>4311.245</v>
      </c>
      <c r="K252" s="39" t="n">
        <f aca="false">IF(F252="BUY",J252-I252,I252-J252)</f>
        <v>0.255000000000109</v>
      </c>
      <c r="L252" s="38" t="n">
        <v>4313</v>
      </c>
      <c r="M252" s="39" t="n">
        <f aca="false">ABS(I252-L252)</f>
        <v>1.5</v>
      </c>
      <c r="N252" s="24" t="n">
        <f aca="false">M252*H252*Summary!$C$6</f>
        <v>21</v>
      </c>
      <c r="O252" s="37" t="n">
        <v>46181.1814930556</v>
      </c>
      <c r="P252" s="22" t="n">
        <f aca="false">ROUND((O252-C252)*86400,0)</f>
        <v>4</v>
      </c>
      <c r="Q252" s="22" t="str">
        <f aca="false">IF(P252&lt;10,"a) &lt;10s",IF(P252&lt;60,"b) 10-60s",IF(P252&lt;600,"c) 1-10min","d) &gt;10min")))</f>
        <v>a) &lt;10s</v>
      </c>
      <c r="R252" s="38" t="n">
        <v>4313</v>
      </c>
      <c r="S252" s="38" t="n">
        <v>4313.205</v>
      </c>
      <c r="T252" s="22" t="s">
        <v>148</v>
      </c>
      <c r="U252" s="39" t="n">
        <f aca="false">IF(R252="","",IF(F252="BUY",R252-S252,S252-R252))</f>
        <v>0.204999999999927</v>
      </c>
      <c r="V252" s="39" t="n">
        <f aca="false">IF(F252="BUY",S252-J252,J252-S252)</f>
        <v>-1.96000000000004</v>
      </c>
      <c r="W252" s="6" t="n">
        <v>-27.44</v>
      </c>
      <c r="X252" s="26" t="n">
        <f aca="false">IFERROR(W252/N252,0)</f>
        <v>-1.30666666666667</v>
      </c>
      <c r="Y252" s="22" t="str">
        <f aca="false">IF(W252&gt;0,"Win",IF(W252&lt;0,"Loss","Flat"))</f>
        <v>Loss</v>
      </c>
      <c r="Z252" s="24" t="n">
        <f aca="false">Summary!$C$5+SUM(W$2:W252)</f>
        <v>2109.09</v>
      </c>
      <c r="AA252" s="24" t="n">
        <f aca="false">MAX(AA251,Z252)</f>
        <v>5026.73</v>
      </c>
      <c r="AB252" s="24" t="n">
        <f aca="false">AA252-Z252</f>
        <v>2917.64</v>
      </c>
      <c r="AC252" s="23" t="n">
        <f aca="false">IFERROR(AB252/AA252,0)</f>
        <v>0.580425047695022</v>
      </c>
      <c r="AD252" s="22" t="s">
        <v>447</v>
      </c>
    </row>
    <row r="253" customFormat="false" ht="15" hidden="false" customHeight="false" outlineLevel="0" collapsed="false">
      <c r="A253" s="22" t="n">
        <v>252</v>
      </c>
      <c r="B253" s="22" t="s">
        <v>132</v>
      </c>
      <c r="C253" s="37" t="n">
        <v>46182.7005555556</v>
      </c>
      <c r="D253" s="22" t="s">
        <v>163</v>
      </c>
      <c r="E253" s="22" t="n">
        <v>16</v>
      </c>
      <c r="F253" s="22" t="s">
        <v>142</v>
      </c>
      <c r="G253" s="22" t="s">
        <v>195</v>
      </c>
      <c r="H253" s="22" t="n">
        <v>0.14</v>
      </c>
      <c r="I253" s="38" t="n">
        <v>4353.09</v>
      </c>
      <c r="J253" s="38" t="n">
        <v>4353.85</v>
      </c>
      <c r="K253" s="39" t="n">
        <f aca="false">IF(F253="BUY",J253-I253,I253-J253)</f>
        <v>0.760000000000218</v>
      </c>
      <c r="L253" s="38" t="n">
        <v>4351.59</v>
      </c>
      <c r="M253" s="39" t="n">
        <f aca="false">ABS(I253-L253)</f>
        <v>1.5</v>
      </c>
      <c r="N253" s="24" t="n">
        <f aca="false">M253*H253*Summary!$C$6</f>
        <v>21</v>
      </c>
      <c r="O253" s="37" t="n">
        <v>46182.7005671296</v>
      </c>
      <c r="P253" s="22" t="n">
        <f aca="false">ROUND((O253-C253)*86400,0)</f>
        <v>1</v>
      </c>
      <c r="Q253" s="22" t="str">
        <f aca="false">IF(P253&lt;10,"a) &lt;10s",IF(P253&lt;60,"b) 10-60s",IF(P253&lt;600,"c) 1-10min","d) &gt;10min")))</f>
        <v>a) &lt;10s</v>
      </c>
      <c r="R253" s="38" t="n">
        <v>4351.59</v>
      </c>
      <c r="S253" s="38" t="n">
        <v>4351.465</v>
      </c>
      <c r="T253" s="22" t="s">
        <v>148</v>
      </c>
      <c r="U253" s="39" t="n">
        <f aca="false">IF(R253="","",IF(F253="BUY",R253-S253,S253-R253))</f>
        <v>0.125</v>
      </c>
      <c r="V253" s="39" t="n">
        <f aca="false">IF(F253="BUY",S253-J253,J253-S253)</f>
        <v>-2.38500000000022</v>
      </c>
      <c r="W253" s="6" t="n">
        <v>-33.39</v>
      </c>
      <c r="X253" s="26" t="n">
        <f aca="false">IFERROR(W253/N253,0)</f>
        <v>-1.59</v>
      </c>
      <c r="Y253" s="22" t="str">
        <f aca="false">IF(W253&gt;0,"Win",IF(W253&lt;0,"Loss","Flat"))</f>
        <v>Loss</v>
      </c>
      <c r="Z253" s="24" t="n">
        <f aca="false">Summary!$C$5+SUM(W$2:W253)</f>
        <v>2075.7</v>
      </c>
      <c r="AA253" s="24" t="n">
        <f aca="false">MAX(AA252,Z253)</f>
        <v>5026.73</v>
      </c>
      <c r="AB253" s="24" t="n">
        <f aca="false">AA253-Z253</f>
        <v>2951.03</v>
      </c>
      <c r="AC253" s="23" t="n">
        <f aca="false">IFERROR(AB253/AA253,0)</f>
        <v>0.587067536947479</v>
      </c>
      <c r="AD253" s="22" t="s">
        <v>448</v>
      </c>
    </row>
    <row r="254" customFormat="false" ht="15" hidden="false" customHeight="false" outlineLevel="0" collapsed="false">
      <c r="A254" s="22" t="n">
        <v>253</v>
      </c>
      <c r="B254" s="22" t="s">
        <v>132</v>
      </c>
      <c r="C254" s="37" t="n">
        <v>46182.7721064815</v>
      </c>
      <c r="D254" s="22" t="s">
        <v>163</v>
      </c>
      <c r="E254" s="22" t="n">
        <v>18</v>
      </c>
      <c r="F254" s="22" t="s">
        <v>143</v>
      </c>
      <c r="G254" s="22" t="s">
        <v>197</v>
      </c>
      <c r="H254" s="22" t="n">
        <v>0.14</v>
      </c>
      <c r="I254" s="38" t="n">
        <v>4268.13</v>
      </c>
      <c r="J254" s="38" t="n">
        <v>4268.025</v>
      </c>
      <c r="K254" s="39" t="n">
        <f aca="false">IF(F254="BUY",J254-I254,I254-J254)</f>
        <v>0.105000000000473</v>
      </c>
      <c r="L254" s="38" t="n">
        <v>4269.63</v>
      </c>
      <c r="M254" s="39" t="n">
        <f aca="false">ABS(I254-L254)</f>
        <v>1.5</v>
      </c>
      <c r="N254" s="24" t="n">
        <f aca="false">M254*H254*Summary!$C$6</f>
        <v>21</v>
      </c>
      <c r="O254" s="37" t="n">
        <v>46182.7721064815</v>
      </c>
      <c r="P254" s="22" t="n">
        <f aca="false">ROUND((O254-C254)*86400,0)</f>
        <v>0</v>
      </c>
      <c r="Q254" s="22" t="str">
        <f aca="false">IF(P254&lt;10,"a) &lt;10s",IF(P254&lt;60,"b) 10-60s",IF(P254&lt;600,"c) 1-10min","d) &gt;10min")))</f>
        <v>a) &lt;10s</v>
      </c>
      <c r="R254" s="38" t="n">
        <v>4269.63</v>
      </c>
      <c r="S254" s="38" t="n">
        <v>4269.732</v>
      </c>
      <c r="T254" s="22" t="s">
        <v>148</v>
      </c>
      <c r="U254" s="39" t="n">
        <f aca="false">IF(R254="","",IF(F254="BUY",R254-S254,S254-R254))</f>
        <v>0.101999999999862</v>
      </c>
      <c r="V254" s="39" t="n">
        <f aca="false">IF(F254="BUY",S254-J254,J254-S254)</f>
        <v>-1.70700000000033</v>
      </c>
      <c r="W254" s="6" t="n">
        <v>-23.9</v>
      </c>
      <c r="X254" s="26" t="n">
        <f aca="false">IFERROR(W254/N254,0)</f>
        <v>-1.13809523809524</v>
      </c>
      <c r="Y254" s="22" t="str">
        <f aca="false">IF(W254&gt;0,"Win",IF(W254&lt;0,"Loss","Flat"))</f>
        <v>Loss</v>
      </c>
      <c r="Z254" s="24" t="n">
        <f aca="false">Summary!$C$5+SUM(W$2:W254)</f>
        <v>2051.8</v>
      </c>
      <c r="AA254" s="24" t="n">
        <f aca="false">MAX(AA253,Z254)</f>
        <v>5026.73</v>
      </c>
      <c r="AB254" s="24" t="n">
        <f aca="false">AA254-Z254</f>
        <v>2974.93</v>
      </c>
      <c r="AC254" s="23" t="n">
        <f aca="false">IFERROR(AB254/AA254,0)</f>
        <v>0.591822118952082</v>
      </c>
      <c r="AD254" s="22" t="s">
        <v>449</v>
      </c>
    </row>
    <row r="255" customFormat="false" ht="15" hidden="false" customHeight="false" outlineLevel="0" collapsed="false">
      <c r="A255" s="22" t="n">
        <v>254</v>
      </c>
      <c r="B255" s="22" t="s">
        <v>132</v>
      </c>
      <c r="C255" s="37" t="n">
        <v>46183.0772453704</v>
      </c>
      <c r="D255" s="22" t="s">
        <v>164</v>
      </c>
      <c r="E255" s="22" t="n">
        <v>1</v>
      </c>
      <c r="F255" s="22" t="s">
        <v>143</v>
      </c>
      <c r="G255" s="22" t="s">
        <v>197</v>
      </c>
      <c r="H255" s="22" t="n">
        <v>0.13</v>
      </c>
      <c r="I255" s="38" t="n">
        <v>4236.25</v>
      </c>
      <c r="J255" s="38" t="n">
        <v>4236.205</v>
      </c>
      <c r="K255" s="39" t="n">
        <f aca="false">IF(F255="BUY",J255-I255,I255-J255)</f>
        <v>0.0450000000000728</v>
      </c>
      <c r="L255" s="38" t="n">
        <v>4237.75</v>
      </c>
      <c r="M255" s="39" t="n">
        <f aca="false">ABS(I255-L255)</f>
        <v>1.5</v>
      </c>
      <c r="N255" s="24" t="n">
        <f aca="false">M255*H255*Summary!$C$6</f>
        <v>19.5</v>
      </c>
      <c r="O255" s="37" t="n">
        <v>46183.0776041667</v>
      </c>
      <c r="P255" s="22" t="n">
        <f aca="false">ROUND((O255-C255)*86400,0)</f>
        <v>31</v>
      </c>
      <c r="Q255" s="22" t="str">
        <f aca="false">IF(P255&lt;10,"a) &lt;10s",IF(P255&lt;60,"b) 10-60s",IF(P255&lt;600,"c) 1-10min","d) &gt;10min")))</f>
        <v>b) 10-60s</v>
      </c>
      <c r="R255" s="38" t="n">
        <v>4234.33</v>
      </c>
      <c r="S255" s="38" t="n">
        <v>4234.375</v>
      </c>
      <c r="T255" s="22" t="s">
        <v>149</v>
      </c>
      <c r="U255" s="39" t="n">
        <f aca="false">IF(R255="","",IF(F255="BUY",R255-S255,S255-R255))</f>
        <v>0.0450000000000728</v>
      </c>
      <c r="V255" s="39" t="n">
        <f aca="false">IF(F255="BUY",S255-J255,J255-S255)</f>
        <v>1.82999999999993</v>
      </c>
      <c r="W255" s="6" t="n">
        <v>23.79</v>
      </c>
      <c r="X255" s="26" t="n">
        <f aca="false">IFERROR(W255/N255,0)</f>
        <v>1.22</v>
      </c>
      <c r="Y255" s="22" t="str">
        <f aca="false">IF(W255&gt;0,"Win",IF(W255&lt;0,"Loss","Flat"))</f>
        <v>Win</v>
      </c>
      <c r="Z255" s="24" t="n">
        <f aca="false">Summary!$C$5+SUM(W$2:W255)</f>
        <v>2075.59</v>
      </c>
      <c r="AA255" s="24" t="n">
        <f aca="false">MAX(AA254,Z255)</f>
        <v>5026.73</v>
      </c>
      <c r="AB255" s="24" t="n">
        <f aca="false">AA255-Z255</f>
        <v>2951.14</v>
      </c>
      <c r="AC255" s="23" t="n">
        <f aca="false">IFERROR(AB255/AA255,0)</f>
        <v>0.587089419960889</v>
      </c>
      <c r="AD255" s="22" t="s">
        <v>450</v>
      </c>
    </row>
    <row r="256" customFormat="false" ht="15" hidden="false" customHeight="false" outlineLevel="0" collapsed="false">
      <c r="A256" s="22" t="n">
        <v>255</v>
      </c>
      <c r="B256" s="22" t="s">
        <v>132</v>
      </c>
      <c r="C256" s="37" t="n">
        <v>46185.0706481482</v>
      </c>
      <c r="D256" s="22" t="s">
        <v>166</v>
      </c>
      <c r="E256" s="22" t="n">
        <v>1</v>
      </c>
      <c r="F256" s="22" t="s">
        <v>142</v>
      </c>
      <c r="G256" s="22" t="s">
        <v>195</v>
      </c>
      <c r="H256" s="22" t="n">
        <v>0.13</v>
      </c>
      <c r="I256" s="38" t="n">
        <v>4219.85</v>
      </c>
      <c r="J256" s="38" t="n">
        <v>4219.955</v>
      </c>
      <c r="K256" s="39" t="n">
        <f aca="false">IF(F256="BUY",J256-I256,I256-J256)</f>
        <v>0.104999999999563</v>
      </c>
      <c r="L256" s="38" t="n">
        <v>4218.35</v>
      </c>
      <c r="M256" s="39" t="n">
        <f aca="false">ABS(I256-L256)</f>
        <v>1.5</v>
      </c>
      <c r="N256" s="24" t="n">
        <f aca="false">M256*H256*Summary!$C$6</f>
        <v>19.5</v>
      </c>
      <c r="O256" s="37" t="n">
        <v>46185.0708333333</v>
      </c>
      <c r="P256" s="22" t="n">
        <f aca="false">ROUND((O256-C256)*86400,0)</f>
        <v>16</v>
      </c>
      <c r="Q256" s="22" t="str">
        <f aca="false">IF(P256&lt;10,"a) &lt;10s",IF(P256&lt;60,"b) 10-60s",IF(P256&lt;600,"c) 1-10min","d) &gt;10min")))</f>
        <v>b) 10-60s</v>
      </c>
      <c r="R256" s="38" t="n">
        <v>4218.35</v>
      </c>
      <c r="S256" s="38" t="n">
        <v>4218.315</v>
      </c>
      <c r="T256" s="22" t="s">
        <v>148</v>
      </c>
      <c r="U256" s="39" t="n">
        <f aca="false">IF(R256="","",IF(F256="BUY",R256-S256,S256-R256))</f>
        <v>0.035000000000764</v>
      </c>
      <c r="V256" s="39" t="n">
        <f aca="false">IF(F256="BUY",S256-J256,J256-S256)</f>
        <v>-1.64000000000033</v>
      </c>
      <c r="W256" s="6" t="n">
        <v>-21.32</v>
      </c>
      <c r="X256" s="26" t="n">
        <f aca="false">IFERROR(W256/N256,0)</f>
        <v>-1.09333333333333</v>
      </c>
      <c r="Y256" s="22" t="str">
        <f aca="false">IF(W256&gt;0,"Win",IF(W256&lt;0,"Loss","Flat"))</f>
        <v>Loss</v>
      </c>
      <c r="Z256" s="24" t="n">
        <f aca="false">Summary!$C$5+SUM(W$2:W256)</f>
        <v>2054.27</v>
      </c>
      <c r="AA256" s="24" t="n">
        <f aca="false">MAX(AA255,Z256)</f>
        <v>5026.73</v>
      </c>
      <c r="AB256" s="24" t="n">
        <f aca="false">AA256-Z256</f>
        <v>2972.46</v>
      </c>
      <c r="AC256" s="23" t="n">
        <f aca="false">IFERROR(AB256/AA256,0)</f>
        <v>0.591330745832778</v>
      </c>
      <c r="AD256" s="22" t="s">
        <v>451</v>
      </c>
    </row>
    <row r="257" customFormat="false" ht="15" hidden="false" customHeight="false" outlineLevel="0" collapsed="false">
      <c r="A257" s="22" t="n">
        <v>256</v>
      </c>
      <c r="B257" s="22" t="s">
        <v>132</v>
      </c>
      <c r="C257" s="37" t="n">
        <v>46190.7250115741</v>
      </c>
      <c r="D257" s="22" t="s">
        <v>164</v>
      </c>
      <c r="E257" s="22" t="n">
        <v>17</v>
      </c>
      <c r="F257" s="22" t="s">
        <v>142</v>
      </c>
      <c r="G257" s="22" t="s">
        <v>195</v>
      </c>
      <c r="H257" s="22" t="n">
        <v>0.13</v>
      </c>
      <c r="I257" s="38" t="n">
        <v>4354.9</v>
      </c>
      <c r="J257" s="38" t="n">
        <v>4354.995</v>
      </c>
      <c r="K257" s="39" t="n">
        <f aca="false">IF(F257="BUY",J257-I257,I257-J257)</f>
        <v>0.0950000000002547</v>
      </c>
      <c r="L257" s="38" t="n">
        <v>4353.4</v>
      </c>
      <c r="M257" s="39" t="n">
        <f aca="false">ABS(I257-L257)</f>
        <v>1.5</v>
      </c>
      <c r="N257" s="24" t="n">
        <f aca="false">M257*H257*Summary!$C$6</f>
        <v>19.5</v>
      </c>
      <c r="O257" s="37" t="n">
        <v>46190.7251041667</v>
      </c>
      <c r="P257" s="22" t="n">
        <f aca="false">ROUND((O257-C257)*86400,0)</f>
        <v>8</v>
      </c>
      <c r="Q257" s="22" t="str">
        <f aca="false">IF(P257&lt;10,"a) &lt;10s",IF(P257&lt;60,"b) 10-60s",IF(P257&lt;600,"c) 1-10min","d) &gt;10min")))</f>
        <v>a) &lt;10s</v>
      </c>
      <c r="R257" s="38" t="n">
        <v>4356.46</v>
      </c>
      <c r="S257" s="38" t="n">
        <v>4356.415</v>
      </c>
      <c r="T257" s="22" t="s">
        <v>149</v>
      </c>
      <c r="U257" s="39" t="n">
        <f aca="false">IF(R257="","",IF(F257="BUY",R257-S257,S257-R257))</f>
        <v>0.0450000000000728</v>
      </c>
      <c r="V257" s="39" t="n">
        <f aca="false">IF(F257="BUY",S257-J257,J257-S257)</f>
        <v>1.42000000000007</v>
      </c>
      <c r="W257" s="6" t="n">
        <v>18.46</v>
      </c>
      <c r="X257" s="26" t="n">
        <f aca="false">IFERROR(W257/N257,0)</f>
        <v>0.946666666666667</v>
      </c>
      <c r="Y257" s="22" t="str">
        <f aca="false">IF(W257&gt;0,"Win",IF(W257&lt;0,"Loss","Flat"))</f>
        <v>Win</v>
      </c>
      <c r="Z257" s="24" t="n">
        <f aca="false">Summary!$C$5+SUM(W$2:W257)</f>
        <v>2072.73</v>
      </c>
      <c r="AA257" s="24" t="n">
        <f aca="false">MAX(AA256,Z257)</f>
        <v>5026.73</v>
      </c>
      <c r="AB257" s="24" t="n">
        <f aca="false">AA257-Z257</f>
        <v>2954</v>
      </c>
      <c r="AC257" s="23" t="n">
        <f aca="false">IFERROR(AB257/AA257,0)</f>
        <v>0.587658378309557</v>
      </c>
      <c r="AD257" s="22" t="s">
        <v>452</v>
      </c>
    </row>
    <row r="258" customFormat="false" ht="15" hidden="false" customHeight="false" outlineLevel="0" collapsed="false">
      <c r="A258" s="22" t="n">
        <v>257</v>
      </c>
      <c r="B258" s="22" t="s">
        <v>132</v>
      </c>
      <c r="C258" s="37" t="n">
        <v>46190.8789351852</v>
      </c>
      <c r="D258" s="22" t="s">
        <v>164</v>
      </c>
      <c r="E258" s="22" t="n">
        <v>21</v>
      </c>
      <c r="F258" s="22" t="s">
        <v>143</v>
      </c>
      <c r="G258" s="22" t="s">
        <v>197</v>
      </c>
      <c r="H258" s="22" t="n">
        <v>0.13</v>
      </c>
      <c r="I258" s="38" t="n">
        <v>4305.76</v>
      </c>
      <c r="J258" s="38" t="n">
        <v>4304.465</v>
      </c>
      <c r="K258" s="39" t="n">
        <f aca="false">IF(F258="BUY",J258-I258,I258-J258)</f>
        <v>1.29500000000007</v>
      </c>
      <c r="L258" s="38" t="n">
        <v>4307.26</v>
      </c>
      <c r="M258" s="39" t="n">
        <f aca="false">ABS(I258-L258)</f>
        <v>1.5</v>
      </c>
      <c r="N258" s="24" t="n">
        <f aca="false">M258*H258*Summary!$C$6</f>
        <v>19.5</v>
      </c>
      <c r="O258" s="37" t="n">
        <v>46190.8789583333</v>
      </c>
      <c r="P258" s="22" t="n">
        <f aca="false">ROUND((O258-C258)*86400,0)</f>
        <v>2</v>
      </c>
      <c r="Q258" s="22" t="str">
        <f aca="false">IF(P258&lt;10,"a) &lt;10s",IF(P258&lt;60,"b) 10-60s",IF(P258&lt;600,"c) 1-10min","d) &gt;10min")))</f>
        <v>a) &lt;10s</v>
      </c>
      <c r="R258" s="38" t="n">
        <v>4304.01</v>
      </c>
      <c r="S258" s="38" t="n">
        <v>4304.205</v>
      </c>
      <c r="T258" s="22" t="s">
        <v>149</v>
      </c>
      <c r="U258" s="39" t="n">
        <f aca="false">IF(R258="","",IF(F258="BUY",R258-S258,S258-R258))</f>
        <v>0.194999999999709</v>
      </c>
      <c r="V258" s="39" t="n">
        <f aca="false">IF(F258="BUY",S258-J258,J258-S258)</f>
        <v>0.260000000000218</v>
      </c>
      <c r="W258" s="6" t="n">
        <v>3.38</v>
      </c>
      <c r="X258" s="26" t="n">
        <f aca="false">IFERROR(W258/N258,0)</f>
        <v>0.173333333333333</v>
      </c>
      <c r="Y258" s="22" t="str">
        <f aca="false">IF(W258&gt;0,"Win",IF(W258&lt;0,"Loss","Flat"))</f>
        <v>Win</v>
      </c>
      <c r="Z258" s="24" t="n">
        <f aca="false">Summary!$C$5+SUM(W$2:W258)</f>
        <v>2076.11</v>
      </c>
      <c r="AA258" s="24" t="n">
        <f aca="false">MAX(AA257,Z258)</f>
        <v>5026.73</v>
      </c>
      <c r="AB258" s="24" t="n">
        <f aca="false">AA258-Z258</f>
        <v>2950.62</v>
      </c>
      <c r="AC258" s="23" t="n">
        <f aca="false">IFERROR(AB258/AA258,0)</f>
        <v>0.586985972988404</v>
      </c>
      <c r="AD258" s="22" t="s">
        <v>453</v>
      </c>
    </row>
    <row r="259" customFormat="false" ht="15" hidden="false" customHeight="false" outlineLevel="0" collapsed="false">
      <c r="A259" s="22" t="n">
        <v>258</v>
      </c>
      <c r="B259" s="22" t="s">
        <v>132</v>
      </c>
      <c r="C259" s="37" t="n">
        <v>46191.8167013889</v>
      </c>
      <c r="D259" s="22" t="s">
        <v>165</v>
      </c>
      <c r="E259" s="22" t="n">
        <v>19</v>
      </c>
      <c r="F259" s="22" t="s">
        <v>143</v>
      </c>
      <c r="G259" s="22" t="s">
        <v>197</v>
      </c>
      <c r="H259" s="22" t="n">
        <v>0.13</v>
      </c>
      <c r="I259" s="38" t="n">
        <v>4218.81</v>
      </c>
      <c r="J259" s="38" t="n">
        <v>4218.525</v>
      </c>
      <c r="K259" s="39" t="n">
        <f aca="false">IF(F259="BUY",J259-I259,I259-J259)</f>
        <v>0.285000000000764</v>
      </c>
      <c r="L259" s="38" t="n">
        <v>4220.31</v>
      </c>
      <c r="M259" s="39" t="n">
        <f aca="false">ABS(I259-L259)</f>
        <v>1.5</v>
      </c>
      <c r="N259" s="24" t="n">
        <f aca="false">M259*H259*Summary!$C$6</f>
        <v>19.5</v>
      </c>
      <c r="O259" s="37" t="n">
        <v>46191.816724537</v>
      </c>
      <c r="P259" s="22" t="n">
        <f aca="false">ROUND((O259-C259)*86400,0)</f>
        <v>2</v>
      </c>
      <c r="Q259" s="22" t="str">
        <f aca="false">IF(P259&lt;10,"a) &lt;10s",IF(P259&lt;60,"b) 10-60s",IF(P259&lt;600,"c) 1-10min","d) &gt;10min")))</f>
        <v>a) &lt;10s</v>
      </c>
      <c r="R259" s="38" t="n">
        <v>4215.94</v>
      </c>
      <c r="S259" s="38" t="n">
        <v>4216.085</v>
      </c>
      <c r="T259" s="22" t="s">
        <v>149</v>
      </c>
      <c r="U259" s="39" t="n">
        <f aca="false">IF(R259="","",IF(F259="BUY",R259-S259,S259-R259))</f>
        <v>0.145000000000437</v>
      </c>
      <c r="V259" s="39" t="n">
        <f aca="false">IF(F259="BUY",S259-J259,J259-S259)</f>
        <v>2.4399999999996</v>
      </c>
      <c r="W259" s="6" t="n">
        <v>31.72</v>
      </c>
      <c r="X259" s="26" t="n">
        <f aca="false">IFERROR(W259/N259,0)</f>
        <v>1.62666666666667</v>
      </c>
      <c r="Y259" s="22" t="str">
        <f aca="false">IF(W259&gt;0,"Win",IF(W259&lt;0,"Loss","Flat"))</f>
        <v>Win</v>
      </c>
      <c r="Z259" s="24" t="n">
        <f aca="false">Summary!$C$5+SUM(W$2:W259)</f>
        <v>2107.83</v>
      </c>
      <c r="AA259" s="24" t="n">
        <f aca="false">MAX(AA258,Z259)</f>
        <v>5026.73</v>
      </c>
      <c r="AB259" s="24" t="n">
        <f aca="false">AA259-Z259</f>
        <v>2918.9</v>
      </c>
      <c r="AC259" s="23" t="n">
        <f aca="false">IFERROR(AB259/AA259,0)</f>
        <v>0.580675707666813</v>
      </c>
      <c r="AD259" s="22" t="s">
        <v>454</v>
      </c>
    </row>
    <row r="260" customFormat="false" ht="15" hidden="false" customHeight="false" outlineLevel="0" collapsed="false">
      <c r="A260" s="22" t="n">
        <v>259</v>
      </c>
      <c r="B260" s="22" t="s">
        <v>132</v>
      </c>
      <c r="C260" s="37" t="n">
        <v>46192.0852314815</v>
      </c>
      <c r="D260" s="22" t="s">
        <v>166</v>
      </c>
      <c r="E260" s="22" t="n">
        <v>2</v>
      </c>
      <c r="F260" s="22" t="s">
        <v>143</v>
      </c>
      <c r="G260" s="22" t="s">
        <v>197</v>
      </c>
      <c r="H260" s="22" t="n">
        <v>0.14</v>
      </c>
      <c r="I260" s="38" t="n">
        <v>4201.15</v>
      </c>
      <c r="J260" s="38" t="n">
        <v>4199.775</v>
      </c>
      <c r="K260" s="39" t="n">
        <f aca="false">IF(F260="BUY",J260-I260,I260-J260)</f>
        <v>1.375</v>
      </c>
      <c r="L260" s="38" t="n">
        <v>4202.65</v>
      </c>
      <c r="M260" s="39" t="n">
        <f aca="false">ABS(I260-L260)</f>
        <v>1.5</v>
      </c>
      <c r="N260" s="24" t="n">
        <f aca="false">M260*H260*Summary!$C$6</f>
        <v>21</v>
      </c>
      <c r="O260" s="37" t="n">
        <v>46192.0852777778</v>
      </c>
      <c r="P260" s="22" t="n">
        <f aca="false">ROUND((O260-C260)*86400,0)</f>
        <v>4</v>
      </c>
      <c r="Q260" s="22" t="str">
        <f aca="false">IF(P260&lt;10,"a) &lt;10s",IF(P260&lt;60,"b) 10-60s",IF(P260&lt;600,"c) 1-10min","d) &gt;10min")))</f>
        <v>a) &lt;10s</v>
      </c>
      <c r="R260" s="38" t="n">
        <v>4202.65</v>
      </c>
      <c r="S260" s="38" t="n">
        <v>4202.662</v>
      </c>
      <c r="T260" s="22" t="s">
        <v>148</v>
      </c>
      <c r="U260" s="39" t="n">
        <f aca="false">IF(R260="","",IF(F260="BUY",R260-S260,S260-R260))</f>
        <v>0.0120000000006257</v>
      </c>
      <c r="V260" s="39" t="n">
        <f aca="false">IF(F260="BUY",S260-J260,J260-S260)</f>
        <v>-2.88700000000063</v>
      </c>
      <c r="W260" s="6" t="n">
        <v>-40.42</v>
      </c>
      <c r="X260" s="26" t="n">
        <f aca="false">IFERROR(W260/N260,0)</f>
        <v>-1.9247619047619</v>
      </c>
      <c r="Y260" s="22" t="str">
        <f aca="false">IF(W260&gt;0,"Win",IF(W260&lt;0,"Loss","Flat"))</f>
        <v>Loss</v>
      </c>
      <c r="Z260" s="24" t="n">
        <f aca="false">Summary!$C$5+SUM(W$2:W260)</f>
        <v>2067.41</v>
      </c>
      <c r="AA260" s="24" t="n">
        <f aca="false">MAX(AA259,Z260)</f>
        <v>5026.73</v>
      </c>
      <c r="AB260" s="24" t="n">
        <f aca="false">AA260-Z260</f>
        <v>2959.32</v>
      </c>
      <c r="AC260" s="23" t="n">
        <f aca="false">IFERROR(AB260/AA260,0)</f>
        <v>0.588716720412674</v>
      </c>
      <c r="AD260" s="22" t="s">
        <v>455</v>
      </c>
    </row>
    <row r="261" customFormat="false" ht="15" hidden="false" customHeight="false" outlineLevel="0" collapsed="false">
      <c r="A261" s="22" t="n">
        <v>260</v>
      </c>
      <c r="B261" s="22" t="s">
        <v>132</v>
      </c>
      <c r="C261" s="37" t="n">
        <v>46195.1667361111</v>
      </c>
      <c r="D261" s="22" t="s">
        <v>162</v>
      </c>
      <c r="E261" s="22" t="n">
        <v>4</v>
      </c>
      <c r="F261" s="22" t="s">
        <v>142</v>
      </c>
      <c r="G261" s="22" t="s">
        <v>195</v>
      </c>
      <c r="H261" s="22" t="n">
        <v>0.13</v>
      </c>
      <c r="I261" s="38" t="n">
        <v>4212.88</v>
      </c>
      <c r="J261" s="38" t="n">
        <v>4213.005</v>
      </c>
      <c r="K261" s="39" t="n">
        <f aca="false">IF(F261="BUY",J261-I261,I261-J261)</f>
        <v>0.125</v>
      </c>
      <c r="L261" s="38" t="n">
        <v>4211.38</v>
      </c>
      <c r="M261" s="39" t="n">
        <f aca="false">ABS(I261-L261)</f>
        <v>1.5</v>
      </c>
      <c r="N261" s="24" t="n">
        <f aca="false">M261*H261*Summary!$C$6</f>
        <v>19.5</v>
      </c>
      <c r="O261" s="37" t="n">
        <v>46195.1667708333</v>
      </c>
      <c r="P261" s="22" t="n">
        <f aca="false">ROUND((O261-C261)*86400,0)</f>
        <v>3</v>
      </c>
      <c r="Q261" s="22" t="str">
        <f aca="false">IF(P261&lt;10,"a) &lt;10s",IF(P261&lt;60,"b) 10-60s",IF(P261&lt;600,"c) 1-10min","d) &gt;10min")))</f>
        <v>a) &lt;10s</v>
      </c>
      <c r="R261" s="38" t="n">
        <v>4216.27</v>
      </c>
      <c r="S261" s="38" t="n">
        <v>4214.895</v>
      </c>
      <c r="T261" s="22" t="s">
        <v>149</v>
      </c>
      <c r="U261" s="39" t="n">
        <f aca="false">IF(R261="","",IF(F261="BUY",R261-S261,S261-R261))</f>
        <v>1.375</v>
      </c>
      <c r="V261" s="39" t="n">
        <f aca="false">IF(F261="BUY",S261-J261,J261-S261)</f>
        <v>1.89000000000033</v>
      </c>
      <c r="W261" s="6" t="n">
        <v>24.57</v>
      </c>
      <c r="X261" s="26" t="n">
        <f aca="false">IFERROR(W261/N261,0)</f>
        <v>1.26</v>
      </c>
      <c r="Y261" s="22" t="str">
        <f aca="false">IF(W261&gt;0,"Win",IF(W261&lt;0,"Loss","Flat"))</f>
        <v>Win</v>
      </c>
      <c r="Z261" s="24" t="n">
        <f aca="false">Summary!$C$5+SUM(W$2:W261)</f>
        <v>2091.98</v>
      </c>
      <c r="AA261" s="24" t="n">
        <f aca="false">MAX(AA260,Z261)</f>
        <v>5026.73</v>
      </c>
      <c r="AB261" s="24" t="n">
        <f aca="false">AA261-Z261</f>
        <v>2934.75</v>
      </c>
      <c r="AC261" s="23" t="n">
        <f aca="false">IFERROR(AB261/AA261,0)</f>
        <v>0.583828850962753</v>
      </c>
      <c r="AD261" s="22" t="s">
        <v>456</v>
      </c>
    </row>
    <row r="262" customFormat="false" ht="15" hidden="false" customHeight="false" outlineLevel="0" collapsed="false">
      <c r="A262" s="22" t="n">
        <v>261</v>
      </c>
      <c r="B262" s="22" t="s">
        <v>132</v>
      </c>
      <c r="C262" s="37" t="n">
        <v>46196.262650463</v>
      </c>
      <c r="D262" s="22" t="s">
        <v>163</v>
      </c>
      <c r="E262" s="22" t="n">
        <v>6</v>
      </c>
      <c r="F262" s="22" t="s">
        <v>143</v>
      </c>
      <c r="G262" s="22" t="s">
        <v>197</v>
      </c>
      <c r="H262" s="22" t="n">
        <v>0.13</v>
      </c>
      <c r="I262" s="38" t="n">
        <v>4136.13</v>
      </c>
      <c r="J262" s="38" t="n">
        <v>4135.955</v>
      </c>
      <c r="K262" s="39" t="n">
        <f aca="false">IF(F262="BUY",J262-I262,I262-J262)</f>
        <v>0.175000000000182</v>
      </c>
      <c r="L262" s="38" t="n">
        <v>4137.63</v>
      </c>
      <c r="M262" s="39" t="n">
        <f aca="false">ABS(I262-L262)</f>
        <v>1.5</v>
      </c>
      <c r="N262" s="24" t="n">
        <f aca="false">M262*H262*Summary!$C$6</f>
        <v>19.5</v>
      </c>
      <c r="O262" s="37" t="n">
        <v>46196.2627083333</v>
      </c>
      <c r="P262" s="22" t="n">
        <f aca="false">ROUND((O262-C262)*86400,0)</f>
        <v>5</v>
      </c>
      <c r="Q262" s="22" t="str">
        <f aca="false">IF(P262&lt;10,"a) &lt;10s",IF(P262&lt;60,"b) 10-60s",IF(P262&lt;600,"c) 1-10min","d) &gt;10min")))</f>
        <v>a) &lt;10s</v>
      </c>
      <c r="R262" s="38" t="n">
        <v>4135.16</v>
      </c>
      <c r="S262" s="38" t="n">
        <v>4135.225</v>
      </c>
      <c r="T262" s="22" t="s">
        <v>149</v>
      </c>
      <c r="U262" s="39" t="n">
        <f aca="false">IF(R262="","",IF(F262="BUY",R262-S262,S262-R262))</f>
        <v>0.0650000000005093</v>
      </c>
      <c r="V262" s="39" t="n">
        <f aca="false">IF(F262="BUY",S262-J262,J262-S262)</f>
        <v>0.729999999999563</v>
      </c>
      <c r="W262" s="6" t="n">
        <v>9.49</v>
      </c>
      <c r="X262" s="26" t="n">
        <f aca="false">IFERROR(W262/N262,0)</f>
        <v>0.486666666666667</v>
      </c>
      <c r="Y262" s="22" t="str">
        <f aca="false">IF(W262&gt;0,"Win",IF(W262&lt;0,"Loss","Flat"))</f>
        <v>Win</v>
      </c>
      <c r="Z262" s="24" t="n">
        <f aca="false">Summary!$C$5+SUM(W$2:W262)</f>
        <v>2101.47</v>
      </c>
      <c r="AA262" s="24" t="n">
        <f aca="false">MAX(AA261,Z262)</f>
        <v>5026.73</v>
      </c>
      <c r="AB262" s="24" t="n">
        <f aca="false">AA262-Z262</f>
        <v>2925.26</v>
      </c>
      <c r="AC262" s="23" t="n">
        <f aca="false">IFERROR(AB262/AA262,0)</f>
        <v>0.5819409437149</v>
      </c>
      <c r="AD262" s="22" t="s">
        <v>457</v>
      </c>
    </row>
    <row r="263" customFormat="false" ht="15" hidden="false" customHeight="false" outlineLevel="0" collapsed="false">
      <c r="A263" s="22" t="n">
        <v>262</v>
      </c>
      <c r="B263" s="22" t="s">
        <v>132</v>
      </c>
      <c r="C263" s="37" t="n">
        <v>46197.1098611111</v>
      </c>
      <c r="D263" s="22" t="s">
        <v>164</v>
      </c>
      <c r="E263" s="22" t="n">
        <v>2</v>
      </c>
      <c r="F263" s="22" t="s">
        <v>143</v>
      </c>
      <c r="G263" s="22" t="s">
        <v>197</v>
      </c>
      <c r="H263" s="22" t="n">
        <v>0.14</v>
      </c>
      <c r="I263" s="38" t="n">
        <v>4090.55</v>
      </c>
      <c r="J263" s="38" t="n">
        <v>4090.395</v>
      </c>
      <c r="K263" s="39" t="n">
        <f aca="false">IF(F263="BUY",J263-I263,I263-J263)</f>
        <v>0.1550000000002</v>
      </c>
      <c r="L263" s="38" t="n">
        <v>4092.05</v>
      </c>
      <c r="M263" s="39" t="n">
        <f aca="false">ABS(I263-L263)</f>
        <v>1.5</v>
      </c>
      <c r="N263" s="24" t="n">
        <f aca="false">M263*H263*Summary!$C$6</f>
        <v>21</v>
      </c>
      <c r="O263" s="37" t="n">
        <v>46197.1098958333</v>
      </c>
      <c r="P263" s="22" t="n">
        <f aca="false">ROUND((O263-C263)*86400,0)</f>
        <v>3</v>
      </c>
      <c r="Q263" s="22" t="str">
        <f aca="false">IF(P263&lt;10,"a) &lt;10s",IF(P263&lt;60,"b) 10-60s",IF(P263&lt;600,"c) 1-10min","d) &gt;10min")))</f>
        <v>a) &lt;10s</v>
      </c>
      <c r="R263" s="38" t="n">
        <v>4089.32</v>
      </c>
      <c r="S263" s="38" t="n">
        <v>4089.345</v>
      </c>
      <c r="T263" s="22" t="s">
        <v>149</v>
      </c>
      <c r="U263" s="39" t="n">
        <f aca="false">IF(R263="","",IF(F263="BUY",R263-S263,S263-R263))</f>
        <v>0.0249999999996362</v>
      </c>
      <c r="V263" s="39" t="n">
        <f aca="false">IF(F263="BUY",S263-J263,J263-S263)</f>
        <v>1.05000000000018</v>
      </c>
      <c r="W263" s="6" t="n">
        <v>14.7</v>
      </c>
      <c r="X263" s="26" t="n">
        <f aca="false">IFERROR(W263/N263,0)</f>
        <v>0.7</v>
      </c>
      <c r="Y263" s="22" t="str">
        <f aca="false">IF(W263&gt;0,"Win",IF(W263&lt;0,"Loss","Flat"))</f>
        <v>Win</v>
      </c>
      <c r="Z263" s="24" t="n">
        <f aca="false">Summary!$C$5+SUM(W$2:W263)</f>
        <v>2116.17</v>
      </c>
      <c r="AA263" s="24" t="n">
        <f aca="false">MAX(AA262,Z263)</f>
        <v>5026.73</v>
      </c>
      <c r="AB263" s="24" t="n">
        <f aca="false">AA263-Z263</f>
        <v>2910.56</v>
      </c>
      <c r="AC263" s="23" t="n">
        <f aca="false">IFERROR(AB263/AA263,0)</f>
        <v>0.579016577377341</v>
      </c>
      <c r="AD263" s="22" t="s">
        <v>458</v>
      </c>
    </row>
    <row r="264" customFormat="false" ht="15" hidden="false" customHeight="false" outlineLevel="0" collapsed="false">
      <c r="A264" s="22" t="n">
        <v>263</v>
      </c>
      <c r="B264" s="22" t="s">
        <v>132</v>
      </c>
      <c r="C264" s="37" t="n">
        <v>46199.5135763889</v>
      </c>
      <c r="D264" s="22" t="s">
        <v>166</v>
      </c>
      <c r="E264" s="22" t="n">
        <v>12</v>
      </c>
      <c r="F264" s="22" t="s">
        <v>142</v>
      </c>
      <c r="G264" s="22" t="s">
        <v>195</v>
      </c>
      <c r="H264" s="22" t="n">
        <v>0.14</v>
      </c>
      <c r="I264" s="38" t="n">
        <v>4043.92</v>
      </c>
      <c r="J264" s="38" t="n">
        <v>4044.735</v>
      </c>
      <c r="K264" s="39" t="n">
        <f aca="false">IF(F264="BUY",J264-I264,I264-J264)</f>
        <v>0.815000000000055</v>
      </c>
      <c r="L264" s="38" t="n">
        <v>4042.42</v>
      </c>
      <c r="M264" s="39" t="n">
        <f aca="false">ABS(I264-L264)</f>
        <v>1.5</v>
      </c>
      <c r="N264" s="24" t="n">
        <f aca="false">M264*H264*Summary!$C$6</f>
        <v>21</v>
      </c>
      <c r="O264" s="37" t="n">
        <v>46199.5135763889</v>
      </c>
      <c r="P264" s="22" t="n">
        <f aca="false">ROUND((O264-C264)*86400,0)</f>
        <v>0</v>
      </c>
      <c r="Q264" s="22" t="str">
        <f aca="false">IF(P264&lt;10,"a) &lt;10s",IF(P264&lt;60,"b) 10-60s",IF(P264&lt;600,"c) 1-10min","d) &gt;10min")))</f>
        <v>a) &lt;10s</v>
      </c>
      <c r="R264" s="38" t="n">
        <v>4044.74</v>
      </c>
      <c r="S264" s="38" t="n">
        <v>4044.725</v>
      </c>
      <c r="T264" s="22" t="s">
        <v>149</v>
      </c>
      <c r="U264" s="39" t="n">
        <f aca="false">IF(R264="","",IF(F264="BUY",R264-S264,S264-R264))</f>
        <v>0.0149999999998727</v>
      </c>
      <c r="V264" s="39" t="n">
        <f aca="false">IF(F264="BUY",S264-J264,J264-S264)</f>
        <v>-0.0100000000002183</v>
      </c>
      <c r="W264" s="6" t="n">
        <v>-0.14</v>
      </c>
      <c r="X264" s="26" t="n">
        <f aca="false">IFERROR(W264/N264,0)</f>
        <v>-0.00666666666666667</v>
      </c>
      <c r="Y264" s="22" t="str">
        <f aca="false">IF(W264&gt;0,"Win",IF(W264&lt;0,"Loss","Flat"))</f>
        <v>Loss</v>
      </c>
      <c r="Z264" s="24" t="n">
        <f aca="false">Summary!$C$5+SUM(W$2:W264)</f>
        <v>2116.03</v>
      </c>
      <c r="AA264" s="24" t="n">
        <f aca="false">MAX(AA263,Z264)</f>
        <v>5026.73</v>
      </c>
      <c r="AB264" s="24" t="n">
        <f aca="false">AA264-Z264</f>
        <v>2910.7</v>
      </c>
      <c r="AC264" s="23" t="n">
        <f aca="false">IFERROR(AB264/AA264,0)</f>
        <v>0.579044428485318</v>
      </c>
      <c r="AD264" s="22" t="s">
        <v>459</v>
      </c>
    </row>
    <row r="265" customFormat="false" ht="15" hidden="false" customHeight="false" outlineLevel="0" collapsed="false">
      <c r="A265" s="22" t="n">
        <v>264</v>
      </c>
      <c r="B265" s="22" t="s">
        <v>132</v>
      </c>
      <c r="C265" s="37" t="n">
        <v>46203.1506597222</v>
      </c>
      <c r="D265" s="22" t="s">
        <v>163</v>
      </c>
      <c r="E265" s="22" t="n">
        <v>3</v>
      </c>
      <c r="F265" s="22" t="s">
        <v>143</v>
      </c>
      <c r="G265" s="22" t="s">
        <v>197</v>
      </c>
      <c r="H265" s="22" t="n">
        <v>0.14</v>
      </c>
      <c r="I265" s="38" t="n">
        <v>3999.92</v>
      </c>
      <c r="J265" s="38" t="n">
        <v>3999.835</v>
      </c>
      <c r="K265" s="39" t="n">
        <f aca="false">IF(F265="BUY",J265-I265,I265-J265)</f>
        <v>0.0850000000000364</v>
      </c>
      <c r="L265" s="38" t="n">
        <v>4001.42</v>
      </c>
      <c r="M265" s="39" t="n">
        <f aca="false">ABS(I265-L265)</f>
        <v>1.5</v>
      </c>
      <c r="N265" s="24" t="n">
        <f aca="false">M265*H265*Summary!$C$6</f>
        <v>21</v>
      </c>
      <c r="O265" s="37" t="n">
        <v>46203.1507638889</v>
      </c>
      <c r="P265" s="22" t="n">
        <f aca="false">ROUND((O265-C265)*86400,0)</f>
        <v>9</v>
      </c>
      <c r="Q265" s="22" t="str">
        <f aca="false">IF(P265&lt;10,"a) &lt;10s",IF(P265&lt;60,"b) 10-60s",IF(P265&lt;600,"c) 1-10min","d) &gt;10min")))</f>
        <v>a) &lt;10s</v>
      </c>
      <c r="R265" s="38" t="n">
        <v>3998.76</v>
      </c>
      <c r="S265" s="38" t="n">
        <v>3998.805</v>
      </c>
      <c r="T265" s="22" t="s">
        <v>149</v>
      </c>
      <c r="U265" s="39" t="n">
        <f aca="false">IF(R265="","",IF(F265="BUY",R265-S265,S265-R265))</f>
        <v>0.044999999999618</v>
      </c>
      <c r="V265" s="39" t="n">
        <f aca="false">IF(F265="BUY",S265-J265,J265-S265)</f>
        <v>1.0300000000002</v>
      </c>
      <c r="W265" s="6" t="n">
        <v>14.42</v>
      </c>
      <c r="X265" s="26" t="n">
        <f aca="false">IFERROR(W265/N265,0)</f>
        <v>0.686666666666667</v>
      </c>
      <c r="Y265" s="22" t="str">
        <f aca="false">IF(W265&gt;0,"Win",IF(W265&lt;0,"Loss","Flat"))</f>
        <v>Win</v>
      </c>
      <c r="Z265" s="24" t="n">
        <f aca="false">Summary!$C$5+SUM(W$2:W265)</f>
        <v>2130.45</v>
      </c>
      <c r="AA265" s="24" t="n">
        <f aca="false">MAX(AA264,Z265)</f>
        <v>5026.73</v>
      </c>
      <c r="AB265" s="24" t="n">
        <f aca="false">AA265-Z265</f>
        <v>2896.28</v>
      </c>
      <c r="AC265" s="23" t="n">
        <f aca="false">IFERROR(AB265/AA265,0)</f>
        <v>0.576175764363712</v>
      </c>
      <c r="AD265" s="22" t="s">
        <v>460</v>
      </c>
    </row>
    <row r="266" customFormat="false" ht="15" hidden="false" customHeight="false" outlineLevel="0" collapsed="false">
      <c r="A266" s="22" t="n">
        <v>265</v>
      </c>
      <c r="B266" s="22" t="s">
        <v>133</v>
      </c>
      <c r="C266" s="37" t="n">
        <v>46204.6937152778</v>
      </c>
      <c r="D266" s="22" t="s">
        <v>164</v>
      </c>
      <c r="E266" s="22" t="n">
        <v>16</v>
      </c>
      <c r="F266" s="22" t="s">
        <v>142</v>
      </c>
      <c r="G266" s="22" t="s">
        <v>195</v>
      </c>
      <c r="H266" s="22" t="n">
        <v>0.14</v>
      </c>
      <c r="I266" s="38" t="n">
        <v>4063.21</v>
      </c>
      <c r="J266" s="38" t="n">
        <v>4063.655</v>
      </c>
      <c r="K266" s="39" t="n">
        <f aca="false">IF(F266="BUY",J266-I266,I266-J266)</f>
        <v>0.445000000000164</v>
      </c>
      <c r="L266" s="38" t="n">
        <v>4061.71</v>
      </c>
      <c r="M266" s="39" t="n">
        <f aca="false">ABS(I266-L266)</f>
        <v>1.5</v>
      </c>
      <c r="N266" s="24" t="n">
        <f aca="false">M266*H266*Summary!$C$6</f>
        <v>21</v>
      </c>
      <c r="O266" s="37" t="n">
        <v>46204.6937384259</v>
      </c>
      <c r="P266" s="22" t="n">
        <f aca="false">ROUND((O266-C266)*86400,0)</f>
        <v>2</v>
      </c>
      <c r="Q266" s="22" t="str">
        <f aca="false">IF(P266&lt;10,"a) &lt;10s",IF(P266&lt;60,"b) 10-60s",IF(P266&lt;600,"c) 1-10min","d) &gt;10min")))</f>
        <v>a) &lt;10s</v>
      </c>
      <c r="R266" s="38" t="n">
        <v>4065.8</v>
      </c>
      <c r="S266" s="38" t="n">
        <v>4065.535</v>
      </c>
      <c r="T266" s="22" t="s">
        <v>149</v>
      </c>
      <c r="U266" s="39" t="n">
        <f aca="false">IF(R266="","",IF(F266="BUY",R266-S266,S266-R266))</f>
        <v>0.265000000000327</v>
      </c>
      <c r="V266" s="39" t="n">
        <f aca="false">IF(F266="BUY",S266-J266,J266-S266)</f>
        <v>1.87999999999965</v>
      </c>
      <c r="W266" s="6" t="n">
        <v>26.32</v>
      </c>
      <c r="X266" s="26" t="n">
        <f aca="false">IFERROR(W266/N266,0)</f>
        <v>1.25333333333333</v>
      </c>
      <c r="Y266" s="22" t="str">
        <f aca="false">IF(W266&gt;0,"Win",IF(W266&lt;0,"Loss","Flat"))</f>
        <v>Win</v>
      </c>
      <c r="Z266" s="24" t="n">
        <f aca="false">Summary!$C$5+SUM(W$2:W266)</f>
        <v>2156.77</v>
      </c>
      <c r="AA266" s="24" t="n">
        <f aca="false">MAX(AA265,Z266)</f>
        <v>5026.73</v>
      </c>
      <c r="AB266" s="24" t="n">
        <f aca="false">AA266-Z266</f>
        <v>2869.96</v>
      </c>
      <c r="AC266" s="23" t="n">
        <f aca="false">IFERROR(AB266/AA266,0)</f>
        <v>0.570939756064081</v>
      </c>
      <c r="AD266" s="22" t="s">
        <v>461</v>
      </c>
    </row>
    <row r="267" customFormat="false" ht="15" hidden="false" customHeight="false" outlineLevel="0" collapsed="false">
      <c r="A267" s="22" t="n">
        <v>266</v>
      </c>
      <c r="B267" s="22" t="s">
        <v>133</v>
      </c>
      <c r="C267" s="37" t="n">
        <v>46205.6463194444</v>
      </c>
      <c r="D267" s="22" t="s">
        <v>165</v>
      </c>
      <c r="E267" s="22" t="n">
        <v>15</v>
      </c>
      <c r="F267" s="22" t="s">
        <v>142</v>
      </c>
      <c r="G267" s="22" t="s">
        <v>195</v>
      </c>
      <c r="H267" s="22" t="n">
        <v>0.14</v>
      </c>
      <c r="I267" s="38" t="n">
        <v>4115.48</v>
      </c>
      <c r="J267" s="38" t="n">
        <v>4115.985</v>
      </c>
      <c r="K267" s="39" t="n">
        <f aca="false">IF(F267="BUY",J267-I267,I267-J267)</f>
        <v>0.505000000000109</v>
      </c>
      <c r="L267" s="38" t="n">
        <v>4113.98</v>
      </c>
      <c r="M267" s="39" t="n">
        <f aca="false">ABS(I267-L267)</f>
        <v>1.5</v>
      </c>
      <c r="N267" s="24" t="n">
        <f aca="false">M267*H267*Summary!$C$6</f>
        <v>21</v>
      </c>
      <c r="O267" s="37" t="n">
        <v>46205.6463425926</v>
      </c>
      <c r="P267" s="22" t="n">
        <f aca="false">ROUND((O267-C267)*86400,0)</f>
        <v>2</v>
      </c>
      <c r="Q267" s="22" t="str">
        <f aca="false">IF(P267&lt;10,"a) &lt;10s",IF(P267&lt;60,"b) 10-60s",IF(P267&lt;600,"c) 1-10min","d) &gt;10min")))</f>
        <v>a) &lt;10s</v>
      </c>
      <c r="R267" s="38" t="n">
        <v>4118.59</v>
      </c>
      <c r="S267" s="38" t="n">
        <v>4114.675</v>
      </c>
      <c r="T267" s="22" t="s">
        <v>149</v>
      </c>
      <c r="U267" s="39" t="n">
        <f aca="false">IF(R267="","",IF(F267="BUY",R267-S267,S267-R267))</f>
        <v>3.91499999999996</v>
      </c>
      <c r="V267" s="39" t="n">
        <f aca="false">IF(F267="BUY",S267-J267,J267-S267)</f>
        <v>-1.30999999999949</v>
      </c>
      <c r="W267" s="6" t="n">
        <v>-18.34</v>
      </c>
      <c r="X267" s="26" t="n">
        <f aca="false">IFERROR(W267/N267,0)</f>
        <v>-0.873333333333333</v>
      </c>
      <c r="Y267" s="22" t="str">
        <f aca="false">IF(W267&gt;0,"Win",IF(W267&lt;0,"Loss","Flat"))</f>
        <v>Loss</v>
      </c>
      <c r="Z267" s="24" t="n">
        <f aca="false">Summary!$C$5+SUM(W$2:W267)</f>
        <v>2138.43</v>
      </c>
      <c r="AA267" s="24" t="n">
        <f aca="false">MAX(AA266,Z267)</f>
        <v>5026.73</v>
      </c>
      <c r="AB267" s="24" t="n">
        <f aca="false">AA267-Z267</f>
        <v>2888.3</v>
      </c>
      <c r="AC267" s="23" t="n">
        <f aca="false">IFERROR(AB267/AA267,0)</f>
        <v>0.574588251209036</v>
      </c>
      <c r="AD267" s="22" t="s">
        <v>462</v>
      </c>
    </row>
    <row r="268" customFormat="false" ht="15" hidden="false" customHeight="false" outlineLevel="0" collapsed="false">
      <c r="A268" s="22" t="n">
        <v>267</v>
      </c>
      <c r="B268" s="22" t="s">
        <v>133</v>
      </c>
      <c r="C268" s="37" t="n">
        <v>46206.1604861111</v>
      </c>
      <c r="D268" s="22" t="s">
        <v>166</v>
      </c>
      <c r="E268" s="22" t="n">
        <v>3</v>
      </c>
      <c r="F268" s="22" t="s">
        <v>142</v>
      </c>
      <c r="G268" s="22" t="s">
        <v>195</v>
      </c>
      <c r="H268" s="22" t="n">
        <v>0.14</v>
      </c>
      <c r="I268" s="38" t="n">
        <v>4143.72</v>
      </c>
      <c r="J268" s="38" t="n">
        <v>4143.985</v>
      </c>
      <c r="K268" s="39" t="n">
        <f aca="false">IF(F268="BUY",J268-I268,I268-J268)</f>
        <v>0.264999999999418</v>
      </c>
      <c r="L268" s="38" t="n">
        <v>4142.22</v>
      </c>
      <c r="M268" s="39" t="n">
        <f aca="false">ABS(I268-L268)</f>
        <v>1.5</v>
      </c>
      <c r="N268" s="24" t="n">
        <f aca="false">M268*H268*Summary!$C$6</f>
        <v>21</v>
      </c>
      <c r="O268" s="37" t="n">
        <v>46206.1605092593</v>
      </c>
      <c r="P268" s="22" t="n">
        <f aca="false">ROUND((O268-C268)*86400,0)</f>
        <v>2</v>
      </c>
      <c r="Q268" s="22" t="str">
        <f aca="false">IF(P268&lt;10,"a) &lt;10s",IF(P268&lt;60,"b) 10-60s",IF(P268&lt;600,"c) 1-10min","d) &gt;10min")))</f>
        <v>a) &lt;10s</v>
      </c>
      <c r="R268" s="38" t="n">
        <v>4146.44</v>
      </c>
      <c r="S268" s="38" t="n">
        <v>4146.025</v>
      </c>
      <c r="T268" s="22" t="s">
        <v>149</v>
      </c>
      <c r="U268" s="39" t="n">
        <f aca="false">IF(R268="","",IF(F268="BUY",R268-S268,S268-R268))</f>
        <v>0.414999999999964</v>
      </c>
      <c r="V268" s="39" t="n">
        <f aca="false">IF(F268="BUY",S268-J268,J268-S268)</f>
        <v>2.03999999999996</v>
      </c>
      <c r="W268" s="6" t="n">
        <v>28.56</v>
      </c>
      <c r="X268" s="26" t="n">
        <f aca="false">IFERROR(W268/N268,0)</f>
        <v>1.36</v>
      </c>
      <c r="Y268" s="22" t="str">
        <f aca="false">IF(W268&gt;0,"Win",IF(W268&lt;0,"Loss","Flat"))</f>
        <v>Win</v>
      </c>
      <c r="Z268" s="24" t="n">
        <f aca="false">Summary!$C$5+SUM(W$2:W268)</f>
        <v>2166.99</v>
      </c>
      <c r="AA268" s="24" t="n">
        <f aca="false">MAX(AA267,Z268)</f>
        <v>5026.73</v>
      </c>
      <c r="AB268" s="24" t="n">
        <f aca="false">AA268-Z268</f>
        <v>2859.74</v>
      </c>
      <c r="AC268" s="23" t="n">
        <f aca="false">IFERROR(AB268/AA268,0)</f>
        <v>0.568906625181778</v>
      </c>
      <c r="AD268" s="22" t="s">
        <v>463</v>
      </c>
    </row>
    <row r="269" customFormat="false" ht="15" hidden="false" customHeight="false" outlineLevel="0" collapsed="false">
      <c r="A269" s="22" t="n">
        <v>268</v>
      </c>
      <c r="B269" s="22" t="s">
        <v>133</v>
      </c>
      <c r="C269" s="37" t="n">
        <v>46209.1028356482</v>
      </c>
      <c r="D269" s="22" t="s">
        <v>162</v>
      </c>
      <c r="E269" s="22" t="n">
        <v>2</v>
      </c>
      <c r="F269" s="22" t="s">
        <v>142</v>
      </c>
      <c r="G269" s="22" t="s">
        <v>195</v>
      </c>
      <c r="H269" s="22" t="n">
        <v>0.14</v>
      </c>
      <c r="I269" s="38" t="n">
        <v>4195.36</v>
      </c>
      <c r="J269" s="38" t="n">
        <v>4195.655</v>
      </c>
      <c r="K269" s="39" t="n">
        <f aca="false">IF(F269="BUY",J269-I269,I269-J269)</f>
        <v>0.295000000000073</v>
      </c>
      <c r="L269" s="38" t="n">
        <v>4193.86</v>
      </c>
      <c r="M269" s="39" t="n">
        <f aca="false">ABS(I269-L269)</f>
        <v>1.5</v>
      </c>
      <c r="N269" s="24" t="n">
        <f aca="false">M269*H269*Summary!$C$6</f>
        <v>21</v>
      </c>
      <c r="O269" s="37" t="n">
        <v>46209.1028356482</v>
      </c>
      <c r="P269" s="22" t="n">
        <f aca="false">ROUND((O269-C269)*86400,0)</f>
        <v>0</v>
      </c>
      <c r="Q269" s="22" t="str">
        <f aca="false">IF(P269&lt;10,"a) &lt;10s",IF(P269&lt;60,"b) 10-60s",IF(P269&lt;600,"c) 1-10min","d) &gt;10min")))</f>
        <v>a) &lt;10s</v>
      </c>
      <c r="R269" s="38" t="n">
        <v>4200.88</v>
      </c>
      <c r="S269" s="38" t="n">
        <v>4200.705</v>
      </c>
      <c r="T269" s="22" t="s">
        <v>149</v>
      </c>
      <c r="U269" s="39" t="n">
        <f aca="false">IF(R269="","",IF(F269="BUY",R269-S269,S269-R269))</f>
        <v>0.175000000000182</v>
      </c>
      <c r="V269" s="39" t="n">
        <f aca="false">IF(F269="BUY",S269-J269,J269-S269)</f>
        <v>5.05000000000018</v>
      </c>
      <c r="W269" s="6" t="n">
        <v>70.7</v>
      </c>
      <c r="X269" s="26" t="n">
        <f aca="false">IFERROR(W269/N269,0)</f>
        <v>3.36666666666667</v>
      </c>
      <c r="Y269" s="22" t="str">
        <f aca="false">IF(W269&gt;0,"Win",IF(W269&lt;0,"Loss","Flat"))</f>
        <v>Win</v>
      </c>
      <c r="Z269" s="24" t="n">
        <f aca="false">Summary!$C$5+SUM(W$2:W269)</f>
        <v>2237.69</v>
      </c>
      <c r="AA269" s="24" t="n">
        <f aca="false">MAX(AA268,Z269)</f>
        <v>5026.73</v>
      </c>
      <c r="AB269" s="24" t="n">
        <f aca="false">AA269-Z269</f>
        <v>2789.04</v>
      </c>
      <c r="AC269" s="23" t="n">
        <f aca="false">IFERROR(AB269/AA269,0)</f>
        <v>0.554841815653516</v>
      </c>
      <c r="AD269" s="22" t="s">
        <v>464</v>
      </c>
    </row>
    <row r="270" customFormat="false" ht="15" hidden="false" customHeight="false" outlineLevel="0" collapsed="false">
      <c r="A270" s="22" t="n">
        <v>269</v>
      </c>
      <c r="B270" s="22" t="s">
        <v>133</v>
      </c>
      <c r="C270" s="37" t="n">
        <v>46210.1859837963</v>
      </c>
      <c r="D270" s="22" t="s">
        <v>163</v>
      </c>
      <c r="E270" s="22" t="n">
        <v>4</v>
      </c>
      <c r="F270" s="22" t="s">
        <v>143</v>
      </c>
      <c r="G270" s="22" t="s">
        <v>197</v>
      </c>
      <c r="H270" s="22" t="n">
        <v>0.14</v>
      </c>
      <c r="I270" s="38" t="n">
        <v>4128.27</v>
      </c>
      <c r="J270" s="38" t="n">
        <v>4127.455</v>
      </c>
      <c r="K270" s="39" t="n">
        <f aca="false">IF(F270="BUY",J270-I270,I270-J270)</f>
        <v>0.815000000000509</v>
      </c>
      <c r="L270" s="38" t="n">
        <v>4129.77</v>
      </c>
      <c r="M270" s="39" t="n">
        <f aca="false">ABS(I270-L270)</f>
        <v>1.5</v>
      </c>
      <c r="N270" s="24" t="n">
        <f aca="false">M270*H270*Summary!$C$6</f>
        <v>21</v>
      </c>
      <c r="O270" s="37" t="n">
        <v>46210.1860069444</v>
      </c>
      <c r="P270" s="22" t="n">
        <f aca="false">ROUND((O270-C270)*86400,0)</f>
        <v>2</v>
      </c>
      <c r="Q270" s="22" t="str">
        <f aca="false">IF(P270&lt;10,"a) &lt;10s",IF(P270&lt;60,"b) 10-60s",IF(P270&lt;600,"c) 1-10min","d) &gt;10min")))</f>
        <v>a) &lt;10s</v>
      </c>
      <c r="R270" s="38" t="n">
        <v>4126.85</v>
      </c>
      <c r="S270" s="38" t="n">
        <v>4127.005</v>
      </c>
      <c r="T270" s="22" t="s">
        <v>149</v>
      </c>
      <c r="U270" s="39" t="n">
        <f aca="false">IF(R270="","",IF(F270="BUY",R270-S270,S270-R270))</f>
        <v>0.154999999999745</v>
      </c>
      <c r="V270" s="39" t="n">
        <f aca="false">IF(F270="BUY",S270-J270,J270-S270)</f>
        <v>0.449999999999818</v>
      </c>
      <c r="W270" s="6" t="n">
        <v>6.3</v>
      </c>
      <c r="X270" s="26" t="n">
        <f aca="false">IFERROR(W270/N270,0)</f>
        <v>0.3</v>
      </c>
      <c r="Y270" s="22" t="str">
        <f aca="false">IF(W270&gt;0,"Win",IF(W270&lt;0,"Loss","Flat"))</f>
        <v>Win</v>
      </c>
      <c r="Z270" s="24" t="n">
        <f aca="false">Summary!$C$5+SUM(W$2:W270)</f>
        <v>2243.99</v>
      </c>
      <c r="AA270" s="24" t="n">
        <f aca="false">MAX(AA269,Z270)</f>
        <v>5026.73</v>
      </c>
      <c r="AB270" s="24" t="n">
        <f aca="false">AA270-Z270</f>
        <v>2782.74</v>
      </c>
      <c r="AC270" s="23" t="n">
        <f aca="false">IFERROR(AB270/AA270,0)</f>
        <v>0.553588515794562</v>
      </c>
      <c r="AD270" s="22" t="s">
        <v>465</v>
      </c>
    </row>
    <row r="271" customFormat="false" ht="15" hidden="false" customHeight="false" outlineLevel="0" collapsed="false">
      <c r="A271" s="22" t="n">
        <v>270</v>
      </c>
      <c r="B271" s="22" t="s">
        <v>133</v>
      </c>
      <c r="C271" s="37" t="n">
        <v>46211.4707986111</v>
      </c>
      <c r="D271" s="22" t="s">
        <v>164</v>
      </c>
      <c r="E271" s="22" t="n">
        <v>11</v>
      </c>
      <c r="F271" s="22" t="s">
        <v>143</v>
      </c>
      <c r="G271" s="22" t="s">
        <v>197</v>
      </c>
      <c r="H271" s="22" t="n">
        <v>0.14</v>
      </c>
      <c r="I271" s="38" t="n">
        <v>4091.85</v>
      </c>
      <c r="J271" s="38" t="n">
        <v>4091.845</v>
      </c>
      <c r="K271" s="39" t="n">
        <f aca="false">IF(F271="BUY",J271-I271,I271-J271)</f>
        <v>0.00500000000010914</v>
      </c>
      <c r="L271" s="38" t="n">
        <v>4093.35</v>
      </c>
      <c r="M271" s="39" t="n">
        <f aca="false">ABS(I271-L271)</f>
        <v>1.5</v>
      </c>
      <c r="N271" s="24" t="n">
        <f aca="false">M271*H271*Summary!$C$6</f>
        <v>21</v>
      </c>
      <c r="O271" s="37" t="n">
        <v>46211.4708101852</v>
      </c>
      <c r="P271" s="22" t="n">
        <f aca="false">ROUND((O271-C271)*86400,0)</f>
        <v>1</v>
      </c>
      <c r="Q271" s="22" t="str">
        <f aca="false">IF(P271&lt;10,"a) &lt;10s",IF(P271&lt;60,"b) 10-60s",IF(P271&lt;600,"c) 1-10min","d) &gt;10min")))</f>
        <v>a) &lt;10s</v>
      </c>
      <c r="R271" s="38" t="n">
        <v>4089.67</v>
      </c>
      <c r="S271" s="38" t="n">
        <v>4090.505</v>
      </c>
      <c r="T271" s="22" t="s">
        <v>149</v>
      </c>
      <c r="U271" s="39" t="n">
        <f aca="false">IF(R271="","",IF(F271="BUY",R271-S271,S271-R271))</f>
        <v>0.835000000000036</v>
      </c>
      <c r="V271" s="39" t="n">
        <f aca="false">IF(F271="BUY",S271-J271,J271-S271)</f>
        <v>1.33999999999969</v>
      </c>
      <c r="W271" s="6" t="n">
        <v>18.76</v>
      </c>
      <c r="X271" s="26" t="n">
        <f aca="false">IFERROR(W271/N271,0)</f>
        <v>0.893333333333333</v>
      </c>
      <c r="Y271" s="22" t="str">
        <f aca="false">IF(W271&gt;0,"Win",IF(W271&lt;0,"Loss","Flat"))</f>
        <v>Win</v>
      </c>
      <c r="Z271" s="24" t="n">
        <f aca="false">Summary!$C$5+SUM(W$2:W271)</f>
        <v>2262.75</v>
      </c>
      <c r="AA271" s="24" t="n">
        <f aca="false">MAX(AA270,Z271)</f>
        <v>5026.73</v>
      </c>
      <c r="AB271" s="24" t="n">
        <f aca="false">AA271-Z271</f>
        <v>2763.98</v>
      </c>
      <c r="AC271" s="23" t="n">
        <f aca="false">IFERROR(AB271/AA271,0)</f>
        <v>0.549856467325677</v>
      </c>
      <c r="AD271" s="22" t="s">
        <v>466</v>
      </c>
    </row>
    <row r="272" customFormat="false" ht="15" hidden="false" customHeight="false" outlineLevel="0" collapsed="false">
      <c r="A272" s="22" t="n">
        <v>271</v>
      </c>
      <c r="B272" s="22" t="s">
        <v>133</v>
      </c>
      <c r="C272" s="37" t="n">
        <v>46212.7111111111</v>
      </c>
      <c r="D272" s="22" t="s">
        <v>165</v>
      </c>
      <c r="E272" s="22" t="n">
        <v>17</v>
      </c>
      <c r="F272" s="22" t="s">
        <v>142</v>
      </c>
      <c r="G272" s="22" t="s">
        <v>195</v>
      </c>
      <c r="H272" s="22" t="n">
        <v>0.15</v>
      </c>
      <c r="I272" s="38" t="n">
        <v>4133.69</v>
      </c>
      <c r="J272" s="38" t="n">
        <v>4133.745</v>
      </c>
      <c r="K272" s="39" t="n">
        <f aca="false">IF(F272="BUY",J272-I272,I272-J272)</f>
        <v>0.055000000000291</v>
      </c>
      <c r="L272" s="38" t="n">
        <v>4132.19</v>
      </c>
      <c r="M272" s="39" t="n">
        <f aca="false">ABS(I272-L272)</f>
        <v>1.5</v>
      </c>
      <c r="N272" s="24" t="n">
        <f aca="false">M272*H272*Summary!$C$6</f>
        <v>22.5</v>
      </c>
      <c r="O272" s="37" t="n">
        <v>46212.7111226852</v>
      </c>
      <c r="P272" s="22" t="n">
        <f aca="false">ROUND((O272-C272)*86400,0)</f>
        <v>1</v>
      </c>
      <c r="Q272" s="22" t="str">
        <f aca="false">IF(P272&lt;10,"a) &lt;10s",IF(P272&lt;60,"b) 10-60s",IF(P272&lt;600,"c) 1-10min","d) &gt;10min")))</f>
        <v>a) &lt;10s</v>
      </c>
      <c r="R272" s="38" t="n">
        <v>4134.17</v>
      </c>
      <c r="S272" s="38" t="n">
        <v>4133.715</v>
      </c>
      <c r="T272" s="22" t="s">
        <v>149</v>
      </c>
      <c r="U272" s="39" t="n">
        <f aca="false">IF(R272="","",IF(F272="BUY",R272-S272,S272-R272))</f>
        <v>0.454999999999927</v>
      </c>
      <c r="V272" s="39" t="n">
        <f aca="false">IF(F272="BUY",S272-J272,J272-S272)</f>
        <v>-0.0299999999997453</v>
      </c>
      <c r="W272" s="6" t="n">
        <v>-0.45</v>
      </c>
      <c r="X272" s="26" t="n">
        <f aca="false">IFERROR(W272/N272,0)</f>
        <v>-0.02</v>
      </c>
      <c r="Y272" s="22" t="str">
        <f aca="false">IF(W272&gt;0,"Win",IF(W272&lt;0,"Loss","Flat"))</f>
        <v>Loss</v>
      </c>
      <c r="Z272" s="24" t="n">
        <f aca="false">Summary!$C$5+SUM(W$2:W272)</f>
        <v>2262.3</v>
      </c>
      <c r="AA272" s="24" t="n">
        <f aca="false">MAX(AA271,Z272)</f>
        <v>5026.73</v>
      </c>
      <c r="AB272" s="24" t="n">
        <f aca="false">AA272-Z272</f>
        <v>2764.43</v>
      </c>
      <c r="AC272" s="23" t="n">
        <f aca="false">IFERROR(AB272/AA272,0)</f>
        <v>0.549945988744174</v>
      </c>
      <c r="AD272" s="22" t="s">
        <v>467</v>
      </c>
    </row>
    <row r="273" customFormat="false" ht="15" hidden="false" customHeight="false" outlineLevel="0" collapsed="false">
      <c r="A273" s="22" t="n">
        <v>272</v>
      </c>
      <c r="B273" s="22" t="s">
        <v>133</v>
      </c>
      <c r="C273" s="37" t="n">
        <v>46216.0755092593</v>
      </c>
      <c r="D273" s="22" t="s">
        <v>162</v>
      </c>
      <c r="E273" s="22" t="n">
        <v>1</v>
      </c>
      <c r="F273" s="22" t="s">
        <v>143</v>
      </c>
      <c r="G273" s="22" t="s">
        <v>197</v>
      </c>
      <c r="H273" s="22" t="n">
        <v>0.15</v>
      </c>
      <c r="I273" s="38" t="n">
        <v>4072.59</v>
      </c>
      <c r="J273" s="38" t="n">
        <v>4072.565</v>
      </c>
      <c r="K273" s="39" t="n">
        <f aca="false">IF(F273="BUY",J273-I273,I273-J273)</f>
        <v>0.025000000000091</v>
      </c>
      <c r="L273" s="38" t="n">
        <v>4074.09</v>
      </c>
      <c r="M273" s="39" t="n">
        <f aca="false">ABS(I273-L273)</f>
        <v>1.5</v>
      </c>
      <c r="N273" s="24" t="n">
        <f aca="false">M273*H273*Summary!$C$6</f>
        <v>22.5</v>
      </c>
      <c r="O273" s="37" t="n">
        <v>46216.0755324074</v>
      </c>
      <c r="P273" s="22" t="n">
        <f aca="false">ROUND((O273-C273)*86400,0)</f>
        <v>2</v>
      </c>
      <c r="Q273" s="22" t="str">
        <f aca="false">IF(P273&lt;10,"a) &lt;10s",IF(P273&lt;60,"b) 10-60s",IF(P273&lt;600,"c) 1-10min","d) &gt;10min")))</f>
        <v>a) &lt;10s</v>
      </c>
      <c r="R273" s="38" t="n">
        <v>4071.23</v>
      </c>
      <c r="S273" s="38" t="n">
        <v>4071.325</v>
      </c>
      <c r="T273" s="22" t="s">
        <v>149</v>
      </c>
      <c r="U273" s="39" t="n">
        <f aca="false">IF(R273="","",IF(F273="BUY",R273-S273,S273-R273))</f>
        <v>0.0949999999997999</v>
      </c>
      <c r="V273" s="39" t="n">
        <f aca="false">IF(F273="BUY",S273-J273,J273-S273)</f>
        <v>1.24000000000024</v>
      </c>
      <c r="W273" s="6" t="n">
        <v>18.6</v>
      </c>
      <c r="X273" s="26" t="n">
        <f aca="false">IFERROR(W273/N273,0)</f>
        <v>0.826666666666667</v>
      </c>
      <c r="Y273" s="22" t="str">
        <f aca="false">IF(W273&gt;0,"Win",IF(W273&lt;0,"Loss","Flat"))</f>
        <v>Win</v>
      </c>
      <c r="Z273" s="24" t="n">
        <f aca="false">Summary!$C$5+SUM(W$2:W273)</f>
        <v>2280.9</v>
      </c>
      <c r="AA273" s="24" t="n">
        <f aca="false">MAX(AA272,Z273)</f>
        <v>5026.73</v>
      </c>
      <c r="AB273" s="24" t="n">
        <f aca="false">AA273-Z273</f>
        <v>2745.83</v>
      </c>
      <c r="AC273" s="23" t="n">
        <f aca="false">IFERROR(AB273/AA273,0)</f>
        <v>0.546245770112976</v>
      </c>
      <c r="AD273" s="22" t="s">
        <v>468</v>
      </c>
    </row>
    <row r="274" customFormat="false" ht="15" hidden="false" customHeight="false" outlineLevel="0" collapsed="false">
      <c r="A274" s="22" t="n">
        <v>273</v>
      </c>
      <c r="B274" s="22" t="s">
        <v>133</v>
      </c>
      <c r="C274" s="37" t="n">
        <v>46217.1302430556</v>
      </c>
      <c r="D274" s="22" t="s">
        <v>163</v>
      </c>
      <c r="E274" s="22" t="n">
        <v>3</v>
      </c>
      <c r="F274" s="22" t="s">
        <v>143</v>
      </c>
      <c r="G274" s="22" t="s">
        <v>197</v>
      </c>
      <c r="H274" s="22" t="n">
        <v>0.15</v>
      </c>
      <c r="I274" s="38" t="n">
        <v>3985.17</v>
      </c>
      <c r="J274" s="38" t="n">
        <v>3984.565</v>
      </c>
      <c r="K274" s="39" t="n">
        <f aca="false">IF(F274="BUY",J274-I274,I274-J274)</f>
        <v>0.605000000000018</v>
      </c>
      <c r="L274" s="38" t="n">
        <v>3986.67</v>
      </c>
      <c r="M274" s="39" t="n">
        <f aca="false">ABS(I274-L274)</f>
        <v>1.5</v>
      </c>
      <c r="N274" s="24" t="n">
        <f aca="false">M274*H274*Summary!$C$6</f>
        <v>22.5</v>
      </c>
      <c r="O274" s="37" t="n">
        <v>46217.1302430556</v>
      </c>
      <c r="P274" s="22" t="n">
        <f aca="false">ROUND((O274-C274)*86400,0)</f>
        <v>0</v>
      </c>
      <c r="Q274" s="22" t="str">
        <f aca="false">IF(P274&lt;10,"a) &lt;10s",IF(P274&lt;60,"b) 10-60s",IF(P274&lt;600,"c) 1-10min","d) &gt;10min")))</f>
        <v>a) &lt;10s</v>
      </c>
      <c r="R274" s="38" t="n">
        <v>3984.57</v>
      </c>
      <c r="S274" s="38" t="n">
        <v>3984.895</v>
      </c>
      <c r="T274" s="22" t="s">
        <v>149</v>
      </c>
      <c r="U274" s="39" t="n">
        <f aca="false">IF(R274="","",IF(F274="BUY",R274-S274,S274-R274))</f>
        <v>0.324999999999818</v>
      </c>
      <c r="V274" s="39" t="n">
        <f aca="false">IF(F274="BUY",S274-J274,J274-S274)</f>
        <v>-0.329999999999927</v>
      </c>
      <c r="W274" s="6" t="n">
        <v>-4.95</v>
      </c>
      <c r="X274" s="26" t="n">
        <f aca="false">IFERROR(W274/N274,0)</f>
        <v>-0.22</v>
      </c>
      <c r="Y274" s="22" t="str">
        <f aca="false">IF(W274&gt;0,"Win",IF(W274&lt;0,"Loss","Flat"))</f>
        <v>Loss</v>
      </c>
      <c r="Z274" s="24" t="n">
        <f aca="false">Summary!$C$5+SUM(W$2:W274)</f>
        <v>2275.95</v>
      </c>
      <c r="AA274" s="24" t="n">
        <f aca="false">MAX(AA273,Z274)</f>
        <v>5026.73</v>
      </c>
      <c r="AB274" s="24" t="n">
        <f aca="false">AA274-Z274</f>
        <v>2750.78</v>
      </c>
      <c r="AC274" s="23" t="n">
        <f aca="false">IFERROR(AB274/AA274,0)</f>
        <v>0.54723050571644</v>
      </c>
      <c r="AD274" s="22" t="s">
        <v>469</v>
      </c>
    </row>
    <row r="275" customFormat="false" ht="15" hidden="false" customHeight="false" outlineLevel="0" collapsed="false">
      <c r="A275" s="22" t="n">
        <v>274</v>
      </c>
      <c r="B275" s="22" t="s">
        <v>133</v>
      </c>
      <c r="C275" s="37" t="n">
        <v>46217.6474884259</v>
      </c>
      <c r="D275" s="22" t="s">
        <v>163</v>
      </c>
      <c r="E275" s="22" t="n">
        <v>15</v>
      </c>
      <c r="F275" s="22" t="s">
        <v>142</v>
      </c>
      <c r="G275" s="22" t="s">
        <v>195</v>
      </c>
      <c r="H275" s="22" t="n">
        <v>0.15</v>
      </c>
      <c r="I275" s="38" t="n">
        <v>4103.27</v>
      </c>
      <c r="J275" s="38" t="n">
        <v>4103.415</v>
      </c>
      <c r="K275" s="39" t="n">
        <f aca="false">IF(F275="BUY",J275-I275,I275-J275)</f>
        <v>0.144999999999527</v>
      </c>
      <c r="L275" s="38" t="n">
        <v>4101.77</v>
      </c>
      <c r="M275" s="39" t="n">
        <f aca="false">ABS(I275-L275)</f>
        <v>1.5</v>
      </c>
      <c r="N275" s="24" t="n">
        <f aca="false">M275*H275*Summary!$C$6</f>
        <v>22.5</v>
      </c>
      <c r="O275" s="37" t="n">
        <v>46217.6474884259</v>
      </c>
      <c r="P275" s="22" t="n">
        <f aca="false">ROUND((O275-C275)*86400,0)</f>
        <v>0</v>
      </c>
      <c r="Q275" s="22" t="str">
        <f aca="false">IF(P275&lt;10,"a) &lt;10s",IF(P275&lt;60,"b) 10-60s",IF(P275&lt;600,"c) 1-10min","d) &gt;10min")))</f>
        <v>a) &lt;10s</v>
      </c>
      <c r="R275" s="38" t="n">
        <v>4101.77</v>
      </c>
      <c r="S275" s="38" t="n">
        <v>4090.505</v>
      </c>
      <c r="T275" s="22" t="s">
        <v>148</v>
      </c>
      <c r="U275" s="39" t="n">
        <f aca="false">IF(R275="","",IF(F275="BUY",R275-S275,S275-R275))</f>
        <v>11.2650000000003</v>
      </c>
      <c r="V275" s="39" t="n">
        <f aca="false">IF(F275="BUY",S275-J275,J275-S275)</f>
        <v>-12.9099999999999</v>
      </c>
      <c r="W275" s="6" t="n">
        <v>-193.65</v>
      </c>
      <c r="X275" s="26" t="n">
        <f aca="false">IFERROR(W275/N275,0)</f>
        <v>-8.60666666666667</v>
      </c>
      <c r="Y275" s="22" t="str">
        <f aca="false">IF(W275&gt;0,"Win",IF(W275&lt;0,"Loss","Flat"))</f>
        <v>Loss</v>
      </c>
      <c r="Z275" s="24" t="n">
        <f aca="false">Summary!$C$5+SUM(W$2:W275)</f>
        <v>2082.3</v>
      </c>
      <c r="AA275" s="24" t="n">
        <f aca="false">MAX(AA274,Z275)</f>
        <v>5026.73</v>
      </c>
      <c r="AB275" s="24" t="n">
        <f aca="false">AA275-Z275</f>
        <v>2944.43</v>
      </c>
      <c r="AC275" s="23" t="n">
        <f aca="false">IFERROR(AB275/AA275,0)</f>
        <v>0.58575455614286</v>
      </c>
      <c r="AD275" s="22" t="s">
        <v>470</v>
      </c>
    </row>
    <row r="276" customFormat="false" ht="15" hidden="false" customHeight="false" outlineLevel="0" collapsed="false">
      <c r="A276" s="22" t="n">
        <v>275</v>
      </c>
      <c r="B276" s="22" t="s">
        <v>133</v>
      </c>
      <c r="C276" s="37" t="n">
        <v>46219.6362847222</v>
      </c>
      <c r="D276" s="22" t="s">
        <v>165</v>
      </c>
      <c r="E276" s="22" t="n">
        <v>15</v>
      </c>
      <c r="F276" s="22" t="s">
        <v>143</v>
      </c>
      <c r="G276" s="22" t="s">
        <v>197</v>
      </c>
      <c r="H276" s="22" t="n">
        <v>0.13</v>
      </c>
      <c r="I276" s="38" t="n">
        <v>4017.16</v>
      </c>
      <c r="J276" s="38" t="n">
        <v>4016.725</v>
      </c>
      <c r="K276" s="39" t="n">
        <f aca="false">IF(F276="BUY",J276-I276,I276-J276)</f>
        <v>0.434999999999945</v>
      </c>
      <c r="L276" s="38" t="n">
        <v>4018.66</v>
      </c>
      <c r="M276" s="39" t="n">
        <f aca="false">ABS(I276-L276)</f>
        <v>1.5</v>
      </c>
      <c r="N276" s="24" t="n">
        <f aca="false">M276*H276*Summary!$C$6</f>
        <v>19.5</v>
      </c>
      <c r="O276" s="37" t="n">
        <v>46219.6363078704</v>
      </c>
      <c r="P276" s="22" t="n">
        <f aca="false">ROUND((O276-C276)*86400,0)</f>
        <v>2</v>
      </c>
      <c r="Q276" s="22" t="str">
        <f aca="false">IF(P276&lt;10,"a) &lt;10s",IF(P276&lt;60,"b) 10-60s",IF(P276&lt;600,"c) 1-10min","d) &gt;10min")))</f>
        <v>a) &lt;10s</v>
      </c>
      <c r="R276" s="38" t="n">
        <v>4016.38</v>
      </c>
      <c r="S276" s="38" t="n">
        <v>4016.425</v>
      </c>
      <c r="T276" s="22" t="s">
        <v>149</v>
      </c>
      <c r="U276" s="39" t="n">
        <f aca="false">IF(R276="","",IF(F276="BUY",R276-S276,S276-R276))</f>
        <v>0.0450000000000728</v>
      </c>
      <c r="V276" s="39" t="n">
        <f aca="false">IF(F276="BUY",S276-J276,J276-S276)</f>
        <v>0.299999999999727</v>
      </c>
      <c r="W276" s="6" t="n">
        <v>3.9</v>
      </c>
      <c r="X276" s="26" t="n">
        <f aca="false">IFERROR(W276/N276,0)</f>
        <v>0.2</v>
      </c>
      <c r="Y276" s="22" t="str">
        <f aca="false">IF(W276&gt;0,"Win",IF(W276&lt;0,"Loss","Flat"))</f>
        <v>Win</v>
      </c>
      <c r="Z276" s="24" t="n">
        <f aca="false">Summary!$C$5+SUM(W$2:W276)</f>
        <v>2086.2</v>
      </c>
      <c r="AA276" s="24" t="n">
        <f aca="false">MAX(AA275,Z276)</f>
        <v>5026.73</v>
      </c>
      <c r="AB276" s="24" t="n">
        <f aca="false">AA276-Z276</f>
        <v>2940.53</v>
      </c>
      <c r="AC276" s="23" t="n">
        <f aca="false">IFERROR(AB276/AA276,0)</f>
        <v>0.584978703849222</v>
      </c>
      <c r="AD276" s="22" t="s">
        <v>471</v>
      </c>
    </row>
    <row r="277" customFormat="false" ht="15" hidden="false" customHeight="false" outlineLevel="0" collapsed="false">
      <c r="A277" s="22" t="n">
        <v>276</v>
      </c>
      <c r="B277" s="22" t="s">
        <v>133</v>
      </c>
      <c r="C277" s="37" t="n">
        <v>46220.6548958333</v>
      </c>
      <c r="D277" s="22" t="s">
        <v>166</v>
      </c>
      <c r="E277" s="22" t="n">
        <v>15</v>
      </c>
      <c r="F277" s="22" t="s">
        <v>143</v>
      </c>
      <c r="G277" s="22" t="s">
        <v>197</v>
      </c>
      <c r="H277" s="22" t="n">
        <v>0.13</v>
      </c>
      <c r="I277" s="38" t="n">
        <v>3969.05</v>
      </c>
      <c r="J277" s="38" t="n">
        <v>3968.035</v>
      </c>
      <c r="K277" s="39" t="n">
        <f aca="false">IF(F277="BUY",J277-I277,I277-J277)</f>
        <v>1.01500000000033</v>
      </c>
      <c r="L277" s="38" t="n">
        <v>3970.55</v>
      </c>
      <c r="M277" s="39" t="n">
        <f aca="false">ABS(I277-L277)</f>
        <v>1.5</v>
      </c>
      <c r="N277" s="24" t="n">
        <f aca="false">M277*H277*Summary!$C$6</f>
        <v>19.5</v>
      </c>
      <c r="O277" s="37" t="n">
        <v>46220.6549074074</v>
      </c>
      <c r="P277" s="22" t="n">
        <f aca="false">ROUND((O277-C277)*86400,0)</f>
        <v>1</v>
      </c>
      <c r="Q277" s="22" t="str">
        <f aca="false">IF(P277&lt;10,"a) &lt;10s",IF(P277&lt;60,"b) 10-60s",IF(P277&lt;600,"c) 1-10min","d) &gt;10min")))</f>
        <v>a) &lt;10s</v>
      </c>
      <c r="R277" s="38" t="n">
        <v>3970.55</v>
      </c>
      <c r="S277" s="38" t="n">
        <v>3971.395</v>
      </c>
      <c r="T277" s="22" t="s">
        <v>148</v>
      </c>
      <c r="U277" s="39" t="n">
        <f aca="false">IF(R277="","",IF(F277="BUY",R277-S277,S277-R277))</f>
        <v>0.8449999999998</v>
      </c>
      <c r="V277" s="39" t="n">
        <f aca="false">IF(F277="BUY",S277-J277,J277-S277)</f>
        <v>-3.36000000000013</v>
      </c>
      <c r="W277" s="6" t="n">
        <v>-43.68</v>
      </c>
      <c r="X277" s="26" t="n">
        <f aca="false">IFERROR(W277/N277,0)</f>
        <v>-2.24</v>
      </c>
      <c r="Y277" s="22" t="str">
        <f aca="false">IF(W277&gt;0,"Win",IF(W277&lt;0,"Loss","Flat"))</f>
        <v>Loss</v>
      </c>
      <c r="Z277" s="24" t="n">
        <f aca="false">Summary!$C$5+SUM(W$2:W277)</f>
        <v>2042.52</v>
      </c>
      <c r="AA277" s="24" t="n">
        <f aca="false">MAX(AA276,Z277)</f>
        <v>5026.73</v>
      </c>
      <c r="AB277" s="24" t="n">
        <f aca="false">AA277-Z277</f>
        <v>2984.21</v>
      </c>
      <c r="AC277" s="23" t="n">
        <f aca="false">IFERROR(AB277/AA277,0)</f>
        <v>0.59366824953797</v>
      </c>
      <c r="AD277" s="22" t="s">
        <v>472</v>
      </c>
    </row>
    <row r="278" customFormat="false" ht="15" hidden="false" customHeight="false" outlineLevel="0" collapsed="false">
      <c r="A278" s="22" t="n">
        <v>277</v>
      </c>
      <c r="B278" s="22" t="s">
        <v>133</v>
      </c>
      <c r="C278" s="37" t="n">
        <v>46223.2422222222</v>
      </c>
      <c r="D278" s="22" t="s">
        <v>162</v>
      </c>
      <c r="E278" s="22" t="n">
        <v>5</v>
      </c>
      <c r="F278" s="22" t="s">
        <v>142</v>
      </c>
      <c r="G278" s="22" t="s">
        <v>195</v>
      </c>
      <c r="H278" s="22" t="n">
        <v>0.13</v>
      </c>
      <c r="I278" s="38" t="n">
        <v>4023.65</v>
      </c>
      <c r="J278" s="38" t="n">
        <v>4023.655</v>
      </c>
      <c r="K278" s="39" t="n">
        <f aca="false">IF(F278="BUY",J278-I278,I278-J278)</f>
        <v>0.00500000000010914</v>
      </c>
      <c r="L278" s="38" t="n">
        <v>4022.15</v>
      </c>
      <c r="M278" s="39" t="n">
        <f aca="false">ABS(I278-L278)</f>
        <v>1.5</v>
      </c>
      <c r="N278" s="24" t="n">
        <f aca="false">M278*H278*Summary!$C$6</f>
        <v>19.5</v>
      </c>
      <c r="O278" s="37" t="n">
        <v>46223.2422453704</v>
      </c>
      <c r="P278" s="22" t="n">
        <f aca="false">ROUND((O278-C278)*86400,0)</f>
        <v>2</v>
      </c>
      <c r="Q278" s="22" t="str">
        <f aca="false">IF(P278&lt;10,"a) &lt;10s",IF(P278&lt;60,"b) 10-60s",IF(P278&lt;600,"c) 1-10min","d) &gt;10min")))</f>
        <v>a) &lt;10s</v>
      </c>
      <c r="R278" s="38" t="n">
        <v>4027.11</v>
      </c>
      <c r="S278" s="38" t="n">
        <v>4027.045</v>
      </c>
      <c r="T278" s="22" t="s">
        <v>149</v>
      </c>
      <c r="U278" s="39" t="n">
        <f aca="false">IF(R278="","",IF(F278="BUY",R278-S278,S278-R278))</f>
        <v>0.0650000000000546</v>
      </c>
      <c r="V278" s="39" t="n">
        <f aca="false">IF(F278="BUY",S278-J278,J278-S278)</f>
        <v>3.38999999999987</v>
      </c>
      <c r="W278" s="6" t="n">
        <v>44.07</v>
      </c>
      <c r="X278" s="26" t="n">
        <f aca="false">IFERROR(W278/N278,0)</f>
        <v>2.26</v>
      </c>
      <c r="Y278" s="22" t="str">
        <f aca="false">IF(W278&gt;0,"Win",IF(W278&lt;0,"Loss","Flat"))</f>
        <v>Win</v>
      </c>
      <c r="Z278" s="24" t="n">
        <f aca="false">Summary!$C$5+SUM(W$2:W278)</f>
        <v>2086.59</v>
      </c>
      <c r="AA278" s="24" t="n">
        <f aca="false">MAX(AA277,Z278)</f>
        <v>5026.73</v>
      </c>
      <c r="AB278" s="24" t="n">
        <f aca="false">AA278-Z278</f>
        <v>2940.14</v>
      </c>
      <c r="AC278" s="23" t="n">
        <f aca="false">IFERROR(AB278/AA278,0)</f>
        <v>0.584901118619858</v>
      </c>
      <c r="AD278" s="22" t="s">
        <v>473</v>
      </c>
    </row>
    <row r="279" customFormat="false" ht="15" hidden="false" customHeight="false" outlineLevel="0" collapsed="false">
      <c r="A279" s="22" t="n">
        <v>278</v>
      </c>
      <c r="B279" s="22" t="s">
        <v>133</v>
      </c>
      <c r="C279" s="37" t="n">
        <v>46224.2337268519</v>
      </c>
      <c r="D279" s="22" t="s">
        <v>163</v>
      </c>
      <c r="E279" s="22" t="n">
        <v>5</v>
      </c>
      <c r="F279" s="22" t="s">
        <v>142</v>
      </c>
      <c r="G279" s="22" t="s">
        <v>195</v>
      </c>
      <c r="H279" s="22" t="n">
        <v>0.13</v>
      </c>
      <c r="I279" s="38" t="n">
        <v>4040.44</v>
      </c>
      <c r="J279" s="38" t="n">
        <v>4040.585</v>
      </c>
      <c r="K279" s="39" t="n">
        <f aca="false">IF(F279="BUY",J279-I279,I279-J279)</f>
        <v>0.144999999999982</v>
      </c>
      <c r="L279" s="38" t="n">
        <v>4038.94</v>
      </c>
      <c r="M279" s="39" t="n">
        <f aca="false">ABS(I279-L279)</f>
        <v>1.5</v>
      </c>
      <c r="N279" s="24" t="n">
        <f aca="false">M279*H279*Summary!$C$6</f>
        <v>19.5</v>
      </c>
      <c r="O279" s="37" t="n">
        <v>46224.23375</v>
      </c>
      <c r="P279" s="22" t="n">
        <f aca="false">ROUND((O279-C279)*86400,0)</f>
        <v>2</v>
      </c>
      <c r="Q279" s="22" t="str">
        <f aca="false">IF(P279&lt;10,"a) &lt;10s",IF(P279&lt;60,"b) 10-60s",IF(P279&lt;600,"c) 1-10min","d) &gt;10min")))</f>
        <v>a) &lt;10s</v>
      </c>
      <c r="R279" s="38" t="n">
        <v>4043</v>
      </c>
      <c r="S279" s="38" t="n">
        <v>4042.845</v>
      </c>
      <c r="T279" s="22" t="s">
        <v>149</v>
      </c>
      <c r="U279" s="39" t="n">
        <f aca="false">IF(R279="","",IF(F279="BUY",R279-S279,S279-R279))</f>
        <v>0.1550000000002</v>
      </c>
      <c r="V279" s="39" t="n">
        <f aca="false">IF(F279="BUY",S279-J279,J279-S279)</f>
        <v>2.25999999999976</v>
      </c>
      <c r="W279" s="6" t="n">
        <v>29.38</v>
      </c>
      <c r="X279" s="26" t="n">
        <f aca="false">IFERROR(W279/N279,0)</f>
        <v>1.50666666666667</v>
      </c>
      <c r="Y279" s="22" t="str">
        <f aca="false">IF(W279&gt;0,"Win",IF(W279&lt;0,"Loss","Flat"))</f>
        <v>Win</v>
      </c>
      <c r="Z279" s="24" t="n">
        <f aca="false">Summary!$C$5+SUM(W$2:W279)</f>
        <v>2115.97</v>
      </c>
      <c r="AA279" s="24" t="n">
        <f aca="false">MAX(AA278,Z279)</f>
        <v>5026.73</v>
      </c>
      <c r="AB279" s="24" t="n">
        <f aca="false">AA279-Z279</f>
        <v>2910.76</v>
      </c>
      <c r="AC279" s="23" t="n">
        <f aca="false">IFERROR(AB279/AA279,0)</f>
        <v>0.57905636467445</v>
      </c>
      <c r="AD279" s="22" t="s">
        <v>474</v>
      </c>
    </row>
    <row r="280" customFormat="false" ht="15" hidden="false" customHeight="false" outlineLevel="0" collapsed="false">
      <c r="A280" s="22" t="n">
        <v>279</v>
      </c>
      <c r="B280" s="22" t="s">
        <v>133</v>
      </c>
      <c r="C280" s="37" t="n">
        <v>46225.1302662037</v>
      </c>
      <c r="D280" s="22" t="s">
        <v>164</v>
      </c>
      <c r="E280" s="22" t="n">
        <v>3</v>
      </c>
      <c r="F280" s="22" t="s">
        <v>142</v>
      </c>
      <c r="G280" s="22" t="s">
        <v>195</v>
      </c>
      <c r="H280" s="22" t="n">
        <v>0.14</v>
      </c>
      <c r="I280" s="38" t="n">
        <v>4086.78</v>
      </c>
      <c r="J280" s="38" t="n">
        <v>4086.845</v>
      </c>
      <c r="K280" s="39" t="n">
        <f aca="false">IF(F280="BUY",J280-I280,I280-J280)</f>
        <v>0.0649999999995998</v>
      </c>
      <c r="L280" s="38" t="n">
        <v>4085.28</v>
      </c>
      <c r="M280" s="39" t="n">
        <f aca="false">ABS(I280-L280)</f>
        <v>1.5</v>
      </c>
      <c r="N280" s="24" t="n">
        <f aca="false">M280*H280*Summary!$C$6</f>
        <v>21</v>
      </c>
      <c r="O280" s="37" t="n">
        <v>46225.1302893519</v>
      </c>
      <c r="P280" s="22" t="n">
        <f aca="false">ROUND((O280-C280)*86400,0)</f>
        <v>2</v>
      </c>
      <c r="Q280" s="22" t="str">
        <f aca="false">IF(P280&lt;10,"a) &lt;10s",IF(P280&lt;60,"b) 10-60s",IF(P280&lt;600,"c) 1-10min","d) &gt;10min")))</f>
        <v>a) &lt;10s</v>
      </c>
      <c r="R280" s="38" t="n">
        <v>4088.69</v>
      </c>
      <c r="S280" s="38" t="n">
        <v>4088.655</v>
      </c>
      <c r="T280" s="22" t="s">
        <v>149</v>
      </c>
      <c r="U280" s="39" t="n">
        <f aca="false">IF(R280="","",IF(F280="BUY",R280-S280,S280-R280))</f>
        <v>0.0349999999998545</v>
      </c>
      <c r="V280" s="39" t="n">
        <f aca="false">IF(F280="BUY",S280-J280,J280-S280)</f>
        <v>1.8100000000004</v>
      </c>
      <c r="W280" s="6" t="n">
        <v>25.34</v>
      </c>
      <c r="X280" s="26" t="n">
        <f aca="false">IFERROR(W280/N280,0)</f>
        <v>1.20666666666667</v>
      </c>
      <c r="Y280" s="22" t="str">
        <f aca="false">IF(W280&gt;0,"Win",IF(W280&lt;0,"Loss","Flat"))</f>
        <v>Win</v>
      </c>
      <c r="Z280" s="24" t="n">
        <f aca="false">Summary!$C$5+SUM(W$2:W280)</f>
        <v>2141.31</v>
      </c>
      <c r="AA280" s="24" t="n">
        <f aca="false">MAX(AA279,Z280)</f>
        <v>5026.73</v>
      </c>
      <c r="AB280" s="24" t="n">
        <f aca="false">AA280-Z280</f>
        <v>2885.42</v>
      </c>
      <c r="AC280" s="23" t="n">
        <f aca="false">IFERROR(AB280/AA280,0)</f>
        <v>0.574015314130657</v>
      </c>
      <c r="AD280" s="22" t="s">
        <v>475</v>
      </c>
    </row>
    <row r="281" customFormat="false" ht="15" hidden="false" customHeight="false" outlineLevel="0" collapsed="false">
      <c r="A281" s="22" t="n">
        <v>280</v>
      </c>
      <c r="B281" s="22" t="s">
        <v>133</v>
      </c>
      <c r="C281" s="37" t="n">
        <v>46226.6113888889</v>
      </c>
      <c r="D281" s="22" t="s">
        <v>165</v>
      </c>
      <c r="E281" s="22" t="n">
        <v>14</v>
      </c>
      <c r="F281" s="22" t="s">
        <v>143</v>
      </c>
      <c r="G281" s="22" t="s">
        <v>197</v>
      </c>
      <c r="H281" s="22" t="n">
        <v>0.14</v>
      </c>
      <c r="I281" s="38" t="n">
        <v>4076.33</v>
      </c>
      <c r="J281" s="38" t="n">
        <v>4076.095</v>
      </c>
      <c r="K281" s="39" t="n">
        <f aca="false">IF(F281="BUY",J281-I281,I281-J281)</f>
        <v>0.235000000000127</v>
      </c>
      <c r="L281" s="38" t="n">
        <v>4077.83</v>
      </c>
      <c r="M281" s="39" t="n">
        <f aca="false">ABS(I281-L281)</f>
        <v>1.5</v>
      </c>
      <c r="N281" s="24" t="n">
        <f aca="false">M281*H281*Summary!$C$6</f>
        <v>21</v>
      </c>
      <c r="O281" s="37" t="n">
        <v>46226.6115277778</v>
      </c>
      <c r="P281" s="22" t="n">
        <f aca="false">ROUND((O281-C281)*86400,0)</f>
        <v>12</v>
      </c>
      <c r="Q281" s="22" t="str">
        <f aca="false">IF(P281&lt;10,"a) &lt;10s",IF(P281&lt;60,"b) 10-60s",IF(P281&lt;600,"c) 1-10min","d) &gt;10min")))</f>
        <v>b) 10-60s</v>
      </c>
      <c r="R281" s="38" t="n">
        <v>4077.83</v>
      </c>
      <c r="S281" s="38" t="n">
        <v>4077.855</v>
      </c>
      <c r="T281" s="22" t="s">
        <v>148</v>
      </c>
      <c r="U281" s="39" t="n">
        <f aca="false">IF(R281="","",IF(F281="BUY",R281-S281,S281-R281))</f>
        <v>0.025000000000091</v>
      </c>
      <c r="V281" s="39" t="n">
        <f aca="false">IF(F281="BUY",S281-J281,J281-S281)</f>
        <v>-1.76000000000022</v>
      </c>
      <c r="W281" s="6" t="n">
        <v>-24.64</v>
      </c>
      <c r="X281" s="26" t="n">
        <f aca="false">IFERROR(W281/N281,0)</f>
        <v>-1.17333333333333</v>
      </c>
      <c r="Y281" s="22" t="str">
        <f aca="false">IF(W281&gt;0,"Win",IF(W281&lt;0,"Loss","Flat"))</f>
        <v>Loss</v>
      </c>
      <c r="Z281" s="24" t="n">
        <f aca="false">Summary!$C$5+SUM(W$2:W281)</f>
        <v>2116.67</v>
      </c>
      <c r="AA281" s="24" t="n">
        <f aca="false">MAX(AA280,Z281)</f>
        <v>5026.73</v>
      </c>
      <c r="AB281" s="24" t="n">
        <f aca="false">AA281-Z281</f>
        <v>2910.06</v>
      </c>
      <c r="AC281" s="23" t="n">
        <f aca="false">IFERROR(AB281/AA281,0)</f>
        <v>0.578917109134567</v>
      </c>
      <c r="AD281" s="22" t="s">
        <v>476</v>
      </c>
    </row>
    <row r="282" customFormat="false" ht="15" hidden="false" customHeight="false" outlineLevel="0" collapsed="false">
      <c r="A282" s="22" t="n">
        <v>281</v>
      </c>
      <c r="B282" s="22" t="s">
        <v>133</v>
      </c>
      <c r="C282" s="37" t="n">
        <v>46227.1696527778</v>
      </c>
      <c r="D282" s="22" t="s">
        <v>166</v>
      </c>
      <c r="E282" s="22" t="n">
        <v>4</v>
      </c>
      <c r="F282" s="22" t="s">
        <v>143</v>
      </c>
      <c r="G282" s="22" t="s">
        <v>197</v>
      </c>
      <c r="H282" s="22" t="n">
        <v>0.14</v>
      </c>
      <c r="I282" s="38" t="n">
        <v>4039.69</v>
      </c>
      <c r="J282" s="38" t="n">
        <v>4039.555</v>
      </c>
      <c r="K282" s="39" t="n">
        <f aca="false">IF(F282="BUY",J282-I282,I282-J282)</f>
        <v>0.135000000000218</v>
      </c>
      <c r="L282" s="38" t="n">
        <v>4041.19</v>
      </c>
      <c r="M282" s="39" t="n">
        <f aca="false">ABS(I282-L282)</f>
        <v>1.5</v>
      </c>
      <c r="N282" s="24" t="n">
        <f aca="false">M282*H282*Summary!$C$6</f>
        <v>21</v>
      </c>
      <c r="O282" s="37" t="n">
        <v>46227.1696527778</v>
      </c>
      <c r="P282" s="22" t="n">
        <f aca="false">ROUND((O282-C282)*86400,0)</f>
        <v>0</v>
      </c>
      <c r="Q282" s="22" t="str">
        <f aca="false">IF(P282&lt;10,"a) &lt;10s",IF(P282&lt;60,"b) 10-60s",IF(P282&lt;600,"c) 1-10min","d) &gt;10min")))</f>
        <v>a) &lt;10s</v>
      </c>
      <c r="R282" s="38" t="n">
        <v>4041.19</v>
      </c>
      <c r="S282" s="38" t="n">
        <v>4041.625</v>
      </c>
      <c r="T282" s="22" t="s">
        <v>148</v>
      </c>
      <c r="U282" s="39" t="n">
        <f aca="false">IF(R282="","",IF(F282="BUY",R282-S282,S282-R282))</f>
        <v>0.434999999999945</v>
      </c>
      <c r="V282" s="39" t="n">
        <f aca="false">IF(F282="BUY",S282-J282,J282-S282)</f>
        <v>-2.07000000000016</v>
      </c>
      <c r="W282" s="6" t="n">
        <v>-28.98</v>
      </c>
      <c r="X282" s="26" t="n">
        <f aca="false">IFERROR(W282/N282,0)</f>
        <v>-1.38</v>
      </c>
      <c r="Y282" s="22" t="str">
        <f aca="false">IF(W282&gt;0,"Win",IF(W282&lt;0,"Loss","Flat"))</f>
        <v>Loss</v>
      </c>
      <c r="Z282" s="24" t="n">
        <f aca="false">Summary!$C$5+SUM(W$2:W282)</f>
        <v>2087.69</v>
      </c>
      <c r="AA282" s="24" t="n">
        <f aca="false">MAX(AA281,Z282)</f>
        <v>5026.73</v>
      </c>
      <c r="AB282" s="24" t="n">
        <f aca="false">AA282-Z282</f>
        <v>2939.04</v>
      </c>
      <c r="AC282" s="23" t="n">
        <f aca="false">IFERROR(AB282/AA282,0)</f>
        <v>0.584682288485755</v>
      </c>
      <c r="AD282" s="22" t="s">
        <v>477</v>
      </c>
    </row>
    <row r="283" customFormat="false" ht="15" hidden="false" customHeight="false" outlineLevel="0" collapsed="false">
      <c r="A283" s="22" t="n">
        <v>282</v>
      </c>
      <c r="B283" s="22" t="s">
        <v>133</v>
      </c>
      <c r="C283" s="37" t="n">
        <v>46231.1284722222</v>
      </c>
      <c r="D283" s="22" t="s">
        <v>163</v>
      </c>
      <c r="E283" s="22" t="n">
        <v>3</v>
      </c>
      <c r="F283" s="22" t="s">
        <v>143</v>
      </c>
      <c r="G283" s="22" t="s">
        <v>197</v>
      </c>
      <c r="H283" s="22" t="n">
        <v>0.13</v>
      </c>
      <c r="I283" s="38" t="n">
        <v>4065.07</v>
      </c>
      <c r="J283" s="38" t="n">
        <v>4065.025</v>
      </c>
      <c r="K283" s="39" t="n">
        <f aca="false">IF(F283="BUY",J283-I283,I283-J283)</f>
        <v>0.0450000000000728</v>
      </c>
      <c r="L283" s="38" t="n">
        <v>4066.57</v>
      </c>
      <c r="M283" s="39" t="n">
        <f aca="false">ABS(I283-L283)</f>
        <v>1.5</v>
      </c>
      <c r="N283" s="24" t="n">
        <f aca="false">M283*H283*Summary!$C$6</f>
        <v>19.5</v>
      </c>
      <c r="O283" s="37" t="n">
        <v>46231.1285069444</v>
      </c>
      <c r="P283" s="22" t="n">
        <f aca="false">ROUND((O283-C283)*86400,0)</f>
        <v>3</v>
      </c>
      <c r="Q283" s="22" t="str">
        <f aca="false">IF(P283&lt;10,"a) &lt;10s",IF(P283&lt;60,"b) 10-60s",IF(P283&lt;600,"c) 1-10min","d) &gt;10min")))</f>
        <v>a) &lt;10s</v>
      </c>
      <c r="R283" s="38" t="n">
        <v>4064.76</v>
      </c>
      <c r="S283" s="38" t="n">
        <v>4064.775</v>
      </c>
      <c r="T283" s="22" t="s">
        <v>149</v>
      </c>
      <c r="U283" s="39" t="n">
        <f aca="false">IF(R283="","",IF(F283="BUY",R283-S283,S283-R283))</f>
        <v>0.0149999999998727</v>
      </c>
      <c r="V283" s="39" t="n">
        <f aca="false">IF(F283="BUY",S283-J283,J283-S283)</f>
        <v>0.25</v>
      </c>
      <c r="W283" s="6" t="n">
        <v>3.25</v>
      </c>
      <c r="X283" s="26" t="n">
        <f aca="false">IFERROR(W283/N283,0)</f>
        <v>0.166666666666667</v>
      </c>
      <c r="Y283" s="22" t="str">
        <f aca="false">IF(W283&gt;0,"Win",IF(W283&lt;0,"Loss","Flat"))</f>
        <v>Win</v>
      </c>
      <c r="Z283" s="24" t="n">
        <f aca="false">Summary!$C$5+SUM(W$2:W283)</f>
        <v>2090.94</v>
      </c>
      <c r="AA283" s="24" t="n">
        <f aca="false">MAX(AA282,Z283)</f>
        <v>5026.73</v>
      </c>
      <c r="AB283" s="24" t="n">
        <f aca="false">AA283-Z283</f>
        <v>2935.79</v>
      </c>
      <c r="AC283" s="23" t="n">
        <f aca="false">IFERROR(AB283/AA283,0)</f>
        <v>0.584035744907723</v>
      </c>
      <c r="AD283" s="22" t="s">
        <v>478</v>
      </c>
    </row>
    <row r="284" customFormat="false" ht="15" hidden="false" customHeight="false" outlineLevel="0" collapsed="false">
      <c r="A284" s="22" t="n">
        <v>283</v>
      </c>
      <c r="B284" s="22" t="s">
        <v>133</v>
      </c>
      <c r="C284" s="37" t="n">
        <v>46232.1698958333</v>
      </c>
      <c r="D284" s="22" t="s">
        <v>164</v>
      </c>
      <c r="E284" s="22" t="n">
        <v>4</v>
      </c>
      <c r="F284" s="22" t="s">
        <v>143</v>
      </c>
      <c r="G284" s="22" t="s">
        <v>197</v>
      </c>
      <c r="H284" s="22" t="n">
        <v>0.13</v>
      </c>
      <c r="I284" s="38" t="n">
        <v>4011.34</v>
      </c>
      <c r="J284" s="38" t="n">
        <v>4010.665</v>
      </c>
      <c r="K284" s="39" t="n">
        <f aca="false">IF(F284="BUY",J284-I284,I284-J284)</f>
        <v>0.675000000000182</v>
      </c>
      <c r="L284" s="38" t="n">
        <v>4012.84</v>
      </c>
      <c r="M284" s="39" t="n">
        <f aca="false">ABS(I284-L284)</f>
        <v>1.5</v>
      </c>
      <c r="N284" s="24" t="n">
        <f aca="false">M284*H284*Summary!$C$6</f>
        <v>19.5</v>
      </c>
      <c r="O284" s="37" t="n">
        <v>46232.1705787037</v>
      </c>
      <c r="P284" s="22" t="n">
        <f aca="false">ROUND((O284-C284)*86400,0)</f>
        <v>59</v>
      </c>
      <c r="Q284" s="22" t="str">
        <f aca="false">IF(P284&lt;10,"a) &lt;10s",IF(P284&lt;60,"b) 10-60s",IF(P284&lt;600,"c) 1-10min","d) &gt;10min")))</f>
        <v>b) 10-60s</v>
      </c>
      <c r="R284" s="38" t="n">
        <v>4012.84</v>
      </c>
      <c r="S284" s="38" t="n">
        <v>4013.025</v>
      </c>
      <c r="T284" s="22" t="s">
        <v>148</v>
      </c>
      <c r="U284" s="39" t="n">
        <f aca="false">IF(R284="","",IF(F284="BUY",R284-S284,S284-R284))</f>
        <v>0.184999999999945</v>
      </c>
      <c r="V284" s="39" t="n">
        <f aca="false">IF(F284="BUY",S284-J284,J284-S284)</f>
        <v>-2.36000000000013</v>
      </c>
      <c r="W284" s="6" t="n">
        <v>-30.68</v>
      </c>
      <c r="X284" s="26" t="n">
        <f aca="false">IFERROR(W284/N284,0)</f>
        <v>-1.57333333333333</v>
      </c>
      <c r="Y284" s="22" t="str">
        <f aca="false">IF(W284&gt;0,"Win",IF(W284&lt;0,"Loss","Flat"))</f>
        <v>Loss</v>
      </c>
      <c r="Z284" s="24" t="n">
        <f aca="false">Summary!$C$5+SUM(W$2:W284)</f>
        <v>2060.26</v>
      </c>
      <c r="AA284" s="24" t="n">
        <f aca="false">MAX(AA283,Z284)</f>
        <v>5026.73</v>
      </c>
      <c r="AB284" s="24" t="n">
        <f aca="false">AA284-Z284</f>
        <v>2966.47</v>
      </c>
      <c r="AC284" s="23" t="n">
        <f aca="false">IFERROR(AB284/AA284,0)</f>
        <v>0.590139116284344</v>
      </c>
      <c r="AD284" s="22" t="s">
        <v>479</v>
      </c>
    </row>
    <row r="285" customFormat="false" ht="15" hidden="false" customHeight="false" outlineLevel="0" collapsed="false">
      <c r="A285" s="22" t="n">
        <v>284</v>
      </c>
      <c r="B285" s="22" t="s">
        <v>133</v>
      </c>
      <c r="C285" s="37" t="n">
        <v>46232.8750925926</v>
      </c>
      <c r="D285" s="22" t="s">
        <v>164</v>
      </c>
      <c r="E285" s="22" t="n">
        <v>21</v>
      </c>
      <c r="F285" s="22" t="s">
        <v>142</v>
      </c>
      <c r="G285" s="22" t="s">
        <v>195</v>
      </c>
      <c r="H285" s="22" t="n">
        <v>0.13</v>
      </c>
      <c r="I285" s="38" t="n">
        <v>4081.77</v>
      </c>
      <c r="J285" s="38" t="n">
        <v>4082.135</v>
      </c>
      <c r="K285" s="39" t="n">
        <f aca="false">IF(F285="BUY",J285-I285,I285-J285)</f>
        <v>0.365000000000236</v>
      </c>
      <c r="L285" s="38" t="n">
        <v>4080.27</v>
      </c>
      <c r="M285" s="39" t="n">
        <f aca="false">ABS(I285-L285)</f>
        <v>1.5</v>
      </c>
      <c r="N285" s="24" t="n">
        <f aca="false">M285*H285*Summary!$C$6</f>
        <v>19.5</v>
      </c>
      <c r="O285" s="37" t="n">
        <v>46232.8750925926</v>
      </c>
      <c r="P285" s="22" t="n">
        <f aca="false">ROUND((O285-C285)*86400,0)</f>
        <v>0</v>
      </c>
      <c r="Q285" s="22" t="str">
        <f aca="false">IF(P285&lt;10,"a) &lt;10s",IF(P285&lt;60,"b) 10-60s",IF(P285&lt;600,"c) 1-10min","d) &gt;10min")))</f>
        <v>a) &lt;10s</v>
      </c>
      <c r="R285" s="38" t="n">
        <v>4080.27</v>
      </c>
      <c r="S285" s="38" t="n">
        <v>4077.435</v>
      </c>
      <c r="T285" s="22" t="s">
        <v>148</v>
      </c>
      <c r="U285" s="39" t="n">
        <f aca="false">IF(R285="","",IF(F285="BUY",R285-S285,S285-R285))</f>
        <v>2.83500000000004</v>
      </c>
      <c r="V285" s="39" t="n">
        <f aca="false">IF(F285="BUY",S285-J285,J285-S285)</f>
        <v>-4.70000000000027</v>
      </c>
      <c r="W285" s="6" t="n">
        <v>-61.1</v>
      </c>
      <c r="X285" s="26" t="n">
        <f aca="false">IFERROR(W285/N285,0)</f>
        <v>-3.13333333333333</v>
      </c>
      <c r="Y285" s="22" t="str">
        <f aca="false">IF(W285&gt;0,"Win",IF(W285&lt;0,"Loss","Flat"))</f>
        <v>Loss</v>
      </c>
      <c r="Z285" s="24" t="n">
        <f aca="false">Summary!$C$5+SUM(W$2:W285)</f>
        <v>1999.16</v>
      </c>
      <c r="AA285" s="24" t="n">
        <f aca="false">MAX(AA284,Z285)</f>
        <v>5026.73</v>
      </c>
      <c r="AB285" s="24" t="n">
        <f aca="false">AA285-Z285</f>
        <v>3027.57</v>
      </c>
      <c r="AC285" s="23" t="n">
        <f aca="false">IFERROR(AB285/AA285,0)</f>
        <v>0.602294135551343</v>
      </c>
      <c r="AD285" s="22" t="s">
        <v>480</v>
      </c>
    </row>
    <row r="286" customFormat="false" ht="15" hidden="false" customHeight="false" outlineLevel="0" collapsed="false">
      <c r="A286" s="22" t="n">
        <v>285</v>
      </c>
      <c r="B286" s="22" t="s">
        <v>133</v>
      </c>
      <c r="C286" s="37" t="n">
        <v>46233.7086689815</v>
      </c>
      <c r="D286" s="22" t="s">
        <v>165</v>
      </c>
      <c r="E286" s="22" t="n">
        <v>17</v>
      </c>
      <c r="F286" s="22" t="s">
        <v>142</v>
      </c>
      <c r="G286" s="22" t="s">
        <v>195</v>
      </c>
      <c r="H286" s="22" t="n">
        <v>0.13</v>
      </c>
      <c r="I286" s="38" t="n">
        <v>4116.1</v>
      </c>
      <c r="J286" s="38" t="n">
        <v>4117.015</v>
      </c>
      <c r="K286" s="39" t="n">
        <f aca="false">IF(F286="BUY",J286-I286,I286-J286)</f>
        <v>0.914999999999964</v>
      </c>
      <c r="L286" s="38" t="n">
        <v>4114.6</v>
      </c>
      <c r="M286" s="39" t="n">
        <f aca="false">ABS(I286-L286)</f>
        <v>1.5</v>
      </c>
      <c r="N286" s="24" t="n">
        <f aca="false">M286*H286*Summary!$C$6</f>
        <v>19.5</v>
      </c>
      <c r="O286" s="37" t="n">
        <v>46233.7086689815</v>
      </c>
      <c r="P286" s="22" t="n">
        <f aca="false">ROUND((O286-C286)*86400,0)</f>
        <v>0</v>
      </c>
      <c r="Q286" s="22" t="str">
        <f aca="false">IF(P286&lt;10,"a) &lt;10s",IF(P286&lt;60,"b) 10-60s",IF(P286&lt;600,"c) 1-10min","d) &gt;10min")))</f>
        <v>a) &lt;10s</v>
      </c>
      <c r="R286" s="38" t="n">
        <v>4118.01</v>
      </c>
      <c r="S286" s="38" t="n">
        <v>4117.915</v>
      </c>
      <c r="T286" s="22" t="s">
        <v>149</v>
      </c>
      <c r="U286" s="39" t="n">
        <f aca="false">IF(R286="","",IF(F286="BUY",R286-S286,S286-R286))</f>
        <v>0.0950000000002547</v>
      </c>
      <c r="V286" s="39" t="n">
        <f aca="false">IF(F286="BUY",S286-J286,J286-S286)</f>
        <v>0.899999999999636</v>
      </c>
      <c r="W286" s="6" t="n">
        <v>11.7</v>
      </c>
      <c r="X286" s="26" t="n">
        <f aca="false">IFERROR(W286/N286,0)</f>
        <v>0.6</v>
      </c>
      <c r="Y286" s="22" t="str">
        <f aca="false">IF(W286&gt;0,"Win",IF(W286&lt;0,"Loss","Flat"))</f>
        <v>Win</v>
      </c>
      <c r="Z286" s="24" t="n">
        <f aca="false">Summary!$C$5+SUM(W$2:W286)</f>
        <v>2010.86</v>
      </c>
      <c r="AA286" s="24" t="n">
        <f aca="false">MAX(AA285,Z286)</f>
        <v>5026.73</v>
      </c>
      <c r="AB286" s="24" t="n">
        <f aca="false">AA286-Z286</f>
        <v>3015.87</v>
      </c>
      <c r="AC286" s="23" t="n">
        <f aca="false">IFERROR(AB286/AA286,0)</f>
        <v>0.599966578670428</v>
      </c>
      <c r="AD286" s="22" t="s">
        <v>481</v>
      </c>
    </row>
    <row r="287" customFormat="false" ht="15" hidden="false" customHeight="false" outlineLevel="0" collapsed="false">
      <c r="A287" s="22" t="n">
        <v>286</v>
      </c>
      <c r="B287" s="22" t="s">
        <v>133</v>
      </c>
      <c r="C287" s="37" t="n">
        <v>46234.6942013889</v>
      </c>
      <c r="D287" s="22" t="s">
        <v>166</v>
      </c>
      <c r="E287" s="22" t="n">
        <v>16</v>
      </c>
      <c r="F287" s="22" t="s">
        <v>143</v>
      </c>
      <c r="G287" s="22" t="s">
        <v>197</v>
      </c>
      <c r="H287" s="22" t="n">
        <v>0.13</v>
      </c>
      <c r="I287" s="38" t="n">
        <v>4028.16</v>
      </c>
      <c r="J287" s="38" t="n">
        <v>4028.115</v>
      </c>
      <c r="K287" s="39" t="n">
        <f aca="false">IF(F287="BUY",J287-I287,I287-J287)</f>
        <v>0.0450000000000728</v>
      </c>
      <c r="L287" s="38" t="n">
        <v>4029.66</v>
      </c>
      <c r="M287" s="39" t="n">
        <f aca="false">ABS(I287-L287)</f>
        <v>1.5</v>
      </c>
      <c r="N287" s="24" t="n">
        <f aca="false">M287*H287*Summary!$C$6</f>
        <v>19.5</v>
      </c>
      <c r="O287" s="37" t="n">
        <v>46234.694224537</v>
      </c>
      <c r="P287" s="22" t="n">
        <f aca="false">ROUND((O287-C287)*86400,0)</f>
        <v>2</v>
      </c>
      <c r="Q287" s="22" t="str">
        <f aca="false">IF(P287&lt;10,"a) &lt;10s",IF(P287&lt;60,"b) 10-60s",IF(P287&lt;600,"c) 1-10min","d) &gt;10min")))</f>
        <v>a) &lt;10s</v>
      </c>
      <c r="R287" s="38" t="n">
        <v>4028.11</v>
      </c>
      <c r="S287" s="38" t="n">
        <v>4028.215</v>
      </c>
      <c r="T287" s="22" t="s">
        <v>149</v>
      </c>
      <c r="U287" s="39" t="n">
        <f aca="false">IF(R287="","",IF(F287="BUY",R287-S287,S287-R287))</f>
        <v>0.105000000000018</v>
      </c>
      <c r="V287" s="39" t="n">
        <f aca="false">IF(F287="BUY",S287-J287,J287-S287)</f>
        <v>-0.100000000000364</v>
      </c>
      <c r="W287" s="6" t="n">
        <v>-1.3</v>
      </c>
      <c r="X287" s="26" t="n">
        <f aca="false">IFERROR(W287/N287,0)</f>
        <v>-0.0666666666666667</v>
      </c>
      <c r="Y287" s="22" t="str">
        <f aca="false">IF(W287&gt;0,"Win",IF(W287&lt;0,"Loss","Flat"))</f>
        <v>Loss</v>
      </c>
      <c r="Z287" s="24" t="n">
        <f aca="false">Summary!$C$5+SUM(W$2:W287)</f>
        <v>2009.56</v>
      </c>
      <c r="AA287" s="24" t="n">
        <f aca="false">MAX(AA286,Z287)</f>
        <v>5026.73</v>
      </c>
      <c r="AB287" s="24" t="n">
        <f aca="false">AA287-Z287</f>
        <v>3017.17</v>
      </c>
      <c r="AC287" s="23" t="n">
        <f aca="false">IFERROR(AB287/AA287,0)</f>
        <v>0.600225196101641</v>
      </c>
      <c r="AD287" s="22" t="s">
        <v>482</v>
      </c>
    </row>
    <row r="288" customFormat="false" ht="15" hidden="false" customHeight="false" outlineLevel="0" collapsed="false">
      <c r="A288" s="22" t="n">
        <v>287</v>
      </c>
      <c r="B288" s="22" t="s">
        <v>134</v>
      </c>
      <c r="C288" s="37" t="n">
        <v>46237.6931597222</v>
      </c>
      <c r="D288" s="22" t="s">
        <v>162</v>
      </c>
      <c r="E288" s="22" t="n">
        <v>16</v>
      </c>
      <c r="F288" s="22" t="s">
        <v>143</v>
      </c>
      <c r="G288" s="22" t="s">
        <v>197</v>
      </c>
      <c r="H288" s="22" t="n">
        <v>0.13</v>
      </c>
      <c r="I288" s="38" t="n">
        <v>4020.55</v>
      </c>
      <c r="J288" s="38" t="n">
        <v>4020.535</v>
      </c>
      <c r="K288" s="39" t="n">
        <f aca="false">IF(F288="BUY",J288-I288,I288-J288)</f>
        <v>0.0150000000003274</v>
      </c>
      <c r="L288" s="38" t="n">
        <v>4022.05</v>
      </c>
      <c r="M288" s="39" t="n">
        <f aca="false">ABS(I288-L288)</f>
        <v>1.5</v>
      </c>
      <c r="N288" s="24" t="n">
        <f aca="false">M288*H288*Summary!$C$6</f>
        <v>19.5</v>
      </c>
      <c r="O288" s="37" t="n">
        <v>46237.6931828704</v>
      </c>
      <c r="P288" s="22" t="n">
        <f aca="false">ROUND((O288-C288)*86400,0)</f>
        <v>2</v>
      </c>
      <c r="Q288" s="22" t="str">
        <f aca="false">IF(P288&lt;10,"a) &lt;10s",IF(P288&lt;60,"b) 10-60s",IF(P288&lt;600,"c) 1-10min","d) &gt;10min")))</f>
        <v>a) &lt;10s</v>
      </c>
      <c r="R288" s="38" t="n">
        <v>4020.5</v>
      </c>
      <c r="S288" s="38" t="n">
        <v>4020.585</v>
      </c>
      <c r="T288" s="22" t="s">
        <v>149</v>
      </c>
      <c r="U288" s="39" t="n">
        <f aca="false">IF(R288="","",IF(F288="BUY",R288-S288,S288-R288))</f>
        <v>0.0850000000000364</v>
      </c>
      <c r="V288" s="39" t="n">
        <f aca="false">IF(F288="BUY",S288-J288,J288-S288)</f>
        <v>-0.0500000000001819</v>
      </c>
      <c r="W288" s="6" t="n">
        <v>-0.65</v>
      </c>
      <c r="X288" s="26" t="n">
        <f aca="false">IFERROR(W288/N288,0)</f>
        <v>-0.0333333333333333</v>
      </c>
      <c r="Y288" s="22" t="str">
        <f aca="false">IF(W288&gt;0,"Win",IF(W288&lt;0,"Loss","Flat"))</f>
        <v>Loss</v>
      </c>
      <c r="Z288" s="24" t="n">
        <f aca="false">Summary!$C$5+SUM(W$2:W288)</f>
        <v>2008.91</v>
      </c>
      <c r="AA288" s="24" t="n">
        <f aca="false">MAX(AA287,Z288)</f>
        <v>5026.73</v>
      </c>
      <c r="AB288" s="24" t="n">
        <f aca="false">AA288-Z288</f>
        <v>3017.82</v>
      </c>
      <c r="AC288" s="23" t="n">
        <f aca="false">IFERROR(AB288/AA288,0)</f>
        <v>0.600354504817247</v>
      </c>
      <c r="AD288" s="22" t="s">
        <v>483</v>
      </c>
    </row>
    <row r="289" customFormat="false" ht="15" hidden="false" customHeight="false" outlineLevel="0" collapsed="false">
      <c r="A289" s="22" t="n">
        <v>288</v>
      </c>
      <c r="B289" s="22" t="s">
        <v>134</v>
      </c>
      <c r="C289" s="37" t="n">
        <v>46238.6194328704</v>
      </c>
      <c r="D289" s="22" t="s">
        <v>163</v>
      </c>
      <c r="E289" s="22" t="n">
        <v>14</v>
      </c>
      <c r="F289" s="22" t="s">
        <v>142</v>
      </c>
      <c r="G289" s="22" t="s">
        <v>195</v>
      </c>
      <c r="H289" s="22" t="n">
        <v>0.13</v>
      </c>
      <c r="I289" s="38" t="n">
        <v>4081.94</v>
      </c>
      <c r="J289" s="38" t="n">
        <v>4081.965</v>
      </c>
      <c r="K289" s="39" t="n">
        <f aca="false">IF(F289="BUY",J289-I289,I289-J289)</f>
        <v>0.025000000000091</v>
      </c>
      <c r="L289" s="38" t="n">
        <v>4080.44</v>
      </c>
      <c r="M289" s="39" t="n">
        <f aca="false">ABS(I289-L289)</f>
        <v>1.5</v>
      </c>
      <c r="N289" s="24" t="n">
        <f aca="false">M289*H289*Summary!$C$6</f>
        <v>19.5</v>
      </c>
      <c r="O289" s="37" t="n">
        <v>46238.6194907407</v>
      </c>
      <c r="P289" s="22" t="n">
        <f aca="false">ROUND((O289-C289)*86400,0)</f>
        <v>5</v>
      </c>
      <c r="Q289" s="22" t="str">
        <f aca="false">IF(P289&lt;10,"a) &lt;10s",IF(P289&lt;60,"b) 10-60s",IF(P289&lt;600,"c) 1-10min","d) &gt;10min")))</f>
        <v>a) &lt;10s</v>
      </c>
      <c r="R289" s="38" t="n">
        <v>4081.97</v>
      </c>
      <c r="S289" s="38" t="n">
        <v>4081.825</v>
      </c>
      <c r="T289" s="22" t="s">
        <v>149</v>
      </c>
      <c r="U289" s="39" t="n">
        <f aca="false">IF(R289="","",IF(F289="BUY",R289-S289,S289-R289))</f>
        <v>0.144999999999982</v>
      </c>
      <c r="V289" s="39" t="n">
        <f aca="false">IF(F289="BUY",S289-J289,J289-S289)</f>
        <v>-0.140000000000327</v>
      </c>
      <c r="W289" s="6" t="n">
        <v>-1.82</v>
      </c>
      <c r="X289" s="26" t="n">
        <f aca="false">IFERROR(W289/N289,0)</f>
        <v>-0.0933333333333333</v>
      </c>
      <c r="Y289" s="22" t="str">
        <f aca="false">IF(W289&gt;0,"Win",IF(W289&lt;0,"Loss","Flat"))</f>
        <v>Loss</v>
      </c>
      <c r="Z289" s="24" t="n">
        <f aca="false">Summary!$C$5+SUM(W$2:W289)</f>
        <v>2007.09</v>
      </c>
      <c r="AA289" s="24" t="n">
        <f aca="false">MAX(AA288,Z289)</f>
        <v>5026.73</v>
      </c>
      <c r="AB289" s="24" t="n">
        <f aca="false">AA289-Z289</f>
        <v>3019.64</v>
      </c>
      <c r="AC289" s="23" t="n">
        <f aca="false">IFERROR(AB289/AA289,0)</f>
        <v>0.600716569220945</v>
      </c>
      <c r="AD289" s="22" t="s">
        <v>484</v>
      </c>
    </row>
    <row r="290" customFormat="false" ht="15" hidden="false" customHeight="false" outlineLevel="0" collapsed="false">
      <c r="A290" s="22" t="n">
        <v>289</v>
      </c>
      <c r="B290" s="22" t="s">
        <v>134</v>
      </c>
      <c r="C290" s="37" t="n">
        <v>46239.2262731482</v>
      </c>
      <c r="D290" s="22" t="s">
        <v>164</v>
      </c>
      <c r="E290" s="22" t="n">
        <v>5</v>
      </c>
      <c r="F290" s="22" t="s">
        <v>142</v>
      </c>
      <c r="G290" s="22" t="s">
        <v>195</v>
      </c>
      <c r="H290" s="22" t="n">
        <v>0.13</v>
      </c>
      <c r="I290" s="38" t="n">
        <v>4106.4</v>
      </c>
      <c r="J290" s="38" t="n">
        <v>4107.245</v>
      </c>
      <c r="K290" s="39" t="n">
        <f aca="false">IF(F290="BUY",J290-I290,I290-J290)</f>
        <v>0.845000000000255</v>
      </c>
      <c r="L290" s="38" t="n">
        <v>4104.9</v>
      </c>
      <c r="M290" s="39" t="n">
        <f aca="false">ABS(I290-L290)</f>
        <v>1.5</v>
      </c>
      <c r="N290" s="24" t="n">
        <f aca="false">M290*H290*Summary!$C$6</f>
        <v>19.5</v>
      </c>
      <c r="O290" s="37" t="n">
        <v>46239.2262962963</v>
      </c>
      <c r="P290" s="22" t="n">
        <f aca="false">ROUND((O290-C290)*86400,0)</f>
        <v>2</v>
      </c>
      <c r="Q290" s="22" t="str">
        <f aca="false">IF(P290&lt;10,"a) &lt;10s",IF(P290&lt;60,"b) 10-60s",IF(P290&lt;600,"c) 1-10min","d) &gt;10min")))</f>
        <v>a) &lt;10s</v>
      </c>
      <c r="R290" s="38" t="n">
        <v>4107.8</v>
      </c>
      <c r="S290" s="38" t="n">
        <v>4107.585</v>
      </c>
      <c r="T290" s="22" t="s">
        <v>149</v>
      </c>
      <c r="U290" s="39" t="n">
        <f aca="false">IF(R290="","",IF(F290="BUY",R290-S290,S290-R290))</f>
        <v>0.215000000000146</v>
      </c>
      <c r="V290" s="39" t="n">
        <f aca="false">IF(F290="BUY",S290-J290,J290-S290)</f>
        <v>0.340000000000146</v>
      </c>
      <c r="W290" s="6" t="n">
        <v>4.42</v>
      </c>
      <c r="X290" s="26" t="n">
        <f aca="false">IFERROR(W290/N290,0)</f>
        <v>0.226666666666667</v>
      </c>
      <c r="Y290" s="22" t="str">
        <f aca="false">IF(W290&gt;0,"Win",IF(W290&lt;0,"Loss","Flat"))</f>
        <v>Win</v>
      </c>
      <c r="Z290" s="24" t="n">
        <f aca="false">Summary!$C$5+SUM(W$2:W290)</f>
        <v>2011.51</v>
      </c>
      <c r="AA290" s="24" t="n">
        <f aca="false">MAX(AA289,Z290)</f>
        <v>5026.73</v>
      </c>
      <c r="AB290" s="24" t="n">
        <f aca="false">AA290-Z290</f>
        <v>3015.22</v>
      </c>
      <c r="AC290" s="23" t="n">
        <f aca="false">IFERROR(AB290/AA290,0)</f>
        <v>0.599837269954822</v>
      </c>
      <c r="AD290" s="22" t="s">
        <v>485</v>
      </c>
    </row>
    <row r="291" customFormat="false" ht="15" hidden="false" customHeight="false" outlineLevel="0" collapsed="false">
      <c r="A291" s="22" t="n">
        <v>290</v>
      </c>
      <c r="B291" s="22" t="s">
        <v>134</v>
      </c>
      <c r="C291" s="37" t="n">
        <v>46240.1077314815</v>
      </c>
      <c r="D291" s="22" t="s">
        <v>165</v>
      </c>
      <c r="E291" s="22" t="n">
        <v>2</v>
      </c>
      <c r="F291" s="22" t="s">
        <v>142</v>
      </c>
      <c r="G291" s="22" t="s">
        <v>195</v>
      </c>
      <c r="H291" s="22" t="n">
        <v>0.13</v>
      </c>
      <c r="I291" s="38" t="n">
        <v>4267.72</v>
      </c>
      <c r="J291" s="38" t="n">
        <v>4267.745</v>
      </c>
      <c r="K291" s="39" t="n">
        <f aca="false">IF(F291="BUY",J291-I291,I291-J291)</f>
        <v>0.0249999999996362</v>
      </c>
      <c r="L291" s="38" t="n">
        <v>4266.22</v>
      </c>
      <c r="M291" s="39" t="n">
        <f aca="false">ABS(I291-L291)</f>
        <v>1.5</v>
      </c>
      <c r="N291" s="24" t="n">
        <f aca="false">M291*H291*Summary!$C$6</f>
        <v>19.5</v>
      </c>
      <c r="O291" s="37" t="n">
        <v>46240.1077430556</v>
      </c>
      <c r="P291" s="22" t="n">
        <f aca="false">ROUND((O291-C291)*86400,0)</f>
        <v>1</v>
      </c>
      <c r="Q291" s="22" t="str">
        <f aca="false">IF(P291&lt;10,"a) &lt;10s",IF(P291&lt;60,"b) 10-60s",IF(P291&lt;600,"c) 1-10min","d) &gt;10min")))</f>
        <v>a) &lt;10s</v>
      </c>
      <c r="R291" s="38" t="n">
        <v>4268.27</v>
      </c>
      <c r="S291" s="38" t="n">
        <v>4267.735</v>
      </c>
      <c r="T291" s="22" t="s">
        <v>149</v>
      </c>
      <c r="U291" s="39" t="n">
        <f aca="false">IF(R291="","",IF(F291="BUY",R291-S291,S291-R291))</f>
        <v>0.535000000000764</v>
      </c>
      <c r="V291" s="39" t="n">
        <f aca="false">IF(F291="BUY",S291-J291,J291-S291)</f>
        <v>-0.0100000000002183</v>
      </c>
      <c r="W291" s="6" t="n">
        <v>-0.13</v>
      </c>
      <c r="X291" s="26" t="n">
        <f aca="false">IFERROR(W291/N291,0)</f>
        <v>-0.00666666666666667</v>
      </c>
      <c r="Y291" s="22" t="str">
        <f aca="false">IF(W291&gt;0,"Win",IF(W291&lt;0,"Loss","Flat"))</f>
        <v>Loss</v>
      </c>
      <c r="Z291" s="24" t="n">
        <f aca="false">Summary!$C$5+SUM(W$2:W291)</f>
        <v>2011.38</v>
      </c>
      <c r="AA291" s="24" t="n">
        <f aca="false">MAX(AA290,Z291)</f>
        <v>5026.73</v>
      </c>
      <c r="AB291" s="24" t="n">
        <f aca="false">AA291-Z291</f>
        <v>3015.35</v>
      </c>
      <c r="AC291" s="23" t="n">
        <f aca="false">IFERROR(AB291/AA291,0)</f>
        <v>0.599863131697943</v>
      </c>
      <c r="AD291" s="22" t="s">
        <v>486</v>
      </c>
    </row>
    <row r="292" customFormat="false" ht="15" hidden="false" customHeight="false" outlineLevel="0" collapsed="false">
      <c r="A292" s="22" t="n">
        <v>291</v>
      </c>
      <c r="B292" s="22" t="s">
        <v>134</v>
      </c>
      <c r="C292" s="37" t="n">
        <v>46241.4818518519</v>
      </c>
      <c r="D292" s="22" t="s">
        <v>166</v>
      </c>
      <c r="E292" s="22" t="n">
        <v>11</v>
      </c>
      <c r="F292" s="22" t="s">
        <v>142</v>
      </c>
      <c r="G292" s="22" t="s">
        <v>195</v>
      </c>
      <c r="H292" s="22" t="n">
        <v>0.13</v>
      </c>
      <c r="I292" s="38" t="n">
        <v>4303.75</v>
      </c>
      <c r="J292" s="38" t="n">
        <v>4303.925</v>
      </c>
      <c r="K292" s="39" t="n">
        <f aca="false">IF(F292="BUY",J292-I292,I292-J292)</f>
        <v>0.175000000000182</v>
      </c>
      <c r="L292" s="38" t="n">
        <v>4302.25</v>
      </c>
      <c r="M292" s="39" t="n">
        <f aca="false">ABS(I292-L292)</f>
        <v>1.5</v>
      </c>
      <c r="N292" s="24" t="n">
        <f aca="false">M292*H292*Summary!$C$6</f>
        <v>19.5</v>
      </c>
      <c r="O292" s="37" t="n">
        <v>46241.4818634259</v>
      </c>
      <c r="P292" s="22" t="n">
        <f aca="false">ROUND((O292-C292)*86400,0)</f>
        <v>1</v>
      </c>
      <c r="Q292" s="22" t="str">
        <f aca="false">IF(P292&lt;10,"a) &lt;10s",IF(P292&lt;60,"b) 10-60s",IF(P292&lt;600,"c) 1-10min","d) &gt;10min")))</f>
        <v>a) &lt;10s</v>
      </c>
      <c r="R292" s="38" t="n">
        <v>4309.56</v>
      </c>
      <c r="S292" s="38" t="n">
        <v>4309.295</v>
      </c>
      <c r="T292" s="22" t="s">
        <v>149</v>
      </c>
      <c r="U292" s="39" t="n">
        <f aca="false">IF(R292="","",IF(F292="BUY",R292-S292,S292-R292))</f>
        <v>0.265000000000327</v>
      </c>
      <c r="V292" s="39" t="n">
        <f aca="false">IF(F292="BUY",S292-J292,J292-S292)</f>
        <v>5.36999999999989</v>
      </c>
      <c r="W292" s="6" t="n">
        <v>69.81</v>
      </c>
      <c r="X292" s="26" t="n">
        <f aca="false">IFERROR(W292/N292,0)</f>
        <v>3.58</v>
      </c>
      <c r="Y292" s="22" t="str">
        <f aca="false">IF(W292&gt;0,"Win",IF(W292&lt;0,"Loss","Flat"))</f>
        <v>Win</v>
      </c>
      <c r="Z292" s="24" t="n">
        <f aca="false">Summary!$C$5+SUM(W$2:W292)</f>
        <v>2081.19</v>
      </c>
      <c r="AA292" s="24" t="n">
        <f aca="false">MAX(AA291,Z292)</f>
        <v>5026.73</v>
      </c>
      <c r="AB292" s="24" t="n">
        <f aca="false">AA292-Z292</f>
        <v>2945.54</v>
      </c>
      <c r="AC292" s="23" t="n">
        <f aca="false">IFERROR(AB292/AA292,0)</f>
        <v>0.585975375641819</v>
      </c>
      <c r="AD292" s="22" t="s">
        <v>487</v>
      </c>
    </row>
    <row r="293" customFormat="false" ht="15" hidden="false" customHeight="false" outlineLevel="0" collapsed="false">
      <c r="A293" s="22" t="n">
        <v>292</v>
      </c>
      <c r="B293" s="22" t="s">
        <v>134</v>
      </c>
      <c r="C293" s="37" t="n">
        <v>46244.8967939815</v>
      </c>
      <c r="D293" s="22" t="s">
        <v>162</v>
      </c>
      <c r="E293" s="22" t="n">
        <v>21</v>
      </c>
      <c r="F293" s="22" t="s">
        <v>142</v>
      </c>
      <c r="G293" s="22" t="s">
        <v>195</v>
      </c>
      <c r="H293" s="22" t="n">
        <v>0.13</v>
      </c>
      <c r="I293" s="38" t="n">
        <v>4371.69</v>
      </c>
      <c r="J293" s="38" t="n">
        <v>4372.385</v>
      </c>
      <c r="K293" s="39" t="n">
        <f aca="false">IF(F293="BUY",J293-I293,I293-J293)</f>
        <v>0.695000000000619</v>
      </c>
      <c r="L293" s="38" t="n">
        <v>4370.19</v>
      </c>
      <c r="M293" s="39" t="n">
        <f aca="false">ABS(I293-L293)</f>
        <v>1.5</v>
      </c>
      <c r="N293" s="24" t="n">
        <f aca="false">M293*H293*Summary!$C$6</f>
        <v>19.5</v>
      </c>
      <c r="O293" s="37" t="n">
        <v>46244.8968055556</v>
      </c>
      <c r="P293" s="22" t="n">
        <f aca="false">ROUND((O293-C293)*86400,0)</f>
        <v>1</v>
      </c>
      <c r="Q293" s="22" t="str">
        <f aca="false">IF(P293&lt;10,"a) &lt;10s",IF(P293&lt;60,"b) 10-60s",IF(P293&lt;600,"c) 1-10min","d) &gt;10min")))</f>
        <v>a) &lt;10s</v>
      </c>
      <c r="R293" s="38" t="n">
        <v>4375.35</v>
      </c>
      <c r="S293" s="38" t="n">
        <v>4375.245</v>
      </c>
      <c r="T293" s="22" t="s">
        <v>149</v>
      </c>
      <c r="U293" s="39" t="n">
        <f aca="false">IF(R293="","",IF(F293="BUY",R293-S293,S293-R293))</f>
        <v>0.105000000000473</v>
      </c>
      <c r="V293" s="39" t="n">
        <f aca="false">IF(F293="BUY",S293-J293,J293-S293)</f>
        <v>2.85999999999967</v>
      </c>
      <c r="W293" s="6" t="n">
        <v>37.18</v>
      </c>
      <c r="X293" s="26" t="n">
        <f aca="false">IFERROR(W293/N293,0)</f>
        <v>1.90666666666667</v>
      </c>
      <c r="Y293" s="22" t="str">
        <f aca="false">IF(W293&gt;0,"Win",IF(W293&lt;0,"Loss","Flat"))</f>
        <v>Win</v>
      </c>
      <c r="Z293" s="24" t="n">
        <f aca="false">Summary!$C$5+SUM(W$2:W293)</f>
        <v>2118.37</v>
      </c>
      <c r="AA293" s="24" t="n">
        <f aca="false">MAX(AA292,Z293)</f>
        <v>5026.73</v>
      </c>
      <c r="AB293" s="24" t="n">
        <f aca="false">AA293-Z293</f>
        <v>2908.36</v>
      </c>
      <c r="AC293" s="23" t="n">
        <f aca="false">IFERROR(AB293/AA293,0)</f>
        <v>0.578578917109135</v>
      </c>
      <c r="AD293" s="22" t="s">
        <v>488</v>
      </c>
    </row>
    <row r="294" customFormat="false" ht="15" hidden="false" customHeight="false" outlineLevel="0" collapsed="false">
      <c r="A294" s="22" t="n">
        <v>293</v>
      </c>
      <c r="B294" s="22" t="s">
        <v>134</v>
      </c>
      <c r="C294" s="37" t="n">
        <v>46245.0709722222</v>
      </c>
      <c r="D294" s="22" t="s">
        <v>163</v>
      </c>
      <c r="E294" s="22" t="n">
        <v>1</v>
      </c>
      <c r="F294" s="22" t="s">
        <v>142</v>
      </c>
      <c r="G294" s="22" t="s">
        <v>195</v>
      </c>
      <c r="H294" s="22" t="n">
        <v>0.14</v>
      </c>
      <c r="I294" s="38" t="n">
        <v>4394.83</v>
      </c>
      <c r="J294" s="38" t="n">
        <v>4394.855</v>
      </c>
      <c r="K294" s="39" t="n">
        <f aca="false">IF(F294="BUY",J294-I294,I294-J294)</f>
        <v>0.0249999999996362</v>
      </c>
      <c r="L294" s="38" t="n">
        <v>4393.33</v>
      </c>
      <c r="M294" s="39" t="n">
        <f aca="false">ABS(I294-L294)</f>
        <v>1.5</v>
      </c>
      <c r="N294" s="24" t="n">
        <f aca="false">M294*H294*Summary!$C$6</f>
        <v>21</v>
      </c>
      <c r="O294" s="37" t="n">
        <v>46245.0710069445</v>
      </c>
      <c r="P294" s="22" t="n">
        <f aca="false">ROUND((O294-C294)*86400,0)</f>
        <v>3</v>
      </c>
      <c r="Q294" s="22" t="str">
        <f aca="false">IF(P294&lt;10,"a) &lt;10s",IF(P294&lt;60,"b) 10-60s",IF(P294&lt;600,"c) 1-10min","d) &gt;10min")))</f>
        <v>a) &lt;10s</v>
      </c>
      <c r="R294" s="38" t="n">
        <v>4393.33</v>
      </c>
      <c r="S294" s="38" t="n">
        <v>4393.145</v>
      </c>
      <c r="T294" s="22" t="s">
        <v>148</v>
      </c>
      <c r="U294" s="39" t="n">
        <f aca="false">IF(R294="","",IF(F294="BUY",R294-S294,S294-R294))</f>
        <v>0.184999999999491</v>
      </c>
      <c r="V294" s="39" t="n">
        <f aca="false">IF(F294="BUY",S294-J294,J294-S294)</f>
        <v>-1.70999999999913</v>
      </c>
      <c r="W294" s="6" t="n">
        <v>-23.94</v>
      </c>
      <c r="X294" s="26" t="n">
        <f aca="false">IFERROR(W294/N294,0)</f>
        <v>-1.14</v>
      </c>
      <c r="Y294" s="22" t="str">
        <f aca="false">IF(W294&gt;0,"Win",IF(W294&lt;0,"Loss","Flat"))</f>
        <v>Loss</v>
      </c>
      <c r="Z294" s="24" t="n">
        <f aca="false">Summary!$C$5+SUM(W$2:W294)</f>
        <v>2094.43</v>
      </c>
      <c r="AA294" s="24" t="n">
        <f aca="false">MAX(AA293,Z294)</f>
        <v>5026.73</v>
      </c>
      <c r="AB294" s="24" t="n">
        <f aca="false">AA294-Z294</f>
        <v>2932.3</v>
      </c>
      <c r="AC294" s="23" t="n">
        <f aca="false">IFERROR(AB294/AA294,0)</f>
        <v>0.58334145657316</v>
      </c>
      <c r="AD294" s="22" t="s">
        <v>489</v>
      </c>
    </row>
    <row r="295" customFormat="false" ht="15" hidden="false" customHeight="false" outlineLevel="0" collapsed="false">
      <c r="A295" s="22" t="n">
        <v>294</v>
      </c>
      <c r="B295" s="22" t="s">
        <v>134</v>
      </c>
      <c r="C295" s="37" t="n">
        <v>46246.6548726852</v>
      </c>
      <c r="D295" s="22" t="s">
        <v>164</v>
      </c>
      <c r="E295" s="22" t="n">
        <v>15</v>
      </c>
      <c r="F295" s="22" t="s">
        <v>142</v>
      </c>
      <c r="G295" s="22" t="s">
        <v>195</v>
      </c>
      <c r="H295" s="22" t="n">
        <v>0.13</v>
      </c>
      <c r="I295" s="38" t="n">
        <v>4434.97</v>
      </c>
      <c r="J295" s="38" t="n">
        <v>4435.045</v>
      </c>
      <c r="K295" s="39" t="n">
        <f aca="false">IF(F295="BUY",J295-I295,I295-J295)</f>
        <v>0.0749999999998181</v>
      </c>
      <c r="L295" s="38" t="n">
        <v>4433.47</v>
      </c>
      <c r="M295" s="39" t="n">
        <f aca="false">ABS(I295-L295)</f>
        <v>1.5</v>
      </c>
      <c r="N295" s="24" t="n">
        <f aca="false">M295*H295*Summary!$C$6</f>
        <v>19.5</v>
      </c>
      <c r="O295" s="37" t="n">
        <v>46246.6548842593</v>
      </c>
      <c r="P295" s="22" t="n">
        <f aca="false">ROUND((O295-C295)*86400,0)</f>
        <v>1</v>
      </c>
      <c r="Q295" s="22" t="str">
        <f aca="false">IF(P295&lt;10,"a) &lt;10s",IF(P295&lt;60,"b) 10-60s",IF(P295&lt;600,"c) 1-10min","d) &gt;10min")))</f>
        <v>a) &lt;10s</v>
      </c>
      <c r="R295" s="38" t="n">
        <v>4433.47</v>
      </c>
      <c r="S295" s="38" t="n">
        <v>4432.605</v>
      </c>
      <c r="T295" s="22" t="s">
        <v>148</v>
      </c>
      <c r="U295" s="39" t="n">
        <f aca="false">IF(R295="","",IF(F295="BUY",R295-S295,S295-R295))</f>
        <v>0.865000000000691</v>
      </c>
      <c r="V295" s="39" t="n">
        <f aca="false">IF(F295="BUY",S295-J295,J295-S295)</f>
        <v>-2.44000000000051</v>
      </c>
      <c r="W295" s="6" t="n">
        <v>-31.72</v>
      </c>
      <c r="X295" s="26" t="n">
        <f aca="false">IFERROR(W295/N295,0)</f>
        <v>-1.62666666666667</v>
      </c>
      <c r="Y295" s="22" t="str">
        <f aca="false">IF(W295&gt;0,"Win",IF(W295&lt;0,"Loss","Flat"))</f>
        <v>Loss</v>
      </c>
      <c r="Z295" s="24" t="n">
        <f aca="false">Summary!$C$5+SUM(W$2:W295)</f>
        <v>2062.71</v>
      </c>
      <c r="AA295" s="24" t="n">
        <f aca="false">MAX(AA294,Z295)</f>
        <v>5026.73</v>
      </c>
      <c r="AB295" s="24" t="n">
        <f aca="false">AA295-Z295</f>
        <v>2964.02</v>
      </c>
      <c r="AC295" s="23" t="n">
        <f aca="false">IFERROR(AB295/AA295,0)</f>
        <v>0.589651721894751</v>
      </c>
      <c r="AD295" s="22" t="s">
        <v>490</v>
      </c>
    </row>
    <row r="296" customFormat="false" ht="15" hidden="false" customHeight="false" outlineLevel="0" collapsed="false">
      <c r="A296" s="22" t="n">
        <v>295</v>
      </c>
      <c r="B296" s="22" t="s">
        <v>134</v>
      </c>
      <c r="C296" s="37" t="n">
        <v>46247.14875</v>
      </c>
      <c r="D296" s="22" t="s">
        <v>165</v>
      </c>
      <c r="E296" s="22" t="n">
        <v>3</v>
      </c>
      <c r="F296" s="22" t="s">
        <v>142</v>
      </c>
      <c r="G296" s="22" t="s">
        <v>195</v>
      </c>
      <c r="H296" s="22" t="n">
        <v>0.13</v>
      </c>
      <c r="I296" s="38" t="n">
        <v>4441.25</v>
      </c>
      <c r="J296" s="38" t="n">
        <v>4441.775</v>
      </c>
      <c r="K296" s="39" t="n">
        <f aca="false">IF(F296="BUY",J296-I296,I296-J296)</f>
        <v>0.524999999999636</v>
      </c>
      <c r="L296" s="38" t="n">
        <v>4439.75</v>
      </c>
      <c r="M296" s="39" t="n">
        <f aca="false">ABS(I296-L296)</f>
        <v>1.5</v>
      </c>
      <c r="N296" s="24" t="n">
        <f aca="false">M296*H296*Summary!$C$6</f>
        <v>19.5</v>
      </c>
      <c r="O296" s="37" t="n">
        <v>46247.14875</v>
      </c>
      <c r="P296" s="22" t="n">
        <f aca="false">ROUND((O296-C296)*86400,0)</f>
        <v>0</v>
      </c>
      <c r="Q296" s="22" t="str">
        <f aca="false">IF(P296&lt;10,"a) &lt;10s",IF(P296&lt;60,"b) 10-60s",IF(P296&lt;600,"c) 1-10min","d) &gt;10min")))</f>
        <v>a) &lt;10s</v>
      </c>
      <c r="R296" s="38" t="n">
        <v>4445.63</v>
      </c>
      <c r="S296" s="38" t="n">
        <v>4445.497</v>
      </c>
      <c r="T296" s="22" t="s">
        <v>149</v>
      </c>
      <c r="U296" s="39" t="n">
        <f aca="false">IF(R296="","",IF(F296="BUY",R296-S296,S296-R296))</f>
        <v>0.132999999999811</v>
      </c>
      <c r="V296" s="39" t="n">
        <f aca="false">IF(F296="BUY",S296-J296,J296-S296)</f>
        <v>3.72200000000066</v>
      </c>
      <c r="W296" s="6" t="n">
        <v>48.39</v>
      </c>
      <c r="X296" s="26" t="n">
        <f aca="false">IFERROR(W296/N296,0)</f>
        <v>2.48153846153846</v>
      </c>
      <c r="Y296" s="22" t="str">
        <f aca="false">IF(W296&gt;0,"Win",IF(W296&lt;0,"Loss","Flat"))</f>
        <v>Win</v>
      </c>
      <c r="Z296" s="24" t="n">
        <f aca="false">Summary!$C$5+SUM(W$2:W296)</f>
        <v>2111.1</v>
      </c>
      <c r="AA296" s="24" t="n">
        <f aca="false">MAX(AA295,Z296)</f>
        <v>5026.73</v>
      </c>
      <c r="AB296" s="24" t="n">
        <f aca="false">AA296-Z296</f>
        <v>2915.63</v>
      </c>
      <c r="AC296" s="23" t="n">
        <f aca="false">IFERROR(AB296/AA296,0)</f>
        <v>0.58002518535907</v>
      </c>
      <c r="AD296" s="22" t="s">
        <v>491</v>
      </c>
    </row>
    <row r="297" customFormat="false" ht="15" hidden="false" customHeight="false" outlineLevel="0" collapsed="false">
      <c r="A297" s="22" t="n">
        <v>296</v>
      </c>
      <c r="B297" s="22" t="s">
        <v>134</v>
      </c>
      <c r="C297" s="37" t="n">
        <v>46247.7293171296</v>
      </c>
      <c r="D297" s="22" t="s">
        <v>165</v>
      </c>
      <c r="E297" s="22" t="n">
        <v>17</v>
      </c>
      <c r="F297" s="22" t="s">
        <v>143</v>
      </c>
      <c r="G297" s="22" t="s">
        <v>197</v>
      </c>
      <c r="H297" s="22" t="n">
        <v>0.13</v>
      </c>
      <c r="I297" s="38" t="n">
        <v>4361.5</v>
      </c>
      <c r="J297" s="38" t="n">
        <v>4352.755</v>
      </c>
      <c r="K297" s="39" t="n">
        <f aca="false">IF(F297="BUY",J297-I297,I297-J297)</f>
        <v>8.74499999999989</v>
      </c>
      <c r="L297" s="38" t="n">
        <v>4363</v>
      </c>
      <c r="M297" s="39" t="n">
        <f aca="false">ABS(I297-L297)</f>
        <v>1.5</v>
      </c>
      <c r="N297" s="24" t="n">
        <f aca="false">M297*H297*Summary!$C$6</f>
        <v>19.5</v>
      </c>
      <c r="O297" s="37" t="n">
        <v>46247.7293287037</v>
      </c>
      <c r="P297" s="22" t="n">
        <f aca="false">ROUND((O297-C297)*86400,0)</f>
        <v>1</v>
      </c>
      <c r="Q297" s="22" t="str">
        <f aca="false">IF(P297&lt;10,"a) &lt;10s",IF(P297&lt;60,"b) 10-60s",IF(P297&lt;600,"c) 1-10min","d) &gt;10min")))</f>
        <v>a) &lt;10s</v>
      </c>
      <c r="R297" s="38"/>
      <c r="S297" s="38" t="n">
        <v>4361.055</v>
      </c>
      <c r="T297" s="22" t="s">
        <v>151</v>
      </c>
      <c r="U297" s="39" t="str">
        <f aca="false">IF(R297="","",IF(F297="BUY",R297-S297,S297-R297))</f>
        <v/>
      </c>
      <c r="V297" s="39" t="n">
        <f aca="false">IF(F297="BUY",S297-J297,J297-S297)</f>
        <v>-8.30000000000018</v>
      </c>
      <c r="W297" s="6" t="n">
        <v>-107.9</v>
      </c>
      <c r="X297" s="26" t="n">
        <f aca="false">IFERROR(W297/N297,0)</f>
        <v>-5.53333333333333</v>
      </c>
      <c r="Y297" s="22" t="str">
        <f aca="false">IF(W297&gt;0,"Win",IF(W297&lt;0,"Loss","Flat"))</f>
        <v>Loss</v>
      </c>
      <c r="Z297" s="24" t="n">
        <f aca="false">Summary!$C$5+SUM(W$2:W297)</f>
        <v>2003.2</v>
      </c>
      <c r="AA297" s="24" t="n">
        <f aca="false">MAX(AA296,Z297)</f>
        <v>5026.73</v>
      </c>
      <c r="AB297" s="24" t="n">
        <f aca="false">AA297-Z297</f>
        <v>3023.53</v>
      </c>
      <c r="AC297" s="23" t="n">
        <f aca="false">IFERROR(AB297/AA297,0)</f>
        <v>0.601490432149728</v>
      </c>
      <c r="AD297" s="22" t="s">
        <v>492</v>
      </c>
    </row>
    <row r="298" customFormat="false" ht="15" hidden="false" customHeight="false" outlineLevel="0" collapsed="false">
      <c r="A298" s="22" t="n">
        <v>297</v>
      </c>
      <c r="B298" s="22" t="s">
        <v>134</v>
      </c>
      <c r="C298" s="37" t="n">
        <v>46248.143287037</v>
      </c>
      <c r="D298" s="22" t="s">
        <v>166</v>
      </c>
      <c r="E298" s="22" t="n">
        <v>3</v>
      </c>
      <c r="F298" s="22" t="s">
        <v>143</v>
      </c>
      <c r="G298" s="22" t="s">
        <v>197</v>
      </c>
      <c r="H298" s="22" t="n">
        <v>0.13</v>
      </c>
      <c r="I298" s="38" t="n">
        <v>4343.36</v>
      </c>
      <c r="J298" s="38" t="n">
        <v>4342.725</v>
      </c>
      <c r="K298" s="39" t="n">
        <f aca="false">IF(F298="BUY",J298-I298,I298-J298)</f>
        <v>0.634999999999309</v>
      </c>
      <c r="L298" s="38" t="n">
        <v>4344.86</v>
      </c>
      <c r="M298" s="39" t="n">
        <f aca="false">ABS(I298-L298)</f>
        <v>1.5</v>
      </c>
      <c r="N298" s="24" t="n">
        <f aca="false">M298*H298*Summary!$C$6</f>
        <v>19.5</v>
      </c>
      <c r="O298" s="37" t="n">
        <v>46248.1432986111</v>
      </c>
      <c r="P298" s="22" t="n">
        <f aca="false">ROUND((O298-C298)*86400,0)</f>
        <v>1</v>
      </c>
      <c r="Q298" s="22" t="str">
        <f aca="false">IF(P298&lt;10,"a) &lt;10s",IF(P298&lt;60,"b) 10-60s",IF(P298&lt;600,"c) 1-10min","d) &gt;10min")))</f>
        <v>a) &lt;10s</v>
      </c>
      <c r="R298" s="38" t="n">
        <v>4340.46</v>
      </c>
      <c r="S298" s="38" t="n">
        <v>4340.705</v>
      </c>
      <c r="T298" s="22" t="s">
        <v>149</v>
      </c>
      <c r="U298" s="39" t="n">
        <f aca="false">IF(R298="","",IF(F298="BUY",R298-S298,S298-R298))</f>
        <v>0.244999999999891</v>
      </c>
      <c r="V298" s="39" t="n">
        <f aca="false">IF(F298="BUY",S298-J298,J298-S298)</f>
        <v>2.02000000000044</v>
      </c>
      <c r="W298" s="6" t="n">
        <v>26.26</v>
      </c>
      <c r="X298" s="26" t="n">
        <f aca="false">IFERROR(W298/N298,0)</f>
        <v>1.34666666666667</v>
      </c>
      <c r="Y298" s="22" t="str">
        <f aca="false">IF(W298&gt;0,"Win",IF(W298&lt;0,"Loss","Flat"))</f>
        <v>Win</v>
      </c>
      <c r="Z298" s="24" t="n">
        <f aca="false">Summary!$C$5+SUM(W$2:W298)</f>
        <v>2029.46</v>
      </c>
      <c r="AA298" s="24" t="n">
        <f aca="false">MAX(AA297,Z298)</f>
        <v>5026.73</v>
      </c>
      <c r="AB298" s="24" t="n">
        <f aca="false">AA298-Z298</f>
        <v>2997.27</v>
      </c>
      <c r="AC298" s="23" t="n">
        <f aca="false">IFERROR(AB298/AA298,0)</f>
        <v>0.59626636003923</v>
      </c>
      <c r="AD298" s="22" t="s">
        <v>493</v>
      </c>
    </row>
    <row r="299" customFormat="false" ht="15" hidden="false" customHeight="false" outlineLevel="0" collapsed="false">
      <c r="A299" s="22" t="n">
        <v>298</v>
      </c>
      <c r="B299" s="22" t="s">
        <v>134</v>
      </c>
      <c r="C299" s="37" t="n">
        <v>46251.1558680556</v>
      </c>
      <c r="D299" s="22" t="s">
        <v>162</v>
      </c>
      <c r="E299" s="22" t="n">
        <v>3</v>
      </c>
      <c r="F299" s="22" t="s">
        <v>142</v>
      </c>
      <c r="G299" s="22" t="s">
        <v>195</v>
      </c>
      <c r="H299" s="22" t="n">
        <v>0.13</v>
      </c>
      <c r="I299" s="38" t="n">
        <v>4396.77</v>
      </c>
      <c r="J299" s="38" t="n">
        <v>4396.945</v>
      </c>
      <c r="K299" s="39" t="n">
        <f aca="false">IF(F299="BUY",J299-I299,I299-J299)</f>
        <v>0.174999999999272</v>
      </c>
      <c r="L299" s="38" t="n">
        <v>4395.27</v>
      </c>
      <c r="M299" s="39" t="n">
        <f aca="false">ABS(I299-L299)</f>
        <v>1.5</v>
      </c>
      <c r="N299" s="24" t="n">
        <f aca="false">M299*H299*Summary!$C$6</f>
        <v>19.5</v>
      </c>
      <c r="O299" s="37" t="n">
        <v>46251.1558680556</v>
      </c>
      <c r="P299" s="22" t="n">
        <f aca="false">ROUND((O299-C299)*86400,0)</f>
        <v>0</v>
      </c>
      <c r="Q299" s="22" t="str">
        <f aca="false">IF(P299&lt;10,"a) &lt;10s",IF(P299&lt;60,"b) 10-60s",IF(P299&lt;600,"c) 1-10min","d) &gt;10min")))</f>
        <v>a) &lt;10s</v>
      </c>
      <c r="R299" s="38" t="n">
        <v>4396.94</v>
      </c>
      <c r="S299" s="38" t="n">
        <v>4396.935</v>
      </c>
      <c r="T299" s="22" t="s">
        <v>149</v>
      </c>
      <c r="U299" s="39" t="n">
        <f aca="false">IF(R299="","",IF(F299="BUY",R299-S299,S299-R299))</f>
        <v>0.00499999999919965</v>
      </c>
      <c r="V299" s="39" t="n">
        <f aca="false">IF(F299="BUY",S299-J299,J299-S299)</f>
        <v>-0.00999999999930878</v>
      </c>
      <c r="W299" s="6" t="n">
        <v>-0.13</v>
      </c>
      <c r="X299" s="26" t="n">
        <f aca="false">IFERROR(W299/N299,0)</f>
        <v>-0.00666666666666667</v>
      </c>
      <c r="Y299" s="22" t="str">
        <f aca="false">IF(W299&gt;0,"Win",IF(W299&lt;0,"Loss","Flat"))</f>
        <v>Loss</v>
      </c>
      <c r="Z299" s="24" t="n">
        <f aca="false">Summary!$C$5+SUM(W$2:W299)</f>
        <v>2029.33</v>
      </c>
      <c r="AA299" s="24" t="n">
        <f aca="false">MAX(AA298,Z299)</f>
        <v>5026.73</v>
      </c>
      <c r="AB299" s="24" t="n">
        <f aca="false">AA299-Z299</f>
        <v>2997.4</v>
      </c>
      <c r="AC299" s="23" t="n">
        <f aca="false">IFERROR(AB299/AA299,0)</f>
        <v>0.596292221782352</v>
      </c>
      <c r="AD299" s="22" t="s">
        <v>494</v>
      </c>
    </row>
    <row r="300" customFormat="false" ht="15" hidden="false" customHeight="false" outlineLevel="0" collapsed="false">
      <c r="A300" s="22" t="n">
        <v>299</v>
      </c>
      <c r="B300" s="22" t="s">
        <v>134</v>
      </c>
      <c r="C300" s="37" t="n">
        <v>46252.1250231482</v>
      </c>
      <c r="D300" s="22" t="s">
        <v>163</v>
      </c>
      <c r="E300" s="22" t="n">
        <v>3</v>
      </c>
      <c r="F300" s="22" t="s">
        <v>142</v>
      </c>
      <c r="G300" s="22" t="s">
        <v>195</v>
      </c>
      <c r="H300" s="22" t="n">
        <v>0.13</v>
      </c>
      <c r="I300" s="38" t="n">
        <v>4428.68</v>
      </c>
      <c r="J300" s="38" t="n">
        <v>4428.805</v>
      </c>
      <c r="K300" s="39" t="n">
        <f aca="false">IF(F300="BUY",J300-I300,I300-J300)</f>
        <v>0.125</v>
      </c>
      <c r="L300" s="38" t="n">
        <v>4427.18</v>
      </c>
      <c r="M300" s="39" t="n">
        <f aca="false">ABS(I300-L300)</f>
        <v>1.5</v>
      </c>
      <c r="N300" s="24" t="n">
        <f aca="false">M300*H300*Summary!$C$6</f>
        <v>19.5</v>
      </c>
      <c r="O300" s="37" t="n">
        <v>46252.1250347222</v>
      </c>
      <c r="P300" s="22" t="n">
        <f aca="false">ROUND((O300-C300)*86400,0)</f>
        <v>1</v>
      </c>
      <c r="Q300" s="22" t="str">
        <f aca="false">IF(P300&lt;10,"a) &lt;10s",IF(P300&lt;60,"b) 10-60s",IF(P300&lt;600,"c) 1-10min","d) &gt;10min")))</f>
        <v>a) &lt;10s</v>
      </c>
      <c r="R300" s="38" t="n">
        <v>4429.44</v>
      </c>
      <c r="S300" s="38" t="n">
        <v>4429.435</v>
      </c>
      <c r="T300" s="22" t="s">
        <v>149</v>
      </c>
      <c r="U300" s="39" t="n">
        <f aca="false">IF(R300="","",IF(F300="BUY",R300-S300,S300-R300))</f>
        <v>0.00499999999919965</v>
      </c>
      <c r="V300" s="39" t="n">
        <f aca="false">IF(F300="BUY",S300-J300,J300-S300)</f>
        <v>0.630000000000109</v>
      </c>
      <c r="W300" s="6" t="n">
        <v>8.19</v>
      </c>
      <c r="X300" s="26" t="n">
        <f aca="false">IFERROR(W300/N300,0)</f>
        <v>0.42</v>
      </c>
      <c r="Y300" s="22" t="str">
        <f aca="false">IF(W300&gt;0,"Win",IF(W300&lt;0,"Loss","Flat"))</f>
        <v>Win</v>
      </c>
      <c r="Z300" s="24" t="n">
        <f aca="false">Summary!$C$5+SUM(W$2:W300)</f>
        <v>2037.52</v>
      </c>
      <c r="AA300" s="24" t="n">
        <f aca="false">MAX(AA299,Z300)</f>
        <v>5026.73</v>
      </c>
      <c r="AB300" s="24" t="n">
        <f aca="false">AA300-Z300</f>
        <v>2989.21</v>
      </c>
      <c r="AC300" s="23" t="n">
        <f aca="false">IFERROR(AB300/AA300,0)</f>
        <v>0.594662931965711</v>
      </c>
      <c r="AD300" s="22" t="s">
        <v>495</v>
      </c>
    </row>
    <row r="301" customFormat="false" ht="15" hidden="false" customHeight="false" outlineLevel="0" collapsed="false">
      <c r="A301" s="22" t="n">
        <v>300</v>
      </c>
      <c r="B301" s="22" t="s">
        <v>134</v>
      </c>
      <c r="C301" s="37" t="n">
        <v>46252.7493634259</v>
      </c>
      <c r="D301" s="22" t="s">
        <v>163</v>
      </c>
      <c r="E301" s="22" t="n">
        <v>17</v>
      </c>
      <c r="F301" s="22" t="s">
        <v>143</v>
      </c>
      <c r="G301" s="22" t="s">
        <v>197</v>
      </c>
      <c r="H301" s="22" t="n">
        <v>0.13</v>
      </c>
      <c r="I301" s="38" t="n">
        <v>4366.86</v>
      </c>
      <c r="J301" s="38" t="n">
        <v>4366.855</v>
      </c>
      <c r="K301" s="39" t="n">
        <f aca="false">IF(F301="BUY",J301-I301,I301-J301)</f>
        <v>0.00500000000010914</v>
      </c>
      <c r="L301" s="38" t="n">
        <v>4368.36</v>
      </c>
      <c r="M301" s="39" t="n">
        <f aca="false">ABS(I301-L301)</f>
        <v>1.5</v>
      </c>
      <c r="N301" s="24" t="n">
        <f aca="false">M301*H301*Summary!$C$6</f>
        <v>19.5</v>
      </c>
      <c r="O301" s="37" t="n">
        <v>46252.7493865741</v>
      </c>
      <c r="P301" s="22" t="n">
        <f aca="false">ROUND((O301-C301)*86400,0)</f>
        <v>2</v>
      </c>
      <c r="Q301" s="22" t="str">
        <f aca="false">IF(P301&lt;10,"a) &lt;10s",IF(P301&lt;60,"b) 10-60s",IF(P301&lt;600,"c) 1-10min","d) &gt;10min")))</f>
        <v>a) &lt;10s</v>
      </c>
      <c r="R301" s="38" t="n">
        <v>4366.1</v>
      </c>
      <c r="S301" s="38" t="n">
        <v>4366.185</v>
      </c>
      <c r="T301" s="22" t="s">
        <v>149</v>
      </c>
      <c r="U301" s="39" t="n">
        <f aca="false">IF(R301="","",IF(F301="BUY",R301-S301,S301-R301))</f>
        <v>0.0850000000000364</v>
      </c>
      <c r="V301" s="39" t="n">
        <f aca="false">IF(F301="BUY",S301-J301,J301-S301)</f>
        <v>0.669999999999163</v>
      </c>
      <c r="W301" s="6" t="n">
        <v>8.71</v>
      </c>
      <c r="X301" s="26" t="n">
        <f aca="false">IFERROR(W301/N301,0)</f>
        <v>0.446666666666667</v>
      </c>
      <c r="Y301" s="22" t="str">
        <f aca="false">IF(W301&gt;0,"Win",IF(W301&lt;0,"Loss","Flat"))</f>
        <v>Win</v>
      </c>
      <c r="Z301" s="24" t="n">
        <f aca="false">Summary!$C$5+SUM(W$2:W301)</f>
        <v>2046.23</v>
      </c>
      <c r="AA301" s="24" t="n">
        <f aca="false">MAX(AA300,Z301)</f>
        <v>5026.73</v>
      </c>
      <c r="AB301" s="24" t="n">
        <f aca="false">AA301-Z301</f>
        <v>2980.5</v>
      </c>
      <c r="AC301" s="23" t="n">
        <f aca="false">IFERROR(AB301/AA301,0)</f>
        <v>0.592930195176586</v>
      </c>
      <c r="AD301" s="22" t="s">
        <v>496</v>
      </c>
    </row>
    <row r="302" customFormat="false" ht="15" hidden="false" customHeight="false" outlineLevel="0" collapsed="false">
      <c r="A302" s="22" t="n">
        <v>301</v>
      </c>
      <c r="B302" s="22" t="s">
        <v>134</v>
      </c>
      <c r="C302" s="37" t="n">
        <v>46253.1062847222</v>
      </c>
      <c r="D302" s="22" t="s">
        <v>164</v>
      </c>
      <c r="E302" s="22" t="n">
        <v>2</v>
      </c>
      <c r="F302" s="22" t="s">
        <v>143</v>
      </c>
      <c r="G302" s="22" t="s">
        <v>197</v>
      </c>
      <c r="H302" s="22" t="n">
        <v>0.13</v>
      </c>
      <c r="I302" s="38" t="n">
        <v>4329.3</v>
      </c>
      <c r="J302" s="38" t="n">
        <v>4328.545</v>
      </c>
      <c r="K302" s="39" t="n">
        <f aca="false">IF(F302="BUY",J302-I302,I302-J302)</f>
        <v>0.755000000000109</v>
      </c>
      <c r="L302" s="38" t="n">
        <v>4330.8</v>
      </c>
      <c r="M302" s="39" t="n">
        <f aca="false">ABS(I302-L302)</f>
        <v>1.5</v>
      </c>
      <c r="N302" s="24" t="n">
        <f aca="false">M302*H302*Summary!$C$6</f>
        <v>19.5</v>
      </c>
      <c r="O302" s="37" t="n">
        <v>46253.1065972222</v>
      </c>
      <c r="P302" s="22" t="n">
        <f aca="false">ROUND((O302-C302)*86400,0)</f>
        <v>27</v>
      </c>
      <c r="Q302" s="22" t="str">
        <f aca="false">IF(P302&lt;10,"a) &lt;10s",IF(P302&lt;60,"b) 10-60s",IF(P302&lt;600,"c) 1-10min","d) &gt;10min")))</f>
        <v>b) 10-60s</v>
      </c>
      <c r="R302" s="38" t="n">
        <v>4328.55</v>
      </c>
      <c r="S302" s="38" t="n">
        <v>4328.605</v>
      </c>
      <c r="T302" s="22" t="s">
        <v>149</v>
      </c>
      <c r="U302" s="39" t="n">
        <f aca="false">IF(R302="","",IF(F302="BUY",R302-S302,S302-R302))</f>
        <v>0.0549999999993815</v>
      </c>
      <c r="V302" s="39" t="n">
        <f aca="false">IF(F302="BUY",S302-J302,J302-S302)</f>
        <v>-0.0599999999994907</v>
      </c>
      <c r="W302" s="6" t="n">
        <v>-0.78</v>
      </c>
      <c r="X302" s="26" t="n">
        <f aca="false">IFERROR(W302/N302,0)</f>
        <v>-0.04</v>
      </c>
      <c r="Y302" s="22" t="str">
        <f aca="false">IF(W302&gt;0,"Win",IF(W302&lt;0,"Loss","Flat"))</f>
        <v>Loss</v>
      </c>
      <c r="Z302" s="24" t="n">
        <f aca="false">Summary!$C$5+SUM(W$2:W302)</f>
        <v>2045.45</v>
      </c>
      <c r="AA302" s="24" t="n">
        <f aca="false">MAX(AA301,Z302)</f>
        <v>5026.73</v>
      </c>
      <c r="AB302" s="24" t="n">
        <f aca="false">AA302-Z302</f>
        <v>2981.28</v>
      </c>
      <c r="AC302" s="23" t="n">
        <f aca="false">IFERROR(AB302/AA302,0)</f>
        <v>0.593085365635314</v>
      </c>
      <c r="AD302" s="22" t="s">
        <v>497</v>
      </c>
    </row>
    <row r="303" customFormat="false" ht="15" hidden="false" customHeight="false" outlineLevel="0" collapsed="false">
      <c r="A303" s="22" t="n">
        <v>302</v>
      </c>
      <c r="B303" s="22" t="s">
        <v>134</v>
      </c>
      <c r="C303" s="37" t="n">
        <v>46253.6642708333</v>
      </c>
      <c r="D303" s="22" t="s">
        <v>164</v>
      </c>
      <c r="E303" s="22" t="n">
        <v>15</v>
      </c>
      <c r="F303" s="22" t="s">
        <v>142</v>
      </c>
      <c r="G303" s="22" t="s">
        <v>195</v>
      </c>
      <c r="H303" s="22" t="n">
        <v>0.13</v>
      </c>
      <c r="I303" s="38" t="n">
        <v>4435.9</v>
      </c>
      <c r="J303" s="38" t="n">
        <v>4435.965</v>
      </c>
      <c r="K303" s="39" t="n">
        <f aca="false">IF(F303="BUY",J303-I303,I303-J303)</f>
        <v>0.0650000000005093</v>
      </c>
      <c r="L303" s="38" t="n">
        <v>4434.4</v>
      </c>
      <c r="M303" s="39" t="n">
        <f aca="false">ABS(I303-L303)</f>
        <v>1.5</v>
      </c>
      <c r="N303" s="24" t="n">
        <f aca="false">M303*H303*Summary!$C$6</f>
        <v>19.5</v>
      </c>
      <c r="O303" s="37" t="n">
        <v>46253.6642708333</v>
      </c>
      <c r="P303" s="22" t="n">
        <f aca="false">ROUND((O303-C303)*86400,0)</f>
        <v>0</v>
      </c>
      <c r="Q303" s="22" t="str">
        <f aca="false">IF(P303&lt;10,"a) &lt;10s",IF(P303&lt;60,"b) 10-60s",IF(P303&lt;600,"c) 1-10min","d) &gt;10min")))</f>
        <v>a) &lt;10s</v>
      </c>
      <c r="R303" s="38" t="n">
        <v>4434.4</v>
      </c>
      <c r="S303" s="38" t="n">
        <v>4433.965</v>
      </c>
      <c r="T303" s="22" t="s">
        <v>148</v>
      </c>
      <c r="U303" s="39" t="n">
        <f aca="false">IF(R303="","",IF(F303="BUY",R303-S303,S303-R303))</f>
        <v>0.434999999999491</v>
      </c>
      <c r="V303" s="39" t="n">
        <f aca="false">IF(F303="BUY",S303-J303,J303-S303)</f>
        <v>-2</v>
      </c>
      <c r="W303" s="6" t="n">
        <v>-26</v>
      </c>
      <c r="X303" s="26" t="n">
        <f aca="false">IFERROR(W303/N303,0)</f>
        <v>-1.33333333333333</v>
      </c>
      <c r="Y303" s="22" t="str">
        <f aca="false">IF(W303&gt;0,"Win",IF(W303&lt;0,"Loss","Flat"))</f>
        <v>Loss</v>
      </c>
      <c r="Z303" s="24" t="n">
        <f aca="false">Summary!$C$5+SUM(W$2:W303)</f>
        <v>2019.45</v>
      </c>
      <c r="AA303" s="24" t="n">
        <f aca="false">MAX(AA302,Z303)</f>
        <v>5026.73</v>
      </c>
      <c r="AB303" s="24" t="n">
        <f aca="false">AA303-Z303</f>
        <v>3007.28</v>
      </c>
      <c r="AC303" s="23" t="n">
        <f aca="false">IFERROR(AB303/AA303,0)</f>
        <v>0.598257714259568</v>
      </c>
      <c r="AD303" s="22" t="s">
        <v>498</v>
      </c>
    </row>
    <row r="304" customFormat="false" ht="15" hidden="false" customHeight="false" outlineLevel="0" collapsed="false">
      <c r="A304" s="22" t="n">
        <v>303</v>
      </c>
      <c r="B304" s="22" t="s">
        <v>134</v>
      </c>
      <c r="C304" s="37" t="n">
        <v>46254.0844560185</v>
      </c>
      <c r="D304" s="22" t="s">
        <v>165</v>
      </c>
      <c r="E304" s="22" t="n">
        <v>2</v>
      </c>
      <c r="F304" s="22" t="s">
        <v>142</v>
      </c>
      <c r="G304" s="22" t="s">
        <v>195</v>
      </c>
      <c r="H304" s="22" t="n">
        <v>0.13</v>
      </c>
      <c r="I304" s="38" t="n">
        <v>4524.14</v>
      </c>
      <c r="J304" s="38" t="n">
        <v>4524.285</v>
      </c>
      <c r="K304" s="39" t="n">
        <f aca="false">IF(F304="BUY",J304-I304,I304-J304)</f>
        <v>0.144999999999527</v>
      </c>
      <c r="L304" s="38" t="n">
        <v>4522.64</v>
      </c>
      <c r="M304" s="39" t="n">
        <f aca="false">ABS(I304-L304)</f>
        <v>1.5</v>
      </c>
      <c r="N304" s="24" t="n">
        <f aca="false">M304*H304*Summary!$C$6</f>
        <v>19.5</v>
      </c>
      <c r="O304" s="37" t="n">
        <v>46254.0844560185</v>
      </c>
      <c r="P304" s="22" t="n">
        <f aca="false">ROUND((O304-C304)*86400,0)</f>
        <v>0</v>
      </c>
      <c r="Q304" s="22" t="str">
        <f aca="false">IF(P304&lt;10,"a) &lt;10s",IF(P304&lt;60,"b) 10-60s",IF(P304&lt;600,"c) 1-10min","d) &gt;10min")))</f>
        <v>a) &lt;10s</v>
      </c>
      <c r="R304" s="38" t="n">
        <v>4522.64</v>
      </c>
      <c r="S304" s="38" t="n">
        <v>4521.735</v>
      </c>
      <c r="T304" s="22" t="s">
        <v>148</v>
      </c>
      <c r="U304" s="39" t="n">
        <f aca="false">IF(R304="","",IF(F304="BUY",R304-S304,S304-R304))</f>
        <v>0.905000000000655</v>
      </c>
      <c r="V304" s="39" t="n">
        <f aca="false">IF(F304="BUY",S304-J304,J304-S304)</f>
        <v>-2.55000000000018</v>
      </c>
      <c r="W304" s="6" t="n">
        <v>-33.15</v>
      </c>
      <c r="X304" s="26" t="n">
        <f aca="false">IFERROR(W304/N304,0)</f>
        <v>-1.7</v>
      </c>
      <c r="Y304" s="22" t="str">
        <f aca="false">IF(W304&gt;0,"Win",IF(W304&lt;0,"Loss","Flat"))</f>
        <v>Loss</v>
      </c>
      <c r="Z304" s="24" t="n">
        <f aca="false">Summary!$C$5+SUM(W$2:W304)</f>
        <v>1986.3</v>
      </c>
      <c r="AA304" s="24" t="n">
        <f aca="false">MAX(AA303,Z304)</f>
        <v>5026.73</v>
      </c>
      <c r="AB304" s="24" t="n">
        <f aca="false">AA304-Z304</f>
        <v>3040.43</v>
      </c>
      <c r="AC304" s="23" t="n">
        <f aca="false">IFERROR(AB304/AA304,0)</f>
        <v>0.604852458755493</v>
      </c>
      <c r="AD304" s="22" t="s">
        <v>499</v>
      </c>
    </row>
    <row r="305" customFormat="false" ht="15" hidden="false" customHeight="false" outlineLevel="0" collapsed="false">
      <c r="A305" s="22" t="n">
        <v>304</v>
      </c>
      <c r="B305" s="22" t="s">
        <v>134</v>
      </c>
      <c r="C305" s="37" t="n">
        <v>46255.1915972222</v>
      </c>
      <c r="D305" s="22" t="s">
        <v>166</v>
      </c>
      <c r="E305" s="22" t="n">
        <v>4</v>
      </c>
      <c r="F305" s="22" t="s">
        <v>142</v>
      </c>
      <c r="G305" s="22" t="s">
        <v>195</v>
      </c>
      <c r="H305" s="22" t="n">
        <v>0.13</v>
      </c>
      <c r="I305" s="38" t="n">
        <v>4540.8</v>
      </c>
      <c r="J305" s="38" t="n">
        <v>4540.855</v>
      </c>
      <c r="K305" s="39" t="n">
        <f aca="false">IF(F305="BUY",J305-I305,I305-J305)</f>
        <v>0.0549999999993815</v>
      </c>
      <c r="L305" s="38" t="n">
        <v>4539.3</v>
      </c>
      <c r="M305" s="39" t="n">
        <f aca="false">ABS(I305-L305)</f>
        <v>1.5</v>
      </c>
      <c r="N305" s="24" t="n">
        <f aca="false">M305*H305*Summary!$C$6</f>
        <v>19.5</v>
      </c>
      <c r="O305" s="37" t="n">
        <v>46255.1916203704</v>
      </c>
      <c r="P305" s="22" t="n">
        <f aca="false">ROUND((O305-C305)*86400,0)</f>
        <v>2</v>
      </c>
      <c r="Q305" s="22" t="str">
        <f aca="false">IF(P305&lt;10,"a) &lt;10s",IF(P305&lt;60,"b) 10-60s",IF(P305&lt;600,"c) 1-10min","d) &gt;10min")))</f>
        <v>a) &lt;10s</v>
      </c>
      <c r="R305" s="38" t="n">
        <v>4543.19</v>
      </c>
      <c r="S305" s="38" t="n">
        <v>4543.035</v>
      </c>
      <c r="T305" s="22" t="s">
        <v>149</v>
      </c>
      <c r="U305" s="39" t="n">
        <f aca="false">IF(R305="","",IF(F305="BUY",R305-S305,S305-R305))</f>
        <v>0.154999999999745</v>
      </c>
      <c r="V305" s="39" t="n">
        <f aca="false">IF(F305="BUY",S305-J305,J305-S305)</f>
        <v>2.18000000000029</v>
      </c>
      <c r="W305" s="6" t="n">
        <v>28.34</v>
      </c>
      <c r="X305" s="26" t="n">
        <f aca="false">IFERROR(W305/N305,0)</f>
        <v>1.45333333333333</v>
      </c>
      <c r="Y305" s="22" t="str">
        <f aca="false">IF(W305&gt;0,"Win",IF(W305&lt;0,"Loss","Flat"))</f>
        <v>Win</v>
      </c>
      <c r="Z305" s="24" t="n">
        <f aca="false">Summary!$C$5+SUM(W$2:W305)</f>
        <v>2014.64</v>
      </c>
      <c r="AA305" s="24" t="n">
        <f aca="false">MAX(AA304,Z305)</f>
        <v>5026.73</v>
      </c>
      <c r="AB305" s="24" t="n">
        <f aca="false">AA305-Z305</f>
        <v>3012.09</v>
      </c>
      <c r="AC305" s="23" t="n">
        <f aca="false">IFERROR(AB305/AA305,0)</f>
        <v>0.599214598755055</v>
      </c>
      <c r="AD305" s="22" t="s">
        <v>500</v>
      </c>
    </row>
    <row r="306" customFormat="false" ht="15" hidden="false" customHeight="false" outlineLevel="0" collapsed="false">
      <c r="A306" s="22" t="n">
        <v>305</v>
      </c>
      <c r="B306" s="22" t="s">
        <v>134</v>
      </c>
      <c r="C306" s="37" t="n">
        <v>46258.1285763889</v>
      </c>
      <c r="D306" s="22" t="s">
        <v>162</v>
      </c>
      <c r="E306" s="22" t="n">
        <v>3</v>
      </c>
      <c r="F306" s="22" t="s">
        <v>142</v>
      </c>
      <c r="G306" s="22" t="s">
        <v>195</v>
      </c>
      <c r="H306" s="22" t="n">
        <v>0.13</v>
      </c>
      <c r="I306" s="38" t="n">
        <v>4631.94</v>
      </c>
      <c r="J306" s="38" t="n">
        <v>4632.965</v>
      </c>
      <c r="K306" s="39" t="n">
        <f aca="false">IF(F306="BUY",J306-I306,I306-J306)</f>
        <v>1.02500000000055</v>
      </c>
      <c r="L306" s="38" t="n">
        <v>4630.44</v>
      </c>
      <c r="M306" s="39" t="n">
        <f aca="false">ABS(I306-L306)</f>
        <v>1.5</v>
      </c>
      <c r="N306" s="24" t="n">
        <f aca="false">M306*H306*Summary!$C$6</f>
        <v>19.5</v>
      </c>
      <c r="O306" s="37" t="n">
        <v>46258.128587963</v>
      </c>
      <c r="P306" s="22" t="n">
        <f aca="false">ROUND((O306-C306)*86400,0)</f>
        <v>1</v>
      </c>
      <c r="Q306" s="22" t="str">
        <f aca="false">IF(P306&lt;10,"a) &lt;10s",IF(P306&lt;60,"b) 10-60s",IF(P306&lt;600,"c) 1-10min","d) &gt;10min")))</f>
        <v>a) &lt;10s</v>
      </c>
      <c r="R306" s="38" t="n">
        <v>4634.47</v>
      </c>
      <c r="S306" s="38" t="n">
        <v>4633.795</v>
      </c>
      <c r="T306" s="22" t="s">
        <v>149</v>
      </c>
      <c r="U306" s="39" t="n">
        <f aca="false">IF(R306="","",IF(F306="BUY",R306-S306,S306-R306))</f>
        <v>0.675000000000182</v>
      </c>
      <c r="V306" s="39" t="n">
        <f aca="false">IF(F306="BUY",S306-J306,J306-S306)</f>
        <v>0.829999999999927</v>
      </c>
      <c r="W306" s="6" t="n">
        <v>10.79</v>
      </c>
      <c r="X306" s="26" t="n">
        <f aca="false">IFERROR(W306/N306,0)</f>
        <v>0.553333333333333</v>
      </c>
      <c r="Y306" s="22" t="str">
        <f aca="false">IF(W306&gt;0,"Win",IF(W306&lt;0,"Loss","Flat"))</f>
        <v>Win</v>
      </c>
      <c r="Z306" s="24" t="n">
        <f aca="false">Summary!$C$5+SUM(W$2:W306)</f>
        <v>2025.43</v>
      </c>
      <c r="AA306" s="24" t="n">
        <f aca="false">MAX(AA305,Z306)</f>
        <v>5026.73</v>
      </c>
      <c r="AB306" s="24" t="n">
        <f aca="false">AA306-Z306</f>
        <v>3001.3</v>
      </c>
      <c r="AC306" s="23" t="n">
        <f aca="false">IFERROR(AB306/AA306,0)</f>
        <v>0.59706807407599</v>
      </c>
      <c r="AD306" s="22" t="s">
        <v>501</v>
      </c>
    </row>
    <row r="307" customFormat="false" ht="15" hidden="false" customHeight="false" outlineLevel="0" collapsed="false">
      <c r="A307" s="22" t="n">
        <v>306</v>
      </c>
      <c r="B307" s="22" t="s">
        <v>134</v>
      </c>
      <c r="C307" s="37" t="n">
        <v>46259.1182407407</v>
      </c>
      <c r="D307" s="22" t="s">
        <v>163</v>
      </c>
      <c r="E307" s="22" t="n">
        <v>2</v>
      </c>
      <c r="F307" s="22" t="s">
        <v>142</v>
      </c>
      <c r="G307" s="22" t="s">
        <v>195</v>
      </c>
      <c r="H307" s="22" t="n">
        <v>0.13</v>
      </c>
      <c r="I307" s="38" t="n">
        <v>4680.65</v>
      </c>
      <c r="J307" s="38" t="n">
        <v>4681.295</v>
      </c>
      <c r="K307" s="39" t="n">
        <f aca="false">IF(F307="BUY",J307-I307,I307-J307)</f>
        <v>0.645000000000437</v>
      </c>
      <c r="L307" s="38" t="n">
        <v>4679.15</v>
      </c>
      <c r="M307" s="39" t="n">
        <f aca="false">ABS(I307-L307)</f>
        <v>1.5</v>
      </c>
      <c r="N307" s="24" t="n">
        <f aca="false">M307*H307*Summary!$C$6</f>
        <v>19.5</v>
      </c>
      <c r="O307" s="37" t="n">
        <v>46259.1182407407</v>
      </c>
      <c r="P307" s="22" t="n">
        <f aca="false">ROUND((O307-C307)*86400,0)</f>
        <v>0</v>
      </c>
      <c r="Q307" s="22" t="str">
        <f aca="false">IF(P307&lt;10,"a) &lt;10s",IF(P307&lt;60,"b) 10-60s",IF(P307&lt;600,"c) 1-10min","d) &gt;10min")))</f>
        <v>a) &lt;10s</v>
      </c>
      <c r="R307" s="38" t="n">
        <v>4682.02</v>
      </c>
      <c r="S307" s="38" t="n">
        <v>4681.515</v>
      </c>
      <c r="T307" s="22" t="s">
        <v>149</v>
      </c>
      <c r="U307" s="39" t="n">
        <f aca="false">IF(R307="","",IF(F307="BUY",R307-S307,S307-R307))</f>
        <v>0.505000000000109</v>
      </c>
      <c r="V307" s="39" t="n">
        <f aca="false">IF(F307="BUY",S307-J307,J307-S307)</f>
        <v>0.220000000000255</v>
      </c>
      <c r="W307" s="6" t="n">
        <v>2.86</v>
      </c>
      <c r="X307" s="26" t="n">
        <f aca="false">IFERROR(W307/N307,0)</f>
        <v>0.146666666666667</v>
      </c>
      <c r="Y307" s="22" t="str">
        <f aca="false">IF(W307&gt;0,"Win",IF(W307&lt;0,"Loss","Flat"))</f>
        <v>Win</v>
      </c>
      <c r="Z307" s="24" t="n">
        <f aca="false">Summary!$C$5+SUM(W$2:W307)</f>
        <v>2028.29</v>
      </c>
      <c r="AA307" s="24" t="n">
        <f aca="false">MAX(AA306,Z307)</f>
        <v>5026.73</v>
      </c>
      <c r="AB307" s="24" t="n">
        <f aca="false">AA307-Z307</f>
        <v>2998.44</v>
      </c>
      <c r="AC307" s="23" t="n">
        <f aca="false">IFERROR(AB307/AA307,0)</f>
        <v>0.596499115727322</v>
      </c>
      <c r="AD307" s="22" t="s">
        <v>502</v>
      </c>
    </row>
    <row r="308" customFormat="false" ht="15" hidden="false" customHeight="false" outlineLevel="0" collapsed="false">
      <c r="A308" s="22" t="n">
        <v>307</v>
      </c>
      <c r="B308" s="22" t="s">
        <v>134</v>
      </c>
      <c r="C308" s="37" t="n">
        <v>46260.6777893519</v>
      </c>
      <c r="D308" s="22" t="s">
        <v>164</v>
      </c>
      <c r="E308" s="22" t="n">
        <v>16</v>
      </c>
      <c r="F308" s="22" t="s">
        <v>143</v>
      </c>
      <c r="G308" s="22" t="s">
        <v>197</v>
      </c>
      <c r="H308" s="22" t="n">
        <v>0.13</v>
      </c>
      <c r="I308" s="38" t="n">
        <v>4604.81</v>
      </c>
      <c r="J308" s="38" t="n">
        <v>4603.565</v>
      </c>
      <c r="K308" s="39" t="n">
        <f aca="false">IF(F308="BUY",J308-I308,I308-J308)</f>
        <v>1.2450000000008</v>
      </c>
      <c r="L308" s="38" t="n">
        <v>4606.31</v>
      </c>
      <c r="M308" s="39" t="n">
        <f aca="false">ABS(I308-L308)</f>
        <v>1.5</v>
      </c>
      <c r="N308" s="24" t="n">
        <f aca="false">M308*H308*Summary!$C$6</f>
        <v>19.5</v>
      </c>
      <c r="O308" s="37" t="n">
        <v>46260.6777893519</v>
      </c>
      <c r="P308" s="22" t="n">
        <f aca="false">ROUND((O308-C308)*86400,0)</f>
        <v>0</v>
      </c>
      <c r="Q308" s="22" t="str">
        <f aca="false">IF(P308&lt;10,"a) &lt;10s",IF(P308&lt;60,"b) 10-60s",IF(P308&lt;600,"c) 1-10min","d) &gt;10min")))</f>
        <v>a) &lt;10s</v>
      </c>
      <c r="R308" s="38" t="n">
        <v>4601.68</v>
      </c>
      <c r="S308" s="38" t="n">
        <v>4602.075</v>
      </c>
      <c r="T308" s="22" t="s">
        <v>149</v>
      </c>
      <c r="U308" s="39" t="n">
        <f aca="false">IF(R308="","",IF(F308="BUY",R308-S308,S308-R308))</f>
        <v>0.394999999999527</v>
      </c>
      <c r="V308" s="39" t="n">
        <f aca="false">IF(F308="BUY",S308-J308,J308-S308)</f>
        <v>1.48999999999978</v>
      </c>
      <c r="W308" s="6" t="n">
        <v>19.37</v>
      </c>
      <c r="X308" s="26" t="n">
        <f aca="false">IFERROR(W308/N308,0)</f>
        <v>0.993333333333333</v>
      </c>
      <c r="Y308" s="22" t="str">
        <f aca="false">IF(W308&gt;0,"Win",IF(W308&lt;0,"Loss","Flat"))</f>
        <v>Win</v>
      </c>
      <c r="Z308" s="24" t="n">
        <f aca="false">Summary!$C$5+SUM(W$2:W308)</f>
        <v>2047.66</v>
      </c>
      <c r="AA308" s="24" t="n">
        <f aca="false">MAX(AA307,Z308)</f>
        <v>5026.73</v>
      </c>
      <c r="AB308" s="24" t="n">
        <f aca="false">AA308-Z308</f>
        <v>2979.07</v>
      </c>
      <c r="AC308" s="23" t="n">
        <f aca="false">IFERROR(AB308/AA308,0)</f>
        <v>0.592645716002252</v>
      </c>
      <c r="AD308" s="22" t="s">
        <v>503</v>
      </c>
    </row>
    <row r="309" customFormat="false" ht="15" hidden="false" customHeight="false" outlineLevel="0" collapsed="false">
      <c r="A309" s="22" t="n">
        <v>308</v>
      </c>
      <c r="B309" s="22" t="s">
        <v>134</v>
      </c>
      <c r="C309" s="37" t="n">
        <v>46261.525775463</v>
      </c>
      <c r="D309" s="22" t="s">
        <v>165</v>
      </c>
      <c r="E309" s="22" t="n">
        <v>12</v>
      </c>
      <c r="F309" s="22" t="s">
        <v>143</v>
      </c>
      <c r="G309" s="22" t="s">
        <v>197</v>
      </c>
      <c r="H309" s="22" t="n">
        <v>0.13</v>
      </c>
      <c r="I309" s="38" t="n">
        <v>4582.79</v>
      </c>
      <c r="J309" s="38" t="n">
        <v>4582.645</v>
      </c>
      <c r="K309" s="39" t="n">
        <f aca="false">IF(F309="BUY",J309-I309,I309-J309)</f>
        <v>0.144999999999527</v>
      </c>
      <c r="L309" s="38" t="n">
        <v>4584.29</v>
      </c>
      <c r="M309" s="39" t="n">
        <f aca="false">ABS(I309-L309)</f>
        <v>1.5</v>
      </c>
      <c r="N309" s="24" t="n">
        <f aca="false">M309*H309*Summary!$C$6</f>
        <v>19.5</v>
      </c>
      <c r="O309" s="37" t="n">
        <v>46261.525775463</v>
      </c>
      <c r="P309" s="22" t="n">
        <f aca="false">ROUND((O309-C309)*86400,0)</f>
        <v>0</v>
      </c>
      <c r="Q309" s="22" t="str">
        <f aca="false">IF(P309&lt;10,"a) &lt;10s",IF(P309&lt;60,"b) 10-60s",IF(P309&lt;600,"c) 1-10min","d) &gt;10min")))</f>
        <v>a) &lt;10s</v>
      </c>
      <c r="R309" s="38" t="n">
        <v>4580.72</v>
      </c>
      <c r="S309" s="38" t="n">
        <v>4580.895</v>
      </c>
      <c r="T309" s="22" t="s">
        <v>149</v>
      </c>
      <c r="U309" s="39" t="n">
        <f aca="false">IF(R309="","",IF(F309="BUY",R309-S309,S309-R309))</f>
        <v>0.175000000000182</v>
      </c>
      <c r="V309" s="39" t="n">
        <f aca="false">IF(F309="BUY",S309-J309,J309-S309)</f>
        <v>1.75</v>
      </c>
      <c r="W309" s="6" t="n">
        <v>22.75</v>
      </c>
      <c r="X309" s="26" t="n">
        <f aca="false">IFERROR(W309/N309,0)</f>
        <v>1.16666666666667</v>
      </c>
      <c r="Y309" s="22" t="str">
        <f aca="false">IF(W309&gt;0,"Win",IF(W309&lt;0,"Loss","Flat"))</f>
        <v>Win</v>
      </c>
      <c r="Z309" s="24" t="n">
        <f aca="false">Summary!$C$5+SUM(W$2:W309)</f>
        <v>2070.41</v>
      </c>
      <c r="AA309" s="24" t="n">
        <f aca="false">MAX(AA308,Z309)</f>
        <v>5026.73</v>
      </c>
      <c r="AB309" s="24" t="n">
        <f aca="false">AA309-Z309</f>
        <v>2956.32</v>
      </c>
      <c r="AC309" s="23" t="n">
        <f aca="false">IFERROR(AB309/AA309,0)</f>
        <v>0.588119910956029</v>
      </c>
      <c r="AD309" s="22" t="s">
        <v>504</v>
      </c>
    </row>
    <row r="310" customFormat="false" ht="15" hidden="false" customHeight="false" outlineLevel="0" collapsed="false">
      <c r="A310" s="22" t="n">
        <v>309</v>
      </c>
      <c r="B310" s="22" t="s">
        <v>134</v>
      </c>
      <c r="C310" s="37" t="n">
        <v>46262.7119791667</v>
      </c>
      <c r="D310" s="22" t="s">
        <v>166</v>
      </c>
      <c r="E310" s="22" t="n">
        <v>17</v>
      </c>
      <c r="F310" s="22" t="s">
        <v>143</v>
      </c>
      <c r="G310" s="22" t="s">
        <v>197</v>
      </c>
      <c r="H310" s="22" t="n">
        <v>0.13</v>
      </c>
      <c r="I310" s="38" t="n">
        <v>4564.23</v>
      </c>
      <c r="J310" s="38" t="n">
        <v>4563.745</v>
      </c>
      <c r="K310" s="39" t="n">
        <f aca="false">IF(F310="BUY",J310-I310,I310-J310)</f>
        <v>0.484999999999673</v>
      </c>
      <c r="L310" s="38" t="n">
        <v>4565.73</v>
      </c>
      <c r="M310" s="39" t="n">
        <f aca="false">ABS(I310-L310)</f>
        <v>1.5</v>
      </c>
      <c r="N310" s="24" t="n">
        <f aca="false">M310*H310*Summary!$C$6</f>
        <v>19.5</v>
      </c>
      <c r="O310" s="37" t="n">
        <v>46262.7119907407</v>
      </c>
      <c r="P310" s="22" t="n">
        <f aca="false">ROUND((O310-C310)*86400,0)</f>
        <v>1</v>
      </c>
      <c r="Q310" s="22" t="str">
        <f aca="false">IF(P310&lt;10,"a) &lt;10s",IF(P310&lt;60,"b) 10-60s",IF(P310&lt;600,"c) 1-10min","d) &gt;10min")))</f>
        <v>a) &lt;10s</v>
      </c>
      <c r="R310" s="38" t="n">
        <v>4561.23</v>
      </c>
      <c r="S310" s="38" t="n">
        <v>4561.255</v>
      </c>
      <c r="T310" s="22" t="s">
        <v>149</v>
      </c>
      <c r="U310" s="39" t="n">
        <f aca="false">IF(R310="","",IF(F310="BUY",R310-S310,S310-R310))</f>
        <v>0.0250000000005457</v>
      </c>
      <c r="V310" s="39" t="n">
        <f aca="false">IF(F310="BUY",S310-J310,J310-S310)</f>
        <v>2.48999999999978</v>
      </c>
      <c r="W310" s="6" t="n">
        <v>32.37</v>
      </c>
      <c r="X310" s="26" t="n">
        <f aca="false">IFERROR(W310/N310,0)</f>
        <v>1.66</v>
      </c>
      <c r="Y310" s="22" t="str">
        <f aca="false">IF(W310&gt;0,"Win",IF(W310&lt;0,"Loss","Flat"))</f>
        <v>Win</v>
      </c>
      <c r="Z310" s="24" t="n">
        <f aca="false">Summary!$C$5+SUM(W$2:W310)</f>
        <v>2102.78</v>
      </c>
      <c r="AA310" s="24" t="n">
        <f aca="false">MAX(AA309,Z310)</f>
        <v>5026.73</v>
      </c>
      <c r="AB310" s="24" t="n">
        <f aca="false">AA310-Z310</f>
        <v>2923.95</v>
      </c>
      <c r="AC310" s="23" t="n">
        <f aca="false">IFERROR(AB310/AA310,0)</f>
        <v>0.581680336918832</v>
      </c>
      <c r="AD310" s="22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506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507</v>
      </c>
      <c r="B3" s="2" t="s">
        <v>508</v>
      </c>
      <c r="C3" s="2"/>
    </row>
    <row r="4" customFormat="false" ht="15" hidden="false" customHeight="false" outlineLevel="0" collapsed="false">
      <c r="A4" s="3" t="s">
        <v>509</v>
      </c>
      <c r="B4" s="2" t="s">
        <v>510</v>
      </c>
      <c r="C4" s="2"/>
    </row>
    <row r="5" customFormat="false" ht="15" hidden="false" customHeight="false" outlineLevel="0" collapsed="false">
      <c r="A5" s="3" t="s">
        <v>511</v>
      </c>
      <c r="B5" s="2" t="s">
        <v>512</v>
      </c>
      <c r="C5" s="2"/>
    </row>
    <row r="6" customFormat="false" ht="15" hidden="false" customHeight="false" outlineLevel="0" collapsed="false">
      <c r="A6" s="3" t="s">
        <v>513</v>
      </c>
      <c r="B6" s="2" t="n">
        <v>5000</v>
      </c>
      <c r="C6" s="2"/>
    </row>
    <row r="7" customFormat="false" ht="15" hidden="false" customHeight="false" outlineLevel="0" collapsed="false">
      <c r="A7" s="3" t="s">
        <v>514</v>
      </c>
      <c r="B7" s="2" t="s">
        <v>515</v>
      </c>
      <c r="C7" s="2"/>
    </row>
    <row r="8" customFormat="false" ht="15" hidden="false" customHeight="false" outlineLevel="0" collapsed="false">
      <c r="A8" s="3" t="s">
        <v>516</v>
      </c>
      <c r="B8" s="2" t="s">
        <v>517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8" t="s">
        <v>518</v>
      </c>
      <c r="B10" s="8" t="s">
        <v>35</v>
      </c>
      <c r="C10" s="8" t="s">
        <v>519</v>
      </c>
    </row>
    <row r="11" customFormat="false" ht="15" hidden="false" customHeight="false" outlineLevel="0" collapsed="false">
      <c r="A11" s="3" t="s">
        <v>520</v>
      </c>
      <c r="B11" s="2"/>
      <c r="C11" s="2"/>
    </row>
    <row r="12" customFormat="false" ht="15" hidden="false" customHeight="false" outlineLevel="0" collapsed="false">
      <c r="A12" s="2" t="s">
        <v>521</v>
      </c>
      <c r="B12" s="2" t="s">
        <v>522</v>
      </c>
      <c r="C12" s="2" t="s">
        <v>523</v>
      </c>
    </row>
    <row r="13" customFormat="false" ht="15" hidden="false" customHeight="false" outlineLevel="0" collapsed="false">
      <c r="A13" s="2" t="s">
        <v>524</v>
      </c>
      <c r="B13" s="2" t="s">
        <v>525</v>
      </c>
      <c r="C13" s="2" t="s">
        <v>526</v>
      </c>
    </row>
    <row r="14" customFormat="false" ht="15" hidden="false" customHeight="false" outlineLevel="0" collapsed="false">
      <c r="A14" s="2" t="s">
        <v>527</v>
      </c>
      <c r="B14" s="2" t="s">
        <v>525</v>
      </c>
      <c r="C14" s="2" t="s">
        <v>528</v>
      </c>
    </row>
    <row r="15" customFormat="false" ht="15" hidden="false" customHeight="false" outlineLevel="0" collapsed="false">
      <c r="A15" s="2" t="s">
        <v>529</v>
      </c>
      <c r="B15" s="2" t="s">
        <v>530</v>
      </c>
      <c r="C15" s="2"/>
    </row>
    <row r="16" customFormat="false" ht="15" hidden="false" customHeight="false" outlineLevel="0" collapsed="false">
      <c r="A16" s="3" t="s">
        <v>531</v>
      </c>
      <c r="B16" s="2"/>
      <c r="C16" s="2"/>
    </row>
    <row r="17" customFormat="false" ht="15" hidden="false" customHeight="false" outlineLevel="0" collapsed="false">
      <c r="A17" s="2" t="s">
        <v>532</v>
      </c>
      <c r="B17" s="2" t="s">
        <v>525</v>
      </c>
      <c r="C17" s="2"/>
    </row>
    <row r="18" customFormat="false" ht="15" hidden="false" customHeight="false" outlineLevel="0" collapsed="false">
      <c r="A18" s="2" t="s">
        <v>533</v>
      </c>
      <c r="B18" s="2" t="s">
        <v>525</v>
      </c>
      <c r="C18" s="2"/>
    </row>
    <row r="19" customFormat="false" ht="15" hidden="false" customHeight="false" outlineLevel="0" collapsed="false">
      <c r="A19" s="2" t="s">
        <v>534</v>
      </c>
      <c r="B19" s="2" t="s">
        <v>522</v>
      </c>
      <c r="C19" s="2"/>
    </row>
    <row r="20" customFormat="false" ht="15" hidden="false" customHeight="false" outlineLevel="0" collapsed="false">
      <c r="A20" s="2" t="s">
        <v>535</v>
      </c>
      <c r="B20" s="2" t="s">
        <v>536</v>
      </c>
      <c r="C20" s="2"/>
    </row>
    <row r="21" customFormat="false" ht="15" hidden="false" customHeight="false" outlineLevel="0" collapsed="false">
      <c r="A21" s="2" t="s">
        <v>537</v>
      </c>
      <c r="B21" s="2" t="s">
        <v>525</v>
      </c>
      <c r="C21" s="2"/>
    </row>
    <row r="22" customFormat="false" ht="15" hidden="false" customHeight="false" outlineLevel="0" collapsed="false">
      <c r="A22" s="3" t="s">
        <v>538</v>
      </c>
      <c r="B22" s="2"/>
      <c r="C22" s="2"/>
    </row>
    <row r="23" customFormat="false" ht="15" hidden="false" customHeight="false" outlineLevel="0" collapsed="false">
      <c r="A23" s="2" t="s">
        <v>539</v>
      </c>
      <c r="B23" s="2" t="s">
        <v>522</v>
      </c>
      <c r="C23" s="2"/>
    </row>
    <row r="24" customFormat="false" ht="15" hidden="false" customHeight="false" outlineLevel="0" collapsed="false">
      <c r="A24" s="2" t="s">
        <v>540</v>
      </c>
      <c r="B24" s="2" t="s">
        <v>541</v>
      </c>
      <c r="C24" s="2" t="s">
        <v>542</v>
      </c>
    </row>
    <row r="25" customFormat="false" ht="15" hidden="false" customHeight="false" outlineLevel="0" collapsed="false">
      <c r="A25" s="2" t="s">
        <v>543</v>
      </c>
      <c r="B25" s="2" t="s">
        <v>544</v>
      </c>
      <c r="C25" s="2"/>
    </row>
    <row r="26" customFormat="false" ht="15" hidden="false" customHeight="false" outlineLevel="0" collapsed="false">
      <c r="A26" s="2" t="s">
        <v>545</v>
      </c>
      <c r="B26" s="2" t="s">
        <v>536</v>
      </c>
      <c r="C26" s="2"/>
    </row>
    <row r="27" customFormat="false" ht="15" hidden="false" customHeight="false" outlineLevel="0" collapsed="false">
      <c r="A27" s="3" t="s">
        <v>546</v>
      </c>
      <c r="B27" s="2"/>
      <c r="C27" s="2"/>
    </row>
    <row r="28" customFormat="false" ht="15" hidden="false" customHeight="false" outlineLevel="0" collapsed="false">
      <c r="A28" s="40" t="s">
        <v>547</v>
      </c>
      <c r="B28" s="40" t="s">
        <v>548</v>
      </c>
      <c r="C28" s="40" t="s">
        <v>549</v>
      </c>
    </row>
    <row r="29" customFormat="false" ht="15" hidden="false" customHeight="false" outlineLevel="0" collapsed="false">
      <c r="A29" s="2" t="s">
        <v>550</v>
      </c>
      <c r="B29" s="2" t="s">
        <v>525</v>
      </c>
      <c r="C29" s="2" t="s">
        <v>551</v>
      </c>
    </row>
    <row r="30" customFormat="false" ht="15" hidden="false" customHeight="false" outlineLevel="0" collapsed="false">
      <c r="A30" s="2" t="s">
        <v>552</v>
      </c>
      <c r="B30" s="2" t="s">
        <v>553</v>
      </c>
      <c r="C30" s="2"/>
    </row>
    <row r="31" customFormat="false" ht="15" hidden="false" customHeight="false" outlineLevel="0" collapsed="false">
      <c r="A31" s="3" t="s">
        <v>554</v>
      </c>
      <c r="B31" s="2"/>
      <c r="C31" s="2"/>
    </row>
    <row r="32" customFormat="false" ht="15" hidden="false" customHeight="false" outlineLevel="0" collapsed="false">
      <c r="A32" s="2" t="s">
        <v>555</v>
      </c>
      <c r="B32" s="2" t="s">
        <v>522</v>
      </c>
      <c r="C32" s="2"/>
    </row>
    <row r="33" customFormat="false" ht="15" hidden="false" customHeight="false" outlineLevel="0" collapsed="false">
      <c r="A33" s="2" t="s">
        <v>556</v>
      </c>
      <c r="B33" s="2" t="s">
        <v>557</v>
      </c>
      <c r="C33" s="2" t="s">
        <v>558</v>
      </c>
    </row>
    <row r="34" customFormat="false" ht="15" hidden="false" customHeight="false" outlineLevel="0" collapsed="false">
      <c r="A34" s="2" t="s">
        <v>559</v>
      </c>
      <c r="B34" s="2" t="s">
        <v>522</v>
      </c>
      <c r="C34" s="2"/>
    </row>
    <row r="35" customFormat="false" ht="15" hidden="false" customHeight="false" outlineLevel="0" collapsed="false">
      <c r="A35" s="2" t="s">
        <v>560</v>
      </c>
      <c r="B35" s="2" t="s">
        <v>561</v>
      </c>
      <c r="C35" s="2" t="s">
        <v>562</v>
      </c>
    </row>
    <row r="36" customFormat="false" ht="15" hidden="false" customHeight="false" outlineLevel="0" collapsed="false">
      <c r="A36" s="40" t="s">
        <v>563</v>
      </c>
      <c r="B36" s="40" t="s">
        <v>564</v>
      </c>
      <c r="C36" s="40" t="s">
        <v>565</v>
      </c>
    </row>
    <row r="37" customFormat="false" ht="15" hidden="false" customHeight="false" outlineLevel="0" collapsed="false">
      <c r="A37" s="3" t="s">
        <v>566</v>
      </c>
      <c r="B37" s="2"/>
      <c r="C37" s="2"/>
    </row>
    <row r="38" customFormat="false" ht="15" hidden="false" customHeight="false" outlineLevel="0" collapsed="false">
      <c r="A38" s="2" t="s">
        <v>567</v>
      </c>
      <c r="B38" s="2" t="s">
        <v>568</v>
      </c>
      <c r="C38" s="2"/>
    </row>
    <row r="39" customFormat="false" ht="15" hidden="false" customHeight="false" outlineLevel="0" collapsed="false">
      <c r="A39" s="2" t="s">
        <v>569</v>
      </c>
      <c r="B39" s="2" t="s">
        <v>570</v>
      </c>
      <c r="C39" s="2"/>
    </row>
    <row r="40" customFormat="false" ht="15" hidden="false" customHeight="false" outlineLevel="0" collapsed="false">
      <c r="A40" s="2" t="s">
        <v>571</v>
      </c>
      <c r="B40" s="2" t="s">
        <v>530</v>
      </c>
      <c r="C40" s="2"/>
    </row>
    <row r="41" customFormat="false" ht="15" hidden="false" customHeight="false" outlineLevel="0" collapsed="false">
      <c r="A41" s="2" t="s">
        <v>572</v>
      </c>
      <c r="B41" s="2" t="s">
        <v>573</v>
      </c>
      <c r="C41" s="2" t="s">
        <v>574</v>
      </c>
    </row>
    <row r="42" customFormat="false" ht="15" hidden="false" customHeight="false" outlineLevel="0" collapsed="false">
      <c r="A42" s="2" t="s">
        <v>575</v>
      </c>
      <c r="B42" s="2" t="s">
        <v>522</v>
      </c>
      <c r="C42" s="2"/>
    </row>
    <row r="43" customFormat="false" ht="15" hidden="false" customHeight="false" outlineLevel="0" collapsed="false">
      <c r="A43" s="2" t="s">
        <v>576</v>
      </c>
      <c r="B43" s="2" t="s">
        <v>577</v>
      </c>
      <c r="C43" s="2"/>
    </row>
    <row r="44" customFormat="false" ht="15" hidden="false" customHeight="false" outlineLevel="0" collapsed="false">
      <c r="A44" s="2" t="s">
        <v>578</v>
      </c>
      <c r="B44" s="2" t="s">
        <v>530</v>
      </c>
      <c r="C44" s="2"/>
    </row>
    <row r="45" customFormat="false" ht="15" hidden="false" customHeight="false" outlineLevel="0" collapsed="false">
      <c r="A45" s="2" t="s">
        <v>579</v>
      </c>
      <c r="B45" s="2" t="s">
        <v>541</v>
      </c>
      <c r="C45" s="2"/>
    </row>
    <row r="46" customFormat="false" ht="15" hidden="false" customHeight="false" outlineLevel="0" collapsed="false">
      <c r="A46" s="2" t="s">
        <v>580</v>
      </c>
      <c r="B46" s="2" t="s">
        <v>530</v>
      </c>
      <c r="C46" s="2"/>
    </row>
    <row r="47" customFormat="false" ht="15" hidden="false" customHeight="false" outlineLevel="0" collapsed="false">
      <c r="A47" s="2" t="s">
        <v>581</v>
      </c>
      <c r="B47" s="2" t="s">
        <v>536</v>
      </c>
      <c r="C47" s="2"/>
    </row>
    <row r="48" customFormat="false" ht="15" hidden="false" customHeight="false" outlineLevel="0" collapsed="false">
      <c r="A48" s="2" t="s">
        <v>582</v>
      </c>
      <c r="B48" s="2" t="s">
        <v>536</v>
      </c>
      <c r="C48" s="2"/>
    </row>
    <row r="49" customFormat="false" ht="15" hidden="false" customHeight="false" outlineLevel="0" collapsed="false">
      <c r="A49" s="2" t="s">
        <v>583</v>
      </c>
      <c r="B49" s="2" t="s">
        <v>522</v>
      </c>
      <c r="C49" s="2"/>
    </row>
    <row r="50" customFormat="false" ht="15" hidden="false" customHeight="false" outlineLevel="0" collapsed="false">
      <c r="A50" s="3" t="s">
        <v>584</v>
      </c>
      <c r="B50" s="2"/>
      <c r="C50" s="2"/>
    </row>
    <row r="51" customFormat="false" ht="15" hidden="false" customHeight="false" outlineLevel="0" collapsed="false">
      <c r="A51" s="2" t="s">
        <v>585</v>
      </c>
      <c r="B51" s="2" t="s">
        <v>553</v>
      </c>
      <c r="C51" s="2" t="s">
        <v>586</v>
      </c>
    </row>
    <row r="52" customFormat="false" ht="15" hidden="false" customHeight="false" outlineLevel="0" collapsed="false">
      <c r="A52" s="2" t="s">
        <v>587</v>
      </c>
      <c r="B52" s="2" t="s">
        <v>588</v>
      </c>
      <c r="C52" s="2"/>
    </row>
    <row r="53" customFormat="false" ht="15" hidden="false" customHeight="false" outlineLevel="0" collapsed="false">
      <c r="A53" s="3" t="s">
        <v>589</v>
      </c>
      <c r="B53" s="2"/>
      <c r="C53" s="2"/>
    </row>
    <row r="54" customFormat="false" ht="15" hidden="false" customHeight="false" outlineLevel="0" collapsed="false">
      <c r="A54" s="2" t="s">
        <v>590</v>
      </c>
      <c r="B54" s="2" t="s">
        <v>522</v>
      </c>
      <c r="C54" s="2"/>
    </row>
    <row r="55" customFormat="false" ht="15" hidden="false" customHeight="false" outlineLevel="0" collapsed="false">
      <c r="A55" s="2" t="s">
        <v>591</v>
      </c>
      <c r="B55" s="2" t="s">
        <v>592</v>
      </c>
      <c r="C55" s="2" t="s">
        <v>593</v>
      </c>
    </row>
    <row r="56" customFormat="false" ht="15" hidden="false" customHeight="false" outlineLevel="0" collapsed="false">
      <c r="A56" s="2" t="s">
        <v>594</v>
      </c>
      <c r="B56" s="2" t="s">
        <v>595</v>
      </c>
      <c r="C56" s="2" t="s">
        <v>596</v>
      </c>
    </row>
    <row r="57" customFormat="false" ht="15" hidden="false" customHeight="false" outlineLevel="0" collapsed="false">
      <c r="A57" s="2" t="s">
        <v>597</v>
      </c>
      <c r="B57" s="2" t="s">
        <v>522</v>
      </c>
      <c r="C57" s="2"/>
    </row>
    <row r="58" customFormat="false" ht="15" hidden="false" customHeight="false" outlineLevel="0" collapsed="false">
      <c r="A58" s="2" t="s">
        <v>598</v>
      </c>
      <c r="B58" s="2" t="s">
        <v>541</v>
      </c>
      <c r="C58" s="2" t="s">
        <v>599</v>
      </c>
    </row>
    <row r="59" customFormat="false" ht="15" hidden="false" customHeight="false" outlineLevel="0" collapsed="false">
      <c r="A59" s="2" t="s">
        <v>600</v>
      </c>
      <c r="B59" s="2" t="s">
        <v>541</v>
      </c>
      <c r="C59" s="2"/>
    </row>
    <row r="60" customFormat="false" ht="15" hidden="false" customHeight="false" outlineLevel="0" collapsed="false">
      <c r="A60" s="2" t="s">
        <v>601</v>
      </c>
      <c r="B60" s="2" t="s">
        <v>525</v>
      </c>
      <c r="C60" s="2"/>
    </row>
    <row r="61" customFormat="false" ht="15" hidden="false" customHeight="false" outlineLevel="0" collapsed="false">
      <c r="A61" s="3" t="s">
        <v>602</v>
      </c>
      <c r="B61" s="2"/>
      <c r="C61" s="2"/>
    </row>
    <row r="62" customFormat="false" ht="15" hidden="false" customHeight="false" outlineLevel="0" collapsed="false">
      <c r="A62" s="2" t="s">
        <v>603</v>
      </c>
      <c r="B62" s="2" t="s">
        <v>604</v>
      </c>
      <c r="C62" s="2"/>
    </row>
    <row r="63" customFormat="false" ht="15" hidden="false" customHeight="false" outlineLevel="0" collapsed="false">
      <c r="A63" s="2" t="s">
        <v>605</v>
      </c>
      <c r="B63" s="2" t="s">
        <v>525</v>
      </c>
      <c r="C63" s="2"/>
    </row>
    <row r="64" customFormat="false" ht="15" hidden="false" customHeight="false" outlineLevel="0" collapsed="false">
      <c r="A64" s="2" t="s">
        <v>606</v>
      </c>
      <c r="B64" s="2" t="s">
        <v>607</v>
      </c>
      <c r="C64" s="2"/>
    </row>
    <row r="65" customFormat="false" ht="15" hidden="false" customHeight="false" outlineLevel="0" collapsed="false">
      <c r="A65" s="2" t="s">
        <v>608</v>
      </c>
      <c r="B65" s="2" t="s">
        <v>525</v>
      </c>
      <c r="C65" s="2"/>
    </row>
    <row r="66" customFormat="false" ht="15" hidden="false" customHeight="false" outlineLevel="0" collapsed="false">
      <c r="A66" s="2" t="s">
        <v>609</v>
      </c>
      <c r="B66" s="2" t="s">
        <v>610</v>
      </c>
      <c r="C66" s="2"/>
    </row>
    <row r="67" customFormat="false" ht="15" hidden="false" customHeight="false" outlineLevel="0" collapsed="false">
      <c r="A67" s="3" t="s">
        <v>611</v>
      </c>
      <c r="B67" s="2"/>
      <c r="C67" s="2"/>
    </row>
    <row r="68" customFormat="false" ht="15" hidden="false" customHeight="false" outlineLevel="0" collapsed="false">
      <c r="A68" s="2" t="s">
        <v>612</v>
      </c>
      <c r="B68" s="2" t="s">
        <v>522</v>
      </c>
      <c r="C68" s="2"/>
    </row>
    <row r="69" customFormat="false" ht="15" hidden="false" customHeight="false" outlineLevel="0" collapsed="false">
      <c r="A69" s="2" t="s">
        <v>613</v>
      </c>
      <c r="B69" s="2" t="s">
        <v>522</v>
      </c>
      <c r="C69" s="2"/>
    </row>
    <row r="70" customFormat="false" ht="15" hidden="false" customHeight="false" outlineLevel="0" collapsed="false">
      <c r="A70" s="2" t="s">
        <v>614</v>
      </c>
      <c r="B70" s="2" t="s">
        <v>525</v>
      </c>
      <c r="C7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2026-10-01T18:45:33Z</dcterms:created>
  <dc:creator>openpyxl</dc:creator>
  <dc:description/>
  <dc:language>en-US</dc:language>
  <cp:lastModifiedBy/>
  <dcterms:modified xsi:type="dcterms:W3CDTF">2026-10-01T18:45:36Z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